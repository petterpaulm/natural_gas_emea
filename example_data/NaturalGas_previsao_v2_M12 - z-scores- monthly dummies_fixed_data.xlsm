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3901" codeName="{4D1C537B-E38A-612A-F078-A93A15B4B7F4}"/>
  <workbookPr showInkAnnotation="0" codeName="ThisWorkbook" autoCompressPictures="0"/>
  <mc:AlternateContent xmlns:mc="http://schemas.openxmlformats.org/markup-compatibility/2006">
    <mc:Choice Requires="x15">
      <x15ac:absPath xmlns:x15ac="http://schemas.microsoft.com/office/spreadsheetml/2010/11/ac" url="D:\Python\INSEAD2\TTF_regression\Faire Value Gap\"/>
    </mc:Choice>
  </mc:AlternateContent>
  <xr:revisionPtr revIDLastSave="0" documentId="8_{D4135160-3D6B-4E6D-9D85-F36B6C6286B5}" xr6:coauthVersionLast="46" xr6:coauthVersionMax="46" xr10:uidLastSave="{00000000-0000-0000-0000-000000000000}"/>
  <bookViews>
    <workbookView xWindow="51480" yWindow="-120" windowWidth="51840" windowHeight="21240" tabRatio="500" activeTab="1" xr2:uid="{00000000-000D-0000-FFFF-FFFF00000000}"/>
  </bookViews>
  <sheets>
    <sheet name="model step2(M24)" sheetId="26" r:id="rId1"/>
    <sheet name="M12" sheetId="25" r:id="rId2"/>
    <sheet name="_xlwings.conf" sheetId="2" r:id="rId3"/>
  </sheets>
  <functionGroups builtInGroupCount="19">
    <functionGroup name="TR.CO.XllAddin"/>
  </functionGroups>
  <definedNames>
    <definedName name="_xlnm._FilterDatabase" localSheetId="1" hidden="1">'M12'!$C$1:$AD$1622</definedName>
    <definedName name="solver_eng" localSheetId="0" hidden="1">1</definedName>
    <definedName name="solver_neg" localSheetId="0" hidden="1">1</definedName>
    <definedName name="solver_num" localSheetId="0" hidden="1">0</definedName>
    <definedName name="solver_opt" localSheetId="0" hidden="1">'model step2(M24)'!#REF!</definedName>
    <definedName name="solver_typ" localSheetId="0" hidden="1">1</definedName>
    <definedName name="solver_val" localSheetId="0" hidden="1">0</definedName>
    <definedName name="solver_ver" localSheetId="0" hidden="1">3</definedName>
  </definedNames>
  <calcPr calcId="191029" calcMode="manual" concurrentCalc="0"/>
  <extLst>
    <ext xmlns:x14="http://schemas.microsoft.com/office/spreadsheetml/2009/9/main" uri="{8193D73E-4604-4355-AFF4-8A2333D13BE4}">
      <x14:definedNames>
        <x14:definedName name="corr_matrix">
          <x14:argumentDescriptions count="1">
            <x14:argumentDescription index="0">Positional argument 1</x14:argumentDescription>
          </x14:argumentDescriptions>
        </x14:definedName>
        <x14:definedName name="fair_value_gap">
          <x14:argumentDescriptions count="4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</x14:argumentDescriptions>
        </x14:definedName>
        <x14:definedName name="forecast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forecast_reg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get_traindata">
          <x14:argumentDescriptions count="5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  <x14:argumentDescription index="4">Positional argument 5</x14:argumentDescription>
          </x14:argumentDescriptions>
        </x14:definedName>
        <x14:definedName name="linear_regression">
          <x14:argumentDescriptions count="4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</x14:argumentDescriptions>
        </x14:definedName>
        <x14:definedName name="optimal_trades2">
          <x14:argumentDescriptions count="1">
            <x14:argumentDescription index="0">Positional argument 1</x14:argumentDescription>
          </x14:argumentDescriptions>
        </x14:definedName>
        <x14:definedName name="z_score">
          <x14:argumentDescriptions count="1">
            <x14:argumentDescription index="0">Positional argument 1</x14:argumentDescription>
          </x14:argumentDescriptions>
        </x14:definedName>
        <x14:definedName name="z_score_diff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</x14:definedNames>
    </ext>
    <ext xmlns:x14="http://schemas.microsoft.com/office/spreadsheetml/2009/9/main" uri="{79F54976-1DA5-4618-B147-4CDE4B953A38}">
      <x14:workbookPr defaultImageDpi="32767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W7" i="25" l="1"/>
  <c r="AB7" i="25"/>
  <c r="X7" i="25"/>
  <c r="AD7" i="25"/>
  <c r="W8" i="25"/>
  <c r="AB8" i="25"/>
  <c r="X8" i="25"/>
  <c r="AD8" i="25"/>
  <c r="W9" i="25"/>
  <c r="AB9" i="25"/>
  <c r="X9" i="25"/>
  <c r="AD9" i="25"/>
  <c r="W10" i="25"/>
  <c r="AB10" i="25"/>
  <c r="X10" i="25"/>
  <c r="AD10" i="25"/>
  <c r="W11" i="25"/>
  <c r="AB11" i="25"/>
  <c r="X11" i="25"/>
  <c r="AD11" i="25"/>
  <c r="W12" i="25"/>
  <c r="AB12" i="25"/>
  <c r="X12" i="25"/>
  <c r="AD12" i="25"/>
  <c r="W13" i="25"/>
  <c r="AB13" i="25"/>
  <c r="X13" i="25"/>
  <c r="AD13" i="25"/>
  <c r="W14" i="25"/>
  <c r="AB14" i="25"/>
  <c r="X14" i="25"/>
  <c r="AD14" i="25"/>
  <c r="W15" i="25"/>
  <c r="AB15" i="25"/>
  <c r="X15" i="25"/>
  <c r="AD15" i="25"/>
  <c r="W16" i="25"/>
  <c r="AB16" i="25"/>
  <c r="X16" i="25"/>
  <c r="AD16" i="25"/>
  <c r="W17" i="25"/>
  <c r="AB17" i="25"/>
  <c r="X17" i="25"/>
  <c r="AD17" i="25"/>
  <c r="W18" i="25"/>
  <c r="AB18" i="25"/>
  <c r="X18" i="25"/>
  <c r="AD18" i="25"/>
  <c r="W19" i="25"/>
  <c r="AB19" i="25"/>
  <c r="X19" i="25"/>
  <c r="AD19" i="25"/>
  <c r="W20" i="25"/>
  <c r="AB20" i="25"/>
  <c r="X20" i="25"/>
  <c r="AD20" i="25"/>
  <c r="W21" i="25"/>
  <c r="AB21" i="25"/>
  <c r="X21" i="25"/>
  <c r="AD21" i="25"/>
  <c r="W22" i="25"/>
  <c r="AB22" i="25"/>
  <c r="X22" i="25"/>
  <c r="AD22" i="25"/>
  <c r="W23" i="25"/>
  <c r="AB23" i="25"/>
  <c r="X23" i="25"/>
  <c r="AD23" i="25"/>
  <c r="W24" i="25"/>
  <c r="AB24" i="25"/>
  <c r="X24" i="25"/>
  <c r="AD24" i="25"/>
  <c r="W25" i="25"/>
  <c r="AB25" i="25"/>
  <c r="X25" i="25"/>
  <c r="AD25" i="25"/>
  <c r="W26" i="25"/>
  <c r="AB26" i="25"/>
  <c r="X26" i="25"/>
  <c r="AD26" i="25"/>
  <c r="W27" i="25"/>
  <c r="AB27" i="25"/>
  <c r="X27" i="25"/>
  <c r="AD27" i="25"/>
  <c r="W28" i="25"/>
  <c r="AB28" i="25"/>
  <c r="X28" i="25"/>
  <c r="AD28" i="25"/>
  <c r="W29" i="25"/>
  <c r="AB29" i="25"/>
  <c r="X29" i="25"/>
  <c r="AD29" i="25"/>
  <c r="V7" i="25" a="1"/>
  <c r="V7" i="25"/>
  <c r="V8" i="25" a="1"/>
  <c r="V8" i="25"/>
  <c r="V9" i="25" a="1"/>
  <c r="V10" i="25" a="1"/>
  <c r="V11" i="25" a="1"/>
  <c r="V12" i="25" a="1"/>
  <c r="V13" i="25" a="1"/>
  <c r="V14" i="25" a="1"/>
  <c r="V15" i="25" a="1"/>
  <c r="V16" i="25" a="1"/>
  <c r="V17" i="25" a="1"/>
  <c r="V18" i="25" a="1"/>
  <c r="V19" i="25" a="1"/>
  <c r="V20" i="25" a="1"/>
  <c r="V21" i="25" a="1"/>
  <c r="V22" i="25" a="1"/>
  <c r="V23" i="25" a="1"/>
  <c r="V24" i="25" a="1"/>
  <c r="V25" i="25" a="1"/>
  <c r="V26" i="25" a="1"/>
  <c r="V27" i="25" a="1"/>
  <c r="V28" i="25" a="1"/>
  <c r="V29" i="25" a="1"/>
  <c r="V30" i="25" a="1"/>
  <c r="V9" i="25"/>
  <c r="V10" i="25"/>
  <c r="V11" i="25"/>
  <c r="V12" i="25"/>
  <c r="V13" i="25"/>
  <c r="V14" i="25"/>
  <c r="V15" i="25"/>
  <c r="V16" i="25"/>
  <c r="V17" i="25"/>
  <c r="V18" i="25"/>
  <c r="V19" i="25"/>
  <c r="V20" i="25"/>
  <c r="V21" i="25"/>
  <c r="V22" i="25"/>
  <c r="V23" i="25"/>
  <c r="V24" i="25"/>
  <c r="V25" i="25"/>
  <c r="V26" i="25"/>
  <c r="V27" i="25"/>
  <c r="V28" i="25"/>
  <c r="V29" i="25"/>
  <c r="V30" i="25"/>
  <c r="W30" i="25"/>
  <c r="AB30" i="25"/>
  <c r="X30" i="25"/>
  <c r="AD30" i="25"/>
  <c r="V31" i="25" a="1"/>
  <c r="V31" i="25"/>
  <c r="W31" i="25"/>
  <c r="AB31" i="25"/>
  <c r="X31" i="25"/>
  <c r="AD31" i="25"/>
  <c r="V32" i="25" a="1"/>
  <c r="V32" i="25"/>
  <c r="W32" i="25"/>
  <c r="AB32" i="25"/>
  <c r="X32" i="25"/>
  <c r="AD32" i="25"/>
  <c r="V33" i="25" a="1"/>
  <c r="V33" i="25"/>
  <c r="W33" i="25"/>
  <c r="AB33" i="25"/>
  <c r="X33" i="25"/>
  <c r="AD33" i="25"/>
  <c r="V34" i="25" a="1"/>
  <c r="V34" i="25"/>
  <c r="W34" i="25"/>
  <c r="AB34" i="25"/>
  <c r="X34" i="25"/>
  <c r="AD34" i="25"/>
  <c r="V35" i="25" a="1"/>
  <c r="V35" i="25"/>
  <c r="W35" i="25"/>
  <c r="AB35" i="25"/>
  <c r="X35" i="25"/>
  <c r="AD35" i="25"/>
  <c r="V36" i="25" a="1"/>
  <c r="V36" i="25"/>
  <c r="W36" i="25"/>
  <c r="AB36" i="25"/>
  <c r="X36" i="25"/>
  <c r="AD36" i="25"/>
  <c r="V37" i="25" a="1"/>
  <c r="V37" i="25"/>
  <c r="W37" i="25"/>
  <c r="AB37" i="25"/>
  <c r="X37" i="25"/>
  <c r="AD37" i="25"/>
  <c r="V38" i="25" a="1"/>
  <c r="V38" i="25"/>
  <c r="W38" i="25"/>
  <c r="AB38" i="25"/>
  <c r="X38" i="25"/>
  <c r="AD38" i="25"/>
  <c r="V39" i="25" a="1"/>
  <c r="V39" i="25"/>
  <c r="W39" i="25"/>
  <c r="AB39" i="25"/>
  <c r="X39" i="25"/>
  <c r="AD39" i="25"/>
  <c r="V40" i="25" a="1"/>
  <c r="V40" i="25"/>
  <c r="W40" i="25"/>
  <c r="AB40" i="25"/>
  <c r="X40" i="25"/>
  <c r="AD40" i="25"/>
  <c r="V41" i="25" a="1"/>
  <c r="V41" i="25"/>
  <c r="W41" i="25"/>
  <c r="AB41" i="25"/>
  <c r="X41" i="25"/>
  <c r="AD41" i="25"/>
  <c r="V42" i="25" a="1"/>
  <c r="V42" i="25"/>
  <c r="W42" i="25"/>
  <c r="AB42" i="25"/>
  <c r="X42" i="25"/>
  <c r="AD42" i="25"/>
  <c r="V43" i="25" a="1"/>
  <c r="V43" i="25"/>
  <c r="W43" i="25"/>
  <c r="AB43" i="25"/>
  <c r="X43" i="25"/>
  <c r="AD43" i="25"/>
  <c r="V44" i="25" a="1"/>
  <c r="V44" i="25"/>
  <c r="W44" i="25"/>
  <c r="AB44" i="25"/>
  <c r="X44" i="25"/>
  <c r="AD44" i="25"/>
  <c r="V45" i="25" a="1"/>
  <c r="V45" i="25"/>
  <c r="W45" i="25"/>
  <c r="AB45" i="25"/>
  <c r="X45" i="25"/>
  <c r="AD45" i="25"/>
  <c r="V46" i="25" a="1"/>
  <c r="V46" i="25"/>
  <c r="W46" i="25"/>
  <c r="AB46" i="25"/>
  <c r="X46" i="25"/>
  <c r="AD46" i="25"/>
  <c r="V47" i="25" a="1"/>
  <c r="V47" i="25"/>
  <c r="W47" i="25"/>
  <c r="AB47" i="25"/>
  <c r="X47" i="25"/>
  <c r="AD47" i="25"/>
  <c r="V48" i="25" a="1"/>
  <c r="V48" i="25"/>
  <c r="W48" i="25"/>
  <c r="AB48" i="25"/>
  <c r="X48" i="25"/>
  <c r="AD48" i="25"/>
  <c r="V49" i="25" a="1"/>
  <c r="V49" i="25"/>
  <c r="W49" i="25"/>
  <c r="AB49" i="25"/>
  <c r="X49" i="25"/>
  <c r="AD49" i="25"/>
  <c r="V50" i="25" a="1"/>
  <c r="V50" i="25"/>
  <c r="W50" i="25"/>
  <c r="AB50" i="25"/>
  <c r="X50" i="25"/>
  <c r="AD50" i="25"/>
  <c r="V51" i="25" a="1"/>
  <c r="V51" i="25"/>
  <c r="W51" i="25"/>
  <c r="AB51" i="25"/>
  <c r="X51" i="25"/>
  <c r="AD51" i="25"/>
  <c r="V52" i="25" a="1"/>
  <c r="V52" i="25"/>
  <c r="W52" i="25"/>
  <c r="AB52" i="25"/>
  <c r="X52" i="25"/>
  <c r="AD52" i="25"/>
  <c r="V53" i="25" a="1"/>
  <c r="V53" i="25"/>
  <c r="W53" i="25"/>
  <c r="AB53" i="25"/>
  <c r="X53" i="25"/>
  <c r="AD53" i="25"/>
  <c r="V54" i="25" a="1"/>
  <c r="V54" i="25"/>
  <c r="W54" i="25"/>
  <c r="AB54" i="25"/>
  <c r="X54" i="25"/>
  <c r="AD54" i="25"/>
  <c r="V55" i="25" a="1"/>
  <c r="V55" i="25"/>
  <c r="W55" i="25"/>
  <c r="AB55" i="25"/>
  <c r="X55" i="25"/>
  <c r="AD55" i="25"/>
  <c r="V56" i="25" a="1"/>
  <c r="V56" i="25"/>
  <c r="W56" i="25"/>
  <c r="AB56" i="25"/>
  <c r="X56" i="25"/>
  <c r="AD56" i="25"/>
  <c r="V57" i="25" a="1"/>
  <c r="V57" i="25"/>
  <c r="W57" i="25"/>
  <c r="AB57" i="25"/>
  <c r="X57" i="25"/>
  <c r="AD57" i="25"/>
  <c r="V58" i="25" a="1"/>
  <c r="V58" i="25"/>
  <c r="W58" i="25"/>
  <c r="AB58" i="25"/>
  <c r="X58" i="25"/>
  <c r="AD58" i="25"/>
  <c r="V59" i="25" a="1"/>
  <c r="V59" i="25"/>
  <c r="W59" i="25"/>
  <c r="AB59" i="25"/>
  <c r="X59" i="25"/>
  <c r="AD59" i="25"/>
  <c r="V60" i="25" a="1"/>
  <c r="V60" i="25"/>
  <c r="W60" i="25"/>
  <c r="AB60" i="25"/>
  <c r="X60" i="25"/>
  <c r="AD60" i="25"/>
  <c r="V61" i="25" a="1"/>
  <c r="V61" i="25"/>
  <c r="W61" i="25"/>
  <c r="AB61" i="25"/>
  <c r="X61" i="25"/>
  <c r="AD61" i="25"/>
  <c r="V62" i="25" a="1"/>
  <c r="V62" i="25"/>
  <c r="W62" i="25"/>
  <c r="AB62" i="25"/>
  <c r="X62" i="25"/>
  <c r="AD62" i="25"/>
  <c r="V63" i="25" a="1"/>
  <c r="V63" i="25"/>
  <c r="W63" i="25"/>
  <c r="AB63" i="25"/>
  <c r="X63" i="25"/>
  <c r="AD63" i="25"/>
  <c r="V64" i="25" a="1"/>
  <c r="V64" i="25"/>
  <c r="W64" i="25"/>
  <c r="AB64" i="25"/>
  <c r="X64" i="25"/>
  <c r="AD64" i="25"/>
  <c r="V65" i="25" a="1"/>
  <c r="V65" i="25"/>
  <c r="W65" i="25"/>
  <c r="AB65" i="25"/>
  <c r="X65" i="25"/>
  <c r="AD65" i="25"/>
  <c r="V66" i="25" a="1"/>
  <c r="V66" i="25"/>
  <c r="W66" i="25"/>
  <c r="AB66" i="25"/>
  <c r="X66" i="25"/>
  <c r="AD66" i="25"/>
  <c r="V67" i="25" a="1"/>
  <c r="V67" i="25"/>
  <c r="W67" i="25"/>
  <c r="AB67" i="25"/>
  <c r="X67" i="25"/>
  <c r="AD67" i="25"/>
  <c r="V68" i="25" a="1"/>
  <c r="V68" i="25"/>
  <c r="W68" i="25"/>
  <c r="AB68" i="25"/>
  <c r="X68" i="25"/>
  <c r="AD68" i="25"/>
  <c r="V69" i="25" a="1"/>
  <c r="V69" i="25"/>
  <c r="W69" i="25"/>
  <c r="AB69" i="25"/>
  <c r="X69" i="25"/>
  <c r="AD69" i="25"/>
  <c r="V70" i="25" a="1"/>
  <c r="V70" i="25"/>
  <c r="W70" i="25"/>
  <c r="AB70" i="25"/>
  <c r="X70" i="25"/>
  <c r="AD70" i="25"/>
  <c r="V71" i="25" a="1"/>
  <c r="V71" i="25"/>
  <c r="W71" i="25"/>
  <c r="AB71" i="25"/>
  <c r="X71" i="25"/>
  <c r="AD71" i="25"/>
  <c r="V72" i="25" a="1"/>
  <c r="V72" i="25"/>
  <c r="W72" i="25"/>
  <c r="AB72" i="25"/>
  <c r="X72" i="25"/>
  <c r="AD72" i="25"/>
  <c r="V73" i="25" a="1"/>
  <c r="V73" i="25"/>
  <c r="W73" i="25"/>
  <c r="AB73" i="25"/>
  <c r="X73" i="25"/>
  <c r="AD73" i="25"/>
  <c r="V74" i="25" a="1"/>
  <c r="V74" i="25"/>
  <c r="W74" i="25"/>
  <c r="AB74" i="25"/>
  <c r="X74" i="25"/>
  <c r="AD74" i="25"/>
  <c r="V75" i="25" a="1"/>
  <c r="V75" i="25"/>
  <c r="W75" i="25"/>
  <c r="AB75" i="25"/>
  <c r="X75" i="25"/>
  <c r="AD75" i="25"/>
  <c r="V76" i="25" a="1"/>
  <c r="V76" i="25"/>
  <c r="W76" i="25"/>
  <c r="AB76" i="25"/>
  <c r="X76" i="25"/>
  <c r="AD76" i="25"/>
  <c r="V77" i="25" a="1"/>
  <c r="V77" i="25"/>
  <c r="W77" i="25"/>
  <c r="AB77" i="25"/>
  <c r="X77" i="25"/>
  <c r="AD77" i="25"/>
  <c r="V78" i="25" a="1"/>
  <c r="V78" i="25"/>
  <c r="W78" i="25"/>
  <c r="AB78" i="25"/>
  <c r="X78" i="25"/>
  <c r="AD78" i="25"/>
  <c r="V79" i="25" a="1"/>
  <c r="V79" i="25"/>
  <c r="W79" i="25"/>
  <c r="AB79" i="25"/>
  <c r="X79" i="25"/>
  <c r="AD79" i="25"/>
  <c r="V80" i="25" a="1"/>
  <c r="V80" i="25"/>
  <c r="W80" i="25"/>
  <c r="AB80" i="25"/>
  <c r="X80" i="25"/>
  <c r="AD80" i="25"/>
  <c r="V81" i="25" a="1"/>
  <c r="V81" i="25"/>
  <c r="W81" i="25"/>
  <c r="AB81" i="25"/>
  <c r="X81" i="25"/>
  <c r="AD81" i="25"/>
  <c r="V82" i="25" a="1"/>
  <c r="V82" i="25"/>
  <c r="W82" i="25"/>
  <c r="AB82" i="25"/>
  <c r="X82" i="25"/>
  <c r="AD82" i="25"/>
  <c r="V83" i="25" a="1"/>
  <c r="V83" i="25"/>
  <c r="W83" i="25"/>
  <c r="AB83" i="25"/>
  <c r="X83" i="25"/>
  <c r="AD83" i="25"/>
  <c r="V84" i="25" a="1"/>
  <c r="V84" i="25"/>
  <c r="W84" i="25"/>
  <c r="AB84" i="25"/>
  <c r="X84" i="25"/>
  <c r="AD84" i="25"/>
  <c r="V85" i="25" a="1"/>
  <c r="V85" i="25"/>
  <c r="W85" i="25"/>
  <c r="AB85" i="25"/>
  <c r="X85" i="25"/>
  <c r="AD85" i="25"/>
  <c r="V86" i="25" a="1"/>
  <c r="V86" i="25"/>
  <c r="W86" i="25"/>
  <c r="AB86" i="25"/>
  <c r="X86" i="25"/>
  <c r="AD86" i="25"/>
  <c r="V87" i="25" a="1"/>
  <c r="V87" i="25"/>
  <c r="W87" i="25"/>
  <c r="AB87" i="25"/>
  <c r="X87" i="25"/>
  <c r="AD87" i="25"/>
  <c r="V88" i="25" a="1"/>
  <c r="V88" i="25"/>
  <c r="W88" i="25"/>
  <c r="AB88" i="25"/>
  <c r="X88" i="25"/>
  <c r="AD88" i="25"/>
  <c r="V89" i="25" a="1"/>
  <c r="V89" i="25"/>
  <c r="W89" i="25"/>
  <c r="AB89" i="25"/>
  <c r="X89" i="25"/>
  <c r="AD89" i="25"/>
  <c r="V90" i="25" a="1"/>
  <c r="V90" i="25"/>
  <c r="W90" i="25"/>
  <c r="AB90" i="25"/>
  <c r="X90" i="25"/>
  <c r="AD90" i="25"/>
  <c r="V91" i="25" a="1"/>
  <c r="V91" i="25"/>
  <c r="W91" i="25"/>
  <c r="AB91" i="25"/>
  <c r="X91" i="25"/>
  <c r="AD91" i="25"/>
  <c r="V92" i="25" a="1"/>
  <c r="V92" i="25"/>
  <c r="W92" i="25"/>
  <c r="AB92" i="25"/>
  <c r="X92" i="25"/>
  <c r="AD92" i="25"/>
  <c r="V93" i="25" a="1"/>
  <c r="V93" i="25"/>
  <c r="W93" i="25"/>
  <c r="AB93" i="25"/>
  <c r="X93" i="25"/>
  <c r="AD93" i="25"/>
  <c r="V94" i="25" a="1"/>
  <c r="V94" i="25"/>
  <c r="W94" i="25"/>
  <c r="AB94" i="25"/>
  <c r="X94" i="25"/>
  <c r="AD94" i="25"/>
  <c r="V95" i="25" a="1"/>
  <c r="V95" i="25"/>
  <c r="W95" i="25"/>
  <c r="AB95" i="25"/>
  <c r="X95" i="25"/>
  <c r="AD95" i="25"/>
  <c r="V96" i="25" a="1"/>
  <c r="V96" i="25"/>
  <c r="W96" i="25"/>
  <c r="AB96" i="25"/>
  <c r="X96" i="25"/>
  <c r="AD96" i="25"/>
  <c r="V97" i="25" a="1"/>
  <c r="V97" i="25"/>
  <c r="W97" i="25"/>
  <c r="AB97" i="25"/>
  <c r="X97" i="25"/>
  <c r="AD97" i="25"/>
  <c r="V98" i="25" a="1"/>
  <c r="V98" i="25"/>
  <c r="W98" i="25"/>
  <c r="AB98" i="25"/>
  <c r="X98" i="25"/>
  <c r="AD98" i="25"/>
  <c r="V99" i="25" a="1"/>
  <c r="V99" i="25"/>
  <c r="W99" i="25"/>
  <c r="AB99" i="25"/>
  <c r="X99" i="25"/>
  <c r="AD99" i="25"/>
  <c r="V100" i="25" a="1"/>
  <c r="V100" i="25"/>
  <c r="W100" i="25"/>
  <c r="AB100" i="25"/>
  <c r="X100" i="25"/>
  <c r="AD100" i="25"/>
  <c r="V101" i="25" a="1"/>
  <c r="V101" i="25"/>
  <c r="W101" i="25"/>
  <c r="AB101" i="25"/>
  <c r="X101" i="25"/>
  <c r="AD101" i="25"/>
  <c r="V102" i="25" a="1"/>
  <c r="V102" i="25"/>
  <c r="W102" i="25"/>
  <c r="AB102" i="25"/>
  <c r="X102" i="25"/>
  <c r="AD102" i="25"/>
  <c r="V103" i="25" a="1"/>
  <c r="V103" i="25"/>
  <c r="W103" i="25"/>
  <c r="AB103" i="25"/>
  <c r="X103" i="25"/>
  <c r="AD103" i="25"/>
  <c r="V104" i="25" a="1"/>
  <c r="V104" i="25"/>
  <c r="W104" i="25"/>
  <c r="AB104" i="25"/>
  <c r="X104" i="25"/>
  <c r="AD104" i="25"/>
  <c r="V105" i="25" a="1"/>
  <c r="V105" i="25"/>
  <c r="W105" i="25"/>
  <c r="AB105" i="25"/>
  <c r="X105" i="25"/>
  <c r="AD105" i="25"/>
  <c r="V106" i="25" a="1"/>
  <c r="V106" i="25"/>
  <c r="W106" i="25"/>
  <c r="AB106" i="25"/>
  <c r="X106" i="25"/>
  <c r="AD106" i="25"/>
  <c r="V107" i="25" a="1"/>
  <c r="V107" i="25"/>
  <c r="W107" i="25"/>
  <c r="AB107" i="25"/>
  <c r="X107" i="25"/>
  <c r="AD107" i="25"/>
  <c r="V108" i="25" a="1"/>
  <c r="V108" i="25"/>
  <c r="W108" i="25"/>
  <c r="AB108" i="25"/>
  <c r="X108" i="25"/>
  <c r="AD108" i="25"/>
  <c r="V109" i="25" a="1"/>
  <c r="V109" i="25"/>
  <c r="W109" i="25"/>
  <c r="AB109" i="25"/>
  <c r="X109" i="25"/>
  <c r="AD109" i="25"/>
  <c r="V110" i="25" a="1"/>
  <c r="V110" i="25"/>
  <c r="W110" i="25"/>
  <c r="AB110" i="25"/>
  <c r="X110" i="25"/>
  <c r="AD110" i="25"/>
  <c r="V111" i="25" a="1"/>
  <c r="V111" i="25"/>
  <c r="W111" i="25"/>
  <c r="AB111" i="25"/>
  <c r="X111" i="25"/>
  <c r="AD111" i="25"/>
  <c r="V112" i="25" a="1"/>
  <c r="V112" i="25"/>
  <c r="W112" i="25"/>
  <c r="AB112" i="25"/>
  <c r="X112" i="25"/>
  <c r="AD112" i="25"/>
  <c r="V113" i="25" a="1"/>
  <c r="V113" i="25"/>
  <c r="W113" i="25"/>
  <c r="AB113" i="25"/>
  <c r="X113" i="25"/>
  <c r="AD113" i="25"/>
  <c r="V114" i="25" a="1"/>
  <c r="V114" i="25"/>
  <c r="W114" i="25"/>
  <c r="AB114" i="25"/>
  <c r="X114" i="25"/>
  <c r="AD114" i="25"/>
  <c r="V115" i="25" a="1"/>
  <c r="V115" i="25"/>
  <c r="W115" i="25"/>
  <c r="AB115" i="25"/>
  <c r="X115" i="25"/>
  <c r="AD115" i="25"/>
  <c r="V116" i="25" a="1"/>
  <c r="V116" i="25"/>
  <c r="W116" i="25"/>
  <c r="AB116" i="25"/>
  <c r="X116" i="25"/>
  <c r="AD116" i="25"/>
  <c r="V117" i="25" a="1"/>
  <c r="V117" i="25"/>
  <c r="W117" i="25"/>
  <c r="AB117" i="25"/>
  <c r="X117" i="25"/>
  <c r="AD117" i="25"/>
  <c r="V118" i="25" a="1"/>
  <c r="V118" i="25"/>
  <c r="W118" i="25"/>
  <c r="AB118" i="25"/>
  <c r="X118" i="25"/>
  <c r="AD118" i="25"/>
  <c r="V119" i="25" a="1"/>
  <c r="V119" i="25"/>
  <c r="W119" i="25"/>
  <c r="AB119" i="25"/>
  <c r="X119" i="25"/>
  <c r="AD119" i="25"/>
  <c r="V120" i="25" a="1"/>
  <c r="V120" i="25"/>
  <c r="W120" i="25"/>
  <c r="AB120" i="25"/>
  <c r="X120" i="25"/>
  <c r="AD120" i="25"/>
  <c r="V121" i="25" a="1"/>
  <c r="V121" i="25"/>
  <c r="W121" i="25"/>
  <c r="AB121" i="25"/>
  <c r="X121" i="25"/>
  <c r="AD121" i="25"/>
  <c r="V122" i="25" a="1"/>
  <c r="V122" i="25"/>
  <c r="W122" i="25"/>
  <c r="AB122" i="25"/>
  <c r="X122" i="25"/>
  <c r="AD122" i="25"/>
  <c r="V123" i="25" a="1"/>
  <c r="V123" i="25"/>
  <c r="W123" i="25"/>
  <c r="AB123" i="25"/>
  <c r="X123" i="25"/>
  <c r="AD123" i="25"/>
  <c r="V124" i="25" a="1"/>
  <c r="V124" i="25"/>
  <c r="W124" i="25"/>
  <c r="AB124" i="25"/>
  <c r="X124" i="25"/>
  <c r="AD124" i="25"/>
  <c r="V125" i="25" a="1"/>
  <c r="V125" i="25"/>
  <c r="W125" i="25"/>
  <c r="AB125" i="25"/>
  <c r="X125" i="25"/>
  <c r="AD125" i="25"/>
  <c r="V126" i="25" a="1"/>
  <c r="V126" i="25"/>
  <c r="W126" i="25"/>
  <c r="AB126" i="25"/>
  <c r="X126" i="25"/>
  <c r="AD126" i="25"/>
  <c r="V127" i="25" a="1"/>
  <c r="V127" i="25"/>
  <c r="W127" i="25"/>
  <c r="AB127" i="25"/>
  <c r="X127" i="25"/>
  <c r="AD127" i="25"/>
  <c r="V128" i="25" a="1"/>
  <c r="V128" i="25"/>
  <c r="W128" i="25"/>
  <c r="AB128" i="25"/>
  <c r="X128" i="25"/>
  <c r="AD128" i="25"/>
  <c r="V129" i="25" a="1"/>
  <c r="V129" i="25"/>
  <c r="W129" i="25"/>
  <c r="AB129" i="25"/>
  <c r="X129" i="25"/>
  <c r="AD129" i="25"/>
  <c r="V130" i="25" a="1"/>
  <c r="V130" i="25"/>
  <c r="W130" i="25"/>
  <c r="AB130" i="25"/>
  <c r="X130" i="25"/>
  <c r="AD130" i="25"/>
  <c r="V131" i="25" a="1"/>
  <c r="V131" i="25"/>
  <c r="W131" i="25"/>
  <c r="AB131" i="25"/>
  <c r="X131" i="25"/>
  <c r="AD131" i="25"/>
  <c r="V132" i="25" a="1"/>
  <c r="V132" i="25"/>
  <c r="W132" i="25"/>
  <c r="AB132" i="25"/>
  <c r="X132" i="25"/>
  <c r="AD132" i="25"/>
  <c r="V133" i="25" a="1"/>
  <c r="V133" i="25"/>
  <c r="W133" i="25"/>
  <c r="AB133" i="25"/>
  <c r="X133" i="25"/>
  <c r="AD133" i="25"/>
  <c r="V134" i="25" a="1"/>
  <c r="V134" i="25"/>
  <c r="W134" i="25"/>
  <c r="AB134" i="25"/>
  <c r="X134" i="25"/>
  <c r="AD134" i="25"/>
  <c r="V135" i="25" a="1"/>
  <c r="V135" i="25"/>
  <c r="W135" i="25"/>
  <c r="AB135" i="25"/>
  <c r="X135" i="25"/>
  <c r="AD135" i="25"/>
  <c r="V136" i="25" a="1"/>
  <c r="V136" i="25"/>
  <c r="W136" i="25"/>
  <c r="AB136" i="25"/>
  <c r="X136" i="25"/>
  <c r="AD136" i="25"/>
  <c r="V137" i="25" a="1"/>
  <c r="V137" i="25"/>
  <c r="W137" i="25"/>
  <c r="AB137" i="25"/>
  <c r="X137" i="25"/>
  <c r="AD137" i="25"/>
  <c r="V138" i="25" a="1"/>
  <c r="V138" i="25"/>
  <c r="W138" i="25"/>
  <c r="AB138" i="25"/>
  <c r="X138" i="25"/>
  <c r="AD138" i="25"/>
  <c r="V139" i="25" a="1"/>
  <c r="V139" i="25"/>
  <c r="W139" i="25"/>
  <c r="AB139" i="25"/>
  <c r="X139" i="25"/>
  <c r="AD139" i="25"/>
  <c r="V140" i="25" a="1"/>
  <c r="V140" i="25"/>
  <c r="W140" i="25"/>
  <c r="AB140" i="25"/>
  <c r="X140" i="25"/>
  <c r="AD140" i="25"/>
  <c r="V141" i="25" a="1"/>
  <c r="V141" i="25"/>
  <c r="W141" i="25"/>
  <c r="AB141" i="25"/>
  <c r="X141" i="25"/>
  <c r="AD141" i="25"/>
  <c r="V142" i="25" a="1"/>
  <c r="V142" i="25"/>
  <c r="W142" i="25"/>
  <c r="AB142" i="25"/>
  <c r="X142" i="25"/>
  <c r="AD142" i="25"/>
  <c r="V143" i="25" a="1"/>
  <c r="V143" i="25"/>
  <c r="W143" i="25"/>
  <c r="AB143" i="25"/>
  <c r="X143" i="25"/>
  <c r="AD143" i="25"/>
  <c r="V144" i="25" a="1"/>
  <c r="V144" i="25"/>
  <c r="W144" i="25"/>
  <c r="AB144" i="25"/>
  <c r="X144" i="25"/>
  <c r="AD144" i="25"/>
  <c r="V145" i="25" a="1"/>
  <c r="V145" i="25"/>
  <c r="W145" i="25"/>
  <c r="AB145" i="25"/>
  <c r="X145" i="25"/>
  <c r="AD145" i="25"/>
  <c r="V146" i="25" a="1"/>
  <c r="V146" i="25"/>
  <c r="W146" i="25"/>
  <c r="AB146" i="25"/>
  <c r="X146" i="25"/>
  <c r="AD146" i="25"/>
  <c r="V147" i="25" a="1"/>
  <c r="V147" i="25"/>
  <c r="W147" i="25"/>
  <c r="AB147" i="25"/>
  <c r="X147" i="25"/>
  <c r="AD147" i="25"/>
  <c r="V148" i="25" a="1"/>
  <c r="V148" i="25"/>
  <c r="W148" i="25"/>
  <c r="AB148" i="25"/>
  <c r="X148" i="25"/>
  <c r="AD148" i="25"/>
  <c r="V149" i="25" a="1"/>
  <c r="V149" i="25"/>
  <c r="W149" i="25"/>
  <c r="AB149" i="25"/>
  <c r="X149" i="25"/>
  <c r="AD149" i="25"/>
  <c r="V150" i="25" a="1"/>
  <c r="V150" i="25"/>
  <c r="W150" i="25"/>
  <c r="AB150" i="25"/>
  <c r="X150" i="25"/>
  <c r="AD150" i="25"/>
  <c r="V151" i="25" a="1"/>
  <c r="V151" i="25"/>
  <c r="W151" i="25"/>
  <c r="AB151" i="25"/>
  <c r="X151" i="25"/>
  <c r="AD151" i="25"/>
  <c r="V152" i="25" a="1"/>
  <c r="V152" i="25"/>
  <c r="W152" i="25"/>
  <c r="AB152" i="25"/>
  <c r="X152" i="25"/>
  <c r="AD152" i="25"/>
  <c r="V153" i="25" a="1"/>
  <c r="V153" i="25"/>
  <c r="W153" i="25"/>
  <c r="AB153" i="25"/>
  <c r="X153" i="25"/>
  <c r="AD153" i="25"/>
  <c r="V154" i="25" a="1"/>
  <c r="V154" i="25"/>
  <c r="W154" i="25"/>
  <c r="AB154" i="25"/>
  <c r="X154" i="25"/>
  <c r="AD154" i="25"/>
  <c r="V155" i="25" a="1"/>
  <c r="V155" i="25"/>
  <c r="W155" i="25"/>
  <c r="AB155" i="25"/>
  <c r="X155" i="25"/>
  <c r="AD155" i="25"/>
  <c r="V156" i="25" a="1"/>
  <c r="V156" i="25"/>
  <c r="W156" i="25"/>
  <c r="AB156" i="25"/>
  <c r="X156" i="25"/>
  <c r="AD156" i="25"/>
  <c r="V157" i="25" a="1"/>
  <c r="V157" i="25"/>
  <c r="W157" i="25"/>
  <c r="AB157" i="25"/>
  <c r="X157" i="25"/>
  <c r="AD157" i="25"/>
  <c r="V158" i="25" a="1"/>
  <c r="V158" i="25"/>
  <c r="W158" i="25"/>
  <c r="AB158" i="25"/>
  <c r="X158" i="25"/>
  <c r="AD158" i="25"/>
  <c r="V159" i="25" a="1"/>
  <c r="V159" i="25"/>
  <c r="W159" i="25"/>
  <c r="AB159" i="25"/>
  <c r="X159" i="25"/>
  <c r="AD159" i="25"/>
  <c r="V160" i="25" a="1"/>
  <c r="V160" i="25"/>
  <c r="W160" i="25"/>
  <c r="AB160" i="25"/>
  <c r="X160" i="25"/>
  <c r="AD160" i="25"/>
  <c r="V161" i="25" a="1"/>
  <c r="V161" i="25"/>
  <c r="W161" i="25"/>
  <c r="AB161" i="25"/>
  <c r="X161" i="25"/>
  <c r="AD161" i="25"/>
  <c r="V162" i="25" a="1"/>
  <c r="V162" i="25"/>
  <c r="W162" i="25"/>
  <c r="AB162" i="25"/>
  <c r="X162" i="25"/>
  <c r="AD162" i="25"/>
  <c r="V163" i="25" a="1"/>
  <c r="V163" i="25"/>
  <c r="W163" i="25"/>
  <c r="AB163" i="25"/>
  <c r="X163" i="25"/>
  <c r="AD163" i="25"/>
  <c r="V164" i="25" a="1"/>
  <c r="V164" i="25"/>
  <c r="W164" i="25"/>
  <c r="AB164" i="25"/>
  <c r="X164" i="25"/>
  <c r="AD164" i="25"/>
  <c r="V165" i="25" a="1"/>
  <c r="V165" i="25"/>
  <c r="W165" i="25"/>
  <c r="AB165" i="25"/>
  <c r="X165" i="25"/>
  <c r="AD165" i="25"/>
  <c r="V166" i="25" a="1"/>
  <c r="V166" i="25"/>
  <c r="W166" i="25"/>
  <c r="AB166" i="25"/>
  <c r="X166" i="25"/>
  <c r="AD166" i="25"/>
  <c r="V167" i="25" a="1"/>
  <c r="V167" i="25"/>
  <c r="W167" i="25"/>
  <c r="AB167" i="25"/>
  <c r="X167" i="25"/>
  <c r="AD167" i="25"/>
  <c r="V168" i="25" a="1"/>
  <c r="V168" i="25"/>
  <c r="W168" i="25"/>
  <c r="AB168" i="25"/>
  <c r="X168" i="25"/>
  <c r="AD168" i="25"/>
  <c r="V169" i="25" a="1"/>
  <c r="V169" i="25"/>
  <c r="W169" i="25"/>
  <c r="AB169" i="25"/>
  <c r="X169" i="25"/>
  <c r="AD169" i="25"/>
  <c r="V170" i="25" a="1"/>
  <c r="V170" i="25"/>
  <c r="W170" i="25"/>
  <c r="AB170" i="25"/>
  <c r="X170" i="25"/>
  <c r="AD170" i="25"/>
  <c r="V171" i="25" a="1"/>
  <c r="V171" i="25"/>
  <c r="W171" i="25"/>
  <c r="AB171" i="25"/>
  <c r="X171" i="25"/>
  <c r="AD171" i="25"/>
  <c r="V172" i="25" a="1"/>
  <c r="V172" i="25"/>
  <c r="W172" i="25"/>
  <c r="AB172" i="25"/>
  <c r="X172" i="25"/>
  <c r="AD172" i="25"/>
  <c r="V173" i="25" a="1"/>
  <c r="V173" i="25"/>
  <c r="W173" i="25"/>
  <c r="AB173" i="25"/>
  <c r="X173" i="25"/>
  <c r="AD173" i="25"/>
  <c r="V174" i="25" a="1"/>
  <c r="V174" i="25"/>
  <c r="W174" i="25"/>
  <c r="AB174" i="25"/>
  <c r="X174" i="25"/>
  <c r="AD174" i="25"/>
  <c r="V175" i="25" a="1"/>
  <c r="V175" i="25"/>
  <c r="W175" i="25"/>
  <c r="AB175" i="25"/>
  <c r="X175" i="25"/>
  <c r="AD175" i="25"/>
  <c r="V176" i="25" a="1"/>
  <c r="V176" i="25"/>
  <c r="W176" i="25"/>
  <c r="AB176" i="25"/>
  <c r="X176" i="25"/>
  <c r="AD176" i="25"/>
  <c r="V177" i="25" a="1"/>
  <c r="V177" i="25"/>
  <c r="W177" i="25"/>
  <c r="AB177" i="25"/>
  <c r="X177" i="25"/>
  <c r="AD177" i="25"/>
  <c r="V178" i="25" a="1"/>
  <c r="V178" i="25"/>
  <c r="W178" i="25"/>
  <c r="AB178" i="25"/>
  <c r="X178" i="25"/>
  <c r="AD178" i="25"/>
  <c r="V179" i="25" a="1"/>
  <c r="V179" i="25"/>
  <c r="W179" i="25"/>
  <c r="AB179" i="25"/>
  <c r="X179" i="25"/>
  <c r="AD179" i="25"/>
  <c r="V180" i="25" a="1"/>
  <c r="V180" i="25"/>
  <c r="W180" i="25"/>
  <c r="AB180" i="25"/>
  <c r="X180" i="25"/>
  <c r="AD180" i="25"/>
  <c r="V181" i="25" a="1"/>
  <c r="V181" i="25"/>
  <c r="W181" i="25"/>
  <c r="AB181" i="25"/>
  <c r="X181" i="25"/>
  <c r="AD181" i="25"/>
  <c r="V182" i="25" a="1"/>
  <c r="V182" i="25"/>
  <c r="W182" i="25"/>
  <c r="AB182" i="25"/>
  <c r="X182" i="25"/>
  <c r="AD182" i="25"/>
  <c r="V183" i="25" a="1"/>
  <c r="V183" i="25"/>
  <c r="W183" i="25"/>
  <c r="AB183" i="25"/>
  <c r="X183" i="25"/>
  <c r="AD183" i="25"/>
  <c r="V184" i="25" a="1"/>
  <c r="V184" i="25"/>
  <c r="W184" i="25"/>
  <c r="AB184" i="25"/>
  <c r="X184" i="25"/>
  <c r="AD184" i="25"/>
  <c r="V185" i="25" a="1"/>
  <c r="V185" i="25"/>
  <c r="W185" i="25"/>
  <c r="AB185" i="25"/>
  <c r="X185" i="25"/>
  <c r="AD185" i="25"/>
  <c r="V186" i="25" a="1"/>
  <c r="V186" i="25"/>
  <c r="W186" i="25"/>
  <c r="AB186" i="25"/>
  <c r="X186" i="25"/>
  <c r="AD186" i="25"/>
  <c r="V187" i="25" a="1"/>
  <c r="V187" i="25"/>
  <c r="W187" i="25"/>
  <c r="AB187" i="25"/>
  <c r="X187" i="25"/>
  <c r="AD187" i="25"/>
  <c r="V188" i="25" a="1"/>
  <c r="V188" i="25"/>
  <c r="W188" i="25"/>
  <c r="AB188" i="25"/>
  <c r="X188" i="25"/>
  <c r="AD188" i="25"/>
  <c r="V189" i="25" a="1"/>
  <c r="V189" i="25"/>
  <c r="W189" i="25"/>
  <c r="AB189" i="25"/>
  <c r="X189" i="25"/>
  <c r="AD189" i="25"/>
  <c r="V190" i="25" a="1"/>
  <c r="V190" i="25"/>
  <c r="W190" i="25"/>
  <c r="AB190" i="25"/>
  <c r="X190" i="25"/>
  <c r="AD190" i="25"/>
  <c r="V191" i="25" a="1"/>
  <c r="V191" i="25"/>
  <c r="W191" i="25"/>
  <c r="AB191" i="25"/>
  <c r="X191" i="25"/>
  <c r="AD191" i="25"/>
  <c r="V192" i="25" a="1"/>
  <c r="V192" i="25"/>
  <c r="W192" i="25"/>
  <c r="AB192" i="25"/>
  <c r="X192" i="25"/>
  <c r="AD192" i="25"/>
  <c r="V193" i="25" a="1"/>
  <c r="V193" i="25"/>
  <c r="W193" i="25"/>
  <c r="AB193" i="25"/>
  <c r="X193" i="25"/>
  <c r="AD193" i="25"/>
  <c r="V194" i="25" a="1"/>
  <c r="V194" i="25"/>
  <c r="W194" i="25"/>
  <c r="AB194" i="25"/>
  <c r="X194" i="25"/>
  <c r="AD194" i="25"/>
  <c r="V195" i="25" a="1"/>
  <c r="V195" i="25"/>
  <c r="W195" i="25"/>
  <c r="AB195" i="25"/>
  <c r="X195" i="25"/>
  <c r="AD195" i="25"/>
  <c r="V196" i="25" a="1"/>
  <c r="V196" i="25"/>
  <c r="W196" i="25"/>
  <c r="AB196" i="25"/>
  <c r="X196" i="25"/>
  <c r="AD196" i="25"/>
  <c r="V197" i="25" a="1"/>
  <c r="V197" i="25"/>
  <c r="W197" i="25"/>
  <c r="AB197" i="25"/>
  <c r="X197" i="25"/>
  <c r="AD197" i="25"/>
  <c r="V198" i="25" a="1"/>
  <c r="V198" i="25"/>
  <c r="W198" i="25"/>
  <c r="AB198" i="25"/>
  <c r="X198" i="25"/>
  <c r="AD198" i="25"/>
  <c r="V199" i="25" a="1"/>
  <c r="V199" i="25"/>
  <c r="W199" i="25"/>
  <c r="AB199" i="25"/>
  <c r="X199" i="25"/>
  <c r="AD199" i="25"/>
  <c r="V200" i="25" a="1"/>
  <c r="V200" i="25"/>
  <c r="W200" i="25"/>
  <c r="AB200" i="25"/>
  <c r="X200" i="25"/>
  <c r="AD200" i="25"/>
  <c r="V201" i="25" a="1"/>
  <c r="V201" i="25"/>
  <c r="W201" i="25"/>
  <c r="AB201" i="25"/>
  <c r="X201" i="25"/>
  <c r="AD201" i="25"/>
  <c r="V202" i="25" a="1"/>
  <c r="V202" i="25"/>
  <c r="W202" i="25"/>
  <c r="AB202" i="25"/>
  <c r="X202" i="25"/>
  <c r="AD202" i="25"/>
  <c r="V203" i="25" a="1"/>
  <c r="V203" i="25"/>
  <c r="W203" i="25"/>
  <c r="AB203" i="25"/>
  <c r="X203" i="25"/>
  <c r="AD203" i="25"/>
  <c r="V204" i="25" a="1"/>
  <c r="V204" i="25"/>
  <c r="W204" i="25"/>
  <c r="AB204" i="25"/>
  <c r="X204" i="25"/>
  <c r="AD204" i="25"/>
  <c r="V205" i="25" a="1"/>
  <c r="V205" i="25"/>
  <c r="W205" i="25"/>
  <c r="AB205" i="25"/>
  <c r="X205" i="25"/>
  <c r="AD205" i="25"/>
  <c r="V206" i="25" a="1"/>
  <c r="V206" i="25"/>
  <c r="W206" i="25"/>
  <c r="AB206" i="25"/>
  <c r="X206" i="25"/>
  <c r="AD206" i="25"/>
  <c r="V207" i="25" a="1"/>
  <c r="V207" i="25"/>
  <c r="W207" i="25"/>
  <c r="AB207" i="25"/>
  <c r="X207" i="25"/>
  <c r="AD207" i="25"/>
  <c r="V208" i="25" a="1"/>
  <c r="V208" i="25"/>
  <c r="W208" i="25"/>
  <c r="AB208" i="25"/>
  <c r="X208" i="25"/>
  <c r="AD208" i="25"/>
  <c r="V209" i="25" a="1"/>
  <c r="V209" i="25"/>
  <c r="W209" i="25"/>
  <c r="AB209" i="25"/>
  <c r="X209" i="25"/>
  <c r="AD209" i="25"/>
  <c r="V210" i="25" a="1"/>
  <c r="V210" i="25"/>
  <c r="W210" i="25"/>
  <c r="AB210" i="25"/>
  <c r="X210" i="25"/>
  <c r="AD210" i="25"/>
  <c r="V211" i="25" a="1"/>
  <c r="V211" i="25"/>
  <c r="W211" i="25"/>
  <c r="AB211" i="25"/>
  <c r="X211" i="25"/>
  <c r="AD211" i="25"/>
  <c r="V212" i="25" a="1"/>
  <c r="V212" i="25"/>
  <c r="W212" i="25"/>
  <c r="AB212" i="25"/>
  <c r="X212" i="25"/>
  <c r="AD212" i="25"/>
  <c r="V213" i="25" a="1"/>
  <c r="V213" i="25"/>
  <c r="W213" i="25"/>
  <c r="AB213" i="25"/>
  <c r="X213" i="25"/>
  <c r="AD213" i="25"/>
  <c r="V214" i="25" a="1"/>
  <c r="V214" i="25"/>
  <c r="W214" i="25"/>
  <c r="AB214" i="25"/>
  <c r="X214" i="25"/>
  <c r="AD214" i="25"/>
  <c r="V215" i="25" a="1"/>
  <c r="V215" i="25"/>
  <c r="W215" i="25"/>
  <c r="AB215" i="25"/>
  <c r="X215" i="25"/>
  <c r="AD215" i="25"/>
  <c r="V216" i="25" a="1"/>
  <c r="V216" i="25"/>
  <c r="W216" i="25"/>
  <c r="AB216" i="25"/>
  <c r="X216" i="25"/>
  <c r="AD216" i="25"/>
  <c r="V217" i="25" a="1"/>
  <c r="V217" i="25"/>
  <c r="W217" i="25"/>
  <c r="AB217" i="25"/>
  <c r="X217" i="25"/>
  <c r="AD217" i="25"/>
  <c r="V218" i="25" a="1"/>
  <c r="V218" i="25"/>
  <c r="W218" i="25"/>
  <c r="AB218" i="25"/>
  <c r="X218" i="25"/>
  <c r="AD218" i="25"/>
  <c r="V219" i="25" a="1"/>
  <c r="V219" i="25"/>
  <c r="W219" i="25"/>
  <c r="AB219" i="25"/>
  <c r="X219" i="25"/>
  <c r="AD219" i="25"/>
  <c r="V220" i="25" a="1"/>
  <c r="V220" i="25"/>
  <c r="W220" i="25"/>
  <c r="AB220" i="25"/>
  <c r="X220" i="25"/>
  <c r="AD220" i="25"/>
  <c r="V221" i="25" a="1"/>
  <c r="V221" i="25"/>
  <c r="W221" i="25"/>
  <c r="AB221" i="25"/>
  <c r="X221" i="25"/>
  <c r="AD221" i="25"/>
  <c r="V222" i="25" a="1"/>
  <c r="V222" i="25"/>
  <c r="W222" i="25"/>
  <c r="AB222" i="25"/>
  <c r="X222" i="25"/>
  <c r="AD222" i="25"/>
  <c r="V223" i="25" a="1"/>
  <c r="V223" i="25"/>
  <c r="W223" i="25"/>
  <c r="AB223" i="25"/>
  <c r="X223" i="25"/>
  <c r="AD223" i="25"/>
  <c r="V224" i="25" a="1"/>
  <c r="V224" i="25"/>
  <c r="W224" i="25"/>
  <c r="AB224" i="25"/>
  <c r="X224" i="25"/>
  <c r="AD224" i="25"/>
  <c r="V225" i="25" a="1"/>
  <c r="V225" i="25"/>
  <c r="W225" i="25"/>
  <c r="AB225" i="25"/>
  <c r="X225" i="25"/>
  <c r="AD225" i="25"/>
  <c r="V226" i="25" a="1"/>
  <c r="V226" i="25"/>
  <c r="W226" i="25"/>
  <c r="AB226" i="25"/>
  <c r="X226" i="25"/>
  <c r="AD226" i="25"/>
  <c r="V227" i="25" a="1"/>
  <c r="V227" i="25"/>
  <c r="W227" i="25"/>
  <c r="AB227" i="25"/>
  <c r="X227" i="25"/>
  <c r="AD227" i="25"/>
  <c r="V228" i="25" a="1"/>
  <c r="V228" i="25"/>
  <c r="W228" i="25"/>
  <c r="AB228" i="25"/>
  <c r="X228" i="25"/>
  <c r="AD228" i="25"/>
  <c r="V229" i="25" a="1"/>
  <c r="V229" i="25"/>
  <c r="W229" i="25"/>
  <c r="AB229" i="25"/>
  <c r="X229" i="25"/>
  <c r="AD229" i="25"/>
  <c r="V230" i="25" a="1"/>
  <c r="V230" i="25"/>
  <c r="W230" i="25"/>
  <c r="AB230" i="25"/>
  <c r="X230" i="25"/>
  <c r="AD230" i="25"/>
  <c r="V231" i="25" a="1"/>
  <c r="V231" i="25"/>
  <c r="W231" i="25"/>
  <c r="AB231" i="25"/>
  <c r="X231" i="25"/>
  <c r="AD231" i="25"/>
  <c r="V232" i="25" a="1"/>
  <c r="V232" i="25"/>
  <c r="W232" i="25"/>
  <c r="AB232" i="25"/>
  <c r="X232" i="25"/>
  <c r="AD232" i="25"/>
  <c r="V233" i="25" a="1"/>
  <c r="V233" i="25"/>
  <c r="W233" i="25"/>
  <c r="AB233" i="25"/>
  <c r="X233" i="25"/>
  <c r="AD233" i="25"/>
  <c r="V234" i="25" a="1"/>
  <c r="V234" i="25"/>
  <c r="W234" i="25"/>
  <c r="AB234" i="25"/>
  <c r="X234" i="25"/>
  <c r="AD234" i="25"/>
  <c r="V235" i="25" a="1"/>
  <c r="V235" i="25"/>
  <c r="W235" i="25"/>
  <c r="AB235" i="25"/>
  <c r="X235" i="25"/>
  <c r="AD235" i="25"/>
  <c r="V236" i="25" a="1"/>
  <c r="V236" i="25"/>
  <c r="W236" i="25"/>
  <c r="AB236" i="25"/>
  <c r="X236" i="25"/>
  <c r="AD236" i="25"/>
  <c r="V237" i="25" a="1"/>
  <c r="V237" i="25"/>
  <c r="W237" i="25"/>
  <c r="AB237" i="25"/>
  <c r="X237" i="25"/>
  <c r="AD237" i="25"/>
  <c r="V238" i="25" a="1"/>
  <c r="V238" i="25"/>
  <c r="W238" i="25"/>
  <c r="AB238" i="25"/>
  <c r="X238" i="25"/>
  <c r="AD238" i="25"/>
  <c r="V239" i="25" a="1"/>
  <c r="V239" i="25"/>
  <c r="W239" i="25"/>
  <c r="AB239" i="25"/>
  <c r="X239" i="25"/>
  <c r="AD239" i="25"/>
  <c r="V240" i="25" a="1"/>
  <c r="V240" i="25"/>
  <c r="W240" i="25"/>
  <c r="AB240" i="25"/>
  <c r="X240" i="25"/>
  <c r="AD240" i="25"/>
  <c r="V241" i="25" a="1"/>
  <c r="V241" i="25"/>
  <c r="W241" i="25"/>
  <c r="AB241" i="25"/>
  <c r="X241" i="25"/>
  <c r="AD241" i="25"/>
  <c r="V242" i="25" a="1"/>
  <c r="V242" i="25"/>
  <c r="W242" i="25"/>
  <c r="AB242" i="25"/>
  <c r="X242" i="25"/>
  <c r="AD242" i="25"/>
  <c r="V243" i="25" a="1"/>
  <c r="V243" i="25"/>
  <c r="W243" i="25"/>
  <c r="AB243" i="25"/>
  <c r="X243" i="25"/>
  <c r="AD243" i="25"/>
  <c r="V244" i="25" a="1"/>
  <c r="V244" i="25"/>
  <c r="W244" i="25"/>
  <c r="AB244" i="25"/>
  <c r="X244" i="25"/>
  <c r="AD244" i="25"/>
  <c r="V245" i="25" a="1"/>
  <c r="V245" i="25"/>
  <c r="W245" i="25"/>
  <c r="AB245" i="25"/>
  <c r="X245" i="25"/>
  <c r="AD245" i="25"/>
  <c r="V246" i="25" a="1"/>
  <c r="V246" i="25"/>
  <c r="W246" i="25"/>
  <c r="AB246" i="25"/>
  <c r="X246" i="25"/>
  <c r="AD246" i="25"/>
  <c r="V247" i="25" a="1"/>
  <c r="V247" i="25"/>
  <c r="W247" i="25"/>
  <c r="AB247" i="25"/>
  <c r="X247" i="25"/>
  <c r="AD247" i="25"/>
  <c r="V248" i="25" a="1"/>
  <c r="V248" i="25"/>
  <c r="W248" i="25"/>
  <c r="AB248" i="25"/>
  <c r="X248" i="25"/>
  <c r="AD248" i="25"/>
  <c r="V249" i="25" a="1"/>
  <c r="V249" i="25"/>
  <c r="W249" i="25"/>
  <c r="AB249" i="25"/>
  <c r="X249" i="25"/>
  <c r="AD249" i="25"/>
  <c r="AA1" i="25"/>
  <c r="U250" i="25" a="1"/>
  <c r="U250" i="25"/>
  <c r="U249" i="25" a="1"/>
  <c r="U249" i="25"/>
  <c r="U7" i="25" a="1"/>
  <c r="U8" i="25" a="1"/>
  <c r="U9" i="25" a="1"/>
  <c r="U10" i="25" a="1"/>
  <c r="U11" i="25" a="1"/>
  <c r="U12" i="25" a="1"/>
  <c r="U13" i="25" a="1"/>
  <c r="U14" i="25" a="1"/>
  <c r="U15" i="25" a="1"/>
  <c r="U16" i="25" a="1"/>
  <c r="U17" i="25" a="1"/>
  <c r="U18" i="25" a="1"/>
  <c r="U19" i="25" a="1"/>
  <c r="U20" i="25" a="1"/>
  <c r="U21" i="25" a="1"/>
  <c r="U22" i="25" a="1"/>
  <c r="U23" i="25" a="1"/>
  <c r="U24" i="25" a="1"/>
  <c r="U25" i="25" a="1"/>
  <c r="U26" i="25" a="1"/>
  <c r="U27" i="25" a="1"/>
  <c r="U28" i="25" a="1"/>
  <c r="U29" i="25" a="1"/>
  <c r="U30" i="25" a="1"/>
  <c r="U31" i="25" a="1"/>
  <c r="U32" i="25" a="1"/>
  <c r="U33" i="25" a="1"/>
  <c r="U34" i="25" a="1"/>
  <c r="U35" i="25" a="1"/>
  <c r="U36" i="25" a="1"/>
  <c r="U37" i="25" a="1"/>
  <c r="U38" i="25" a="1"/>
  <c r="U39" i="25" a="1"/>
  <c r="U40" i="25" a="1"/>
  <c r="U41" i="25" a="1"/>
  <c r="U42" i="25" a="1"/>
  <c r="U43" i="25" a="1"/>
  <c r="U44" i="25" a="1"/>
  <c r="U45" i="25" a="1"/>
  <c r="U46" i="25" a="1"/>
  <c r="U47" i="25" a="1"/>
  <c r="U48" i="25" a="1"/>
  <c r="U49" i="25" a="1"/>
  <c r="U50" i="25" a="1"/>
  <c r="U51" i="25" a="1"/>
  <c r="U52" i="25" a="1"/>
  <c r="U53" i="25" a="1"/>
  <c r="U54" i="25" a="1"/>
  <c r="U55" i="25" a="1"/>
  <c r="U56" i="25" a="1"/>
  <c r="U57" i="25" a="1"/>
  <c r="U58" i="25" a="1"/>
  <c r="U59" i="25" a="1"/>
  <c r="U60" i="25" a="1"/>
  <c r="U61" i="25" a="1"/>
  <c r="U62" i="25" a="1"/>
  <c r="U63" i="25" a="1"/>
  <c r="U64" i="25" a="1"/>
  <c r="U65" i="25" a="1"/>
  <c r="U66" i="25" a="1"/>
  <c r="U67" i="25" a="1"/>
  <c r="U68" i="25" a="1"/>
  <c r="U69" i="25" a="1"/>
  <c r="U70" i="25" a="1"/>
  <c r="U71" i="25" a="1"/>
  <c r="U72" i="25" a="1"/>
  <c r="U73" i="25" a="1"/>
  <c r="U74" i="25" a="1"/>
  <c r="U75" i="25" a="1"/>
  <c r="U76" i="25" a="1"/>
  <c r="U77" i="25" a="1"/>
  <c r="U78" i="25" a="1"/>
  <c r="U79" i="25" a="1"/>
  <c r="U80" i="25" a="1"/>
  <c r="U81" i="25" a="1"/>
  <c r="U82" i="25" a="1"/>
  <c r="U83" i="25" a="1"/>
  <c r="U84" i="25" a="1"/>
  <c r="U85" i="25" a="1"/>
  <c r="U86" i="25" a="1"/>
  <c r="U87" i="25" a="1"/>
  <c r="U88" i="25" a="1"/>
  <c r="U89" i="25" a="1"/>
  <c r="U90" i="25" a="1"/>
  <c r="U91" i="25" a="1"/>
  <c r="U92" i="25" a="1"/>
  <c r="U93" i="25" a="1"/>
  <c r="U94" i="25" a="1"/>
  <c r="U95" i="25" a="1"/>
  <c r="U96" i="25" a="1"/>
  <c r="U97" i="25" a="1"/>
  <c r="U98" i="25" a="1"/>
  <c r="U99" i="25" a="1"/>
  <c r="U100" i="25" a="1"/>
  <c r="U101" i="25" a="1"/>
  <c r="U102" i="25" a="1"/>
  <c r="U103" i="25" a="1"/>
  <c r="U104" i="25" a="1"/>
  <c r="U105" i="25" a="1"/>
  <c r="U106" i="25" a="1"/>
  <c r="U107" i="25" a="1"/>
  <c r="U108" i="25" a="1"/>
  <c r="U109" i="25" a="1"/>
  <c r="U110" i="25" a="1"/>
  <c r="U111" i="25" a="1"/>
  <c r="U112" i="25" a="1"/>
  <c r="U113" i="25" a="1"/>
  <c r="U114" i="25" a="1"/>
  <c r="U115" i="25" a="1"/>
  <c r="U116" i="25" a="1"/>
  <c r="U117" i="25" a="1"/>
  <c r="U118" i="25" a="1"/>
  <c r="U119" i="25" a="1"/>
  <c r="U120" i="25" a="1"/>
  <c r="U121" i="25" a="1"/>
  <c r="U122" i="25" a="1"/>
  <c r="U123" i="25" a="1"/>
  <c r="U124" i="25" a="1"/>
  <c r="U125" i="25" a="1"/>
  <c r="U126" i="25" a="1"/>
  <c r="U127" i="25" a="1"/>
  <c r="U128" i="25" a="1"/>
  <c r="U129" i="25" a="1"/>
  <c r="U130" i="25" a="1"/>
  <c r="U131" i="25" a="1"/>
  <c r="U132" i="25" a="1"/>
  <c r="U133" i="25" a="1"/>
  <c r="U134" i="25" a="1"/>
  <c r="U135" i="25" a="1"/>
  <c r="U136" i="25" a="1"/>
  <c r="U137" i="25" a="1"/>
  <c r="U138" i="25" a="1"/>
  <c r="U139" i="25" a="1"/>
  <c r="U140" i="25" a="1"/>
  <c r="U141" i="25" a="1"/>
  <c r="U142" i="25" a="1"/>
  <c r="U143" i="25" a="1"/>
  <c r="U144" i="25" a="1"/>
  <c r="U145" i="25" a="1"/>
  <c r="U146" i="25" a="1"/>
  <c r="U147" i="25" a="1"/>
  <c r="U148" i="25" a="1"/>
  <c r="U149" i="25" a="1"/>
  <c r="U150" i="25" a="1"/>
  <c r="U151" i="25" a="1"/>
  <c r="U152" i="25" a="1"/>
  <c r="U153" i="25" a="1"/>
  <c r="U154" i="25" a="1"/>
  <c r="U155" i="25" a="1"/>
  <c r="U156" i="25" a="1"/>
  <c r="U157" i="25" a="1"/>
  <c r="U158" i="25" a="1"/>
  <c r="U159" i="25" a="1"/>
  <c r="U160" i="25" a="1"/>
  <c r="U161" i="25" a="1"/>
  <c r="U162" i="25" a="1"/>
  <c r="U163" i="25" a="1"/>
  <c r="U164" i="25" a="1"/>
  <c r="U165" i="25" a="1"/>
  <c r="U166" i="25" a="1"/>
  <c r="U167" i="25" a="1"/>
  <c r="U168" i="25" a="1"/>
  <c r="U169" i="25" a="1"/>
  <c r="U170" i="25" a="1"/>
  <c r="U171" i="25" a="1"/>
  <c r="U172" i="25" a="1"/>
  <c r="U173" i="25" a="1"/>
  <c r="U174" i="25" a="1"/>
  <c r="U175" i="25" a="1"/>
  <c r="U176" i="25" a="1"/>
  <c r="U177" i="25" a="1"/>
  <c r="U178" i="25" a="1"/>
  <c r="U179" i="25" a="1"/>
  <c r="U180" i="25" a="1"/>
  <c r="U181" i="25" a="1"/>
  <c r="U182" i="25" a="1"/>
  <c r="U183" i="25" a="1"/>
  <c r="U184" i="25" a="1"/>
  <c r="U185" i="25" a="1"/>
  <c r="U186" i="25" a="1"/>
  <c r="U187" i="25" a="1"/>
  <c r="U188" i="25" a="1"/>
  <c r="U189" i="25" a="1"/>
  <c r="U190" i="25" a="1"/>
  <c r="U191" i="25" a="1"/>
  <c r="U192" i="25" a="1"/>
  <c r="U193" i="25" a="1"/>
  <c r="U194" i="25" a="1"/>
  <c r="U195" i="25" a="1"/>
  <c r="U196" i="25" a="1"/>
  <c r="U197" i="25" a="1"/>
  <c r="U198" i="25" a="1"/>
  <c r="U199" i="25" a="1"/>
  <c r="U200" i="25" a="1"/>
  <c r="U201" i="25" a="1"/>
  <c r="U202" i="25" a="1"/>
  <c r="U203" i="25" a="1"/>
  <c r="U204" i="25" a="1"/>
  <c r="U205" i="25" a="1"/>
  <c r="U206" i="25" a="1"/>
  <c r="U207" i="25" a="1"/>
  <c r="U208" i="25" a="1"/>
  <c r="U209" i="25" a="1"/>
  <c r="U210" i="25" a="1"/>
  <c r="U211" i="25" a="1"/>
  <c r="U212" i="25" a="1"/>
  <c r="U213" i="25" a="1"/>
  <c r="U214" i="25" a="1"/>
  <c r="U215" i="25" a="1"/>
  <c r="U216" i="25" a="1"/>
  <c r="U217" i="25" a="1"/>
  <c r="U218" i="25" a="1"/>
  <c r="U219" i="25" a="1"/>
  <c r="U220" i="25" a="1"/>
  <c r="U221" i="25" a="1"/>
  <c r="U222" i="25" a="1"/>
  <c r="U223" i="25" a="1"/>
  <c r="U224" i="25" a="1"/>
  <c r="U225" i="25" a="1"/>
  <c r="U226" i="25" a="1"/>
  <c r="U227" i="25" a="1"/>
  <c r="U228" i="25" a="1"/>
  <c r="U229" i="25" a="1"/>
  <c r="U230" i="25" a="1"/>
  <c r="U231" i="25" a="1"/>
  <c r="U232" i="25" a="1"/>
  <c r="U233" i="25" a="1"/>
  <c r="U234" i="25" a="1"/>
  <c r="U235" i="25" a="1"/>
  <c r="U236" i="25" a="1"/>
  <c r="U237" i="25" a="1"/>
  <c r="U238" i="25" a="1"/>
  <c r="U239" i="25" a="1"/>
  <c r="U240" i="25" a="1"/>
  <c r="U241" i="25" a="1"/>
  <c r="U242" i="25" a="1"/>
  <c r="U243" i="25" a="1"/>
  <c r="U244" i="25" a="1"/>
  <c r="U245" i="25" a="1"/>
  <c r="U246" i="25" a="1"/>
  <c r="U247" i="25" a="1"/>
  <c r="U248" i="25" a="1"/>
  <c r="U7" i="25"/>
  <c r="U8" i="25"/>
  <c r="U9" i="25"/>
  <c r="U10" i="25"/>
  <c r="U11" i="25"/>
  <c r="U12" i="25"/>
  <c r="U13" i="25"/>
  <c r="U14" i="25"/>
  <c r="U15" i="25"/>
  <c r="U16" i="25"/>
  <c r="U17" i="25"/>
  <c r="U18" i="25"/>
  <c r="U19" i="25"/>
  <c r="U20" i="25"/>
  <c r="U21" i="25"/>
  <c r="U22" i="25"/>
  <c r="U23" i="25"/>
  <c r="U24" i="25"/>
  <c r="U25" i="25"/>
  <c r="U26" i="25"/>
  <c r="U27" i="25"/>
  <c r="U28" i="25"/>
  <c r="U29" i="25"/>
  <c r="U30" i="25"/>
  <c r="U31" i="25"/>
  <c r="U32" i="25"/>
  <c r="U33" i="25"/>
  <c r="U34" i="25"/>
  <c r="U35" i="25"/>
  <c r="U36" i="25"/>
  <c r="U37" i="25"/>
  <c r="U38" i="25"/>
  <c r="U39" i="25"/>
  <c r="U40" i="25"/>
  <c r="U41" i="25"/>
  <c r="U42" i="25"/>
  <c r="U43" i="25"/>
  <c r="U44" i="25"/>
  <c r="U45" i="25"/>
  <c r="U46" i="25"/>
  <c r="U47" i="25"/>
  <c r="U48" i="25"/>
  <c r="U49" i="25"/>
  <c r="U50" i="25"/>
  <c r="U51" i="25"/>
  <c r="U52" i="25"/>
  <c r="U53" i="25"/>
  <c r="U54" i="25"/>
  <c r="U55" i="25"/>
  <c r="U56" i="25"/>
  <c r="U57" i="25"/>
  <c r="U58" i="25"/>
  <c r="U59" i="25"/>
  <c r="U60" i="25"/>
  <c r="U61" i="25"/>
  <c r="U62" i="25"/>
  <c r="U63" i="25"/>
  <c r="U64" i="25"/>
  <c r="U65" i="25"/>
  <c r="U66" i="25"/>
  <c r="U67" i="25"/>
  <c r="U68" i="25"/>
  <c r="U69" i="25"/>
  <c r="U70" i="25"/>
  <c r="U71" i="25"/>
  <c r="U72" i="25"/>
  <c r="U73" i="25"/>
  <c r="U74" i="25"/>
  <c r="U75" i="25"/>
  <c r="U76" i="25"/>
  <c r="U77" i="25"/>
  <c r="U78" i="25"/>
  <c r="U79" i="25"/>
  <c r="U80" i="25"/>
  <c r="U81" i="25"/>
  <c r="U82" i="25"/>
  <c r="U83" i="25"/>
  <c r="U84" i="25"/>
  <c r="U85" i="25"/>
  <c r="U86" i="25"/>
  <c r="U87" i="25"/>
  <c r="U88" i="25"/>
  <c r="U89" i="25"/>
  <c r="U90" i="25"/>
  <c r="U91" i="25"/>
  <c r="U92" i="25"/>
  <c r="U93" i="25"/>
  <c r="U94" i="25"/>
  <c r="U95" i="25"/>
  <c r="U96" i="25"/>
  <c r="U97" i="25"/>
  <c r="U98" i="25"/>
  <c r="U99" i="25"/>
  <c r="U100" i="25"/>
  <c r="U101" i="25"/>
  <c r="U102" i="25"/>
  <c r="U103" i="25"/>
  <c r="U104" i="25"/>
  <c r="U105" i="25"/>
  <c r="U106" i="25"/>
  <c r="U107" i="25"/>
  <c r="U108" i="25"/>
  <c r="U109" i="25"/>
  <c r="U110" i="25"/>
  <c r="U111" i="25"/>
  <c r="U112" i="25"/>
  <c r="U113" i="25"/>
  <c r="U114" i="25"/>
  <c r="U115" i="25"/>
  <c r="U116" i="25"/>
  <c r="U117" i="25"/>
  <c r="U118" i="25"/>
  <c r="U119" i="25"/>
  <c r="U120" i="25"/>
  <c r="U121" i="25"/>
  <c r="U122" i="25"/>
  <c r="U123" i="25"/>
  <c r="U124" i="25"/>
  <c r="U125" i="25"/>
  <c r="U126" i="25"/>
  <c r="U127" i="25"/>
  <c r="U128" i="25"/>
  <c r="U129" i="25"/>
  <c r="U130" i="25"/>
  <c r="U131" i="25"/>
  <c r="U132" i="25"/>
  <c r="U133" i="25"/>
  <c r="U134" i="25"/>
  <c r="U135" i="25"/>
  <c r="U136" i="25"/>
  <c r="U137" i="25"/>
  <c r="U138" i="25"/>
  <c r="U139" i="25"/>
  <c r="U140" i="25"/>
  <c r="U141" i="25"/>
  <c r="U142" i="25"/>
  <c r="U143" i="25"/>
  <c r="U144" i="25"/>
  <c r="U145" i="25"/>
  <c r="U146" i="25"/>
  <c r="U147" i="25"/>
  <c r="U148" i="25"/>
  <c r="U149" i="25"/>
  <c r="U150" i="25"/>
  <c r="U151" i="25"/>
  <c r="U152" i="25"/>
  <c r="U153" i="25"/>
  <c r="U154" i="25"/>
  <c r="U155" i="25"/>
  <c r="U156" i="25"/>
  <c r="U157" i="25"/>
  <c r="U158" i="25"/>
  <c r="U159" i="25"/>
  <c r="U160" i="25"/>
  <c r="U161" i="25"/>
  <c r="U162" i="25"/>
  <c r="U163" i="25"/>
  <c r="U164" i="25"/>
  <c r="U165" i="25"/>
  <c r="U166" i="25"/>
  <c r="U167" i="25"/>
  <c r="U168" i="25"/>
  <c r="U169" i="25"/>
  <c r="U170" i="25"/>
  <c r="U171" i="25"/>
  <c r="U172" i="25"/>
  <c r="U173" i="25"/>
  <c r="U174" i="25"/>
  <c r="U175" i="25"/>
  <c r="U176" i="25"/>
  <c r="U177" i="25"/>
  <c r="U178" i="25"/>
  <c r="U179" i="25"/>
  <c r="U180" i="25"/>
  <c r="U181" i="25"/>
  <c r="U182" i="25"/>
  <c r="U183" i="25"/>
  <c r="U184" i="25"/>
  <c r="U185" i="25"/>
  <c r="U186" i="25"/>
  <c r="U187" i="25"/>
  <c r="U188" i="25"/>
  <c r="U189" i="25"/>
  <c r="U190" i="25"/>
  <c r="U191" i="25"/>
  <c r="U192" i="25"/>
  <c r="U193" i="25"/>
  <c r="U194" i="25"/>
  <c r="U195" i="25"/>
  <c r="U196" i="25"/>
  <c r="U197" i="25"/>
  <c r="U198" i="25"/>
  <c r="U199" i="25"/>
  <c r="U200" i="25"/>
  <c r="U201" i="25"/>
  <c r="U202" i="25"/>
  <c r="U203" i="25"/>
  <c r="U204" i="25"/>
  <c r="U205" i="25"/>
  <c r="U206" i="25"/>
  <c r="U207" i="25"/>
  <c r="U208" i="25"/>
  <c r="U209" i="25"/>
  <c r="U210" i="25"/>
  <c r="U211" i="25"/>
  <c r="U212" i="25"/>
  <c r="U213" i="25"/>
  <c r="U214" i="25"/>
  <c r="U215" i="25"/>
  <c r="U216" i="25"/>
  <c r="U217" i="25"/>
  <c r="U218" i="25"/>
  <c r="U219" i="25"/>
  <c r="U220" i="25"/>
  <c r="U221" i="25"/>
  <c r="U222" i="25"/>
  <c r="U223" i="25"/>
  <c r="U224" i="25"/>
  <c r="U225" i="25"/>
  <c r="U226" i="25"/>
  <c r="U227" i="25"/>
  <c r="U228" i="25"/>
  <c r="U229" i="25"/>
  <c r="U230" i="25"/>
  <c r="U231" i="25"/>
  <c r="U232" i="25"/>
  <c r="U233" i="25"/>
  <c r="U234" i="25"/>
  <c r="U235" i="25"/>
  <c r="U236" i="25"/>
  <c r="U237" i="25"/>
  <c r="U238" i="25"/>
  <c r="U239" i="25"/>
  <c r="U240" i="25"/>
  <c r="U241" i="25"/>
  <c r="U242" i="25"/>
  <c r="U243" i="25"/>
  <c r="U244" i="25"/>
  <c r="U245" i="25"/>
  <c r="U246" i="25"/>
  <c r="U247" i="25"/>
  <c r="U248" i="25"/>
  <c r="V250" i="25" a="1"/>
  <c r="V250" i="25"/>
  <c r="W250" i="25"/>
  <c r="AB250" i="25"/>
  <c r="X250" i="25"/>
  <c r="AD250" i="25"/>
  <c r="U251" i="25" a="1"/>
  <c r="U251" i="25"/>
  <c r="V251" i="25" a="1"/>
  <c r="V251" i="25"/>
  <c r="W251" i="25"/>
  <c r="AB251" i="25"/>
  <c r="X251" i="25"/>
  <c r="AD251" i="25"/>
  <c r="U252" i="25" a="1"/>
  <c r="U252" i="25"/>
  <c r="V252" i="25" a="1"/>
  <c r="V252" i="25"/>
  <c r="W252" i="25"/>
  <c r="AB252" i="25"/>
  <c r="X252" i="25"/>
  <c r="AD252" i="25"/>
  <c r="U253" i="25" a="1"/>
  <c r="U253" i="25"/>
  <c r="V253" i="25" a="1"/>
  <c r="V253" i="25"/>
  <c r="W253" i="25"/>
  <c r="AB253" i="25"/>
  <c r="X253" i="25"/>
  <c r="AD253" i="25"/>
  <c r="U254" i="25" a="1"/>
  <c r="U254" i="25"/>
  <c r="V254" i="25" a="1"/>
  <c r="V254" i="25"/>
  <c r="W254" i="25"/>
  <c r="AB254" i="25"/>
  <c r="X254" i="25"/>
  <c r="AD254" i="25"/>
  <c r="U255" i="25" a="1"/>
  <c r="U255" i="25"/>
  <c r="V255" i="25" a="1"/>
  <c r="V255" i="25"/>
  <c r="W255" i="25"/>
  <c r="AB255" i="25"/>
  <c r="X255" i="25"/>
  <c r="AD255" i="25"/>
  <c r="U256" i="25" a="1"/>
  <c r="U256" i="25"/>
  <c r="V256" i="25" a="1"/>
  <c r="V256" i="25"/>
  <c r="W256" i="25"/>
  <c r="AB256" i="25"/>
  <c r="X256" i="25"/>
  <c r="AD256" i="25"/>
  <c r="U257" i="25" a="1"/>
  <c r="U257" i="25"/>
  <c r="V257" i="25" a="1"/>
  <c r="V257" i="25"/>
  <c r="W257" i="25"/>
  <c r="AB257" i="25"/>
  <c r="X257" i="25"/>
  <c r="AD257" i="25"/>
  <c r="U258" i="25" a="1"/>
  <c r="U258" i="25"/>
  <c r="V258" i="25" a="1"/>
  <c r="V258" i="25"/>
  <c r="W258" i="25"/>
  <c r="AB258" i="25"/>
  <c r="X258" i="25"/>
  <c r="AD258" i="25"/>
  <c r="U259" i="25" a="1"/>
  <c r="U259" i="25"/>
  <c r="V259" i="25" a="1"/>
  <c r="V259" i="25"/>
  <c r="W259" i="25"/>
  <c r="AB259" i="25"/>
  <c r="X259" i="25"/>
  <c r="AD259" i="25"/>
  <c r="U260" i="25" a="1"/>
  <c r="U260" i="25"/>
  <c r="V260" i="25" a="1"/>
  <c r="V260" i="25"/>
  <c r="W260" i="25"/>
  <c r="AB260" i="25"/>
  <c r="X260" i="25"/>
  <c r="AD260" i="25"/>
  <c r="U261" i="25" a="1"/>
  <c r="U261" i="25"/>
  <c r="V261" i="25" a="1"/>
  <c r="V261" i="25"/>
  <c r="W261" i="25"/>
  <c r="AB261" i="25"/>
  <c r="X261" i="25"/>
  <c r="AD261" i="25"/>
  <c r="U262" i="25" a="1"/>
  <c r="U262" i="25"/>
  <c r="V262" i="25" a="1"/>
  <c r="V262" i="25"/>
  <c r="W262" i="25"/>
  <c r="AB262" i="25"/>
  <c r="X262" i="25"/>
  <c r="AD262" i="25"/>
  <c r="U263" i="25" a="1"/>
  <c r="U263" i="25"/>
  <c r="V263" i="25" a="1"/>
  <c r="V263" i="25"/>
  <c r="W263" i="25"/>
  <c r="AB263" i="25"/>
  <c r="X263" i="25"/>
  <c r="AD263" i="25"/>
  <c r="U264" i="25" a="1"/>
  <c r="U264" i="25"/>
  <c r="V264" i="25" a="1"/>
  <c r="V264" i="25"/>
  <c r="W264" i="25"/>
  <c r="AB264" i="25"/>
  <c r="X264" i="25"/>
  <c r="AD264" i="25"/>
  <c r="U265" i="25" a="1"/>
  <c r="U265" i="25"/>
  <c r="V265" i="25" a="1"/>
  <c r="V265" i="25"/>
  <c r="W265" i="25"/>
  <c r="AB265" i="25"/>
  <c r="X265" i="25"/>
  <c r="AD265" i="25"/>
  <c r="U266" i="25" a="1"/>
  <c r="U266" i="25"/>
  <c r="V266" i="25" a="1"/>
  <c r="V266" i="25"/>
  <c r="W266" i="25"/>
  <c r="AB266" i="25"/>
  <c r="X266" i="25"/>
  <c r="AD266" i="25"/>
  <c r="U267" i="25" a="1"/>
  <c r="U267" i="25"/>
  <c r="V267" i="25" a="1"/>
  <c r="V267" i="25"/>
  <c r="W267" i="25"/>
  <c r="AB267" i="25"/>
  <c r="X267" i="25"/>
  <c r="AD267" i="25"/>
  <c r="U268" i="25" a="1"/>
  <c r="U268" i="25"/>
  <c r="V268" i="25" a="1"/>
  <c r="V268" i="25"/>
  <c r="W268" i="25"/>
  <c r="AB268" i="25"/>
  <c r="X268" i="25"/>
  <c r="AD268" i="25"/>
  <c r="U269" i="25" a="1"/>
  <c r="U269" i="25"/>
  <c r="V269" i="25" a="1"/>
  <c r="V269" i="25"/>
  <c r="W269" i="25"/>
  <c r="AB269" i="25"/>
  <c r="X269" i="25"/>
  <c r="AD269" i="25"/>
  <c r="U270" i="25" a="1"/>
  <c r="U270" i="25"/>
  <c r="V270" i="25" a="1"/>
  <c r="V270" i="25"/>
  <c r="W270" i="25"/>
  <c r="AB270" i="25"/>
  <c r="X270" i="25"/>
  <c r="AD270" i="25"/>
  <c r="U271" i="25" a="1"/>
  <c r="U271" i="25"/>
  <c r="V271" i="25" a="1"/>
  <c r="V271" i="25"/>
  <c r="W271" i="25"/>
  <c r="AB271" i="25"/>
  <c r="X271" i="25"/>
  <c r="AD271" i="25"/>
  <c r="U272" i="25" a="1"/>
  <c r="U272" i="25"/>
  <c r="V272" i="25" a="1"/>
  <c r="V272" i="25"/>
  <c r="W272" i="25"/>
  <c r="AB272" i="25"/>
  <c r="X272" i="25"/>
  <c r="AD272" i="25"/>
  <c r="U273" i="25" a="1"/>
  <c r="U273" i="25"/>
  <c r="V273" i="25" a="1"/>
  <c r="V273" i="25"/>
  <c r="W273" i="25"/>
  <c r="AB273" i="25"/>
  <c r="X273" i="25"/>
  <c r="AD273" i="25"/>
  <c r="U274" i="25" a="1"/>
  <c r="U274" i="25"/>
  <c r="V274" i="25" a="1"/>
  <c r="V274" i="25"/>
  <c r="W274" i="25"/>
  <c r="AB274" i="25"/>
  <c r="X274" i="25"/>
  <c r="AD274" i="25"/>
  <c r="U275" i="25" a="1"/>
  <c r="U275" i="25"/>
  <c r="V275" i="25" a="1"/>
  <c r="V275" i="25"/>
  <c r="W275" i="25"/>
  <c r="AB275" i="25"/>
  <c r="X275" i="25"/>
  <c r="AD275" i="25"/>
  <c r="U276" i="25" a="1"/>
  <c r="U276" i="25"/>
  <c r="V276" i="25" a="1"/>
  <c r="V276" i="25"/>
  <c r="W276" i="25"/>
  <c r="AB276" i="25"/>
  <c r="X276" i="25"/>
  <c r="AD276" i="25"/>
  <c r="U277" i="25" a="1"/>
  <c r="U277" i="25"/>
  <c r="V277" i="25" a="1"/>
  <c r="V277" i="25"/>
  <c r="W277" i="25"/>
  <c r="AB277" i="25"/>
  <c r="X277" i="25"/>
  <c r="AD277" i="25"/>
  <c r="U278" i="25" a="1"/>
  <c r="U278" i="25"/>
  <c r="V278" i="25" a="1"/>
  <c r="V278" i="25"/>
  <c r="W278" i="25"/>
  <c r="AB278" i="25"/>
  <c r="X278" i="25"/>
  <c r="AD278" i="25"/>
  <c r="U279" i="25" a="1"/>
  <c r="U279" i="25"/>
  <c r="V279" i="25" a="1"/>
  <c r="V279" i="25"/>
  <c r="W279" i="25"/>
  <c r="AB279" i="25"/>
  <c r="X279" i="25"/>
  <c r="AD279" i="25"/>
  <c r="U280" i="25" a="1"/>
  <c r="U280" i="25"/>
  <c r="V280" i="25" a="1"/>
  <c r="V280" i="25"/>
  <c r="W280" i="25"/>
  <c r="AB280" i="25"/>
  <c r="X280" i="25"/>
  <c r="AD280" i="25"/>
  <c r="U281" i="25" a="1"/>
  <c r="U281" i="25"/>
  <c r="V281" i="25" a="1"/>
  <c r="V281" i="25"/>
  <c r="W281" i="25"/>
  <c r="AB281" i="25"/>
  <c r="X281" i="25"/>
  <c r="AD281" i="25"/>
  <c r="U282" i="25" a="1"/>
  <c r="U282" i="25"/>
  <c r="V282" i="25" a="1"/>
  <c r="V282" i="25"/>
  <c r="W282" i="25"/>
  <c r="AB282" i="25"/>
  <c r="X282" i="25"/>
  <c r="AD282" i="25"/>
  <c r="U283" i="25" a="1"/>
  <c r="U283" i="25"/>
  <c r="V283" i="25" a="1"/>
  <c r="V283" i="25"/>
  <c r="W283" i="25"/>
  <c r="AB283" i="25"/>
  <c r="X283" i="25"/>
  <c r="AD283" i="25"/>
  <c r="U284" i="25" a="1"/>
  <c r="U284" i="25"/>
  <c r="V284" i="25" a="1"/>
  <c r="V284" i="25"/>
  <c r="W284" i="25"/>
  <c r="AB284" i="25"/>
  <c r="X284" i="25"/>
  <c r="AD284" i="25"/>
  <c r="U285" i="25" a="1"/>
  <c r="U285" i="25"/>
  <c r="V285" i="25" a="1"/>
  <c r="V285" i="25"/>
  <c r="W285" i="25"/>
  <c r="AB285" i="25"/>
  <c r="X285" i="25"/>
  <c r="AD285" i="25"/>
  <c r="U286" i="25" a="1"/>
  <c r="U286" i="25"/>
  <c r="V286" i="25" a="1"/>
  <c r="V286" i="25"/>
  <c r="W286" i="25"/>
  <c r="AB286" i="25"/>
  <c r="X286" i="25"/>
  <c r="AD286" i="25"/>
  <c r="U287" i="25" a="1"/>
  <c r="U287" i="25"/>
  <c r="V287" i="25" a="1"/>
  <c r="V287" i="25"/>
  <c r="W287" i="25"/>
  <c r="AB287" i="25"/>
  <c r="X287" i="25"/>
  <c r="AD287" i="25"/>
  <c r="U288" i="25" a="1"/>
  <c r="U288" i="25"/>
  <c r="V288" i="25" a="1"/>
  <c r="V288" i="25"/>
  <c r="W288" i="25"/>
  <c r="AB288" i="25"/>
  <c r="X288" i="25"/>
  <c r="AD288" i="25"/>
  <c r="U289" i="25" a="1"/>
  <c r="U289" i="25"/>
  <c r="V289" i="25" a="1"/>
  <c r="V289" i="25"/>
  <c r="W289" i="25"/>
  <c r="AB289" i="25"/>
  <c r="X289" i="25"/>
  <c r="AD289" i="25"/>
  <c r="U290" i="25" a="1"/>
  <c r="U290" i="25"/>
  <c r="V290" i="25" a="1"/>
  <c r="V290" i="25"/>
  <c r="W290" i="25"/>
  <c r="AB290" i="25"/>
  <c r="X290" i="25"/>
  <c r="AD290" i="25"/>
  <c r="U291" i="25" a="1"/>
  <c r="U291" i="25"/>
  <c r="V291" i="25" a="1"/>
  <c r="V291" i="25"/>
  <c r="W291" i="25"/>
  <c r="AB291" i="25"/>
  <c r="X291" i="25"/>
  <c r="AD291" i="25"/>
  <c r="U292" i="25" a="1"/>
  <c r="U292" i="25"/>
  <c r="V292" i="25" a="1"/>
  <c r="V292" i="25"/>
  <c r="W292" i="25"/>
  <c r="AB292" i="25"/>
  <c r="X292" i="25"/>
  <c r="AD292" i="25"/>
  <c r="U293" i="25" a="1"/>
  <c r="U293" i="25"/>
  <c r="V293" i="25" a="1"/>
  <c r="V293" i="25"/>
  <c r="W293" i="25"/>
  <c r="AB293" i="25"/>
  <c r="X293" i="25"/>
  <c r="AD293" i="25"/>
  <c r="U294" i="25" a="1"/>
  <c r="U294" i="25"/>
  <c r="V294" i="25" a="1"/>
  <c r="V294" i="25"/>
  <c r="W294" i="25"/>
  <c r="AB294" i="25"/>
  <c r="X294" i="25"/>
  <c r="AD294" i="25"/>
  <c r="U295" i="25" a="1"/>
  <c r="U295" i="25"/>
  <c r="V295" i="25" a="1"/>
  <c r="V295" i="25"/>
  <c r="W295" i="25"/>
  <c r="AB295" i="25"/>
  <c r="X295" i="25"/>
  <c r="AD295" i="25"/>
  <c r="U296" i="25" a="1"/>
  <c r="U296" i="25"/>
  <c r="V296" i="25" a="1"/>
  <c r="V296" i="25"/>
  <c r="W296" i="25"/>
  <c r="AB296" i="25"/>
  <c r="X296" i="25"/>
  <c r="AD296" i="25"/>
  <c r="U297" i="25" a="1"/>
  <c r="U297" i="25"/>
  <c r="V297" i="25" a="1"/>
  <c r="V297" i="25"/>
  <c r="W297" i="25"/>
  <c r="AB297" i="25"/>
  <c r="X297" i="25"/>
  <c r="AD297" i="25"/>
  <c r="U298" i="25" a="1"/>
  <c r="U298" i="25"/>
  <c r="V298" i="25" a="1"/>
  <c r="V298" i="25"/>
  <c r="W298" i="25"/>
  <c r="AB298" i="25"/>
  <c r="X298" i="25"/>
  <c r="AD298" i="25"/>
  <c r="U299" i="25" a="1"/>
  <c r="U299" i="25"/>
  <c r="V299" i="25" a="1"/>
  <c r="V299" i="25"/>
  <c r="W299" i="25"/>
  <c r="AB299" i="25"/>
  <c r="X299" i="25"/>
  <c r="AD299" i="25"/>
  <c r="U300" i="25" a="1"/>
  <c r="U300" i="25"/>
  <c r="V300" i="25" a="1"/>
  <c r="V300" i="25"/>
  <c r="W300" i="25"/>
  <c r="AB300" i="25"/>
  <c r="X300" i="25"/>
  <c r="AD300" i="25"/>
  <c r="U301" i="25" a="1"/>
  <c r="U301" i="25"/>
  <c r="V301" i="25" a="1"/>
  <c r="V301" i="25"/>
  <c r="W301" i="25"/>
  <c r="AB301" i="25"/>
  <c r="X301" i="25"/>
  <c r="AD301" i="25"/>
  <c r="U302" i="25" a="1"/>
  <c r="U302" i="25"/>
  <c r="V302" i="25" a="1"/>
  <c r="V302" i="25"/>
  <c r="W302" i="25"/>
  <c r="AB302" i="25"/>
  <c r="X302" i="25"/>
  <c r="AD302" i="25"/>
  <c r="U303" i="25" a="1"/>
  <c r="U303" i="25"/>
  <c r="V303" i="25" a="1"/>
  <c r="V303" i="25"/>
  <c r="W303" i="25"/>
  <c r="AB303" i="25"/>
  <c r="X303" i="25"/>
  <c r="AD303" i="25"/>
  <c r="U304" i="25" a="1"/>
  <c r="U304" i="25"/>
  <c r="V304" i="25" a="1"/>
  <c r="V304" i="25"/>
  <c r="W304" i="25"/>
  <c r="AB304" i="25"/>
  <c r="X304" i="25"/>
  <c r="AD304" i="25"/>
  <c r="U305" i="25" a="1"/>
  <c r="U305" i="25"/>
  <c r="V305" i="25" a="1"/>
  <c r="V305" i="25"/>
  <c r="W305" i="25"/>
  <c r="AB305" i="25"/>
  <c r="X305" i="25"/>
  <c r="AD305" i="25"/>
  <c r="U306" i="25" a="1"/>
  <c r="U306" i="25"/>
  <c r="V306" i="25" a="1"/>
  <c r="V306" i="25"/>
  <c r="W306" i="25"/>
  <c r="AB306" i="25"/>
  <c r="X306" i="25"/>
  <c r="AD306" i="25"/>
  <c r="U307" i="25" a="1"/>
  <c r="U307" i="25"/>
  <c r="V307" i="25" a="1"/>
  <c r="V307" i="25"/>
  <c r="W307" i="25"/>
  <c r="AB307" i="25"/>
  <c r="X307" i="25"/>
  <c r="AD307" i="25"/>
  <c r="U308" i="25" a="1"/>
  <c r="U308" i="25"/>
  <c r="V308" i="25" a="1"/>
  <c r="V308" i="25"/>
  <c r="W308" i="25"/>
  <c r="AB308" i="25"/>
  <c r="X308" i="25"/>
  <c r="AD308" i="25"/>
  <c r="U309" i="25" a="1"/>
  <c r="U309" i="25"/>
  <c r="V309" i="25" a="1"/>
  <c r="V309" i="25"/>
  <c r="W309" i="25"/>
  <c r="AB309" i="25"/>
  <c r="X309" i="25"/>
  <c r="AD309" i="25"/>
  <c r="U310" i="25" a="1"/>
  <c r="U310" i="25"/>
  <c r="V310" i="25" a="1"/>
  <c r="V310" i="25"/>
  <c r="W310" i="25"/>
  <c r="AB310" i="25"/>
  <c r="X310" i="25"/>
  <c r="AD310" i="25"/>
  <c r="U311" i="25" a="1"/>
  <c r="U311" i="25"/>
  <c r="V311" i="25" a="1"/>
  <c r="V311" i="25"/>
  <c r="W311" i="25"/>
  <c r="AB311" i="25"/>
  <c r="X311" i="25"/>
  <c r="AD311" i="25"/>
  <c r="U312" i="25" a="1"/>
  <c r="U312" i="25"/>
  <c r="V312" i="25" a="1"/>
  <c r="V312" i="25"/>
  <c r="W312" i="25"/>
  <c r="AB312" i="25"/>
  <c r="X312" i="25"/>
  <c r="AD312" i="25"/>
  <c r="U313" i="25" a="1"/>
  <c r="U313" i="25"/>
  <c r="V313" i="25" a="1"/>
  <c r="V313" i="25"/>
  <c r="W313" i="25"/>
  <c r="AB313" i="25"/>
  <c r="X313" i="25"/>
  <c r="AD313" i="25"/>
  <c r="U314" i="25" a="1"/>
  <c r="U314" i="25"/>
  <c r="V314" i="25" a="1"/>
  <c r="V314" i="25"/>
  <c r="W314" i="25"/>
  <c r="AB314" i="25"/>
  <c r="X314" i="25"/>
  <c r="AD314" i="25"/>
  <c r="U315" i="25" a="1"/>
  <c r="U315" i="25"/>
  <c r="V315" i="25" a="1"/>
  <c r="V315" i="25"/>
  <c r="W315" i="25"/>
  <c r="AB315" i="25"/>
  <c r="X315" i="25"/>
  <c r="AD315" i="25"/>
  <c r="U316" i="25" a="1"/>
  <c r="U316" i="25"/>
  <c r="V316" i="25" a="1"/>
  <c r="V316" i="25"/>
  <c r="W316" i="25"/>
  <c r="AB316" i="25"/>
  <c r="X316" i="25"/>
  <c r="AD316" i="25"/>
  <c r="U317" i="25" a="1"/>
  <c r="U317" i="25"/>
  <c r="V317" i="25" a="1"/>
  <c r="V317" i="25"/>
  <c r="W317" i="25"/>
  <c r="AB317" i="25"/>
  <c r="X317" i="25"/>
  <c r="AD317" i="25"/>
  <c r="U318" i="25" a="1"/>
  <c r="U318" i="25"/>
  <c r="V318" i="25" a="1"/>
  <c r="V318" i="25"/>
  <c r="W318" i="25"/>
  <c r="AB318" i="25"/>
  <c r="X318" i="25"/>
  <c r="AD318" i="25"/>
  <c r="U319" i="25" a="1"/>
  <c r="U319" i="25"/>
  <c r="V319" i="25" a="1"/>
  <c r="V319" i="25"/>
  <c r="W319" i="25"/>
  <c r="AB319" i="25"/>
  <c r="X319" i="25"/>
  <c r="AD319" i="25"/>
  <c r="U320" i="25" a="1"/>
  <c r="U320" i="25"/>
  <c r="V320" i="25" a="1"/>
  <c r="V320" i="25"/>
  <c r="W320" i="25"/>
  <c r="AB320" i="25"/>
  <c r="X320" i="25"/>
  <c r="AD320" i="25"/>
  <c r="U321" i="25" a="1"/>
  <c r="U321" i="25"/>
  <c r="V321" i="25" a="1"/>
  <c r="V321" i="25"/>
  <c r="W321" i="25"/>
  <c r="AB321" i="25"/>
  <c r="X321" i="25"/>
  <c r="AD321" i="25"/>
  <c r="U322" i="25" a="1"/>
  <c r="U322" i="25"/>
  <c r="V322" i="25" a="1"/>
  <c r="V322" i="25"/>
  <c r="W322" i="25"/>
  <c r="AB322" i="25"/>
  <c r="X322" i="25"/>
  <c r="AD322" i="25"/>
  <c r="U323" i="25" a="1"/>
  <c r="U323" i="25"/>
  <c r="V323" i="25" a="1"/>
  <c r="V323" i="25"/>
  <c r="W323" i="25"/>
  <c r="AB323" i="25"/>
  <c r="X323" i="25"/>
  <c r="AD323" i="25"/>
  <c r="U324" i="25" a="1"/>
  <c r="U324" i="25"/>
  <c r="V324" i="25" a="1"/>
  <c r="V324" i="25"/>
  <c r="W324" i="25"/>
  <c r="AB324" i="25"/>
  <c r="X324" i="25"/>
  <c r="AD324" i="25"/>
  <c r="U325" i="25" a="1"/>
  <c r="U325" i="25"/>
  <c r="V325" i="25" a="1"/>
  <c r="V325" i="25"/>
  <c r="W325" i="25"/>
  <c r="AB325" i="25"/>
  <c r="X325" i="25"/>
  <c r="AD325" i="25"/>
  <c r="U326" i="25" a="1"/>
  <c r="U326" i="25"/>
  <c r="V326" i="25" a="1"/>
  <c r="V326" i="25"/>
  <c r="W326" i="25"/>
  <c r="AB326" i="25"/>
  <c r="X326" i="25"/>
  <c r="AD326" i="25"/>
  <c r="U327" i="25" a="1"/>
  <c r="U327" i="25"/>
  <c r="V327" i="25" a="1"/>
  <c r="V327" i="25"/>
  <c r="W327" i="25"/>
  <c r="AB327" i="25"/>
  <c r="X327" i="25"/>
  <c r="AD327" i="25"/>
  <c r="U328" i="25" a="1"/>
  <c r="U328" i="25"/>
  <c r="V328" i="25" a="1"/>
  <c r="V328" i="25"/>
  <c r="W328" i="25"/>
  <c r="AB328" i="25"/>
  <c r="X328" i="25"/>
  <c r="AD328" i="25"/>
  <c r="U329" i="25" a="1"/>
  <c r="U329" i="25"/>
  <c r="V329" i="25" a="1"/>
  <c r="V329" i="25"/>
  <c r="W329" i="25"/>
  <c r="AB329" i="25"/>
  <c r="X329" i="25"/>
  <c r="AD329" i="25"/>
  <c r="U330" i="25" a="1"/>
  <c r="U330" i="25"/>
  <c r="V330" i="25" a="1"/>
  <c r="V330" i="25"/>
  <c r="W330" i="25"/>
  <c r="AB330" i="25"/>
  <c r="X330" i="25"/>
  <c r="AD330" i="25"/>
  <c r="U331" i="25" a="1"/>
  <c r="U331" i="25"/>
  <c r="V331" i="25" a="1"/>
  <c r="V331" i="25"/>
  <c r="W331" i="25"/>
  <c r="AB331" i="25"/>
  <c r="X331" i="25"/>
  <c r="AD331" i="25"/>
  <c r="U332" i="25" a="1"/>
  <c r="U332" i="25"/>
  <c r="V332" i="25" a="1"/>
  <c r="V332" i="25"/>
  <c r="W332" i="25"/>
  <c r="AB332" i="25"/>
  <c r="X332" i="25"/>
  <c r="AD332" i="25"/>
  <c r="U333" i="25" a="1"/>
  <c r="U333" i="25"/>
  <c r="V333" i="25" a="1"/>
  <c r="V333" i="25"/>
  <c r="W333" i="25"/>
  <c r="AB333" i="25"/>
  <c r="X333" i="25"/>
  <c r="AD333" i="25"/>
  <c r="U334" i="25" a="1"/>
  <c r="U334" i="25"/>
  <c r="V334" i="25" a="1"/>
  <c r="V334" i="25"/>
  <c r="W334" i="25"/>
  <c r="AB334" i="25"/>
  <c r="X334" i="25"/>
  <c r="AD334" i="25"/>
  <c r="U335" i="25" a="1"/>
  <c r="U335" i="25"/>
  <c r="V335" i="25" a="1"/>
  <c r="V335" i="25"/>
  <c r="W335" i="25"/>
  <c r="AB335" i="25"/>
  <c r="X335" i="25"/>
  <c r="AD335" i="25"/>
  <c r="U336" i="25" a="1"/>
  <c r="U336" i="25"/>
  <c r="V336" i="25" a="1"/>
  <c r="V336" i="25"/>
  <c r="W336" i="25"/>
  <c r="AB336" i="25"/>
  <c r="X336" i="25"/>
  <c r="AD336" i="25"/>
  <c r="U337" i="25" a="1"/>
  <c r="U337" i="25"/>
  <c r="V337" i="25" a="1"/>
  <c r="V337" i="25"/>
  <c r="W337" i="25"/>
  <c r="AB337" i="25"/>
  <c r="X337" i="25"/>
  <c r="AD337" i="25"/>
  <c r="U338" i="25" a="1"/>
  <c r="U338" i="25"/>
  <c r="V338" i="25" a="1"/>
  <c r="V338" i="25"/>
  <c r="W338" i="25"/>
  <c r="AB338" i="25"/>
  <c r="X338" i="25"/>
  <c r="AD338" i="25"/>
  <c r="U339" i="25" a="1"/>
  <c r="U339" i="25"/>
  <c r="V339" i="25" a="1"/>
  <c r="V339" i="25"/>
  <c r="W339" i="25"/>
  <c r="AB339" i="25"/>
  <c r="X339" i="25"/>
  <c r="AD339" i="25"/>
  <c r="U340" i="25" a="1"/>
  <c r="U340" i="25"/>
  <c r="V340" i="25" a="1"/>
  <c r="V340" i="25"/>
  <c r="W340" i="25"/>
  <c r="AB340" i="25"/>
  <c r="X340" i="25"/>
  <c r="AD340" i="25"/>
  <c r="U341" i="25" a="1"/>
  <c r="U341" i="25"/>
  <c r="V341" i="25" a="1"/>
  <c r="V341" i="25"/>
  <c r="W341" i="25"/>
  <c r="AB341" i="25"/>
  <c r="X341" i="25"/>
  <c r="AD341" i="25"/>
  <c r="U342" i="25" a="1"/>
  <c r="U342" i="25"/>
  <c r="V342" i="25" a="1"/>
  <c r="V342" i="25"/>
  <c r="W342" i="25"/>
  <c r="AB342" i="25"/>
  <c r="X342" i="25"/>
  <c r="AD342" i="25"/>
  <c r="U343" i="25" a="1"/>
  <c r="U343" i="25"/>
  <c r="V343" i="25" a="1"/>
  <c r="V343" i="25"/>
  <c r="W343" i="25"/>
  <c r="AB343" i="25"/>
  <c r="X343" i="25"/>
  <c r="AD343" i="25"/>
  <c r="U344" i="25" a="1"/>
  <c r="U344" i="25"/>
  <c r="V344" i="25" a="1"/>
  <c r="V344" i="25"/>
  <c r="W344" i="25"/>
  <c r="AB344" i="25"/>
  <c r="X344" i="25"/>
  <c r="AD344" i="25"/>
  <c r="U345" i="25" a="1"/>
  <c r="U345" i="25"/>
  <c r="V345" i="25" a="1"/>
  <c r="V345" i="25"/>
  <c r="W345" i="25"/>
  <c r="AB345" i="25"/>
  <c r="X345" i="25"/>
  <c r="AD345" i="25"/>
  <c r="U346" i="25" a="1"/>
  <c r="U346" i="25"/>
  <c r="V346" i="25" a="1"/>
  <c r="V346" i="25"/>
  <c r="W346" i="25"/>
  <c r="AB346" i="25"/>
  <c r="X346" i="25"/>
  <c r="AD346" i="25"/>
  <c r="U347" i="25" a="1"/>
  <c r="U347" i="25"/>
  <c r="V347" i="25" a="1"/>
  <c r="V347" i="25"/>
  <c r="W347" i="25"/>
  <c r="AB347" i="25"/>
  <c r="X347" i="25"/>
  <c r="AD347" i="25"/>
  <c r="U348" i="25" a="1"/>
  <c r="U348" i="25"/>
  <c r="V348" i="25" a="1"/>
  <c r="V348" i="25"/>
  <c r="W348" i="25"/>
  <c r="AB348" i="25"/>
  <c r="X348" i="25"/>
  <c r="AD348" i="25"/>
  <c r="U349" i="25" a="1"/>
  <c r="U349" i="25"/>
  <c r="V349" i="25" a="1"/>
  <c r="V349" i="25"/>
  <c r="W349" i="25"/>
  <c r="AB349" i="25"/>
  <c r="X349" i="25"/>
  <c r="AD349" i="25"/>
  <c r="U350" i="25" a="1"/>
  <c r="U350" i="25"/>
  <c r="V350" i="25" a="1"/>
  <c r="V350" i="25"/>
  <c r="W350" i="25"/>
  <c r="AB350" i="25"/>
  <c r="X350" i="25"/>
  <c r="AD350" i="25"/>
  <c r="U351" i="25" a="1"/>
  <c r="U351" i="25"/>
  <c r="V351" i="25" a="1"/>
  <c r="V351" i="25"/>
  <c r="W351" i="25"/>
  <c r="AB351" i="25"/>
  <c r="X351" i="25"/>
  <c r="AD351" i="25"/>
  <c r="U352" i="25" a="1"/>
  <c r="U352" i="25"/>
  <c r="V352" i="25" a="1"/>
  <c r="V352" i="25"/>
  <c r="W352" i="25"/>
  <c r="AB352" i="25"/>
  <c r="X352" i="25"/>
  <c r="AD352" i="25"/>
  <c r="U353" i="25" a="1"/>
  <c r="U353" i="25"/>
  <c r="V353" i="25" a="1"/>
  <c r="V353" i="25"/>
  <c r="W353" i="25"/>
  <c r="AB353" i="25"/>
  <c r="X353" i="25"/>
  <c r="AD353" i="25"/>
  <c r="U354" i="25" a="1"/>
  <c r="U354" i="25"/>
  <c r="V354" i="25" a="1"/>
  <c r="V354" i="25"/>
  <c r="W354" i="25"/>
  <c r="AB354" i="25"/>
  <c r="X354" i="25"/>
  <c r="AD354" i="25"/>
  <c r="U355" i="25" a="1"/>
  <c r="U355" i="25"/>
  <c r="V355" i="25" a="1"/>
  <c r="V355" i="25"/>
  <c r="W355" i="25"/>
  <c r="AB355" i="25"/>
  <c r="X355" i="25"/>
  <c r="AD355" i="25"/>
  <c r="U356" i="25" a="1"/>
  <c r="U356" i="25"/>
  <c r="V356" i="25" a="1"/>
  <c r="V356" i="25"/>
  <c r="W356" i="25"/>
  <c r="AB356" i="25"/>
  <c r="X356" i="25"/>
  <c r="AD356" i="25"/>
  <c r="U357" i="25" a="1"/>
  <c r="U357" i="25"/>
  <c r="V357" i="25" a="1"/>
  <c r="V357" i="25"/>
  <c r="W357" i="25"/>
  <c r="AB357" i="25"/>
  <c r="X357" i="25"/>
  <c r="AD357" i="25"/>
  <c r="U358" i="25" a="1"/>
  <c r="U358" i="25"/>
  <c r="V358" i="25" a="1"/>
  <c r="V358" i="25"/>
  <c r="W358" i="25"/>
  <c r="AB358" i="25"/>
  <c r="X358" i="25"/>
  <c r="AD358" i="25"/>
  <c r="U359" i="25" a="1"/>
  <c r="U359" i="25"/>
  <c r="V359" i="25" a="1"/>
  <c r="V359" i="25"/>
  <c r="W359" i="25"/>
  <c r="AB359" i="25"/>
  <c r="X359" i="25"/>
  <c r="AD359" i="25"/>
  <c r="U360" i="25" a="1"/>
  <c r="U360" i="25"/>
  <c r="V360" i="25" a="1"/>
  <c r="V360" i="25"/>
  <c r="W360" i="25"/>
  <c r="AB360" i="25"/>
  <c r="X360" i="25"/>
  <c r="AD360" i="25"/>
  <c r="U361" i="25" a="1"/>
  <c r="U361" i="25"/>
  <c r="V361" i="25" a="1"/>
  <c r="V361" i="25"/>
  <c r="W361" i="25"/>
  <c r="AB361" i="25"/>
  <c r="X361" i="25"/>
  <c r="AD361" i="25"/>
  <c r="U362" i="25" a="1"/>
  <c r="U362" i="25"/>
  <c r="V362" i="25" a="1"/>
  <c r="V362" i="25"/>
  <c r="W362" i="25"/>
  <c r="AB362" i="25"/>
  <c r="X362" i="25"/>
  <c r="AD362" i="25"/>
  <c r="U363" i="25" a="1"/>
  <c r="U363" i="25"/>
  <c r="V363" i="25" a="1"/>
  <c r="V363" i="25"/>
  <c r="W363" i="25"/>
  <c r="AB363" i="25"/>
  <c r="X363" i="25"/>
  <c r="AD363" i="25"/>
  <c r="U364" i="25" a="1"/>
  <c r="U364" i="25"/>
  <c r="V364" i="25" a="1"/>
  <c r="V364" i="25"/>
  <c r="W364" i="25"/>
  <c r="AB364" i="25"/>
  <c r="X364" i="25"/>
  <c r="AD364" i="25"/>
  <c r="U365" i="25" a="1"/>
  <c r="U365" i="25"/>
  <c r="V365" i="25" a="1"/>
  <c r="V365" i="25"/>
  <c r="W365" i="25"/>
  <c r="AB365" i="25"/>
  <c r="X365" i="25"/>
  <c r="AD365" i="25"/>
  <c r="U366" i="25" a="1"/>
  <c r="U366" i="25"/>
  <c r="V366" i="25" a="1"/>
  <c r="V366" i="25"/>
  <c r="W366" i="25"/>
  <c r="AB366" i="25"/>
  <c r="X366" i="25"/>
  <c r="AD366" i="25"/>
  <c r="U367" i="25" a="1"/>
  <c r="U367" i="25"/>
  <c r="V367" i="25" a="1"/>
  <c r="V367" i="25"/>
  <c r="W367" i="25"/>
  <c r="AB367" i="25"/>
  <c r="X367" i="25"/>
  <c r="AD367" i="25"/>
  <c r="U368" i="25" a="1"/>
  <c r="U368" i="25"/>
  <c r="V368" i="25" a="1"/>
  <c r="V368" i="25"/>
  <c r="W368" i="25"/>
  <c r="AB368" i="25"/>
  <c r="X368" i="25"/>
  <c r="AD368" i="25"/>
  <c r="U369" i="25" a="1"/>
  <c r="U369" i="25"/>
  <c r="V369" i="25" a="1"/>
  <c r="V369" i="25"/>
  <c r="W369" i="25"/>
  <c r="AB369" i="25"/>
  <c r="X369" i="25"/>
  <c r="AD369" i="25"/>
  <c r="U370" i="25" a="1"/>
  <c r="U370" i="25"/>
  <c r="V370" i="25" a="1"/>
  <c r="V370" i="25"/>
  <c r="W370" i="25"/>
  <c r="AB370" i="25"/>
  <c r="X370" i="25"/>
  <c r="AD370" i="25"/>
  <c r="U371" i="25" a="1"/>
  <c r="U371" i="25"/>
  <c r="V371" i="25" a="1"/>
  <c r="V371" i="25"/>
  <c r="W371" i="25"/>
  <c r="AB371" i="25"/>
  <c r="X371" i="25"/>
  <c r="AD371" i="25"/>
  <c r="U372" i="25" a="1"/>
  <c r="U372" i="25"/>
  <c r="V372" i="25" a="1"/>
  <c r="V372" i="25"/>
  <c r="W372" i="25"/>
  <c r="AB372" i="25"/>
  <c r="X372" i="25"/>
  <c r="AD372" i="25"/>
  <c r="U373" i="25" a="1"/>
  <c r="U373" i="25"/>
  <c r="V373" i="25" a="1"/>
  <c r="V373" i="25"/>
  <c r="W373" i="25"/>
  <c r="AB373" i="25"/>
  <c r="X373" i="25"/>
  <c r="AD373" i="25"/>
  <c r="U374" i="25" a="1"/>
  <c r="U374" i="25"/>
  <c r="V374" i="25" a="1"/>
  <c r="V374" i="25"/>
  <c r="W374" i="25"/>
  <c r="AB374" i="25"/>
  <c r="X374" i="25"/>
  <c r="AD374" i="25"/>
  <c r="U375" i="25" a="1"/>
  <c r="U375" i="25"/>
  <c r="V375" i="25" a="1"/>
  <c r="V375" i="25"/>
  <c r="W375" i="25"/>
  <c r="AB375" i="25"/>
  <c r="X375" i="25"/>
  <c r="AD375" i="25"/>
  <c r="U376" i="25" a="1"/>
  <c r="U376" i="25"/>
  <c r="V376" i="25" a="1"/>
  <c r="V376" i="25"/>
  <c r="W376" i="25"/>
  <c r="AB376" i="25"/>
  <c r="X376" i="25"/>
  <c r="AD376" i="25"/>
  <c r="U377" i="25" a="1"/>
  <c r="U377" i="25"/>
  <c r="V377" i="25" a="1"/>
  <c r="V377" i="25"/>
  <c r="W377" i="25"/>
  <c r="AB377" i="25"/>
  <c r="X377" i="25"/>
  <c r="AD377" i="25"/>
  <c r="U378" i="25" a="1"/>
  <c r="U378" i="25"/>
  <c r="V378" i="25" a="1"/>
  <c r="V378" i="25"/>
  <c r="W378" i="25"/>
  <c r="AB378" i="25"/>
  <c r="X378" i="25"/>
  <c r="AD378" i="25"/>
  <c r="U379" i="25" a="1"/>
  <c r="U379" i="25"/>
  <c r="V379" i="25" a="1"/>
  <c r="V379" i="25"/>
  <c r="W379" i="25"/>
  <c r="AB379" i="25"/>
  <c r="X379" i="25"/>
  <c r="AD379" i="25"/>
  <c r="U380" i="25" a="1"/>
  <c r="U380" i="25"/>
  <c r="V380" i="25" a="1"/>
  <c r="V380" i="25"/>
  <c r="W380" i="25"/>
  <c r="AB380" i="25"/>
  <c r="X380" i="25"/>
  <c r="AD380" i="25"/>
  <c r="U381" i="25" a="1"/>
  <c r="U381" i="25"/>
  <c r="V381" i="25" a="1"/>
  <c r="V381" i="25"/>
  <c r="W381" i="25"/>
  <c r="AB381" i="25"/>
  <c r="X381" i="25"/>
  <c r="AD381" i="25"/>
  <c r="U382" i="25" a="1"/>
  <c r="U382" i="25"/>
  <c r="V382" i="25" a="1"/>
  <c r="V382" i="25"/>
  <c r="W382" i="25"/>
  <c r="AB382" i="25"/>
  <c r="X382" i="25"/>
  <c r="AD382" i="25"/>
  <c r="U383" i="25" a="1"/>
  <c r="U383" i="25"/>
  <c r="V383" i="25" a="1"/>
  <c r="V383" i="25"/>
  <c r="W383" i="25"/>
  <c r="AB383" i="25"/>
  <c r="X383" i="25"/>
  <c r="AD383" i="25"/>
  <c r="U384" i="25" a="1"/>
  <c r="U384" i="25"/>
  <c r="V384" i="25" a="1"/>
  <c r="V384" i="25"/>
  <c r="W384" i="25"/>
  <c r="AB384" i="25"/>
  <c r="X384" i="25"/>
  <c r="AD384" i="25"/>
  <c r="U385" i="25" a="1"/>
  <c r="U385" i="25"/>
  <c r="V385" i="25" a="1"/>
  <c r="V385" i="25"/>
  <c r="W385" i="25"/>
  <c r="AB385" i="25"/>
  <c r="X385" i="25"/>
  <c r="AD385" i="25"/>
  <c r="U386" i="25" a="1"/>
  <c r="U386" i="25"/>
  <c r="V386" i="25" a="1"/>
  <c r="V386" i="25"/>
  <c r="W386" i="25"/>
  <c r="AB386" i="25"/>
  <c r="X386" i="25"/>
  <c r="AD386" i="25"/>
  <c r="U387" i="25" a="1"/>
  <c r="U387" i="25"/>
  <c r="V387" i="25" a="1"/>
  <c r="V387" i="25"/>
  <c r="W387" i="25"/>
  <c r="AB387" i="25"/>
  <c r="X387" i="25"/>
  <c r="AD387" i="25"/>
  <c r="U388" i="25" a="1"/>
  <c r="U388" i="25"/>
  <c r="V388" i="25" a="1"/>
  <c r="V388" i="25"/>
  <c r="W388" i="25"/>
  <c r="AB388" i="25"/>
  <c r="X388" i="25"/>
  <c r="AD388" i="25"/>
  <c r="U389" i="25" a="1"/>
  <c r="U389" i="25"/>
  <c r="V389" i="25" a="1"/>
  <c r="V389" i="25"/>
  <c r="W389" i="25"/>
  <c r="AB389" i="25"/>
  <c r="X389" i="25"/>
  <c r="AD389" i="25"/>
  <c r="U390" i="25" a="1"/>
  <c r="U390" i="25"/>
  <c r="V390" i="25" a="1"/>
  <c r="V390" i="25"/>
  <c r="W390" i="25"/>
  <c r="AB390" i="25"/>
  <c r="X390" i="25"/>
  <c r="AD390" i="25"/>
  <c r="U391" i="25" a="1"/>
  <c r="U391" i="25"/>
  <c r="V391" i="25" a="1"/>
  <c r="V391" i="25"/>
  <c r="W391" i="25"/>
  <c r="AB391" i="25"/>
  <c r="X391" i="25"/>
  <c r="AD391" i="25"/>
  <c r="U392" i="25" a="1"/>
  <c r="U392" i="25"/>
  <c r="V392" i="25" a="1"/>
  <c r="V392" i="25"/>
  <c r="W392" i="25"/>
  <c r="AB392" i="25"/>
  <c r="X392" i="25"/>
  <c r="AD392" i="25"/>
  <c r="U393" i="25" a="1"/>
  <c r="U393" i="25"/>
  <c r="V393" i="25" a="1"/>
  <c r="V393" i="25"/>
  <c r="W393" i="25"/>
  <c r="AB393" i="25"/>
  <c r="X393" i="25"/>
  <c r="AD393" i="25"/>
  <c r="U394" i="25" a="1"/>
  <c r="U394" i="25"/>
  <c r="V394" i="25" a="1"/>
  <c r="V394" i="25"/>
  <c r="W394" i="25"/>
  <c r="AB394" i="25"/>
  <c r="X394" i="25"/>
  <c r="AD394" i="25"/>
  <c r="U395" i="25" a="1"/>
  <c r="U395" i="25"/>
  <c r="V395" i="25" a="1"/>
  <c r="V395" i="25"/>
  <c r="W395" i="25"/>
  <c r="AB395" i="25"/>
  <c r="X395" i="25"/>
  <c r="AD395" i="25"/>
  <c r="U396" i="25" a="1"/>
  <c r="U396" i="25"/>
  <c r="V396" i="25" a="1"/>
  <c r="V396" i="25"/>
  <c r="W396" i="25"/>
  <c r="AB396" i="25"/>
  <c r="X396" i="25"/>
  <c r="AD396" i="25"/>
  <c r="U397" i="25" a="1"/>
  <c r="U397" i="25"/>
  <c r="V397" i="25" a="1"/>
  <c r="V397" i="25"/>
  <c r="W397" i="25"/>
  <c r="AB397" i="25"/>
  <c r="X397" i="25"/>
  <c r="AD397" i="25"/>
  <c r="U398" i="25" a="1"/>
  <c r="U398" i="25"/>
  <c r="V398" i="25" a="1"/>
  <c r="V398" i="25"/>
  <c r="W398" i="25"/>
  <c r="AB398" i="25"/>
  <c r="X398" i="25"/>
  <c r="AD398" i="25"/>
  <c r="U399" i="25" a="1"/>
  <c r="U399" i="25"/>
  <c r="V399" i="25" a="1"/>
  <c r="V399" i="25"/>
  <c r="W399" i="25"/>
  <c r="AB399" i="25"/>
  <c r="X399" i="25"/>
  <c r="AD399" i="25"/>
  <c r="U400" i="25" a="1"/>
  <c r="U400" i="25"/>
  <c r="V400" i="25" a="1"/>
  <c r="V400" i="25"/>
  <c r="W400" i="25"/>
  <c r="AB400" i="25"/>
  <c r="X400" i="25"/>
  <c r="AD400" i="25"/>
  <c r="U401" i="25" a="1"/>
  <c r="U401" i="25"/>
  <c r="V401" i="25" a="1"/>
  <c r="V401" i="25"/>
  <c r="W401" i="25"/>
  <c r="AB401" i="25"/>
  <c r="X401" i="25"/>
  <c r="AD401" i="25"/>
  <c r="U402" i="25" a="1"/>
  <c r="U402" i="25"/>
  <c r="V402" i="25" a="1"/>
  <c r="V402" i="25"/>
  <c r="W402" i="25"/>
  <c r="AB402" i="25"/>
  <c r="X402" i="25"/>
  <c r="AD402" i="25"/>
  <c r="U403" i="25" a="1"/>
  <c r="U403" i="25"/>
  <c r="V403" i="25" a="1"/>
  <c r="V403" i="25"/>
  <c r="W403" i="25"/>
  <c r="AB403" i="25"/>
  <c r="X403" i="25"/>
  <c r="AD403" i="25"/>
  <c r="U404" i="25" a="1"/>
  <c r="U404" i="25"/>
  <c r="V404" i="25" a="1"/>
  <c r="V404" i="25"/>
  <c r="W404" i="25"/>
  <c r="AB404" i="25"/>
  <c r="X404" i="25"/>
  <c r="AD404" i="25"/>
  <c r="U405" i="25" a="1"/>
  <c r="U405" i="25"/>
  <c r="V405" i="25" a="1"/>
  <c r="V405" i="25"/>
  <c r="W405" i="25"/>
  <c r="AB405" i="25"/>
  <c r="X405" i="25"/>
  <c r="AD405" i="25"/>
  <c r="U406" i="25" a="1"/>
  <c r="U406" i="25"/>
  <c r="V406" i="25" a="1"/>
  <c r="V406" i="25"/>
  <c r="W406" i="25"/>
  <c r="AB406" i="25"/>
  <c r="X406" i="25"/>
  <c r="AD406" i="25"/>
  <c r="U407" i="25" a="1"/>
  <c r="U407" i="25"/>
  <c r="V407" i="25" a="1"/>
  <c r="V407" i="25"/>
  <c r="W407" i="25"/>
  <c r="AB407" i="25"/>
  <c r="X407" i="25"/>
  <c r="AD407" i="25"/>
  <c r="U408" i="25" a="1"/>
  <c r="U408" i="25"/>
  <c r="V408" i="25" a="1"/>
  <c r="V408" i="25"/>
  <c r="W408" i="25"/>
  <c r="AB408" i="25"/>
  <c r="X408" i="25"/>
  <c r="AD408" i="25"/>
  <c r="U409" i="25" a="1"/>
  <c r="U409" i="25"/>
  <c r="V409" i="25" a="1"/>
  <c r="V409" i="25"/>
  <c r="W409" i="25"/>
  <c r="AB409" i="25"/>
  <c r="X409" i="25"/>
  <c r="AD409" i="25"/>
  <c r="U410" i="25" a="1"/>
  <c r="U410" i="25"/>
  <c r="V410" i="25" a="1"/>
  <c r="V410" i="25"/>
  <c r="W410" i="25"/>
  <c r="AB410" i="25"/>
  <c r="X410" i="25"/>
  <c r="AD410" i="25"/>
  <c r="U411" i="25" a="1"/>
  <c r="U411" i="25"/>
  <c r="V411" i="25" a="1"/>
  <c r="V411" i="25"/>
  <c r="W411" i="25"/>
  <c r="AB411" i="25"/>
  <c r="X411" i="25"/>
  <c r="AD411" i="25"/>
  <c r="U412" i="25" a="1"/>
  <c r="U412" i="25"/>
  <c r="V412" i="25" a="1"/>
  <c r="V412" i="25"/>
  <c r="W412" i="25"/>
  <c r="AB412" i="25"/>
  <c r="X412" i="25"/>
  <c r="AD412" i="25"/>
  <c r="U413" i="25" a="1"/>
  <c r="U413" i="25"/>
  <c r="V413" i="25" a="1"/>
  <c r="V413" i="25"/>
  <c r="W413" i="25"/>
  <c r="AB413" i="25"/>
  <c r="X413" i="25"/>
  <c r="AD413" i="25"/>
  <c r="U414" i="25" a="1"/>
  <c r="U414" i="25"/>
  <c r="V414" i="25" a="1"/>
  <c r="V414" i="25"/>
  <c r="W414" i="25"/>
  <c r="AB414" i="25"/>
  <c r="X414" i="25"/>
  <c r="AD414" i="25"/>
  <c r="U415" i="25" a="1"/>
  <c r="U415" i="25"/>
  <c r="V415" i="25" a="1"/>
  <c r="V415" i="25"/>
  <c r="W415" i="25"/>
  <c r="AB415" i="25"/>
  <c r="X415" i="25"/>
  <c r="AD415" i="25"/>
  <c r="U416" i="25" a="1"/>
  <c r="U416" i="25"/>
  <c r="V416" i="25" a="1"/>
  <c r="V416" i="25"/>
  <c r="W416" i="25"/>
  <c r="AB416" i="25"/>
  <c r="X416" i="25"/>
  <c r="AD416" i="25"/>
  <c r="U417" i="25" a="1"/>
  <c r="U417" i="25"/>
  <c r="V417" i="25" a="1"/>
  <c r="V417" i="25"/>
  <c r="W417" i="25"/>
  <c r="AB417" i="25"/>
  <c r="X417" i="25"/>
  <c r="AD417" i="25"/>
  <c r="U418" i="25" a="1"/>
  <c r="U418" i="25"/>
  <c r="V418" i="25" a="1"/>
  <c r="V418" i="25"/>
  <c r="W418" i="25"/>
  <c r="AB418" i="25"/>
  <c r="X418" i="25"/>
  <c r="AD418" i="25"/>
  <c r="U419" i="25" a="1"/>
  <c r="U419" i="25"/>
  <c r="V419" i="25" a="1"/>
  <c r="V419" i="25"/>
  <c r="W419" i="25"/>
  <c r="AB419" i="25"/>
  <c r="X419" i="25"/>
  <c r="AD419" i="25"/>
  <c r="U420" i="25" a="1"/>
  <c r="U420" i="25"/>
  <c r="V420" i="25" a="1"/>
  <c r="V420" i="25"/>
  <c r="W420" i="25"/>
  <c r="AB420" i="25"/>
  <c r="X420" i="25"/>
  <c r="AD420" i="25"/>
  <c r="U421" i="25" a="1"/>
  <c r="U421" i="25"/>
  <c r="V421" i="25" a="1"/>
  <c r="V421" i="25"/>
  <c r="W421" i="25"/>
  <c r="AB421" i="25"/>
  <c r="X421" i="25"/>
  <c r="AD421" i="25"/>
  <c r="U422" i="25" a="1"/>
  <c r="U422" i="25"/>
  <c r="V422" i="25" a="1"/>
  <c r="V422" i="25"/>
  <c r="W422" i="25"/>
  <c r="AB422" i="25"/>
  <c r="X422" i="25"/>
  <c r="AD422" i="25"/>
  <c r="U423" i="25" a="1"/>
  <c r="U423" i="25"/>
  <c r="V423" i="25" a="1"/>
  <c r="V423" i="25"/>
  <c r="W423" i="25"/>
  <c r="AB423" i="25"/>
  <c r="X423" i="25"/>
  <c r="AD423" i="25"/>
  <c r="U424" i="25" a="1"/>
  <c r="U424" i="25"/>
  <c r="V424" i="25" a="1"/>
  <c r="V424" i="25"/>
  <c r="W424" i="25"/>
  <c r="AB424" i="25"/>
  <c r="X424" i="25"/>
  <c r="AD424" i="25"/>
  <c r="U425" i="25" a="1"/>
  <c r="U425" i="25"/>
  <c r="V425" i="25" a="1"/>
  <c r="V425" i="25"/>
  <c r="W425" i="25"/>
  <c r="AB425" i="25"/>
  <c r="X425" i="25"/>
  <c r="AD425" i="25"/>
  <c r="U426" i="25" a="1"/>
  <c r="U426" i="25"/>
  <c r="V426" i="25" a="1"/>
  <c r="V426" i="25"/>
  <c r="W426" i="25"/>
  <c r="AB426" i="25"/>
  <c r="X426" i="25"/>
  <c r="AD426" i="25"/>
  <c r="U427" i="25" a="1"/>
  <c r="U427" i="25"/>
  <c r="V427" i="25" a="1"/>
  <c r="V427" i="25"/>
  <c r="W427" i="25"/>
  <c r="AB427" i="25"/>
  <c r="X427" i="25"/>
  <c r="AD427" i="25"/>
  <c r="U428" i="25" a="1"/>
  <c r="U428" i="25"/>
  <c r="V428" i="25" a="1"/>
  <c r="V428" i="25"/>
  <c r="W428" i="25"/>
  <c r="AB428" i="25"/>
  <c r="X428" i="25"/>
  <c r="AD428" i="25"/>
  <c r="U429" i="25" a="1"/>
  <c r="U429" i="25"/>
  <c r="V429" i="25" a="1"/>
  <c r="V429" i="25"/>
  <c r="W429" i="25"/>
  <c r="AB429" i="25"/>
  <c r="X429" i="25"/>
  <c r="AD429" i="25"/>
  <c r="U430" i="25" a="1"/>
  <c r="U430" i="25"/>
  <c r="V430" i="25" a="1"/>
  <c r="V430" i="25"/>
  <c r="W430" i="25"/>
  <c r="AB430" i="25"/>
  <c r="X430" i="25"/>
  <c r="AD430" i="25"/>
  <c r="U431" i="25" a="1"/>
  <c r="U431" i="25"/>
  <c r="V431" i="25" a="1"/>
  <c r="V431" i="25"/>
  <c r="W431" i="25"/>
  <c r="AB431" i="25"/>
  <c r="X431" i="25"/>
  <c r="AD431" i="25"/>
  <c r="U432" i="25" a="1"/>
  <c r="U432" i="25"/>
  <c r="V432" i="25" a="1"/>
  <c r="V432" i="25"/>
  <c r="W432" i="25"/>
  <c r="AB432" i="25"/>
  <c r="X432" i="25"/>
  <c r="AD432" i="25"/>
  <c r="U433" i="25" a="1"/>
  <c r="U433" i="25"/>
  <c r="V433" i="25" a="1"/>
  <c r="V433" i="25"/>
  <c r="W433" i="25"/>
  <c r="AB433" i="25"/>
  <c r="X433" i="25"/>
  <c r="AD433" i="25"/>
  <c r="U434" i="25" a="1"/>
  <c r="U434" i="25"/>
  <c r="V434" i="25" a="1"/>
  <c r="V434" i="25"/>
  <c r="W434" i="25"/>
  <c r="AB434" i="25"/>
  <c r="X434" i="25"/>
  <c r="AD434" i="25"/>
  <c r="U435" i="25" a="1"/>
  <c r="U435" i="25"/>
  <c r="V435" i="25" a="1"/>
  <c r="V435" i="25"/>
  <c r="W435" i="25"/>
  <c r="AB435" i="25"/>
  <c r="X435" i="25"/>
  <c r="AD435" i="25"/>
  <c r="U436" i="25" a="1"/>
  <c r="U436" i="25"/>
  <c r="V436" i="25" a="1"/>
  <c r="V436" i="25"/>
  <c r="W436" i="25"/>
  <c r="AB436" i="25"/>
  <c r="X436" i="25"/>
  <c r="AD436" i="25"/>
  <c r="U437" i="25" a="1"/>
  <c r="U437" i="25"/>
  <c r="V437" i="25" a="1"/>
  <c r="V437" i="25"/>
  <c r="W437" i="25"/>
  <c r="AB437" i="25"/>
  <c r="X437" i="25"/>
  <c r="AD437" i="25"/>
  <c r="U438" i="25" a="1"/>
  <c r="U438" i="25"/>
  <c r="V438" i="25" a="1"/>
  <c r="V438" i="25"/>
  <c r="W438" i="25"/>
  <c r="AB438" i="25"/>
  <c r="X438" i="25"/>
  <c r="AD438" i="25"/>
  <c r="U439" i="25" a="1"/>
  <c r="U439" i="25"/>
  <c r="V439" i="25" a="1"/>
  <c r="V439" i="25"/>
  <c r="W439" i="25"/>
  <c r="AB439" i="25"/>
  <c r="X439" i="25"/>
  <c r="AD439" i="25"/>
  <c r="U440" i="25" a="1"/>
  <c r="U440" i="25"/>
  <c r="V440" i="25" a="1"/>
  <c r="V440" i="25"/>
  <c r="W440" i="25"/>
  <c r="AB440" i="25"/>
  <c r="X440" i="25"/>
  <c r="AD440" i="25"/>
  <c r="U441" i="25" a="1"/>
  <c r="U441" i="25"/>
  <c r="V441" i="25" a="1"/>
  <c r="V441" i="25"/>
  <c r="W441" i="25"/>
  <c r="AB441" i="25"/>
  <c r="X441" i="25"/>
  <c r="AD441" i="25"/>
  <c r="U442" i="25" a="1"/>
  <c r="U442" i="25"/>
  <c r="V442" i="25" a="1"/>
  <c r="V442" i="25"/>
  <c r="W442" i="25"/>
  <c r="AB442" i="25"/>
  <c r="X442" i="25"/>
  <c r="AD442" i="25"/>
  <c r="U443" i="25" a="1"/>
  <c r="U443" i="25"/>
  <c r="V443" i="25" a="1"/>
  <c r="V443" i="25"/>
  <c r="W443" i="25"/>
  <c r="AB443" i="25"/>
  <c r="X443" i="25"/>
  <c r="AD443" i="25"/>
  <c r="U444" i="25" a="1"/>
  <c r="U444" i="25"/>
  <c r="V444" i="25" a="1"/>
  <c r="V444" i="25"/>
  <c r="W444" i="25"/>
  <c r="AB444" i="25"/>
  <c r="X444" i="25"/>
  <c r="AD444" i="25"/>
  <c r="U445" i="25" a="1"/>
  <c r="U445" i="25"/>
  <c r="V445" i="25" a="1"/>
  <c r="V445" i="25"/>
  <c r="W445" i="25"/>
  <c r="AB445" i="25"/>
  <c r="X445" i="25"/>
  <c r="AD445" i="25"/>
  <c r="U446" i="25" a="1"/>
  <c r="U446" i="25"/>
  <c r="V446" i="25" a="1"/>
  <c r="V446" i="25"/>
  <c r="W446" i="25"/>
  <c r="AB446" i="25"/>
  <c r="X446" i="25"/>
  <c r="AD446" i="25"/>
  <c r="U447" i="25" a="1"/>
  <c r="U447" i="25"/>
  <c r="V447" i="25" a="1"/>
  <c r="V447" i="25"/>
  <c r="W447" i="25"/>
  <c r="AB447" i="25"/>
  <c r="X447" i="25"/>
  <c r="AD447" i="25"/>
  <c r="U448" i="25" a="1"/>
  <c r="U448" i="25"/>
  <c r="V448" i="25" a="1"/>
  <c r="V448" i="25"/>
  <c r="W448" i="25"/>
  <c r="AB448" i="25"/>
  <c r="X448" i="25"/>
  <c r="AD448" i="25"/>
  <c r="U449" i="25" a="1"/>
  <c r="U449" i="25"/>
  <c r="V449" i="25" a="1"/>
  <c r="V449" i="25"/>
  <c r="W449" i="25"/>
  <c r="AB449" i="25"/>
  <c r="X449" i="25"/>
  <c r="AD449" i="25"/>
  <c r="U450" i="25" a="1"/>
  <c r="U450" i="25"/>
  <c r="V450" i="25" a="1"/>
  <c r="V450" i="25"/>
  <c r="W450" i="25"/>
  <c r="AB450" i="25"/>
  <c r="X450" i="25"/>
  <c r="AD450" i="25"/>
  <c r="U451" i="25" a="1"/>
  <c r="U451" i="25"/>
  <c r="V451" i="25" a="1"/>
  <c r="V451" i="25"/>
  <c r="W451" i="25"/>
  <c r="AB451" i="25"/>
  <c r="X451" i="25"/>
  <c r="AD451" i="25"/>
  <c r="U452" i="25" a="1"/>
  <c r="U452" i="25"/>
  <c r="V452" i="25" a="1"/>
  <c r="V452" i="25"/>
  <c r="W452" i="25"/>
  <c r="AB452" i="25"/>
  <c r="X452" i="25"/>
  <c r="AD452" i="25"/>
  <c r="U453" i="25" a="1"/>
  <c r="U453" i="25"/>
  <c r="V453" i="25" a="1"/>
  <c r="V453" i="25"/>
  <c r="W453" i="25"/>
  <c r="AB453" i="25"/>
  <c r="X453" i="25"/>
  <c r="AD453" i="25"/>
  <c r="U454" i="25" a="1"/>
  <c r="U454" i="25"/>
  <c r="V454" i="25" a="1"/>
  <c r="V454" i="25"/>
  <c r="W454" i="25"/>
  <c r="AB454" i="25"/>
  <c r="X454" i="25"/>
  <c r="AD454" i="25"/>
  <c r="U455" i="25" a="1"/>
  <c r="U455" i="25"/>
  <c r="V455" i="25" a="1"/>
  <c r="V455" i="25"/>
  <c r="W455" i="25"/>
  <c r="AB455" i="25"/>
  <c r="X455" i="25"/>
  <c r="AD455" i="25"/>
  <c r="U456" i="25" a="1"/>
  <c r="U456" i="25"/>
  <c r="V456" i="25" a="1"/>
  <c r="V456" i="25"/>
  <c r="W456" i="25"/>
  <c r="AB456" i="25"/>
  <c r="X456" i="25"/>
  <c r="AD456" i="25"/>
  <c r="U457" i="25" a="1"/>
  <c r="U457" i="25"/>
  <c r="V457" i="25" a="1"/>
  <c r="V457" i="25"/>
  <c r="W457" i="25"/>
  <c r="AB457" i="25"/>
  <c r="X457" i="25"/>
  <c r="AD457" i="25"/>
  <c r="U458" i="25" a="1"/>
  <c r="U458" i="25"/>
  <c r="V458" i="25" a="1"/>
  <c r="V458" i="25"/>
  <c r="W458" i="25"/>
  <c r="AB458" i="25"/>
  <c r="X458" i="25"/>
  <c r="AD458" i="25"/>
  <c r="U459" i="25" a="1"/>
  <c r="U459" i="25"/>
  <c r="V459" i="25" a="1"/>
  <c r="V459" i="25"/>
  <c r="W459" i="25"/>
  <c r="AB459" i="25"/>
  <c r="X459" i="25"/>
  <c r="AD459" i="25"/>
  <c r="U460" i="25" a="1"/>
  <c r="U460" i="25"/>
  <c r="V460" i="25" a="1"/>
  <c r="V460" i="25"/>
  <c r="W460" i="25"/>
  <c r="AB460" i="25"/>
  <c r="X460" i="25"/>
  <c r="AD460" i="25"/>
  <c r="U461" i="25" a="1"/>
  <c r="U461" i="25"/>
  <c r="V461" i="25" a="1"/>
  <c r="V461" i="25"/>
  <c r="W461" i="25"/>
  <c r="AB461" i="25"/>
  <c r="X461" i="25"/>
  <c r="AD461" i="25"/>
  <c r="U462" i="25" a="1"/>
  <c r="U462" i="25"/>
  <c r="V462" i="25" a="1"/>
  <c r="V462" i="25"/>
  <c r="W462" i="25"/>
  <c r="AB462" i="25"/>
  <c r="X462" i="25"/>
  <c r="AD462" i="25"/>
  <c r="U463" i="25" a="1"/>
  <c r="U463" i="25"/>
  <c r="V463" i="25" a="1"/>
  <c r="V463" i="25"/>
  <c r="W463" i="25"/>
  <c r="AB463" i="25"/>
  <c r="X463" i="25"/>
  <c r="AD463" i="25"/>
  <c r="U464" i="25" a="1"/>
  <c r="U464" i="25"/>
  <c r="V464" i="25" a="1"/>
  <c r="V464" i="25"/>
  <c r="W464" i="25"/>
  <c r="AB464" i="25"/>
  <c r="X464" i="25"/>
  <c r="AD464" i="25"/>
  <c r="U465" i="25" a="1"/>
  <c r="U465" i="25"/>
  <c r="V465" i="25" a="1"/>
  <c r="V465" i="25"/>
  <c r="W465" i="25"/>
  <c r="AB465" i="25"/>
  <c r="X465" i="25"/>
  <c r="AD465" i="25"/>
  <c r="U466" i="25" a="1"/>
  <c r="U466" i="25"/>
  <c r="V466" i="25" a="1"/>
  <c r="V466" i="25"/>
  <c r="W466" i="25"/>
  <c r="AB466" i="25"/>
  <c r="X466" i="25"/>
  <c r="AD466" i="25"/>
  <c r="U467" i="25" a="1"/>
  <c r="U467" i="25"/>
  <c r="V467" i="25" a="1"/>
  <c r="V467" i="25"/>
  <c r="W467" i="25"/>
  <c r="AB467" i="25"/>
  <c r="X467" i="25"/>
  <c r="AD467" i="25"/>
  <c r="U468" i="25" a="1"/>
  <c r="U468" i="25"/>
  <c r="V468" i="25" a="1"/>
  <c r="V468" i="25"/>
  <c r="W468" i="25"/>
  <c r="AB468" i="25"/>
  <c r="X468" i="25"/>
  <c r="AD468" i="25"/>
  <c r="U469" i="25" a="1"/>
  <c r="U469" i="25"/>
  <c r="V469" i="25" a="1"/>
  <c r="V469" i="25"/>
  <c r="W469" i="25"/>
  <c r="AB469" i="25"/>
  <c r="X469" i="25"/>
  <c r="AD469" i="25"/>
  <c r="U470" i="25" a="1"/>
  <c r="U470" i="25"/>
  <c r="V470" i="25" a="1"/>
  <c r="V470" i="25"/>
  <c r="W470" i="25"/>
  <c r="AB470" i="25"/>
  <c r="X470" i="25"/>
  <c r="AD470" i="25"/>
  <c r="U471" i="25" a="1"/>
  <c r="U471" i="25"/>
  <c r="V471" i="25" a="1"/>
  <c r="V471" i="25"/>
  <c r="W471" i="25"/>
  <c r="AB471" i="25"/>
  <c r="X471" i="25"/>
  <c r="AD471" i="25"/>
  <c r="U472" i="25" a="1"/>
  <c r="U472" i="25"/>
  <c r="V472" i="25" a="1"/>
  <c r="V472" i="25"/>
  <c r="W472" i="25"/>
  <c r="AB472" i="25"/>
  <c r="X472" i="25"/>
  <c r="AD472" i="25"/>
  <c r="U473" i="25" a="1"/>
  <c r="U473" i="25"/>
  <c r="V473" i="25" a="1"/>
  <c r="V473" i="25"/>
  <c r="W473" i="25"/>
  <c r="AB473" i="25"/>
  <c r="X473" i="25"/>
  <c r="AD473" i="25"/>
  <c r="U474" i="25" a="1"/>
  <c r="U474" i="25"/>
  <c r="V474" i="25" a="1"/>
  <c r="V474" i="25"/>
  <c r="W474" i="25"/>
  <c r="AB474" i="25"/>
  <c r="X474" i="25"/>
  <c r="AD474" i="25"/>
  <c r="U475" i="25" a="1"/>
  <c r="U475" i="25"/>
  <c r="V475" i="25" a="1"/>
  <c r="V475" i="25"/>
  <c r="W475" i="25"/>
  <c r="AB475" i="25"/>
  <c r="X475" i="25"/>
  <c r="AD475" i="25"/>
  <c r="U476" i="25" a="1"/>
  <c r="U476" i="25"/>
  <c r="V476" i="25" a="1"/>
  <c r="V476" i="25"/>
  <c r="W476" i="25"/>
  <c r="AB476" i="25"/>
  <c r="X476" i="25"/>
  <c r="AD476" i="25"/>
  <c r="U477" i="25" a="1"/>
  <c r="U477" i="25"/>
  <c r="V477" i="25" a="1"/>
  <c r="V477" i="25"/>
  <c r="W477" i="25"/>
  <c r="AB477" i="25"/>
  <c r="X477" i="25"/>
  <c r="AD477" i="25"/>
  <c r="U478" i="25" a="1"/>
  <c r="U478" i="25"/>
  <c r="V478" i="25" a="1"/>
  <c r="V478" i="25"/>
  <c r="W478" i="25"/>
  <c r="AB478" i="25"/>
  <c r="X478" i="25"/>
  <c r="AD478" i="25"/>
  <c r="U479" i="25" a="1"/>
  <c r="U479" i="25"/>
  <c r="V479" i="25" a="1"/>
  <c r="V479" i="25"/>
  <c r="W479" i="25"/>
  <c r="AB479" i="25"/>
  <c r="X479" i="25"/>
  <c r="AD479" i="25"/>
  <c r="U480" i="25" a="1"/>
  <c r="U480" i="25"/>
  <c r="V480" i="25" a="1"/>
  <c r="V480" i="25"/>
  <c r="W480" i="25"/>
  <c r="AB480" i="25"/>
  <c r="X480" i="25"/>
  <c r="AD480" i="25"/>
  <c r="U481" i="25" a="1"/>
  <c r="U481" i="25"/>
  <c r="V481" i="25" a="1"/>
  <c r="V481" i="25"/>
  <c r="W481" i="25"/>
  <c r="AB481" i="25"/>
  <c r="X481" i="25"/>
  <c r="AD481" i="25"/>
  <c r="U482" i="25" a="1"/>
  <c r="U482" i="25"/>
  <c r="V482" i="25" a="1"/>
  <c r="V482" i="25"/>
  <c r="W482" i="25"/>
  <c r="AB482" i="25"/>
  <c r="X482" i="25"/>
  <c r="AD482" i="25"/>
  <c r="U483" i="25" a="1"/>
  <c r="U483" i="25"/>
  <c r="V483" i="25" a="1"/>
  <c r="V483" i="25"/>
  <c r="W483" i="25"/>
  <c r="AB483" i="25"/>
  <c r="X483" i="25"/>
  <c r="AD483" i="25"/>
  <c r="U484" i="25" a="1"/>
  <c r="U484" i="25"/>
  <c r="V484" i="25" a="1"/>
  <c r="V484" i="25"/>
  <c r="W484" i="25"/>
  <c r="AB484" i="25"/>
  <c r="X484" i="25"/>
  <c r="AD484" i="25"/>
  <c r="U485" i="25" a="1"/>
  <c r="U485" i="25"/>
  <c r="V485" i="25" a="1"/>
  <c r="V485" i="25"/>
  <c r="W485" i="25"/>
  <c r="AB485" i="25"/>
  <c r="X485" i="25"/>
  <c r="AD485" i="25"/>
  <c r="U486" i="25" a="1"/>
  <c r="U486" i="25"/>
  <c r="V486" i="25" a="1"/>
  <c r="V486" i="25"/>
  <c r="W486" i="25"/>
  <c r="AB486" i="25"/>
  <c r="X486" i="25"/>
  <c r="AD486" i="25"/>
  <c r="U487" i="25" a="1"/>
  <c r="U487" i="25"/>
  <c r="V487" i="25" a="1"/>
  <c r="V487" i="25"/>
  <c r="W487" i="25"/>
  <c r="AB487" i="25"/>
  <c r="X487" i="25"/>
  <c r="AD487" i="25"/>
  <c r="U488" i="25" a="1"/>
  <c r="U488" i="25"/>
  <c r="V488" i="25" a="1"/>
  <c r="V488" i="25"/>
  <c r="W488" i="25"/>
  <c r="AB488" i="25"/>
  <c r="X488" i="25"/>
  <c r="AD488" i="25"/>
  <c r="U489" i="25" a="1"/>
  <c r="U489" i="25"/>
  <c r="V489" i="25" a="1"/>
  <c r="V489" i="25"/>
  <c r="W489" i="25"/>
  <c r="AB489" i="25"/>
  <c r="X489" i="25"/>
  <c r="AD489" i="25"/>
  <c r="U490" i="25" a="1"/>
  <c r="U490" i="25"/>
  <c r="V490" i="25" a="1"/>
  <c r="V490" i="25"/>
  <c r="W490" i="25"/>
  <c r="AB490" i="25"/>
  <c r="X490" i="25"/>
  <c r="AD490" i="25"/>
  <c r="U491" i="25" a="1"/>
  <c r="U491" i="25"/>
  <c r="V491" i="25" a="1"/>
  <c r="V491" i="25"/>
  <c r="W491" i="25"/>
  <c r="AB491" i="25"/>
  <c r="X491" i="25"/>
  <c r="AD491" i="25"/>
  <c r="U492" i="25" a="1"/>
  <c r="U492" i="25"/>
  <c r="V492" i="25" a="1"/>
  <c r="V492" i="25"/>
  <c r="W492" i="25"/>
  <c r="AB492" i="25"/>
  <c r="X492" i="25"/>
  <c r="AD492" i="25"/>
  <c r="U493" i="25" a="1"/>
  <c r="U493" i="25"/>
  <c r="V493" i="25" a="1"/>
  <c r="V493" i="25"/>
  <c r="W493" i="25"/>
  <c r="AB493" i="25"/>
  <c r="X493" i="25"/>
  <c r="AD493" i="25"/>
  <c r="U494" i="25" a="1"/>
  <c r="U494" i="25"/>
  <c r="V494" i="25" a="1"/>
  <c r="V494" i="25"/>
  <c r="W494" i="25"/>
  <c r="AB494" i="25"/>
  <c r="X494" i="25"/>
  <c r="AD494" i="25"/>
  <c r="U495" i="25" a="1"/>
  <c r="U495" i="25"/>
  <c r="V495" i="25" a="1"/>
  <c r="V495" i="25"/>
  <c r="W495" i="25"/>
  <c r="AB495" i="25"/>
  <c r="X495" i="25"/>
  <c r="AD495" i="25"/>
  <c r="U496" i="25" a="1"/>
  <c r="U496" i="25"/>
  <c r="V496" i="25" a="1"/>
  <c r="V496" i="25"/>
  <c r="W496" i="25"/>
  <c r="AB496" i="25"/>
  <c r="X496" i="25"/>
  <c r="AD496" i="25"/>
  <c r="U497" i="25" a="1"/>
  <c r="U497" i="25"/>
  <c r="V497" i="25" a="1"/>
  <c r="V497" i="25"/>
  <c r="W497" i="25"/>
  <c r="AB497" i="25"/>
  <c r="X497" i="25"/>
  <c r="AD497" i="25"/>
  <c r="U498" i="25" a="1"/>
  <c r="U498" i="25"/>
  <c r="V498" i="25" a="1"/>
  <c r="V498" i="25"/>
  <c r="W498" i="25"/>
  <c r="AB498" i="25"/>
  <c r="X498" i="25"/>
  <c r="AD498" i="25"/>
  <c r="U499" i="25" a="1"/>
  <c r="U499" i="25"/>
  <c r="V499" i="25" a="1"/>
  <c r="V499" i="25"/>
  <c r="W499" i="25"/>
  <c r="AB499" i="25"/>
  <c r="X499" i="25"/>
  <c r="AD499" i="25"/>
  <c r="U500" i="25" a="1"/>
  <c r="U500" i="25"/>
  <c r="V500" i="25" a="1"/>
  <c r="V500" i="25"/>
  <c r="W500" i="25"/>
  <c r="AB500" i="25"/>
  <c r="X500" i="25"/>
  <c r="AD500" i="25"/>
  <c r="U501" i="25" a="1"/>
  <c r="U501" i="25"/>
  <c r="V501" i="25" a="1"/>
  <c r="V501" i="25"/>
  <c r="W501" i="25"/>
  <c r="AB501" i="25"/>
  <c r="X501" i="25"/>
  <c r="AD501" i="25"/>
  <c r="U502" i="25" a="1"/>
  <c r="U502" i="25"/>
  <c r="V502" i="25" a="1"/>
  <c r="V502" i="25"/>
  <c r="W502" i="25"/>
  <c r="AB502" i="25"/>
  <c r="X502" i="25"/>
  <c r="AD502" i="25"/>
  <c r="U503" i="25" a="1"/>
  <c r="U503" i="25"/>
  <c r="V503" i="25" a="1"/>
  <c r="V503" i="25"/>
  <c r="W503" i="25"/>
  <c r="AB503" i="25"/>
  <c r="X503" i="25"/>
  <c r="AD503" i="25"/>
  <c r="U504" i="25" a="1"/>
  <c r="U504" i="25"/>
  <c r="V504" i="25" a="1"/>
  <c r="V504" i="25"/>
  <c r="W504" i="25"/>
  <c r="AB504" i="25"/>
  <c r="X504" i="25"/>
  <c r="AD504" i="25"/>
  <c r="U505" i="25" a="1"/>
  <c r="U505" i="25"/>
  <c r="V505" i="25" a="1"/>
  <c r="V505" i="25"/>
  <c r="W505" i="25"/>
  <c r="AB505" i="25"/>
  <c r="X505" i="25"/>
  <c r="AD505" i="25"/>
  <c r="U506" i="25" a="1"/>
  <c r="U506" i="25"/>
  <c r="V506" i="25" a="1"/>
  <c r="V506" i="25"/>
  <c r="W506" i="25"/>
  <c r="U507" i="25" a="1"/>
  <c r="U507" i="25"/>
  <c r="V507" i="25" a="1"/>
  <c r="V507" i="25"/>
  <c r="W507" i="25"/>
  <c r="U508" i="25" a="1"/>
  <c r="U508" i="25"/>
  <c r="V508" i="25" a="1"/>
  <c r="V508" i="25"/>
  <c r="W508" i="25"/>
  <c r="U509" i="25" a="1"/>
  <c r="U509" i="25"/>
  <c r="V509" i="25" a="1"/>
  <c r="V509" i="25"/>
  <c r="W509" i="25"/>
  <c r="U510" i="25" a="1"/>
  <c r="U510" i="25"/>
  <c r="V510" i="25" a="1"/>
  <c r="V510" i="25"/>
  <c r="W510" i="25"/>
  <c r="U511" i="25" a="1"/>
  <c r="U511" i="25"/>
  <c r="V511" i="25" a="1"/>
  <c r="V511" i="25"/>
  <c r="W511" i="25"/>
  <c r="U512" i="25" a="1"/>
  <c r="U512" i="25"/>
  <c r="V512" i="25" a="1"/>
  <c r="V512" i="25"/>
  <c r="W512" i="25"/>
  <c r="U513" i="25" a="1"/>
  <c r="U513" i="25"/>
  <c r="V513" i="25" a="1"/>
  <c r="V513" i="25"/>
  <c r="W513" i="25"/>
  <c r="U514" i="25" a="1"/>
  <c r="U514" i="25"/>
  <c r="V514" i="25" a="1"/>
  <c r="V514" i="25"/>
  <c r="W514" i="25"/>
  <c r="U515" i="25" a="1"/>
  <c r="U515" i="25"/>
  <c r="V515" i="25" a="1"/>
  <c r="V515" i="25"/>
  <c r="W515" i="25"/>
  <c r="U516" i="25" a="1"/>
  <c r="U516" i="25"/>
  <c r="V516" i="25" a="1"/>
  <c r="V516" i="25"/>
  <c r="W516" i="25"/>
  <c r="U517" i="25" a="1"/>
  <c r="U517" i="25"/>
  <c r="V517" i="25" a="1"/>
  <c r="V517" i="25"/>
  <c r="W517" i="25"/>
  <c r="U518" i="25" a="1"/>
  <c r="U518" i="25"/>
  <c r="V518" i="25" a="1"/>
  <c r="V518" i="25"/>
  <c r="W518" i="25"/>
  <c r="U519" i="25" a="1"/>
  <c r="U519" i="25"/>
  <c r="V519" i="25" a="1"/>
  <c r="V519" i="25"/>
  <c r="W519" i="25"/>
  <c r="U520" i="25" a="1"/>
  <c r="U520" i="25"/>
  <c r="V520" i="25" a="1"/>
  <c r="V520" i="25"/>
  <c r="W520" i="25"/>
  <c r="U521" i="25" a="1"/>
  <c r="U521" i="25"/>
  <c r="V521" i="25" a="1"/>
  <c r="V521" i="25"/>
  <c r="W521" i="25"/>
  <c r="U522" i="25" a="1"/>
  <c r="U522" i="25"/>
  <c r="V522" i="25" a="1"/>
  <c r="V522" i="25"/>
  <c r="W522" i="25"/>
  <c r="U523" i="25" a="1"/>
  <c r="U523" i="25"/>
  <c r="V523" i="25" a="1"/>
  <c r="V523" i="25"/>
  <c r="W523" i="25"/>
  <c r="U524" i="25" a="1"/>
  <c r="U524" i="25"/>
  <c r="V524" i="25" a="1"/>
  <c r="V524" i="25"/>
  <c r="W524" i="25"/>
  <c r="U525" i="25" a="1"/>
  <c r="U525" i="25"/>
  <c r="V525" i="25" a="1"/>
  <c r="V525" i="25"/>
  <c r="W525" i="25"/>
  <c r="U526" i="25" a="1"/>
  <c r="U526" i="25"/>
  <c r="V526" i="25" a="1"/>
  <c r="V526" i="25"/>
  <c r="W526" i="25"/>
  <c r="U527" i="25" a="1"/>
  <c r="U527" i="25"/>
  <c r="V527" i="25" a="1"/>
  <c r="V527" i="25"/>
  <c r="W527" i="25"/>
  <c r="U528" i="25" a="1"/>
  <c r="U528" i="25"/>
  <c r="V528" i="25" a="1"/>
  <c r="V528" i="25"/>
  <c r="W528" i="25"/>
  <c r="U529" i="25" a="1"/>
  <c r="U529" i="25"/>
  <c r="V529" i="25" a="1"/>
  <c r="V529" i="25"/>
  <c r="W529" i="25"/>
  <c r="U530" i="25" a="1"/>
  <c r="U530" i="25"/>
  <c r="V530" i="25" a="1"/>
  <c r="V530" i="25"/>
  <c r="W530" i="25"/>
  <c r="U531" i="25" a="1"/>
  <c r="U531" i="25"/>
  <c r="V531" i="25" a="1"/>
  <c r="V531" i="25"/>
  <c r="W531" i="25"/>
  <c r="U532" i="25" a="1"/>
  <c r="U532" i="25"/>
  <c r="V532" i="25" a="1"/>
  <c r="V532" i="25"/>
  <c r="W532" i="25"/>
  <c r="U533" i="25" a="1"/>
  <c r="U533" i="25"/>
  <c r="V533" i="25" a="1"/>
  <c r="V533" i="25"/>
  <c r="W533" i="25"/>
  <c r="U534" i="25" a="1"/>
  <c r="U534" i="25"/>
  <c r="V534" i="25" a="1"/>
  <c r="V534" i="25"/>
  <c r="W534" i="25"/>
  <c r="U535" i="25" a="1"/>
  <c r="U535" i="25"/>
  <c r="V535" i="25" a="1"/>
  <c r="V535" i="25"/>
  <c r="W535" i="25"/>
  <c r="U536" i="25" a="1"/>
  <c r="U536" i="25"/>
  <c r="V536" i="25" a="1"/>
  <c r="V536" i="25"/>
  <c r="W536" i="25"/>
  <c r="U537" i="25" a="1"/>
  <c r="U537" i="25"/>
  <c r="V537" i="25" a="1"/>
  <c r="V537" i="25"/>
  <c r="W537" i="25"/>
  <c r="U538" i="25" a="1"/>
  <c r="U538" i="25"/>
  <c r="V538" i="25" a="1"/>
  <c r="V538" i="25"/>
  <c r="W538" i="25"/>
  <c r="U539" i="25" a="1"/>
  <c r="U539" i="25"/>
  <c r="V539" i="25" a="1"/>
  <c r="V539" i="25"/>
  <c r="W539" i="25"/>
  <c r="U540" i="25" a="1"/>
  <c r="U540" i="25"/>
  <c r="V540" i="25" a="1"/>
  <c r="V540" i="25"/>
  <c r="W540" i="25"/>
  <c r="U541" i="25" a="1"/>
  <c r="U541" i="25"/>
  <c r="V541" i="25" a="1"/>
  <c r="V541" i="25"/>
  <c r="W541" i="25"/>
  <c r="U542" i="25" a="1"/>
  <c r="U542" i="25"/>
  <c r="V542" i="25" a="1"/>
  <c r="V542" i="25"/>
  <c r="W542" i="25"/>
  <c r="U543" i="25" a="1"/>
  <c r="U543" i="25"/>
  <c r="V543" i="25" a="1"/>
  <c r="V543" i="25"/>
  <c r="W543" i="25"/>
  <c r="U544" i="25" a="1"/>
  <c r="U544" i="25"/>
  <c r="V544" i="25" a="1"/>
  <c r="V544" i="25"/>
  <c r="W544" i="25"/>
  <c r="U545" i="25" a="1"/>
  <c r="U545" i="25"/>
  <c r="V545" i="25" a="1"/>
  <c r="V545" i="25"/>
  <c r="W545" i="25"/>
  <c r="U546" i="25" a="1"/>
  <c r="U546" i="25"/>
  <c r="V546" i="25" a="1"/>
  <c r="V546" i="25"/>
  <c r="W546" i="25"/>
  <c r="U547" i="25" a="1"/>
  <c r="U547" i="25"/>
  <c r="V547" i="25" a="1"/>
  <c r="V547" i="25"/>
  <c r="W547" i="25"/>
  <c r="U548" i="25" a="1"/>
  <c r="U548" i="25"/>
  <c r="V548" i="25" a="1"/>
  <c r="V548" i="25"/>
  <c r="W548" i="25"/>
  <c r="U549" i="25" a="1"/>
  <c r="U549" i="25"/>
  <c r="V549" i="25" a="1"/>
  <c r="V549" i="25"/>
  <c r="W549" i="25"/>
  <c r="U550" i="25" a="1"/>
  <c r="U550" i="25"/>
  <c r="V550" i="25" a="1"/>
  <c r="V550" i="25"/>
  <c r="W550" i="25"/>
  <c r="U551" i="25" a="1"/>
  <c r="U551" i="25"/>
  <c r="V551" i="25" a="1"/>
  <c r="V551" i="25"/>
  <c r="W551" i="25"/>
  <c r="U552" i="25" a="1"/>
  <c r="U552" i="25"/>
  <c r="V552" i="25" a="1"/>
  <c r="V552" i="25"/>
  <c r="W552" i="25"/>
  <c r="U553" i="25" a="1"/>
  <c r="U553" i="25"/>
  <c r="V553" i="25" a="1"/>
  <c r="V553" i="25"/>
  <c r="W553" i="25"/>
  <c r="U554" i="25" a="1"/>
  <c r="U554" i="25"/>
  <c r="V554" i="25" a="1"/>
  <c r="V554" i="25"/>
  <c r="W554" i="25"/>
  <c r="U555" i="25" a="1"/>
  <c r="U555" i="25"/>
  <c r="V555" i="25" a="1"/>
  <c r="V555" i="25"/>
  <c r="W555" i="25"/>
  <c r="U556" i="25" a="1"/>
  <c r="U556" i="25"/>
  <c r="V556" i="25" a="1"/>
  <c r="V556" i="25"/>
  <c r="W556" i="25"/>
  <c r="U557" i="25" a="1"/>
  <c r="U557" i="25"/>
  <c r="V557" i="25" a="1"/>
  <c r="V557" i="25"/>
  <c r="W557" i="25"/>
  <c r="U558" i="25" a="1"/>
  <c r="U558" i="25"/>
  <c r="V558" i="25" a="1"/>
  <c r="V558" i="25"/>
  <c r="W558" i="25"/>
  <c r="U559" i="25" a="1"/>
  <c r="U559" i="25"/>
  <c r="V559" i="25" a="1"/>
  <c r="V559" i="25"/>
  <c r="W559" i="25"/>
  <c r="U560" i="25" a="1"/>
  <c r="U560" i="25"/>
  <c r="V560" i="25" a="1"/>
  <c r="V560" i="25"/>
  <c r="W560" i="25"/>
  <c r="U561" i="25" a="1"/>
  <c r="U561" i="25"/>
  <c r="V561" i="25" a="1"/>
  <c r="V561" i="25"/>
  <c r="W561" i="25"/>
  <c r="U562" i="25" a="1"/>
  <c r="U562" i="25"/>
  <c r="V562" i="25" a="1"/>
  <c r="V562" i="25"/>
  <c r="W562" i="25"/>
  <c r="U563" i="25" a="1"/>
  <c r="U563" i="25"/>
  <c r="V563" i="25" a="1"/>
  <c r="V563" i="25"/>
  <c r="W563" i="25"/>
  <c r="U564" i="25" a="1"/>
  <c r="U564" i="25"/>
  <c r="V564" i="25" a="1"/>
  <c r="V564" i="25"/>
  <c r="W564" i="25"/>
  <c r="U565" i="25" a="1"/>
  <c r="U565" i="25"/>
  <c r="V565" i="25" a="1"/>
  <c r="V565" i="25"/>
  <c r="W565" i="25"/>
  <c r="U566" i="25" a="1"/>
  <c r="U566" i="25"/>
  <c r="V566" i="25" a="1"/>
  <c r="V566" i="25"/>
  <c r="W566" i="25"/>
  <c r="U567" i="25" a="1"/>
  <c r="U567" i="25"/>
  <c r="V567" i="25" a="1"/>
  <c r="V567" i="25"/>
  <c r="W567" i="25"/>
  <c r="U568" i="25" a="1"/>
  <c r="U568" i="25"/>
  <c r="V568" i="25" a="1"/>
  <c r="V568" i="25"/>
  <c r="W568" i="25"/>
  <c r="U569" i="25" a="1"/>
  <c r="U569" i="25"/>
  <c r="V569" i="25" a="1"/>
  <c r="V569" i="25"/>
  <c r="W569" i="25"/>
  <c r="U570" i="25" a="1"/>
  <c r="U570" i="25"/>
  <c r="V570" i="25" a="1"/>
  <c r="V570" i="25"/>
  <c r="W570" i="25"/>
  <c r="U571" i="25" a="1"/>
  <c r="U571" i="25"/>
  <c r="V571" i="25" a="1"/>
  <c r="V571" i="25"/>
  <c r="W571" i="25"/>
  <c r="U572" i="25" a="1"/>
  <c r="U572" i="25"/>
  <c r="V572" i="25" a="1"/>
  <c r="V572" i="25"/>
  <c r="W572" i="25"/>
  <c r="U573" i="25" a="1"/>
  <c r="U573" i="25"/>
  <c r="V573" i="25" a="1"/>
  <c r="V573" i="25"/>
  <c r="W573" i="25"/>
  <c r="U574" i="25" a="1"/>
  <c r="U574" i="25"/>
  <c r="V574" i="25" a="1"/>
  <c r="V574" i="25"/>
  <c r="W574" i="25"/>
  <c r="U575" i="25" a="1"/>
  <c r="U575" i="25"/>
  <c r="V575" i="25" a="1"/>
  <c r="V575" i="25"/>
  <c r="W575" i="25"/>
  <c r="U576" i="25" a="1"/>
  <c r="U576" i="25"/>
  <c r="V576" i="25" a="1"/>
  <c r="V576" i="25"/>
  <c r="W576" i="25"/>
  <c r="U577" i="25" a="1"/>
  <c r="U577" i="25"/>
  <c r="V577" i="25" a="1"/>
  <c r="V577" i="25"/>
  <c r="W577" i="25"/>
  <c r="U578" i="25" a="1"/>
  <c r="U578" i="25"/>
  <c r="V578" i="25" a="1"/>
  <c r="V578" i="25"/>
  <c r="W578" i="25"/>
  <c r="U579" i="25" a="1"/>
  <c r="U579" i="25"/>
  <c r="V579" i="25" a="1"/>
  <c r="V579" i="25"/>
  <c r="W579" i="25"/>
  <c r="U580" i="25" a="1"/>
  <c r="U580" i="25"/>
  <c r="V580" i="25" a="1"/>
  <c r="V580" i="25"/>
  <c r="W580" i="25"/>
  <c r="U581" i="25" a="1"/>
  <c r="U581" i="25"/>
  <c r="V581" i="25" a="1"/>
  <c r="V581" i="25"/>
  <c r="W581" i="25"/>
  <c r="U582" i="25" a="1"/>
  <c r="U582" i="25"/>
  <c r="V582" i="25" a="1"/>
  <c r="V582" i="25"/>
  <c r="W582" i="25"/>
  <c r="U583" i="25" a="1"/>
  <c r="U583" i="25"/>
  <c r="V583" i="25" a="1"/>
  <c r="V583" i="25"/>
  <c r="W583" i="25"/>
  <c r="U584" i="25" a="1"/>
  <c r="U584" i="25"/>
  <c r="V584" i="25" a="1"/>
  <c r="V584" i="25"/>
  <c r="W584" i="25"/>
  <c r="U585" i="25" a="1"/>
  <c r="U585" i="25"/>
  <c r="V585" i="25" a="1"/>
  <c r="V585" i="25"/>
  <c r="W585" i="25"/>
  <c r="U586" i="25" a="1"/>
  <c r="U586" i="25"/>
  <c r="V586" i="25" a="1"/>
  <c r="V586" i="25"/>
  <c r="W586" i="25"/>
  <c r="U587" i="25" a="1"/>
  <c r="U587" i="25"/>
  <c r="V587" i="25" a="1"/>
  <c r="V587" i="25"/>
  <c r="W587" i="25"/>
  <c r="U588" i="25" a="1"/>
  <c r="U588" i="25"/>
  <c r="V588" i="25" a="1"/>
  <c r="V588" i="25"/>
  <c r="W588" i="25"/>
  <c r="U589" i="25" a="1"/>
  <c r="U589" i="25"/>
  <c r="V589" i="25" a="1"/>
  <c r="V589" i="25"/>
  <c r="W589" i="25"/>
  <c r="U590" i="25" a="1"/>
  <c r="U590" i="25"/>
  <c r="V590" i="25" a="1"/>
  <c r="V590" i="25"/>
  <c r="W590" i="25"/>
  <c r="U591" i="25" a="1"/>
  <c r="U591" i="25"/>
  <c r="V591" i="25" a="1"/>
  <c r="V591" i="25"/>
  <c r="W591" i="25"/>
  <c r="U592" i="25" a="1"/>
  <c r="U592" i="25"/>
  <c r="V592" i="25" a="1"/>
  <c r="V592" i="25"/>
  <c r="W592" i="25"/>
  <c r="U593" i="25" a="1"/>
  <c r="U593" i="25"/>
  <c r="V593" i="25" a="1"/>
  <c r="V593" i="25"/>
  <c r="W593" i="25"/>
  <c r="U594" i="25" a="1"/>
  <c r="U594" i="25"/>
  <c r="V594" i="25" a="1"/>
  <c r="V594" i="25"/>
  <c r="W594" i="25"/>
  <c r="U595" i="25" a="1"/>
  <c r="U595" i="25"/>
  <c r="V595" i="25" a="1"/>
  <c r="V595" i="25"/>
  <c r="W595" i="25"/>
  <c r="U596" i="25" a="1"/>
  <c r="U596" i="25"/>
  <c r="V596" i="25" a="1"/>
  <c r="V596" i="25"/>
  <c r="W596" i="25"/>
  <c r="U597" i="25" a="1"/>
  <c r="U597" i="25"/>
  <c r="V597" i="25" a="1"/>
  <c r="V597" i="25"/>
  <c r="W597" i="25"/>
  <c r="U598" i="25" a="1"/>
  <c r="U598" i="25"/>
  <c r="V598" i="25" a="1"/>
  <c r="V598" i="25"/>
  <c r="W598" i="25"/>
  <c r="U599" i="25" a="1"/>
  <c r="U599" i="25"/>
  <c r="V599" i="25" a="1"/>
  <c r="V599" i="25"/>
  <c r="W599" i="25"/>
  <c r="U600" i="25" a="1"/>
  <c r="U600" i="25"/>
  <c r="V600" i="25" a="1"/>
  <c r="V600" i="25"/>
  <c r="W600" i="25"/>
  <c r="U601" i="25" a="1"/>
  <c r="U601" i="25"/>
  <c r="V601" i="25" a="1"/>
  <c r="V601" i="25"/>
  <c r="W601" i="25"/>
  <c r="U602" i="25" a="1"/>
  <c r="U602" i="25"/>
  <c r="V602" i="25" a="1"/>
  <c r="V602" i="25"/>
  <c r="W602" i="25"/>
  <c r="U603" i="25" a="1"/>
  <c r="U603" i="25"/>
  <c r="V603" i="25" a="1"/>
  <c r="V603" i="25"/>
  <c r="W603" i="25"/>
  <c r="U604" i="25" a="1"/>
  <c r="U604" i="25"/>
  <c r="V604" i="25" a="1"/>
  <c r="V604" i="25"/>
  <c r="W604" i="25"/>
  <c r="U605" i="25" a="1"/>
  <c r="U605" i="25"/>
  <c r="V605" i="25" a="1"/>
  <c r="V605" i="25"/>
  <c r="W605" i="25"/>
  <c r="U606" i="25" a="1"/>
  <c r="U606" i="25"/>
  <c r="V606" i="25" a="1"/>
  <c r="V606" i="25"/>
  <c r="W606" i="25"/>
  <c r="U607" i="25" a="1"/>
  <c r="U607" i="25"/>
  <c r="V607" i="25" a="1"/>
  <c r="V607" i="25"/>
  <c r="W607" i="25"/>
  <c r="U608" i="25" a="1"/>
  <c r="U608" i="25"/>
  <c r="V608" i="25" a="1"/>
  <c r="V608" i="25"/>
  <c r="W608" i="25"/>
  <c r="U609" i="25" a="1"/>
  <c r="U609" i="25"/>
  <c r="V609" i="25" a="1"/>
  <c r="V609" i="25"/>
  <c r="W609" i="25"/>
  <c r="U610" i="25" a="1"/>
  <c r="U610" i="25"/>
  <c r="V610" i="25" a="1"/>
  <c r="V610" i="25"/>
  <c r="W610" i="25"/>
  <c r="U611" i="25" a="1"/>
  <c r="U611" i="25"/>
  <c r="V611" i="25" a="1"/>
  <c r="V611" i="25"/>
  <c r="W611" i="25"/>
  <c r="U612" i="25" a="1"/>
  <c r="U612" i="25"/>
  <c r="V612" i="25" a="1"/>
  <c r="V612" i="25"/>
  <c r="W612" i="25"/>
  <c r="U613" i="25" a="1"/>
  <c r="U613" i="25"/>
  <c r="V613" i="25" a="1"/>
  <c r="V613" i="25"/>
  <c r="W613" i="25"/>
  <c r="U614" i="25" a="1"/>
  <c r="U614" i="25"/>
  <c r="V614" i="25" a="1"/>
  <c r="V614" i="25"/>
  <c r="W614" i="25"/>
  <c r="U615" i="25" a="1"/>
  <c r="U615" i="25"/>
  <c r="V615" i="25" a="1"/>
  <c r="V615" i="25"/>
  <c r="W615" i="25"/>
  <c r="U616" i="25" a="1"/>
  <c r="U616" i="25"/>
  <c r="V616" i="25" a="1"/>
  <c r="V616" i="25"/>
  <c r="W616" i="25"/>
  <c r="U617" i="25" a="1"/>
  <c r="U617" i="25"/>
  <c r="V617" i="25" a="1"/>
  <c r="V617" i="25"/>
  <c r="W617" i="25"/>
  <c r="U618" i="25" a="1"/>
  <c r="U618" i="25"/>
  <c r="V618" i="25" a="1"/>
  <c r="V618" i="25"/>
  <c r="W618" i="25"/>
  <c r="U619" i="25" a="1"/>
  <c r="U619" i="25"/>
  <c r="V619" i="25" a="1"/>
  <c r="V619" i="25"/>
  <c r="W619" i="25"/>
  <c r="U620" i="25" a="1"/>
  <c r="U620" i="25"/>
  <c r="V620" i="25" a="1"/>
  <c r="V620" i="25"/>
  <c r="W620" i="25"/>
  <c r="U621" i="25" a="1"/>
  <c r="U621" i="25"/>
  <c r="V621" i="25" a="1"/>
  <c r="V621" i="25"/>
  <c r="W621" i="25"/>
  <c r="U622" i="25" a="1"/>
  <c r="U622" i="25"/>
  <c r="V622" i="25" a="1"/>
  <c r="V622" i="25"/>
  <c r="W622" i="25"/>
  <c r="U623" i="25" a="1"/>
  <c r="U623" i="25"/>
  <c r="V623" i="25" a="1"/>
  <c r="V623" i="25"/>
  <c r="W623" i="25"/>
  <c r="U624" i="25" a="1"/>
  <c r="U624" i="25"/>
  <c r="V624" i="25" a="1"/>
  <c r="V624" i="25"/>
  <c r="W624" i="25"/>
  <c r="U625" i="25" a="1"/>
  <c r="U625" i="25"/>
  <c r="V625" i="25" a="1"/>
  <c r="V625" i="25"/>
  <c r="W625" i="25"/>
  <c r="U626" i="25" a="1"/>
  <c r="U626" i="25"/>
  <c r="V626" i="25" a="1"/>
  <c r="V626" i="25"/>
  <c r="W626" i="25"/>
  <c r="U627" i="25" a="1"/>
  <c r="U627" i="25"/>
  <c r="V627" i="25" a="1"/>
  <c r="V627" i="25"/>
  <c r="W627" i="25"/>
  <c r="U628" i="25" a="1"/>
  <c r="U628" i="25"/>
  <c r="V628" i="25" a="1"/>
  <c r="V628" i="25"/>
  <c r="W628" i="25"/>
  <c r="U629" i="25" a="1"/>
  <c r="U629" i="25"/>
  <c r="V629" i="25" a="1"/>
  <c r="V629" i="25"/>
  <c r="W629" i="25"/>
  <c r="U630" i="25" a="1"/>
  <c r="U630" i="25"/>
  <c r="V630" i="25" a="1"/>
  <c r="V630" i="25"/>
  <c r="W630" i="25"/>
  <c r="U631" i="25" a="1"/>
  <c r="U631" i="25"/>
  <c r="V631" i="25" a="1"/>
  <c r="V631" i="25"/>
  <c r="W631" i="25"/>
  <c r="U632" i="25" a="1"/>
  <c r="U632" i="25"/>
  <c r="V632" i="25" a="1"/>
  <c r="V632" i="25"/>
  <c r="W632" i="25"/>
  <c r="U633" i="25" a="1"/>
  <c r="U633" i="25"/>
  <c r="V633" i="25" a="1"/>
  <c r="V633" i="25"/>
  <c r="W633" i="25"/>
  <c r="U634" i="25" a="1"/>
  <c r="U634" i="25"/>
  <c r="V634" i="25" a="1"/>
  <c r="V634" i="25"/>
  <c r="W634" i="25"/>
  <c r="U635" i="25" a="1"/>
  <c r="U635" i="25"/>
  <c r="V635" i="25" a="1"/>
  <c r="V635" i="25"/>
  <c r="W635" i="25"/>
  <c r="U636" i="25" a="1"/>
  <c r="U636" i="25"/>
  <c r="V636" i="25" a="1"/>
  <c r="V636" i="25"/>
  <c r="W636" i="25"/>
  <c r="U637" i="25" a="1"/>
  <c r="U637" i="25"/>
  <c r="V637" i="25" a="1"/>
  <c r="V637" i="25"/>
  <c r="W637" i="25"/>
  <c r="U638" i="25" a="1"/>
  <c r="U638" i="25"/>
  <c r="V638" i="25" a="1"/>
  <c r="V638" i="25"/>
  <c r="W638" i="25"/>
  <c r="U639" i="25" a="1"/>
  <c r="U639" i="25"/>
  <c r="V639" i="25" a="1"/>
  <c r="V639" i="25"/>
  <c r="W639" i="25"/>
  <c r="U640" i="25" a="1"/>
  <c r="U640" i="25"/>
  <c r="V640" i="25" a="1"/>
  <c r="V640" i="25"/>
  <c r="W640" i="25"/>
  <c r="U641" i="25" a="1"/>
  <c r="U641" i="25"/>
  <c r="V641" i="25" a="1"/>
  <c r="V641" i="25"/>
  <c r="W641" i="25"/>
  <c r="U642" i="25" a="1"/>
  <c r="U642" i="25"/>
  <c r="V642" i="25" a="1"/>
  <c r="V642" i="25"/>
  <c r="W642" i="25"/>
  <c r="U643" i="25" a="1"/>
  <c r="U643" i="25"/>
  <c r="V643" i="25" a="1"/>
  <c r="V643" i="25"/>
  <c r="W643" i="25"/>
  <c r="U644" i="25" a="1"/>
  <c r="U644" i="25"/>
  <c r="V644" i="25" a="1"/>
  <c r="V644" i="25"/>
  <c r="W644" i="25"/>
  <c r="U645" i="25" a="1"/>
  <c r="U645" i="25"/>
  <c r="V645" i="25" a="1"/>
  <c r="V645" i="25"/>
  <c r="W645" i="25"/>
  <c r="U646" i="25" a="1"/>
  <c r="U646" i="25"/>
  <c r="V646" i="25" a="1"/>
  <c r="V646" i="25"/>
  <c r="W646" i="25"/>
  <c r="U647" i="25" a="1"/>
  <c r="U647" i="25"/>
  <c r="V647" i="25" a="1"/>
  <c r="V647" i="25"/>
  <c r="W647" i="25"/>
  <c r="U648" i="25" a="1"/>
  <c r="U648" i="25"/>
  <c r="V648" i="25" a="1"/>
  <c r="V648" i="25"/>
  <c r="W648" i="25"/>
  <c r="U649" i="25" a="1"/>
  <c r="U649" i="25"/>
  <c r="V649" i="25" a="1"/>
  <c r="V649" i="25"/>
  <c r="W649" i="25"/>
  <c r="U650" i="25" a="1"/>
  <c r="U650" i="25"/>
  <c r="V650" i="25" a="1"/>
  <c r="V650" i="25"/>
  <c r="W650" i="25"/>
  <c r="U651" i="25" a="1"/>
  <c r="U651" i="25"/>
  <c r="V651" i="25" a="1"/>
  <c r="V651" i="25"/>
  <c r="W651" i="25"/>
  <c r="U652" i="25" a="1"/>
  <c r="U652" i="25"/>
  <c r="V652" i="25" a="1"/>
  <c r="V652" i="25"/>
  <c r="W652" i="25"/>
  <c r="U653" i="25" a="1"/>
  <c r="U653" i="25"/>
  <c r="V653" i="25" a="1"/>
  <c r="V653" i="25"/>
  <c r="W653" i="25"/>
  <c r="U654" i="25" a="1"/>
  <c r="U654" i="25"/>
  <c r="V654" i="25" a="1"/>
  <c r="V654" i="25"/>
  <c r="W654" i="25"/>
  <c r="U655" i="25" a="1"/>
  <c r="U655" i="25"/>
  <c r="V655" i="25" a="1"/>
  <c r="V655" i="25"/>
  <c r="W655" i="25"/>
  <c r="U656" i="25" a="1"/>
  <c r="U656" i="25"/>
  <c r="V656" i="25" a="1"/>
  <c r="V656" i="25"/>
  <c r="W656" i="25"/>
  <c r="U657" i="25" a="1"/>
  <c r="U657" i="25"/>
  <c r="V657" i="25" a="1"/>
  <c r="V657" i="25"/>
  <c r="W657" i="25"/>
  <c r="U658" i="25" a="1"/>
  <c r="U658" i="25"/>
  <c r="V658" i="25" a="1"/>
  <c r="V658" i="25"/>
  <c r="W658" i="25"/>
  <c r="U659" i="25" a="1"/>
  <c r="U659" i="25"/>
  <c r="V659" i="25" a="1"/>
  <c r="V659" i="25"/>
  <c r="W659" i="25"/>
  <c r="U660" i="25" a="1"/>
  <c r="U660" i="25"/>
  <c r="V660" i="25" a="1"/>
  <c r="V660" i="25"/>
  <c r="W660" i="25"/>
  <c r="U661" i="25" a="1"/>
  <c r="U661" i="25"/>
  <c r="V661" i="25" a="1"/>
  <c r="V661" i="25"/>
  <c r="W661" i="25"/>
  <c r="U662" i="25" a="1"/>
  <c r="U662" i="25"/>
  <c r="V662" i="25" a="1"/>
  <c r="V662" i="25"/>
  <c r="W662" i="25"/>
  <c r="U663" i="25" a="1"/>
  <c r="U663" i="25"/>
  <c r="V663" i="25" a="1"/>
  <c r="V663" i="25"/>
  <c r="W663" i="25"/>
  <c r="U664" i="25" a="1"/>
  <c r="U664" i="25"/>
  <c r="V664" i="25" a="1"/>
  <c r="V664" i="25"/>
  <c r="W664" i="25"/>
  <c r="U665" i="25" a="1"/>
  <c r="U665" i="25"/>
  <c r="V665" i="25" a="1"/>
  <c r="V665" i="25"/>
  <c r="W665" i="25"/>
  <c r="U666" i="25" a="1"/>
  <c r="U666" i="25"/>
  <c r="V666" i="25" a="1"/>
  <c r="V666" i="25"/>
  <c r="W666" i="25"/>
  <c r="U667" i="25" a="1"/>
  <c r="U667" i="25"/>
  <c r="V667" i="25" a="1"/>
  <c r="V667" i="25"/>
  <c r="W667" i="25"/>
  <c r="U668" i="25" a="1"/>
  <c r="U668" i="25"/>
  <c r="V668" i="25" a="1"/>
  <c r="V668" i="25"/>
  <c r="W668" i="25"/>
  <c r="U669" i="25" a="1"/>
  <c r="U669" i="25"/>
  <c r="V669" i="25" a="1"/>
  <c r="V669" i="25"/>
  <c r="W669" i="25"/>
  <c r="U670" i="25" a="1"/>
  <c r="U670" i="25"/>
  <c r="V670" i="25" a="1"/>
  <c r="V670" i="25"/>
  <c r="W670" i="25"/>
  <c r="U671" i="25" a="1"/>
  <c r="U671" i="25"/>
  <c r="V671" i="25" a="1"/>
  <c r="V671" i="25"/>
  <c r="W671" i="25"/>
  <c r="U672" i="25" a="1"/>
  <c r="U672" i="25"/>
  <c r="V672" i="25" a="1"/>
  <c r="V672" i="25"/>
  <c r="W672" i="25"/>
  <c r="U673" i="25" a="1"/>
  <c r="U673" i="25"/>
  <c r="V673" i="25" a="1"/>
  <c r="V673" i="25"/>
  <c r="W673" i="25"/>
  <c r="U674" i="25" a="1"/>
  <c r="U674" i="25"/>
  <c r="V674" i="25" a="1"/>
  <c r="V674" i="25"/>
  <c r="W674" i="25"/>
  <c r="U675" i="25" a="1"/>
  <c r="U675" i="25"/>
  <c r="V675" i="25" a="1"/>
  <c r="V675" i="25"/>
  <c r="W675" i="25"/>
  <c r="U676" i="25" a="1"/>
  <c r="U676" i="25"/>
  <c r="V676" i="25" a="1"/>
  <c r="V676" i="25"/>
  <c r="W676" i="25"/>
  <c r="U677" i="25" a="1"/>
  <c r="U677" i="25"/>
  <c r="V677" i="25" a="1"/>
  <c r="V677" i="25"/>
  <c r="W677" i="25"/>
  <c r="U678" i="25" a="1"/>
  <c r="U678" i="25"/>
  <c r="V678" i="25" a="1"/>
  <c r="V678" i="25"/>
  <c r="W678" i="25"/>
  <c r="U679" i="25" a="1"/>
  <c r="U679" i="25"/>
  <c r="V679" i="25" a="1"/>
  <c r="V679" i="25"/>
  <c r="W679" i="25"/>
  <c r="U680" i="25" a="1"/>
  <c r="U680" i="25"/>
  <c r="V680" i="25" a="1"/>
  <c r="V680" i="25"/>
  <c r="W680" i="25"/>
  <c r="U681" i="25" a="1"/>
  <c r="U681" i="25"/>
  <c r="V681" i="25" a="1"/>
  <c r="V681" i="25"/>
  <c r="W681" i="25"/>
  <c r="U682" i="25" a="1"/>
  <c r="U682" i="25"/>
  <c r="V682" i="25" a="1"/>
  <c r="V682" i="25"/>
  <c r="W682" i="25"/>
  <c r="U683" i="25" a="1"/>
  <c r="U683" i="25"/>
  <c r="V683" i="25" a="1"/>
  <c r="V683" i="25"/>
  <c r="W683" i="25"/>
  <c r="U684" i="25" a="1"/>
  <c r="U684" i="25"/>
  <c r="V684" i="25" a="1"/>
  <c r="V684" i="25"/>
  <c r="W684" i="25"/>
  <c r="U685" i="25" a="1"/>
  <c r="U685" i="25"/>
  <c r="V685" i="25" a="1"/>
  <c r="V685" i="25"/>
  <c r="W685" i="25"/>
  <c r="U686" i="25" a="1"/>
  <c r="U686" i="25"/>
  <c r="V686" i="25" a="1"/>
  <c r="V686" i="25"/>
  <c r="W686" i="25"/>
  <c r="U687" i="25" a="1"/>
  <c r="U687" i="25"/>
  <c r="V687" i="25" a="1"/>
  <c r="V687" i="25"/>
  <c r="W687" i="25"/>
  <c r="U688" i="25" a="1"/>
  <c r="U688" i="25"/>
  <c r="V688" i="25" a="1"/>
  <c r="V688" i="25"/>
  <c r="W688" i="25"/>
  <c r="U689" i="25" a="1"/>
  <c r="U689" i="25"/>
  <c r="V689" i="25" a="1"/>
  <c r="V689" i="25"/>
  <c r="W689" i="25"/>
  <c r="U690" i="25" a="1"/>
  <c r="U690" i="25"/>
  <c r="V690" i="25" a="1"/>
  <c r="V690" i="25"/>
  <c r="W690" i="25"/>
  <c r="U691" i="25" a="1"/>
  <c r="U691" i="25"/>
  <c r="V691" i="25" a="1"/>
  <c r="V691" i="25"/>
  <c r="W691" i="25"/>
  <c r="U692" i="25" a="1"/>
  <c r="U692" i="25"/>
  <c r="V692" i="25" a="1"/>
  <c r="V692" i="25"/>
  <c r="W692" i="25"/>
  <c r="U693" i="25" a="1"/>
  <c r="U693" i="25"/>
  <c r="V693" i="25" a="1"/>
  <c r="V693" i="25"/>
  <c r="W693" i="25"/>
  <c r="U694" i="25" a="1"/>
  <c r="U694" i="25"/>
  <c r="V694" i="25" a="1"/>
  <c r="V694" i="25"/>
  <c r="W694" i="25"/>
  <c r="U695" i="25" a="1"/>
  <c r="U695" i="25"/>
  <c r="V695" i="25" a="1"/>
  <c r="V695" i="25"/>
  <c r="W695" i="25"/>
  <c r="U696" i="25" a="1"/>
  <c r="U696" i="25"/>
  <c r="V696" i="25" a="1"/>
  <c r="V696" i="25"/>
  <c r="W696" i="25"/>
  <c r="U697" i="25" a="1"/>
  <c r="U697" i="25"/>
  <c r="V697" i="25" a="1"/>
  <c r="V697" i="25"/>
  <c r="W697" i="25"/>
  <c r="U698" i="25" a="1"/>
  <c r="U698" i="25"/>
  <c r="V698" i="25" a="1"/>
  <c r="V698" i="25"/>
  <c r="W698" i="25"/>
  <c r="U699" i="25" a="1"/>
  <c r="U699" i="25"/>
  <c r="V699" i="25" a="1"/>
  <c r="V699" i="25"/>
  <c r="W699" i="25"/>
  <c r="U700" i="25" a="1"/>
  <c r="U700" i="25"/>
  <c r="V700" i="25" a="1"/>
  <c r="V700" i="25"/>
  <c r="W700" i="25"/>
  <c r="U701" i="25" a="1"/>
  <c r="U701" i="25"/>
  <c r="V701" i="25" a="1"/>
  <c r="V701" i="25"/>
  <c r="W701" i="25"/>
  <c r="U702" i="25" a="1"/>
  <c r="U702" i="25"/>
  <c r="V702" i="25" a="1"/>
  <c r="V702" i="25"/>
  <c r="W702" i="25"/>
  <c r="U703" i="25" a="1"/>
  <c r="U703" i="25"/>
  <c r="V703" i="25" a="1"/>
  <c r="V703" i="25"/>
  <c r="W703" i="25"/>
  <c r="U704" i="25" a="1"/>
  <c r="U704" i="25"/>
  <c r="V704" i="25" a="1"/>
  <c r="V704" i="25"/>
  <c r="W704" i="25"/>
  <c r="U705" i="25" a="1"/>
  <c r="U705" i="25"/>
  <c r="V705" i="25" a="1"/>
  <c r="V705" i="25"/>
  <c r="W705" i="25"/>
  <c r="U706" i="25" a="1"/>
  <c r="U706" i="25"/>
  <c r="V706" i="25" a="1"/>
  <c r="V706" i="25"/>
  <c r="W706" i="25"/>
  <c r="U707" i="25" a="1"/>
  <c r="U707" i="25"/>
  <c r="V707" i="25" a="1"/>
  <c r="V707" i="25"/>
  <c r="W707" i="25"/>
  <c r="U708" i="25" a="1"/>
  <c r="U708" i="25"/>
  <c r="V708" i="25" a="1"/>
  <c r="V708" i="25"/>
  <c r="W708" i="25"/>
  <c r="U709" i="25" a="1"/>
  <c r="U709" i="25"/>
  <c r="V709" i="25" a="1"/>
  <c r="V709" i="25"/>
  <c r="W709" i="25"/>
  <c r="U710" i="25" a="1"/>
  <c r="U710" i="25"/>
  <c r="V710" i="25" a="1"/>
  <c r="V710" i="25"/>
  <c r="W710" i="25"/>
  <c r="U711" i="25" a="1"/>
  <c r="U711" i="25"/>
  <c r="V711" i="25" a="1"/>
  <c r="V711" i="25"/>
  <c r="W711" i="25"/>
  <c r="U712" i="25" a="1"/>
  <c r="U712" i="25"/>
  <c r="V712" i="25" a="1"/>
  <c r="V712" i="25"/>
  <c r="W712" i="25"/>
  <c r="U713" i="25" a="1"/>
  <c r="U713" i="25"/>
  <c r="V713" i="25" a="1"/>
  <c r="V713" i="25"/>
  <c r="W713" i="25"/>
  <c r="U714" i="25" a="1"/>
  <c r="U714" i="25"/>
  <c r="V714" i="25" a="1"/>
  <c r="V714" i="25"/>
  <c r="W714" i="25"/>
  <c r="U715" i="25" a="1"/>
  <c r="U715" i="25"/>
  <c r="V715" i="25" a="1"/>
  <c r="V715" i="25"/>
  <c r="W715" i="25"/>
  <c r="U716" i="25" a="1"/>
  <c r="U716" i="25"/>
  <c r="V716" i="25" a="1"/>
  <c r="V716" i="25"/>
  <c r="W716" i="25"/>
  <c r="U717" i="25" a="1"/>
  <c r="U717" i="25"/>
  <c r="V717" i="25" a="1"/>
  <c r="V717" i="25"/>
  <c r="W717" i="25"/>
  <c r="U718" i="25" a="1"/>
  <c r="U718" i="25"/>
  <c r="V718" i="25" a="1"/>
  <c r="V718" i="25"/>
  <c r="W718" i="25"/>
  <c r="U719" i="25" a="1"/>
  <c r="U719" i="25"/>
  <c r="V719" i="25" a="1"/>
  <c r="V719" i="25"/>
  <c r="W719" i="25"/>
  <c r="U720" i="25" a="1"/>
  <c r="U720" i="25"/>
  <c r="V720" i="25" a="1"/>
  <c r="V720" i="25"/>
  <c r="W720" i="25"/>
  <c r="U721" i="25" a="1"/>
  <c r="U721" i="25"/>
  <c r="V721" i="25" a="1"/>
  <c r="V721" i="25"/>
  <c r="W721" i="25"/>
  <c r="U722" i="25" a="1"/>
  <c r="U722" i="25"/>
  <c r="V722" i="25" a="1"/>
  <c r="V722" i="25"/>
  <c r="W722" i="25"/>
  <c r="U723" i="25" a="1"/>
  <c r="U723" i="25"/>
  <c r="V723" i="25" a="1"/>
  <c r="V723" i="25"/>
  <c r="W723" i="25"/>
  <c r="U724" i="25" a="1"/>
  <c r="U724" i="25"/>
  <c r="V724" i="25" a="1"/>
  <c r="V724" i="25"/>
  <c r="W724" i="25"/>
  <c r="U725" i="25" a="1"/>
  <c r="U725" i="25"/>
  <c r="V725" i="25" a="1"/>
  <c r="V725" i="25"/>
  <c r="W725" i="25"/>
  <c r="U726" i="25" a="1"/>
  <c r="U726" i="25"/>
  <c r="V726" i="25" a="1"/>
  <c r="V726" i="25"/>
  <c r="W726" i="25"/>
  <c r="U727" i="25" a="1"/>
  <c r="U727" i="25"/>
  <c r="V727" i="25" a="1"/>
  <c r="V727" i="25"/>
  <c r="W727" i="25"/>
  <c r="U728" i="25" a="1"/>
  <c r="U728" i="25"/>
  <c r="V728" i="25" a="1"/>
  <c r="V728" i="25"/>
  <c r="W728" i="25"/>
  <c r="U729" i="25" a="1"/>
  <c r="U729" i="25"/>
  <c r="V729" i="25" a="1"/>
  <c r="V729" i="25"/>
  <c r="W729" i="25"/>
  <c r="U730" i="25" a="1"/>
  <c r="U730" i="25"/>
  <c r="V730" i="25" a="1"/>
  <c r="V730" i="25"/>
  <c r="W730" i="25"/>
  <c r="U731" i="25" a="1"/>
  <c r="U731" i="25"/>
  <c r="V731" i="25" a="1"/>
  <c r="V731" i="25"/>
  <c r="W731" i="25"/>
  <c r="U732" i="25" a="1"/>
  <c r="U732" i="25"/>
  <c r="V732" i="25" a="1"/>
  <c r="V732" i="25"/>
  <c r="W732" i="25"/>
  <c r="U733" i="25" a="1"/>
  <c r="U733" i="25"/>
  <c r="V733" i="25" a="1"/>
  <c r="V733" i="25"/>
  <c r="W733" i="25"/>
  <c r="U734" i="25" a="1"/>
  <c r="U734" i="25"/>
  <c r="V734" i="25" a="1"/>
  <c r="V734" i="25"/>
  <c r="W734" i="25"/>
  <c r="U735" i="25" a="1"/>
  <c r="U735" i="25"/>
  <c r="V735" i="25" a="1"/>
  <c r="V735" i="25"/>
  <c r="W735" i="25"/>
  <c r="U736" i="25" a="1"/>
  <c r="U736" i="25"/>
  <c r="V736" i="25" a="1"/>
  <c r="V736" i="25"/>
  <c r="W736" i="25"/>
  <c r="U737" i="25" a="1"/>
  <c r="U737" i="25"/>
  <c r="V737" i="25" a="1"/>
  <c r="V737" i="25"/>
  <c r="W737" i="25"/>
  <c r="U738" i="25" a="1"/>
  <c r="U738" i="25"/>
  <c r="V738" i="25" a="1"/>
  <c r="V738" i="25"/>
  <c r="W738" i="25"/>
  <c r="U739" i="25" a="1"/>
  <c r="U739" i="25"/>
  <c r="V739" i="25" a="1"/>
  <c r="V739" i="25"/>
  <c r="W739" i="25"/>
  <c r="U740" i="25" a="1"/>
  <c r="U740" i="25"/>
  <c r="V740" i="25" a="1"/>
  <c r="V740" i="25"/>
  <c r="W740" i="25"/>
  <c r="U741" i="25" a="1"/>
  <c r="U741" i="25"/>
  <c r="V741" i="25" a="1"/>
  <c r="V741" i="25"/>
  <c r="W741" i="25"/>
  <c r="U742" i="25" a="1"/>
  <c r="U742" i="25"/>
  <c r="V742" i="25" a="1"/>
  <c r="V742" i="25"/>
  <c r="W742" i="25"/>
  <c r="U743" i="25" a="1"/>
  <c r="U743" i="25"/>
  <c r="V743" i="25" a="1"/>
  <c r="V743" i="25"/>
  <c r="W743" i="25"/>
  <c r="U744" i="25" a="1"/>
  <c r="U744" i="25"/>
  <c r="V744" i="25" a="1"/>
  <c r="V744" i="25"/>
  <c r="W744" i="25"/>
  <c r="U745" i="25" a="1"/>
  <c r="U745" i="25"/>
  <c r="V745" i="25" a="1"/>
  <c r="V745" i="25"/>
  <c r="W745" i="25"/>
  <c r="U746" i="25" a="1"/>
  <c r="U746" i="25"/>
  <c r="V746" i="25" a="1"/>
  <c r="V746" i="25"/>
  <c r="W746" i="25"/>
  <c r="U747" i="25" a="1"/>
  <c r="U747" i="25"/>
  <c r="V747" i="25" a="1"/>
  <c r="V747" i="25"/>
  <c r="W747" i="25"/>
  <c r="U748" i="25" a="1"/>
  <c r="U748" i="25"/>
  <c r="V748" i="25" a="1"/>
  <c r="V748" i="25"/>
  <c r="W748" i="25"/>
  <c r="U749" i="25" a="1"/>
  <c r="U749" i="25"/>
  <c r="V749" i="25" a="1"/>
  <c r="V749" i="25"/>
  <c r="W749" i="25"/>
  <c r="U750" i="25" a="1"/>
  <c r="U750" i="25"/>
  <c r="V750" i="25" a="1"/>
  <c r="V750" i="25"/>
  <c r="W750" i="25"/>
  <c r="U751" i="25" a="1"/>
  <c r="U751" i="25"/>
  <c r="V751" i="25" a="1"/>
  <c r="V751" i="25"/>
  <c r="W751" i="25"/>
  <c r="U752" i="25" a="1"/>
  <c r="U752" i="25"/>
  <c r="V752" i="25" a="1"/>
  <c r="V752" i="25"/>
  <c r="W752" i="25"/>
  <c r="U753" i="25" a="1"/>
  <c r="U753" i="25"/>
  <c r="V753" i="25" a="1"/>
  <c r="V753" i="25"/>
  <c r="W753" i="25"/>
  <c r="U754" i="25" a="1"/>
  <c r="U754" i="25"/>
  <c r="V754" i="25" a="1"/>
  <c r="V754" i="25"/>
  <c r="W754" i="25"/>
  <c r="U755" i="25" a="1"/>
  <c r="U755" i="25"/>
  <c r="V755" i="25" a="1"/>
  <c r="V755" i="25"/>
  <c r="W755" i="25"/>
  <c r="U756" i="25" a="1"/>
  <c r="U756" i="25"/>
  <c r="V756" i="25" a="1"/>
  <c r="V756" i="25"/>
  <c r="W756" i="25"/>
  <c r="U757" i="25" a="1"/>
  <c r="U757" i="25"/>
  <c r="V757" i="25" a="1"/>
  <c r="V757" i="25"/>
  <c r="W757" i="25"/>
  <c r="U758" i="25" a="1"/>
  <c r="U758" i="25"/>
  <c r="V758" i="25" a="1"/>
  <c r="V758" i="25"/>
  <c r="W758" i="25"/>
  <c r="U759" i="25" a="1"/>
  <c r="U759" i="25"/>
  <c r="V759" i="25" a="1"/>
  <c r="V759" i="25"/>
  <c r="W759" i="25"/>
  <c r="U760" i="25" a="1"/>
  <c r="U760" i="25"/>
  <c r="V760" i="25" a="1"/>
  <c r="V760" i="25"/>
  <c r="W760" i="25"/>
  <c r="U761" i="25" a="1"/>
  <c r="U761" i="25"/>
  <c r="V761" i="25" a="1"/>
  <c r="V761" i="25"/>
  <c r="W761" i="25"/>
  <c r="U762" i="25" a="1"/>
  <c r="U762" i="25"/>
  <c r="V762" i="25" a="1"/>
  <c r="V762" i="25"/>
  <c r="W762" i="25"/>
  <c r="U763" i="25" a="1"/>
  <c r="U763" i="25"/>
  <c r="V763" i="25" a="1"/>
  <c r="V763" i="25"/>
  <c r="W763" i="25"/>
  <c r="U764" i="25" a="1"/>
  <c r="U764" i="25"/>
  <c r="V764" i="25" a="1"/>
  <c r="V764" i="25"/>
  <c r="W764" i="25"/>
  <c r="U765" i="25" a="1"/>
  <c r="U765" i="25"/>
  <c r="V765" i="25" a="1"/>
  <c r="V765" i="25"/>
  <c r="W765" i="25"/>
  <c r="U766" i="25" a="1"/>
  <c r="U766" i="25"/>
  <c r="V766" i="25" a="1"/>
  <c r="V766" i="25"/>
  <c r="W766" i="25"/>
  <c r="U767" i="25" a="1"/>
  <c r="U767" i="25"/>
  <c r="V767" i="25" a="1"/>
  <c r="V767" i="25"/>
  <c r="W767" i="25"/>
  <c r="U768" i="25" a="1"/>
  <c r="U768" i="25"/>
  <c r="V768" i="25" a="1"/>
  <c r="V768" i="25"/>
  <c r="W768" i="25"/>
  <c r="U769" i="25" a="1"/>
  <c r="U769" i="25"/>
  <c r="V769" i="25" a="1"/>
  <c r="V769" i="25"/>
  <c r="W769" i="25"/>
  <c r="U770" i="25" a="1"/>
  <c r="U770" i="25"/>
  <c r="V770" i="25" a="1"/>
  <c r="V770" i="25"/>
  <c r="W770" i="25"/>
  <c r="U771" i="25" a="1"/>
  <c r="U771" i="25"/>
  <c r="V771" i="25" a="1"/>
  <c r="V771" i="25"/>
  <c r="W771" i="25"/>
  <c r="U772" i="25" a="1"/>
  <c r="U772" i="25"/>
  <c r="V772" i="25" a="1"/>
  <c r="V772" i="25"/>
  <c r="W772" i="25"/>
  <c r="U773" i="25" a="1"/>
  <c r="U773" i="25"/>
  <c r="V773" i="25" a="1"/>
  <c r="V773" i="25"/>
  <c r="W773" i="25"/>
  <c r="U774" i="25" a="1"/>
  <c r="U774" i="25"/>
  <c r="V774" i="25" a="1"/>
  <c r="V774" i="25"/>
  <c r="W774" i="25"/>
  <c r="U775" i="25" a="1"/>
  <c r="U775" i="25"/>
  <c r="V775" i="25" a="1"/>
  <c r="V775" i="25"/>
  <c r="W775" i="25"/>
  <c r="U776" i="25" a="1"/>
  <c r="U776" i="25"/>
  <c r="V776" i="25" a="1"/>
  <c r="V776" i="25"/>
  <c r="W776" i="25"/>
  <c r="U777" i="25" a="1"/>
  <c r="U777" i="25"/>
  <c r="V777" i="25" a="1"/>
  <c r="V777" i="25"/>
  <c r="W777" i="25"/>
  <c r="U778" i="25" a="1"/>
  <c r="U778" i="25"/>
  <c r="V778" i="25" a="1"/>
  <c r="V778" i="25"/>
  <c r="W778" i="25"/>
  <c r="U779" i="25" a="1"/>
  <c r="U779" i="25"/>
  <c r="V779" i="25" a="1"/>
  <c r="V779" i="25"/>
  <c r="W779" i="25"/>
  <c r="U780" i="25" a="1"/>
  <c r="U780" i="25"/>
  <c r="V780" i="25" a="1"/>
  <c r="V780" i="25"/>
  <c r="W780" i="25"/>
  <c r="U781" i="25" a="1"/>
  <c r="U781" i="25"/>
  <c r="V781" i="25" a="1"/>
  <c r="V781" i="25"/>
  <c r="W781" i="25"/>
  <c r="U782" i="25" a="1"/>
  <c r="U782" i="25"/>
  <c r="V782" i="25" a="1"/>
  <c r="V782" i="25"/>
  <c r="W782" i="25"/>
  <c r="U783" i="25" a="1"/>
  <c r="U783" i="25"/>
  <c r="V783" i="25" a="1"/>
  <c r="V783" i="25"/>
  <c r="W783" i="25"/>
  <c r="U784" i="25" a="1"/>
  <c r="U784" i="25"/>
  <c r="V784" i="25" a="1"/>
  <c r="V784" i="25"/>
  <c r="W784" i="25"/>
  <c r="U785" i="25" a="1"/>
  <c r="U785" i="25"/>
  <c r="V785" i="25" a="1"/>
  <c r="V785" i="25"/>
  <c r="W785" i="25"/>
  <c r="U786" i="25" a="1"/>
  <c r="U786" i="25"/>
  <c r="V786" i="25" a="1"/>
  <c r="V786" i="25"/>
  <c r="W786" i="25"/>
  <c r="U787" i="25" a="1"/>
  <c r="U787" i="25"/>
  <c r="V787" i="25" a="1"/>
  <c r="V787" i="25"/>
  <c r="W787" i="25"/>
  <c r="U788" i="25" a="1"/>
  <c r="U788" i="25"/>
  <c r="V788" i="25" a="1"/>
  <c r="V788" i="25"/>
  <c r="W788" i="25"/>
  <c r="U789" i="25" a="1"/>
  <c r="U789" i="25"/>
  <c r="V789" i="25" a="1"/>
  <c r="V789" i="25"/>
  <c r="W789" i="25"/>
  <c r="U790" i="25" a="1"/>
  <c r="U790" i="25"/>
  <c r="V790" i="25" a="1"/>
  <c r="V790" i="25"/>
  <c r="W790" i="25"/>
  <c r="U791" i="25" a="1"/>
  <c r="U791" i="25"/>
  <c r="V791" i="25" a="1"/>
  <c r="V791" i="25"/>
  <c r="W791" i="25"/>
  <c r="U792" i="25" a="1"/>
  <c r="U792" i="25"/>
  <c r="V792" i="25" a="1"/>
  <c r="V792" i="25"/>
  <c r="W792" i="25"/>
  <c r="U793" i="25" a="1"/>
  <c r="U793" i="25"/>
  <c r="V793" i="25" a="1"/>
  <c r="V793" i="25"/>
  <c r="W793" i="25"/>
  <c r="U794" i="25" a="1"/>
  <c r="U794" i="25"/>
  <c r="V794" i="25" a="1"/>
  <c r="V794" i="25"/>
  <c r="W794" i="25"/>
  <c r="U795" i="25" a="1"/>
  <c r="U795" i="25"/>
  <c r="V795" i="25" a="1"/>
  <c r="V795" i="25"/>
  <c r="W795" i="25"/>
  <c r="U796" i="25" a="1"/>
  <c r="U796" i="25"/>
  <c r="V796" i="25" a="1"/>
  <c r="V796" i="25"/>
  <c r="W796" i="25"/>
  <c r="U797" i="25" a="1"/>
  <c r="U797" i="25"/>
  <c r="V797" i="25" a="1"/>
  <c r="V797" i="25"/>
  <c r="W797" i="25"/>
  <c r="U798" i="25" a="1"/>
  <c r="U798" i="25"/>
  <c r="V798" i="25" a="1"/>
  <c r="V798" i="25"/>
  <c r="W798" i="25"/>
  <c r="U799" i="25" a="1"/>
  <c r="U799" i="25"/>
  <c r="V799" i="25" a="1"/>
  <c r="V799" i="25"/>
  <c r="W799" i="25"/>
  <c r="U800" i="25" a="1"/>
  <c r="U800" i="25"/>
  <c r="V800" i="25" a="1"/>
  <c r="V800" i="25"/>
  <c r="W800" i="25"/>
  <c r="U801" i="25" a="1"/>
  <c r="U801" i="25"/>
  <c r="V801" i="25" a="1"/>
  <c r="V801" i="25"/>
  <c r="W801" i="25"/>
  <c r="U802" i="25" a="1"/>
  <c r="U802" i="25"/>
  <c r="V802" i="25" a="1"/>
  <c r="V802" i="25"/>
  <c r="W802" i="25"/>
  <c r="U803" i="25" a="1"/>
  <c r="U803" i="25"/>
  <c r="V803" i="25" a="1"/>
  <c r="V803" i="25"/>
  <c r="W803" i="25"/>
  <c r="U804" i="25" a="1"/>
  <c r="U804" i="25"/>
  <c r="V804" i="25" a="1"/>
  <c r="V804" i="25"/>
  <c r="W804" i="25"/>
  <c r="U805" i="25" a="1"/>
  <c r="U805" i="25"/>
  <c r="V805" i="25" a="1"/>
  <c r="V805" i="25"/>
  <c r="W805" i="25"/>
  <c r="U806" i="25" a="1"/>
  <c r="U806" i="25"/>
  <c r="V806" i="25" a="1"/>
  <c r="V806" i="25"/>
  <c r="W806" i="25"/>
  <c r="U807" i="25" a="1"/>
  <c r="U807" i="25"/>
  <c r="V807" i="25" a="1"/>
  <c r="V807" i="25"/>
  <c r="W807" i="25"/>
  <c r="U808" i="25" a="1"/>
  <c r="U808" i="25"/>
  <c r="V808" i="25" a="1"/>
  <c r="V808" i="25"/>
  <c r="W808" i="25"/>
  <c r="U809" i="25" a="1"/>
  <c r="U809" i="25"/>
  <c r="V809" i="25" a="1"/>
  <c r="V809" i="25"/>
  <c r="W809" i="25"/>
  <c r="U810" i="25" a="1"/>
  <c r="U810" i="25"/>
  <c r="V810" i="25" a="1"/>
  <c r="V810" i="25"/>
  <c r="W810" i="25"/>
  <c r="U811" i="25" a="1"/>
  <c r="U811" i="25"/>
  <c r="V811" i="25" a="1"/>
  <c r="V811" i="25"/>
  <c r="W811" i="25"/>
  <c r="U812" i="25" a="1"/>
  <c r="U812" i="25"/>
  <c r="V812" i="25" a="1"/>
  <c r="V812" i="25"/>
  <c r="W812" i="25"/>
  <c r="U813" i="25" a="1"/>
  <c r="U813" i="25"/>
  <c r="V813" i="25" a="1"/>
  <c r="V813" i="25"/>
  <c r="W813" i="25"/>
  <c r="U814" i="25" a="1"/>
  <c r="U814" i="25"/>
  <c r="V814" i="25" a="1"/>
  <c r="V814" i="25"/>
  <c r="W814" i="25"/>
  <c r="U815" i="25" a="1"/>
  <c r="U815" i="25"/>
  <c r="V815" i="25" a="1"/>
  <c r="V815" i="25"/>
  <c r="W815" i="25"/>
  <c r="U816" i="25" a="1"/>
  <c r="U816" i="25"/>
  <c r="V816" i="25" a="1"/>
  <c r="V816" i="25"/>
  <c r="W816" i="25"/>
  <c r="U817" i="25" a="1"/>
  <c r="U817" i="25"/>
  <c r="V817" i="25" a="1"/>
  <c r="V817" i="25"/>
  <c r="W817" i="25"/>
  <c r="U818" i="25" a="1"/>
  <c r="U818" i="25"/>
  <c r="V818" i="25" a="1"/>
  <c r="V818" i="25"/>
  <c r="W818" i="25"/>
  <c r="U819" i="25" a="1"/>
  <c r="U819" i="25"/>
  <c r="V819" i="25" a="1"/>
  <c r="V819" i="25"/>
  <c r="W819" i="25"/>
  <c r="U820" i="25" a="1"/>
  <c r="U820" i="25"/>
  <c r="V820" i="25" a="1"/>
  <c r="V820" i="25"/>
  <c r="W820" i="25"/>
  <c r="U821" i="25" a="1"/>
  <c r="U821" i="25"/>
  <c r="V821" i="25" a="1"/>
  <c r="V821" i="25"/>
  <c r="W821" i="25"/>
  <c r="U822" i="25" a="1"/>
  <c r="U822" i="25"/>
  <c r="V822" i="25" a="1"/>
  <c r="V822" i="25"/>
  <c r="W822" i="25"/>
  <c r="U823" i="25" a="1"/>
  <c r="U823" i="25"/>
  <c r="V823" i="25" a="1"/>
  <c r="V823" i="25"/>
  <c r="W823" i="25"/>
  <c r="U824" i="25" a="1"/>
  <c r="U824" i="25"/>
  <c r="V824" i="25" a="1"/>
  <c r="V824" i="25"/>
  <c r="W824" i="25"/>
  <c r="U825" i="25" a="1"/>
  <c r="U825" i="25"/>
  <c r="V825" i="25" a="1"/>
  <c r="V825" i="25"/>
  <c r="W825" i="25"/>
  <c r="U826" i="25" a="1"/>
  <c r="U826" i="25"/>
  <c r="V826" i="25" a="1"/>
  <c r="V826" i="25"/>
  <c r="W826" i="25"/>
  <c r="U827" i="25" a="1"/>
  <c r="U827" i="25"/>
  <c r="V827" i="25" a="1"/>
  <c r="V827" i="25"/>
  <c r="W827" i="25"/>
  <c r="U828" i="25" a="1"/>
  <c r="U828" i="25"/>
  <c r="V828" i="25" a="1"/>
  <c r="V828" i="25"/>
  <c r="W828" i="25"/>
  <c r="U829" i="25" a="1"/>
  <c r="U829" i="25"/>
  <c r="V829" i="25" a="1"/>
  <c r="V829" i="25"/>
  <c r="W829" i="25"/>
  <c r="U830" i="25" a="1"/>
  <c r="U830" i="25"/>
  <c r="V830" i="25" a="1"/>
  <c r="V830" i="25"/>
  <c r="W830" i="25"/>
  <c r="U831" i="25" a="1"/>
  <c r="U831" i="25"/>
  <c r="V831" i="25" a="1"/>
  <c r="V831" i="25"/>
  <c r="W831" i="25"/>
  <c r="U832" i="25" a="1"/>
  <c r="U832" i="25"/>
  <c r="V832" i="25" a="1"/>
  <c r="V832" i="25"/>
  <c r="W832" i="25"/>
  <c r="U833" i="25" a="1"/>
  <c r="U833" i="25"/>
  <c r="V833" i="25" a="1"/>
  <c r="V833" i="25"/>
  <c r="W833" i="25"/>
  <c r="U834" i="25" a="1"/>
  <c r="U834" i="25"/>
  <c r="V834" i="25" a="1"/>
  <c r="V834" i="25"/>
  <c r="W834" i="25"/>
  <c r="U835" i="25" a="1"/>
  <c r="U835" i="25"/>
  <c r="V835" i="25" a="1"/>
  <c r="V835" i="25"/>
  <c r="W835" i="25"/>
  <c r="U836" i="25" a="1"/>
  <c r="U836" i="25"/>
  <c r="V836" i="25" a="1"/>
  <c r="V836" i="25"/>
  <c r="W836" i="25"/>
  <c r="U837" i="25" a="1"/>
  <c r="U837" i="25"/>
  <c r="V837" i="25" a="1"/>
  <c r="V837" i="25"/>
  <c r="W837" i="25"/>
  <c r="U838" i="25" a="1"/>
  <c r="U838" i="25"/>
  <c r="V838" i="25" a="1"/>
  <c r="V838" i="25"/>
  <c r="W838" i="25"/>
  <c r="U839" i="25" a="1"/>
  <c r="U839" i="25"/>
  <c r="V839" i="25" a="1"/>
  <c r="V839" i="25"/>
  <c r="W839" i="25"/>
  <c r="U840" i="25" a="1"/>
  <c r="U840" i="25"/>
  <c r="V840" i="25" a="1"/>
  <c r="V840" i="25"/>
  <c r="W840" i="25"/>
  <c r="U841" i="25" a="1"/>
  <c r="U841" i="25"/>
  <c r="V841" i="25" a="1"/>
  <c r="V841" i="25"/>
  <c r="W841" i="25"/>
  <c r="U842" i="25" a="1"/>
  <c r="U842" i="25"/>
  <c r="V842" i="25" a="1"/>
  <c r="V842" i="25"/>
  <c r="W842" i="25"/>
  <c r="U843" i="25" a="1"/>
  <c r="U843" i="25"/>
  <c r="V843" i="25" a="1"/>
  <c r="V843" i="25"/>
  <c r="W843" i="25"/>
  <c r="U844" i="25" a="1"/>
  <c r="U844" i="25"/>
  <c r="V844" i="25" a="1"/>
  <c r="V844" i="25"/>
  <c r="W844" i="25"/>
  <c r="U845" i="25" a="1"/>
  <c r="U845" i="25"/>
  <c r="V845" i="25" a="1"/>
  <c r="V845" i="25"/>
  <c r="W845" i="25"/>
  <c r="U846" i="25" a="1"/>
  <c r="U846" i="25"/>
  <c r="V846" i="25" a="1"/>
  <c r="V846" i="25"/>
  <c r="W846" i="25"/>
  <c r="U847" i="25" a="1"/>
  <c r="U847" i="25"/>
  <c r="V847" i="25" a="1"/>
  <c r="V847" i="25"/>
  <c r="W847" i="25"/>
  <c r="U848" i="25" a="1"/>
  <c r="U848" i="25"/>
  <c r="V848" i="25" a="1"/>
  <c r="V848" i="25"/>
  <c r="W848" i="25"/>
  <c r="U849" i="25" a="1"/>
  <c r="U849" i="25"/>
  <c r="V849" i="25" a="1"/>
  <c r="V849" i="25"/>
  <c r="W849" i="25"/>
  <c r="U850" i="25" a="1"/>
  <c r="U850" i="25"/>
  <c r="V850" i="25" a="1"/>
  <c r="V850" i="25"/>
  <c r="W850" i="25"/>
  <c r="U851" i="25" a="1"/>
  <c r="U851" i="25"/>
  <c r="V851" i="25" a="1"/>
  <c r="V851" i="25"/>
  <c r="W851" i="25"/>
  <c r="U852" i="25" a="1"/>
  <c r="U852" i="25"/>
  <c r="V852" i="25" a="1"/>
  <c r="V852" i="25"/>
  <c r="W852" i="25"/>
  <c r="U853" i="25" a="1"/>
  <c r="U853" i="25"/>
  <c r="V853" i="25" a="1"/>
  <c r="V853" i="25"/>
  <c r="W853" i="25"/>
  <c r="U854" i="25" a="1"/>
  <c r="U854" i="25"/>
  <c r="V854" i="25" a="1"/>
  <c r="V854" i="25"/>
  <c r="W854" i="25"/>
  <c r="U855" i="25" a="1"/>
  <c r="U855" i="25"/>
  <c r="V855" i="25" a="1"/>
  <c r="V855" i="25"/>
  <c r="W855" i="25"/>
  <c r="U856" i="25" a="1"/>
  <c r="U856" i="25"/>
  <c r="V856" i="25" a="1"/>
  <c r="V856" i="25"/>
  <c r="W856" i="25"/>
  <c r="U857" i="25" a="1"/>
  <c r="U857" i="25"/>
  <c r="V857" i="25" a="1"/>
  <c r="V857" i="25"/>
  <c r="W857" i="25"/>
  <c r="U858" i="25" a="1"/>
  <c r="U858" i="25"/>
  <c r="V858" i="25" a="1"/>
  <c r="V858" i="25"/>
  <c r="W858" i="25"/>
  <c r="U859" i="25" a="1"/>
  <c r="U859" i="25"/>
  <c r="V859" i="25" a="1"/>
  <c r="V859" i="25"/>
  <c r="W859" i="25"/>
  <c r="U860" i="25" a="1"/>
  <c r="U860" i="25"/>
  <c r="V860" i="25" a="1"/>
  <c r="V860" i="25"/>
  <c r="W860" i="25"/>
  <c r="U861" i="25" a="1"/>
  <c r="U861" i="25"/>
  <c r="V861" i="25" a="1"/>
  <c r="V861" i="25"/>
  <c r="W861" i="25"/>
  <c r="U862" i="25" a="1"/>
  <c r="U862" i="25"/>
  <c r="V862" i="25" a="1"/>
  <c r="V862" i="25"/>
  <c r="W862" i="25"/>
  <c r="U863" i="25" a="1"/>
  <c r="U863" i="25"/>
  <c r="V863" i="25" a="1"/>
  <c r="V863" i="25"/>
  <c r="W863" i="25"/>
  <c r="U864" i="25" a="1"/>
  <c r="U864" i="25"/>
  <c r="V864" i="25" a="1"/>
  <c r="V864" i="25"/>
  <c r="W864" i="25"/>
  <c r="U865" i="25" a="1"/>
  <c r="U865" i="25"/>
  <c r="V865" i="25" a="1"/>
  <c r="V865" i="25"/>
  <c r="W865" i="25"/>
  <c r="U866" i="25" a="1"/>
  <c r="U866" i="25"/>
  <c r="V866" i="25" a="1"/>
  <c r="V866" i="25"/>
  <c r="W866" i="25"/>
  <c r="U867" i="25" a="1"/>
  <c r="U867" i="25"/>
  <c r="V867" i="25" a="1"/>
  <c r="V867" i="25"/>
  <c r="W867" i="25"/>
  <c r="U868" i="25" a="1"/>
  <c r="U868" i="25"/>
  <c r="V868" i="25" a="1"/>
  <c r="V868" i="25"/>
  <c r="W868" i="25"/>
  <c r="U869" i="25" a="1"/>
  <c r="U869" i="25"/>
  <c r="V869" i="25" a="1"/>
  <c r="V869" i="25"/>
  <c r="W869" i="25"/>
  <c r="U870" i="25" a="1"/>
  <c r="U870" i="25"/>
  <c r="V870" i="25" a="1"/>
  <c r="V870" i="25"/>
  <c r="W870" i="25"/>
  <c r="U871" i="25" a="1"/>
  <c r="U871" i="25"/>
  <c r="V871" i="25" a="1"/>
  <c r="V871" i="25"/>
  <c r="W871" i="25"/>
  <c r="U872" i="25" a="1"/>
  <c r="U872" i="25"/>
  <c r="V872" i="25" a="1"/>
  <c r="V872" i="25"/>
  <c r="W872" i="25"/>
  <c r="U873" i="25" a="1"/>
  <c r="U873" i="25"/>
  <c r="V873" i="25" a="1"/>
  <c r="V873" i="25"/>
  <c r="W873" i="25"/>
  <c r="U874" i="25" a="1"/>
  <c r="U874" i="25"/>
  <c r="V874" i="25" a="1"/>
  <c r="V874" i="25"/>
  <c r="W874" i="25"/>
  <c r="U875" i="25" a="1"/>
  <c r="U875" i="25"/>
  <c r="V875" i="25" a="1"/>
  <c r="V875" i="25"/>
  <c r="W875" i="25"/>
  <c r="U876" i="25" a="1"/>
  <c r="U876" i="25"/>
  <c r="V876" i="25" a="1"/>
  <c r="V876" i="25"/>
  <c r="W876" i="25"/>
  <c r="U877" i="25" a="1"/>
  <c r="U877" i="25"/>
  <c r="V877" i="25" a="1"/>
  <c r="V877" i="25"/>
  <c r="W877" i="25"/>
  <c r="U878" i="25" a="1"/>
  <c r="U878" i="25"/>
  <c r="V878" i="25" a="1"/>
  <c r="V878" i="25"/>
  <c r="W878" i="25"/>
  <c r="U879" i="25" a="1"/>
  <c r="U879" i="25"/>
  <c r="V879" i="25" a="1"/>
  <c r="V879" i="25"/>
  <c r="W879" i="25"/>
  <c r="U880" i="25" a="1"/>
  <c r="U880" i="25"/>
  <c r="V880" i="25" a="1"/>
  <c r="V880" i="25"/>
  <c r="W880" i="25"/>
  <c r="U881" i="25" a="1"/>
  <c r="U881" i="25"/>
  <c r="V881" i="25" a="1"/>
  <c r="V881" i="25"/>
  <c r="W881" i="25"/>
  <c r="U882" i="25" a="1"/>
  <c r="U882" i="25"/>
  <c r="V882" i="25" a="1"/>
  <c r="V882" i="25"/>
  <c r="W882" i="25"/>
  <c r="U883" i="25" a="1"/>
  <c r="U883" i="25"/>
  <c r="V883" i="25" a="1"/>
  <c r="V883" i="25"/>
  <c r="W883" i="25"/>
  <c r="U884" i="25" a="1"/>
  <c r="U884" i="25"/>
  <c r="V884" i="25" a="1"/>
  <c r="V884" i="25"/>
  <c r="W884" i="25"/>
  <c r="U885" i="25" a="1"/>
  <c r="U885" i="25"/>
  <c r="V885" i="25" a="1"/>
  <c r="V885" i="25"/>
  <c r="W885" i="25"/>
  <c r="U886" i="25" a="1"/>
  <c r="U886" i="25"/>
  <c r="V886" i="25" a="1"/>
  <c r="V886" i="25"/>
  <c r="W886" i="25"/>
  <c r="U887" i="25" a="1"/>
  <c r="U887" i="25"/>
  <c r="V887" i="25" a="1"/>
  <c r="V887" i="25"/>
  <c r="W887" i="25"/>
  <c r="U888" i="25" a="1"/>
  <c r="U888" i="25"/>
  <c r="V888" i="25" a="1"/>
  <c r="V888" i="25"/>
  <c r="W888" i="25"/>
  <c r="U889" i="25" a="1"/>
  <c r="U889" i="25"/>
  <c r="V889" i="25" a="1"/>
  <c r="V889" i="25"/>
  <c r="W889" i="25"/>
  <c r="U890" i="25" a="1"/>
  <c r="U890" i="25"/>
  <c r="V890" i="25" a="1"/>
  <c r="V890" i="25"/>
  <c r="W890" i="25"/>
  <c r="U891" i="25" a="1"/>
  <c r="U891" i="25"/>
  <c r="V891" i="25" a="1"/>
  <c r="V891" i="25"/>
  <c r="W891" i="25"/>
  <c r="U892" i="25" a="1"/>
  <c r="U892" i="25"/>
  <c r="V892" i="25" a="1"/>
  <c r="V892" i="25"/>
  <c r="W892" i="25"/>
  <c r="U893" i="25" a="1"/>
  <c r="U893" i="25"/>
  <c r="V893" i="25" a="1"/>
  <c r="V893" i="25"/>
  <c r="W893" i="25"/>
  <c r="U894" i="25" a="1"/>
  <c r="U894" i="25"/>
  <c r="V894" i="25" a="1"/>
  <c r="V894" i="25"/>
  <c r="W894" i="25"/>
  <c r="U895" i="25" a="1"/>
  <c r="U895" i="25"/>
  <c r="V895" i="25" a="1"/>
  <c r="V895" i="25"/>
  <c r="W895" i="25"/>
  <c r="U896" i="25" a="1"/>
  <c r="U896" i="25"/>
  <c r="V896" i="25" a="1"/>
  <c r="V896" i="25"/>
  <c r="W896" i="25"/>
  <c r="U897" i="25" a="1"/>
  <c r="U897" i="25"/>
  <c r="V897" i="25" a="1"/>
  <c r="V897" i="25"/>
  <c r="W897" i="25"/>
  <c r="U898" i="25" a="1"/>
  <c r="U898" i="25"/>
  <c r="V898" i="25" a="1"/>
  <c r="V898" i="25"/>
  <c r="W898" i="25"/>
  <c r="U899" i="25" a="1"/>
  <c r="U899" i="25"/>
  <c r="V899" i="25" a="1"/>
  <c r="V899" i="25"/>
  <c r="W899" i="25"/>
  <c r="U900" i="25" a="1"/>
  <c r="U900" i="25"/>
  <c r="V900" i="25" a="1"/>
  <c r="V900" i="25"/>
  <c r="W900" i="25"/>
  <c r="U901" i="25" a="1"/>
  <c r="U901" i="25"/>
  <c r="V901" i="25" a="1"/>
  <c r="V901" i="25"/>
  <c r="W901" i="25"/>
  <c r="U902" i="25" a="1"/>
  <c r="U902" i="25"/>
  <c r="V902" i="25" a="1"/>
  <c r="V902" i="25"/>
  <c r="W902" i="25"/>
  <c r="U903" i="25" a="1"/>
  <c r="U903" i="25"/>
  <c r="V903" i="25" a="1"/>
  <c r="V903" i="25"/>
  <c r="W903" i="25"/>
  <c r="U904" i="25" a="1"/>
  <c r="U904" i="25"/>
  <c r="V904" i="25" a="1"/>
  <c r="V904" i="25"/>
  <c r="W904" i="25"/>
  <c r="U905" i="25" a="1"/>
  <c r="U905" i="25"/>
  <c r="V905" i="25" a="1"/>
  <c r="V905" i="25"/>
  <c r="W905" i="25"/>
  <c r="U906" i="25" a="1"/>
  <c r="U906" i="25"/>
  <c r="V906" i="25" a="1"/>
  <c r="V906" i="25"/>
  <c r="W906" i="25"/>
  <c r="U907" i="25" a="1"/>
  <c r="U907" i="25"/>
  <c r="V907" i="25" a="1"/>
  <c r="V907" i="25"/>
  <c r="W907" i="25"/>
  <c r="U908" i="25" a="1"/>
  <c r="U908" i="25"/>
  <c r="V908" i="25" a="1"/>
  <c r="V908" i="25"/>
  <c r="W908" i="25"/>
  <c r="U909" i="25" a="1"/>
  <c r="U909" i="25"/>
  <c r="V909" i="25" a="1"/>
  <c r="V909" i="25"/>
  <c r="W909" i="25"/>
  <c r="U910" i="25" a="1"/>
  <c r="U910" i="25"/>
  <c r="V910" i="25" a="1"/>
  <c r="V910" i="25"/>
  <c r="W910" i="25"/>
  <c r="U911" i="25" a="1"/>
  <c r="U911" i="25"/>
  <c r="V911" i="25" a="1"/>
  <c r="V911" i="25"/>
  <c r="W911" i="25"/>
  <c r="U912" i="25" a="1"/>
  <c r="U912" i="25"/>
  <c r="V912" i="25" a="1"/>
  <c r="V912" i="25"/>
  <c r="W912" i="25"/>
  <c r="U913" i="25" a="1"/>
  <c r="U913" i="25"/>
  <c r="V913" i="25" a="1"/>
  <c r="V913" i="25"/>
  <c r="W913" i="25"/>
  <c r="U914" i="25" a="1"/>
  <c r="U914" i="25"/>
  <c r="V914" i="25" a="1"/>
  <c r="V914" i="25"/>
  <c r="W914" i="25"/>
  <c r="U915" i="25" a="1"/>
  <c r="U915" i="25"/>
  <c r="V915" i="25" a="1"/>
  <c r="V915" i="25"/>
  <c r="W915" i="25"/>
  <c r="U916" i="25" a="1"/>
  <c r="U916" i="25"/>
  <c r="V916" i="25" a="1"/>
  <c r="V916" i="25"/>
  <c r="W916" i="25"/>
  <c r="U917" i="25" a="1"/>
  <c r="U917" i="25"/>
  <c r="V917" i="25" a="1"/>
  <c r="V917" i="25"/>
  <c r="W917" i="25"/>
  <c r="U918" i="25" a="1"/>
  <c r="U918" i="25"/>
  <c r="V918" i="25" a="1"/>
  <c r="V918" i="25"/>
  <c r="W918" i="25"/>
  <c r="U919" i="25" a="1"/>
  <c r="U919" i="25"/>
  <c r="V919" i="25" a="1"/>
  <c r="V919" i="25"/>
  <c r="W919" i="25"/>
  <c r="U920" i="25" a="1"/>
  <c r="U920" i="25"/>
  <c r="V920" i="25" a="1"/>
  <c r="V920" i="25"/>
  <c r="W920" i="25"/>
  <c r="U921" i="25" a="1"/>
  <c r="U921" i="25"/>
  <c r="V921" i="25" a="1"/>
  <c r="V921" i="25"/>
  <c r="W921" i="25"/>
  <c r="U922" i="25" a="1"/>
  <c r="U922" i="25"/>
  <c r="V922" i="25" a="1"/>
  <c r="V922" i="25"/>
  <c r="W922" i="25"/>
  <c r="U923" i="25" a="1"/>
  <c r="U923" i="25"/>
  <c r="V923" i="25" a="1"/>
  <c r="V923" i="25"/>
  <c r="W923" i="25"/>
  <c r="U924" i="25" a="1"/>
  <c r="U924" i="25"/>
  <c r="V924" i="25" a="1"/>
  <c r="V924" i="25"/>
  <c r="W924" i="25"/>
  <c r="U925" i="25" a="1"/>
  <c r="U925" i="25"/>
  <c r="V925" i="25" a="1"/>
  <c r="V925" i="25"/>
  <c r="W925" i="25"/>
  <c r="U926" i="25" a="1"/>
  <c r="U926" i="25"/>
  <c r="V926" i="25" a="1"/>
  <c r="V926" i="25"/>
  <c r="W926" i="25"/>
  <c r="U927" i="25" a="1"/>
  <c r="U927" i="25"/>
  <c r="V927" i="25" a="1"/>
  <c r="V927" i="25"/>
  <c r="W927" i="25"/>
  <c r="U928" i="25" a="1"/>
  <c r="U928" i="25"/>
  <c r="V928" i="25" a="1"/>
  <c r="V928" i="25"/>
  <c r="W928" i="25"/>
  <c r="U929" i="25" a="1"/>
  <c r="U929" i="25"/>
  <c r="V929" i="25" a="1"/>
  <c r="V929" i="25"/>
  <c r="W929" i="25"/>
  <c r="U930" i="25" a="1"/>
  <c r="U930" i="25"/>
  <c r="V930" i="25" a="1"/>
  <c r="V930" i="25"/>
  <c r="W930" i="25"/>
  <c r="U931" i="25" a="1"/>
  <c r="U931" i="25"/>
  <c r="V931" i="25" a="1"/>
  <c r="V931" i="25"/>
  <c r="W931" i="25"/>
  <c r="U932" i="25" a="1"/>
  <c r="U932" i="25"/>
  <c r="V932" i="25" a="1"/>
  <c r="V932" i="25"/>
  <c r="W932" i="25"/>
  <c r="U933" i="25" a="1"/>
  <c r="U933" i="25"/>
  <c r="V933" i="25" a="1"/>
  <c r="V933" i="25"/>
  <c r="W933" i="25"/>
  <c r="U934" i="25" a="1"/>
  <c r="U934" i="25"/>
  <c r="V934" i="25" a="1"/>
  <c r="V934" i="25"/>
  <c r="W934" i="25"/>
  <c r="U935" i="25" a="1"/>
  <c r="U935" i="25"/>
  <c r="V935" i="25" a="1"/>
  <c r="V935" i="25"/>
  <c r="W935" i="25"/>
  <c r="U936" i="25" a="1"/>
  <c r="U936" i="25"/>
  <c r="V936" i="25" a="1"/>
  <c r="V936" i="25"/>
  <c r="W936" i="25"/>
  <c r="U937" i="25" a="1"/>
  <c r="U937" i="25"/>
  <c r="V937" i="25" a="1"/>
  <c r="V937" i="25"/>
  <c r="W937" i="25"/>
  <c r="U938" i="25" a="1"/>
  <c r="U938" i="25"/>
  <c r="V938" i="25" a="1"/>
  <c r="V938" i="25"/>
  <c r="W938" i="25"/>
  <c r="U939" i="25" a="1"/>
  <c r="U939" i="25"/>
  <c r="V939" i="25" a="1"/>
  <c r="V939" i="25"/>
  <c r="W939" i="25"/>
  <c r="U940" i="25" a="1"/>
  <c r="U940" i="25"/>
  <c r="V940" i="25" a="1"/>
  <c r="V940" i="25"/>
  <c r="W940" i="25"/>
  <c r="U941" i="25" a="1"/>
  <c r="U941" i="25"/>
  <c r="V941" i="25" a="1"/>
  <c r="V941" i="25"/>
  <c r="W941" i="25"/>
  <c r="U942" i="25" a="1"/>
  <c r="U942" i="25"/>
  <c r="V942" i="25" a="1"/>
  <c r="V942" i="25"/>
  <c r="W942" i="25"/>
  <c r="U943" i="25" a="1"/>
  <c r="U943" i="25"/>
  <c r="V943" i="25" a="1"/>
  <c r="V943" i="25"/>
  <c r="W943" i="25"/>
  <c r="U944" i="25" a="1"/>
  <c r="U944" i="25"/>
  <c r="V944" i="25" a="1"/>
  <c r="V944" i="25"/>
  <c r="W944" i="25"/>
  <c r="U945" i="25" a="1"/>
  <c r="U945" i="25"/>
  <c r="V945" i="25" a="1"/>
  <c r="V945" i="25"/>
  <c r="W945" i="25"/>
  <c r="U946" i="25" a="1"/>
  <c r="U946" i="25"/>
  <c r="V946" i="25" a="1"/>
  <c r="V946" i="25"/>
  <c r="W946" i="25"/>
  <c r="U947" i="25" a="1"/>
  <c r="U947" i="25"/>
  <c r="V947" i="25" a="1"/>
  <c r="V947" i="25"/>
  <c r="W947" i="25"/>
  <c r="U948" i="25" a="1"/>
  <c r="U948" i="25"/>
  <c r="V948" i="25" a="1"/>
  <c r="V948" i="25"/>
  <c r="W948" i="25"/>
  <c r="U949" i="25" a="1"/>
  <c r="U949" i="25"/>
  <c r="V949" i="25" a="1"/>
  <c r="V949" i="25"/>
  <c r="W949" i="25"/>
  <c r="U950" i="25" a="1"/>
  <c r="U950" i="25"/>
  <c r="V950" i="25" a="1"/>
  <c r="V950" i="25"/>
  <c r="W950" i="25"/>
  <c r="U951" i="25" a="1"/>
  <c r="U951" i="25"/>
  <c r="V951" i="25" a="1"/>
  <c r="V951" i="25"/>
  <c r="W951" i="25"/>
  <c r="U952" i="25" a="1"/>
  <c r="U952" i="25"/>
  <c r="V952" i="25" a="1"/>
  <c r="V952" i="25"/>
  <c r="W952" i="25"/>
  <c r="U953" i="25" a="1"/>
  <c r="U953" i="25"/>
  <c r="V953" i="25" a="1"/>
  <c r="V953" i="25"/>
  <c r="W953" i="25"/>
  <c r="U954" i="25" a="1"/>
  <c r="U954" i="25"/>
  <c r="V954" i="25" a="1"/>
  <c r="V954" i="25"/>
  <c r="W954" i="25"/>
  <c r="U955" i="25" a="1"/>
  <c r="U955" i="25"/>
  <c r="V955" i="25" a="1"/>
  <c r="V955" i="25"/>
  <c r="W955" i="25"/>
  <c r="U956" i="25" a="1"/>
  <c r="U956" i="25"/>
  <c r="V956" i="25" a="1"/>
  <c r="V956" i="25"/>
  <c r="W956" i="25"/>
  <c r="U957" i="25" a="1"/>
  <c r="U957" i="25"/>
  <c r="V957" i="25" a="1"/>
  <c r="V957" i="25"/>
  <c r="W957" i="25"/>
  <c r="U958" i="25" a="1"/>
  <c r="U958" i="25"/>
  <c r="V958" i="25" a="1"/>
  <c r="V958" i="25"/>
  <c r="W958" i="25"/>
  <c r="U959" i="25" a="1"/>
  <c r="U959" i="25"/>
  <c r="V959" i="25" a="1"/>
  <c r="V959" i="25"/>
  <c r="W959" i="25"/>
  <c r="U960" i="25" a="1"/>
  <c r="U960" i="25"/>
  <c r="V960" i="25" a="1"/>
  <c r="V960" i="25"/>
  <c r="W960" i="25"/>
  <c r="U961" i="25" a="1"/>
  <c r="U961" i="25"/>
  <c r="V961" i="25" a="1"/>
  <c r="V961" i="25"/>
  <c r="W961" i="25"/>
  <c r="U962" i="25" a="1"/>
  <c r="U962" i="25"/>
  <c r="V962" i="25" a="1"/>
  <c r="V962" i="25"/>
  <c r="W962" i="25"/>
  <c r="U963" i="25" a="1"/>
  <c r="U963" i="25"/>
  <c r="V963" i="25" a="1"/>
  <c r="V963" i="25"/>
  <c r="W963" i="25"/>
  <c r="U964" i="25" a="1"/>
  <c r="U964" i="25"/>
  <c r="V964" i="25" a="1"/>
  <c r="V964" i="25"/>
  <c r="W964" i="25"/>
  <c r="U965" i="25" a="1"/>
  <c r="U965" i="25"/>
  <c r="V965" i="25" a="1"/>
  <c r="V965" i="25"/>
  <c r="W965" i="25"/>
  <c r="U966" i="25" a="1"/>
  <c r="U966" i="25"/>
  <c r="V966" i="25" a="1"/>
  <c r="V966" i="25"/>
  <c r="W966" i="25"/>
  <c r="U967" i="25" a="1"/>
  <c r="U967" i="25"/>
  <c r="V967" i="25" a="1"/>
  <c r="V967" i="25"/>
  <c r="W967" i="25"/>
  <c r="U968" i="25" a="1"/>
  <c r="U968" i="25"/>
  <c r="V968" i="25" a="1"/>
  <c r="V968" i="25"/>
  <c r="W968" i="25"/>
  <c r="U969" i="25" a="1"/>
  <c r="U969" i="25"/>
  <c r="V969" i="25" a="1"/>
  <c r="V969" i="25"/>
  <c r="W969" i="25"/>
  <c r="U970" i="25" a="1"/>
  <c r="U970" i="25"/>
  <c r="V970" i="25" a="1"/>
  <c r="V970" i="25"/>
  <c r="W970" i="25"/>
  <c r="U971" i="25" a="1"/>
  <c r="U971" i="25"/>
  <c r="V971" i="25" a="1"/>
  <c r="V971" i="25"/>
  <c r="W971" i="25"/>
  <c r="U972" i="25" a="1"/>
  <c r="U972" i="25"/>
  <c r="V972" i="25" a="1"/>
  <c r="V972" i="25"/>
  <c r="W972" i="25"/>
  <c r="U973" i="25" a="1"/>
  <c r="U973" i="25"/>
  <c r="V973" i="25" a="1"/>
  <c r="V973" i="25"/>
  <c r="W973" i="25"/>
  <c r="U974" i="25" a="1"/>
  <c r="U974" i="25"/>
  <c r="V974" i="25" a="1"/>
  <c r="V974" i="25"/>
  <c r="W974" i="25"/>
  <c r="U975" i="25" a="1"/>
  <c r="U975" i="25"/>
  <c r="V975" i="25" a="1"/>
  <c r="V975" i="25"/>
  <c r="W975" i="25"/>
  <c r="U976" i="25" a="1"/>
  <c r="U976" i="25"/>
  <c r="V976" i="25" a="1"/>
  <c r="V976" i="25"/>
  <c r="W976" i="25"/>
  <c r="U977" i="25" a="1"/>
  <c r="U977" i="25"/>
  <c r="V977" i="25" a="1"/>
  <c r="V977" i="25"/>
  <c r="W977" i="25"/>
  <c r="U978" i="25" a="1"/>
  <c r="U978" i="25"/>
  <c r="V978" i="25" a="1"/>
  <c r="V978" i="25"/>
  <c r="W978" i="25"/>
  <c r="U979" i="25" a="1"/>
  <c r="U979" i="25"/>
  <c r="V979" i="25" a="1"/>
  <c r="V979" i="25"/>
  <c r="W979" i="25"/>
  <c r="U980" i="25" a="1"/>
  <c r="U980" i="25"/>
  <c r="V980" i="25" a="1"/>
  <c r="V980" i="25"/>
  <c r="W980" i="25"/>
  <c r="U981" i="25" a="1"/>
  <c r="U981" i="25"/>
  <c r="V981" i="25" a="1"/>
  <c r="V981" i="25"/>
  <c r="W981" i="25"/>
  <c r="U982" i="25" a="1"/>
  <c r="U982" i="25"/>
  <c r="V982" i="25" a="1"/>
  <c r="V982" i="25"/>
  <c r="W982" i="25"/>
  <c r="U983" i="25" a="1"/>
  <c r="U983" i="25"/>
  <c r="V983" i="25" a="1"/>
  <c r="V983" i="25"/>
  <c r="W983" i="25"/>
  <c r="U984" i="25" a="1"/>
  <c r="U984" i="25"/>
  <c r="V984" i="25" a="1"/>
  <c r="V984" i="25"/>
  <c r="W984" i="25"/>
  <c r="U985" i="25" a="1"/>
  <c r="U985" i="25"/>
  <c r="V985" i="25" a="1"/>
  <c r="V985" i="25"/>
  <c r="W985" i="25"/>
  <c r="U986" i="25" a="1"/>
  <c r="U986" i="25"/>
  <c r="V986" i="25" a="1"/>
  <c r="V986" i="25"/>
  <c r="W986" i="25"/>
  <c r="U987" i="25" a="1"/>
  <c r="U987" i="25"/>
  <c r="V987" i="25" a="1"/>
  <c r="V987" i="25"/>
  <c r="W987" i="25"/>
  <c r="U988" i="25" a="1"/>
  <c r="U988" i="25"/>
  <c r="V988" i="25" a="1"/>
  <c r="V988" i="25"/>
  <c r="W988" i="25"/>
  <c r="U989" i="25" a="1"/>
  <c r="U989" i="25"/>
  <c r="V989" i="25" a="1"/>
  <c r="V989" i="25"/>
  <c r="W989" i="25"/>
  <c r="U990" i="25" a="1"/>
  <c r="U990" i="25"/>
  <c r="V990" i="25" a="1"/>
  <c r="V990" i="25"/>
  <c r="W990" i="25"/>
  <c r="U991" i="25" a="1"/>
  <c r="U991" i="25"/>
  <c r="V991" i="25" a="1"/>
  <c r="V991" i="25"/>
  <c r="W991" i="25"/>
  <c r="U992" i="25" a="1"/>
  <c r="U992" i="25"/>
  <c r="V992" i="25" a="1"/>
  <c r="V992" i="25"/>
  <c r="W992" i="25"/>
  <c r="U993" i="25" a="1"/>
  <c r="U993" i="25"/>
  <c r="V993" i="25" a="1"/>
  <c r="V993" i="25"/>
  <c r="W993" i="25"/>
  <c r="U994" i="25" a="1"/>
  <c r="U994" i="25"/>
  <c r="V994" i="25" a="1"/>
  <c r="V994" i="25"/>
  <c r="W994" i="25"/>
  <c r="U995" i="25" a="1"/>
  <c r="U995" i="25"/>
  <c r="V995" i="25" a="1"/>
  <c r="V995" i="25"/>
  <c r="W995" i="25"/>
  <c r="U996" i="25" a="1"/>
  <c r="U996" i="25"/>
  <c r="V996" i="25" a="1"/>
  <c r="V996" i="25"/>
  <c r="W996" i="25"/>
  <c r="U997" i="25" a="1"/>
  <c r="U997" i="25"/>
  <c r="V997" i="25" a="1"/>
  <c r="V997" i="25"/>
  <c r="W997" i="25"/>
  <c r="U998" i="25" a="1"/>
  <c r="U998" i="25"/>
  <c r="V998" i="25" a="1"/>
  <c r="V998" i="25"/>
  <c r="W998" i="25"/>
  <c r="U999" i="25" a="1"/>
  <c r="U999" i="25"/>
  <c r="V999" i="25" a="1"/>
  <c r="V999" i="25"/>
  <c r="W999" i="25"/>
  <c r="U1000" i="25" a="1"/>
  <c r="U1000" i="25"/>
  <c r="V1000" i="25" a="1"/>
  <c r="V1000" i="25"/>
  <c r="W1000" i="25"/>
  <c r="U1001" i="25" a="1"/>
  <c r="U1001" i="25"/>
  <c r="V1001" i="25" a="1"/>
  <c r="V1001" i="25"/>
  <c r="W1001" i="25"/>
  <c r="U1002" i="25" a="1"/>
  <c r="U1002" i="25"/>
  <c r="V1002" i="25" a="1"/>
  <c r="V1002" i="25"/>
  <c r="W1002" i="25"/>
  <c r="U1003" i="25" a="1"/>
  <c r="U1003" i="25"/>
  <c r="V1003" i="25" a="1"/>
  <c r="V1003" i="25"/>
  <c r="W1003" i="25"/>
  <c r="U1004" i="25" a="1"/>
  <c r="U1004" i="25"/>
  <c r="V1004" i="25" a="1"/>
  <c r="V1004" i="25"/>
  <c r="W1004" i="25"/>
  <c r="U1005" i="25" a="1"/>
  <c r="U1005" i="25"/>
  <c r="V1005" i="25" a="1"/>
  <c r="V1005" i="25"/>
  <c r="W1005" i="25"/>
  <c r="U1006" i="25" a="1"/>
  <c r="U1006" i="25"/>
  <c r="V1006" i="25" a="1"/>
  <c r="V1006" i="25"/>
  <c r="W1006" i="25"/>
  <c r="U1007" i="25" a="1"/>
  <c r="U1007" i="25"/>
  <c r="V1007" i="25" a="1"/>
  <c r="V1007" i="25"/>
  <c r="W1007" i="25"/>
  <c r="U1008" i="25" a="1"/>
  <c r="U1008" i="25"/>
  <c r="V1008" i="25" a="1"/>
  <c r="V1008" i="25"/>
  <c r="W1008" i="25"/>
  <c r="U1009" i="25" a="1"/>
  <c r="U1009" i="25"/>
  <c r="V1009" i="25" a="1"/>
  <c r="V1009" i="25"/>
  <c r="W1009" i="25"/>
  <c r="U1010" i="25" a="1"/>
  <c r="U1010" i="25"/>
  <c r="V1010" i="25" a="1"/>
  <c r="V1010" i="25"/>
  <c r="W1010" i="25"/>
  <c r="U1011" i="25" a="1"/>
  <c r="U1011" i="25"/>
  <c r="V1011" i="25" a="1"/>
  <c r="V1011" i="25"/>
  <c r="W1011" i="25"/>
  <c r="U1012" i="25" a="1"/>
  <c r="U1012" i="25"/>
  <c r="V1012" i="25" a="1"/>
  <c r="V1012" i="25"/>
  <c r="W1012" i="25"/>
  <c r="U1013" i="25" a="1"/>
  <c r="U1013" i="25"/>
  <c r="V1013" i="25" a="1"/>
  <c r="V1013" i="25"/>
  <c r="W1013" i="25"/>
  <c r="U1014" i="25" a="1"/>
  <c r="U1014" i="25"/>
  <c r="V1014" i="25" a="1"/>
  <c r="V1014" i="25"/>
  <c r="W1014" i="25"/>
  <c r="U1015" i="25" a="1"/>
  <c r="U1015" i="25"/>
  <c r="V1015" i="25" a="1"/>
  <c r="V1015" i="25"/>
  <c r="W1015" i="25"/>
  <c r="U1016" i="25" a="1"/>
  <c r="U1016" i="25"/>
  <c r="V1016" i="25" a="1"/>
  <c r="V1016" i="25"/>
  <c r="W1016" i="25"/>
  <c r="U1017" i="25" a="1"/>
  <c r="U1017" i="25"/>
  <c r="V1017" i="25" a="1"/>
  <c r="V1017" i="25"/>
  <c r="W1017" i="25"/>
  <c r="U1018" i="25" a="1"/>
  <c r="U1018" i="25"/>
  <c r="V1018" i="25" a="1"/>
  <c r="V1018" i="25"/>
  <c r="W1018" i="25"/>
  <c r="U1019" i="25" a="1"/>
  <c r="U1019" i="25"/>
  <c r="V1019" i="25" a="1"/>
  <c r="V1019" i="25"/>
  <c r="W1019" i="25"/>
  <c r="U1020" i="25" a="1"/>
  <c r="U1020" i="25"/>
  <c r="V1020" i="25" a="1"/>
  <c r="V1020" i="25"/>
  <c r="W1020" i="25"/>
  <c r="U1021" i="25" a="1"/>
  <c r="U1021" i="25"/>
  <c r="V1021" i="25" a="1"/>
  <c r="V1021" i="25"/>
  <c r="W1021" i="25"/>
  <c r="U1022" i="25" a="1"/>
  <c r="U1022" i="25"/>
  <c r="V1022" i="25" a="1"/>
  <c r="V1022" i="25"/>
  <c r="W1022" i="25"/>
  <c r="U1023" i="25" a="1"/>
  <c r="U1023" i="25"/>
  <c r="V1023" i="25" a="1"/>
  <c r="V1023" i="25"/>
  <c r="W1023" i="25"/>
  <c r="U1024" i="25" a="1"/>
  <c r="U1024" i="25"/>
  <c r="V1024" i="25" a="1"/>
  <c r="V1024" i="25"/>
  <c r="W1024" i="25"/>
  <c r="U1025" i="25" a="1"/>
  <c r="U1025" i="25"/>
  <c r="V1025" i="25" a="1"/>
  <c r="V1025" i="25"/>
  <c r="W1025" i="25"/>
  <c r="U1026" i="25" a="1"/>
  <c r="U1026" i="25"/>
  <c r="V1026" i="25" a="1"/>
  <c r="V1026" i="25"/>
  <c r="W1026" i="25"/>
  <c r="U1027" i="25" a="1"/>
  <c r="U1027" i="25"/>
  <c r="V1027" i="25" a="1"/>
  <c r="V1027" i="25"/>
  <c r="W1027" i="25"/>
  <c r="U1028" i="25" a="1"/>
  <c r="U1028" i="25"/>
  <c r="V1028" i="25" a="1"/>
  <c r="V1028" i="25"/>
  <c r="W1028" i="25"/>
  <c r="U1029" i="25" a="1"/>
  <c r="U1029" i="25"/>
  <c r="V1029" i="25" a="1"/>
  <c r="V1029" i="25"/>
  <c r="W1029" i="25"/>
  <c r="U1030" i="25" a="1"/>
  <c r="U1030" i="25"/>
  <c r="V1030" i="25" a="1"/>
  <c r="V1030" i="25"/>
  <c r="W1030" i="25"/>
  <c r="U1031" i="25" a="1"/>
  <c r="U1031" i="25"/>
  <c r="V1031" i="25" a="1"/>
  <c r="V1031" i="25"/>
  <c r="W1031" i="25"/>
  <c r="U1032" i="25" a="1"/>
  <c r="U1032" i="25"/>
  <c r="V1032" i="25" a="1"/>
  <c r="V1032" i="25"/>
  <c r="W1032" i="25"/>
  <c r="U1033" i="25" a="1"/>
  <c r="U1033" i="25"/>
  <c r="V1033" i="25" a="1"/>
  <c r="V1033" i="25"/>
  <c r="W1033" i="25"/>
  <c r="U1034" i="25" a="1"/>
  <c r="U1034" i="25"/>
  <c r="V1034" i="25" a="1"/>
  <c r="V1034" i="25"/>
  <c r="W1034" i="25"/>
  <c r="U1035" i="25" a="1"/>
  <c r="U1035" i="25"/>
  <c r="V1035" i="25" a="1"/>
  <c r="V1035" i="25"/>
  <c r="W1035" i="25"/>
  <c r="U1036" i="25" a="1"/>
  <c r="U1036" i="25"/>
  <c r="V1036" i="25" a="1"/>
  <c r="V1036" i="25"/>
  <c r="W1036" i="25"/>
  <c r="U1037" i="25" a="1"/>
  <c r="U1037" i="25"/>
  <c r="V1037" i="25" a="1"/>
  <c r="V1037" i="25"/>
  <c r="W1037" i="25"/>
  <c r="U1038" i="25" a="1"/>
  <c r="U1038" i="25"/>
  <c r="V1038" i="25" a="1"/>
  <c r="V1038" i="25"/>
  <c r="W1038" i="25"/>
  <c r="U1039" i="25" a="1"/>
  <c r="U1039" i="25"/>
  <c r="V1039" i="25" a="1"/>
  <c r="V1039" i="25"/>
  <c r="W1039" i="25"/>
  <c r="U1040" i="25" a="1"/>
  <c r="U1040" i="25"/>
  <c r="V1040" i="25" a="1"/>
  <c r="V1040" i="25"/>
  <c r="W1040" i="25"/>
  <c r="U1041" i="25" a="1"/>
  <c r="U1041" i="25"/>
  <c r="V1041" i="25" a="1"/>
  <c r="V1041" i="25"/>
  <c r="W1041" i="25"/>
  <c r="U1042" i="25" a="1"/>
  <c r="U1042" i="25"/>
  <c r="V1042" i="25" a="1"/>
  <c r="V1042" i="25"/>
  <c r="W1042" i="25"/>
  <c r="U1043" i="25" a="1"/>
  <c r="U1043" i="25"/>
  <c r="V1043" i="25" a="1"/>
  <c r="V1043" i="25"/>
  <c r="W1043" i="25"/>
  <c r="U1044" i="25" a="1"/>
  <c r="U1044" i="25"/>
  <c r="V1044" i="25" a="1"/>
  <c r="V1044" i="25"/>
  <c r="W1044" i="25"/>
  <c r="U1045" i="25" a="1"/>
  <c r="U1045" i="25"/>
  <c r="V1045" i="25" a="1"/>
  <c r="V1045" i="25"/>
  <c r="W1045" i="25"/>
  <c r="U1046" i="25" a="1"/>
  <c r="U1046" i="25"/>
  <c r="V1046" i="25" a="1"/>
  <c r="V1046" i="25"/>
  <c r="W1046" i="25"/>
  <c r="U1047" i="25" a="1"/>
  <c r="U1047" i="25"/>
  <c r="V1047" i="25" a="1"/>
  <c r="V1047" i="25"/>
  <c r="W1047" i="25"/>
  <c r="U1048" i="25" a="1"/>
  <c r="U1048" i="25"/>
  <c r="V1048" i="25" a="1"/>
  <c r="V1048" i="25"/>
  <c r="W1048" i="25"/>
  <c r="U1049" i="25" a="1"/>
  <c r="U1049" i="25"/>
  <c r="V1049" i="25" a="1"/>
  <c r="V1049" i="25"/>
  <c r="W1049" i="25"/>
  <c r="U1050" i="25" a="1"/>
  <c r="U1050" i="25"/>
  <c r="V1050" i="25" a="1"/>
  <c r="V1050" i="25"/>
  <c r="W1050" i="25"/>
  <c r="U1051" i="25" a="1"/>
  <c r="U1051" i="25"/>
  <c r="V1051" i="25" a="1"/>
  <c r="V1051" i="25"/>
  <c r="W1051" i="25"/>
  <c r="U1052" i="25" a="1"/>
  <c r="U1052" i="25"/>
  <c r="V1052" i="25" a="1"/>
  <c r="V1052" i="25"/>
  <c r="W1052" i="25"/>
  <c r="U1053" i="25" a="1"/>
  <c r="U1053" i="25"/>
  <c r="V1053" i="25" a="1"/>
  <c r="V1053" i="25"/>
  <c r="W1053" i="25"/>
  <c r="U1054" i="25" a="1"/>
  <c r="U1054" i="25"/>
  <c r="V1054" i="25" a="1"/>
  <c r="V1054" i="25"/>
  <c r="W1054" i="25"/>
  <c r="U1055" i="25" a="1"/>
  <c r="U1055" i="25"/>
  <c r="V1055" i="25" a="1"/>
  <c r="V1055" i="25"/>
  <c r="W1055" i="25"/>
  <c r="U1056" i="25" a="1"/>
  <c r="U1056" i="25"/>
  <c r="V1056" i="25" a="1"/>
  <c r="V1056" i="25"/>
  <c r="W1056" i="25"/>
  <c r="U1057" i="25" a="1"/>
  <c r="U1057" i="25"/>
  <c r="V1057" i="25" a="1"/>
  <c r="V1057" i="25"/>
  <c r="W1057" i="25"/>
  <c r="U1058" i="25" a="1"/>
  <c r="U1058" i="25"/>
  <c r="V1058" i="25" a="1"/>
  <c r="V1058" i="25"/>
  <c r="W1058" i="25"/>
  <c r="U1059" i="25" a="1"/>
  <c r="U1059" i="25"/>
  <c r="V1059" i="25" a="1"/>
  <c r="V1059" i="25"/>
  <c r="W1059" i="25"/>
  <c r="U1060" i="25" a="1"/>
  <c r="U1060" i="25"/>
  <c r="V1060" i="25" a="1"/>
  <c r="V1060" i="25"/>
  <c r="W1060" i="25"/>
  <c r="U1061" i="25" a="1"/>
  <c r="U1061" i="25"/>
  <c r="V1061" i="25" a="1"/>
  <c r="V1061" i="25"/>
  <c r="W1061" i="25"/>
  <c r="U1062" i="25" a="1"/>
  <c r="U1062" i="25"/>
  <c r="V1062" i="25" a="1"/>
  <c r="V1062" i="25"/>
  <c r="W1062" i="25"/>
  <c r="U1063" i="25" a="1"/>
  <c r="U1063" i="25"/>
  <c r="V1063" i="25" a="1"/>
  <c r="V1063" i="25"/>
  <c r="W1063" i="25"/>
  <c r="U1064" i="25" a="1"/>
  <c r="U1064" i="25"/>
  <c r="V1064" i="25" a="1"/>
  <c r="V1064" i="25"/>
  <c r="W1064" i="25"/>
  <c r="U1065" i="25" a="1"/>
  <c r="U1065" i="25"/>
  <c r="V1065" i="25" a="1"/>
  <c r="V1065" i="25"/>
  <c r="W1065" i="25"/>
  <c r="U1066" i="25" a="1"/>
  <c r="U1066" i="25"/>
  <c r="V1066" i="25" a="1"/>
  <c r="V1066" i="25"/>
  <c r="W1066" i="25"/>
  <c r="U1067" i="25" a="1"/>
  <c r="U1067" i="25"/>
  <c r="V1067" i="25" a="1"/>
  <c r="V1067" i="25"/>
  <c r="W1067" i="25"/>
  <c r="U1068" i="25" a="1"/>
  <c r="U1068" i="25"/>
  <c r="V1068" i="25" a="1"/>
  <c r="V1068" i="25"/>
  <c r="W1068" i="25"/>
  <c r="U1069" i="25" a="1"/>
  <c r="U1069" i="25"/>
  <c r="V1069" i="25" a="1"/>
  <c r="V1069" i="25"/>
  <c r="W1069" i="25"/>
  <c r="U1070" i="25" a="1"/>
  <c r="U1070" i="25"/>
  <c r="V1070" i="25" a="1"/>
  <c r="V1070" i="25"/>
  <c r="W1070" i="25"/>
  <c r="U1071" i="25" a="1"/>
  <c r="U1071" i="25"/>
  <c r="V1071" i="25" a="1"/>
  <c r="V1071" i="25"/>
  <c r="W1071" i="25"/>
  <c r="U1072" i="25" a="1"/>
  <c r="U1072" i="25"/>
  <c r="V1072" i="25" a="1"/>
  <c r="V1072" i="25"/>
  <c r="W1072" i="25"/>
  <c r="U1073" i="25" a="1"/>
  <c r="U1073" i="25"/>
  <c r="V1073" i="25" a="1"/>
  <c r="V1073" i="25"/>
  <c r="W1073" i="25"/>
  <c r="U1074" i="25" a="1"/>
  <c r="U1074" i="25"/>
  <c r="V1074" i="25" a="1"/>
  <c r="V1074" i="25"/>
  <c r="W1074" i="25"/>
  <c r="U1075" i="25" a="1"/>
  <c r="U1075" i="25"/>
  <c r="V1075" i="25" a="1"/>
  <c r="V1075" i="25"/>
  <c r="W1075" i="25"/>
  <c r="U1076" i="25" a="1"/>
  <c r="U1076" i="25"/>
  <c r="V1076" i="25" a="1"/>
  <c r="V1076" i="25"/>
  <c r="W1076" i="25"/>
  <c r="U1077" i="25" a="1"/>
  <c r="U1077" i="25"/>
  <c r="V1077" i="25" a="1"/>
  <c r="V1077" i="25"/>
  <c r="W1077" i="25"/>
  <c r="U1078" i="25" a="1"/>
  <c r="U1078" i="25"/>
  <c r="V1078" i="25" a="1"/>
  <c r="V1078" i="25"/>
  <c r="W1078" i="25"/>
  <c r="U1079" i="25" a="1"/>
  <c r="U1079" i="25"/>
  <c r="V1079" i="25" a="1"/>
  <c r="V1079" i="25"/>
  <c r="W1079" i="25"/>
  <c r="U1080" i="25" a="1"/>
  <c r="U1080" i="25"/>
  <c r="V1080" i="25" a="1"/>
  <c r="V1080" i="25"/>
  <c r="W1080" i="25"/>
  <c r="U1081" i="25" a="1"/>
  <c r="U1081" i="25"/>
  <c r="V1081" i="25" a="1"/>
  <c r="V1081" i="25"/>
  <c r="W1081" i="25"/>
  <c r="U1082" i="25" a="1"/>
  <c r="U1082" i="25"/>
  <c r="V1082" i="25" a="1"/>
  <c r="V1082" i="25"/>
  <c r="W1082" i="25"/>
  <c r="U1083" i="25" a="1"/>
  <c r="U1083" i="25"/>
  <c r="V1083" i="25" a="1"/>
  <c r="V1083" i="25"/>
  <c r="W1083" i="25"/>
  <c r="U1084" i="25" a="1"/>
  <c r="U1084" i="25"/>
  <c r="V1084" i="25" a="1"/>
  <c r="V1084" i="25"/>
  <c r="W1084" i="25"/>
  <c r="U1085" i="25" a="1"/>
  <c r="U1085" i="25"/>
  <c r="V1085" i="25" a="1"/>
  <c r="V1085" i="25"/>
  <c r="W1085" i="25"/>
  <c r="U1086" i="25" a="1"/>
  <c r="U1086" i="25"/>
  <c r="V1086" i="25" a="1"/>
  <c r="V1086" i="25"/>
  <c r="W1086" i="25"/>
  <c r="U1087" i="25" a="1"/>
  <c r="U1087" i="25"/>
  <c r="V1087" i="25" a="1"/>
  <c r="V1087" i="25"/>
  <c r="W1087" i="25"/>
  <c r="U1088" i="25" a="1"/>
  <c r="U1088" i="25"/>
  <c r="V1088" i="25" a="1"/>
  <c r="V1088" i="25"/>
  <c r="W1088" i="25"/>
  <c r="U1089" i="25" a="1"/>
  <c r="U1089" i="25"/>
  <c r="V1089" i="25" a="1"/>
  <c r="V1089" i="25"/>
  <c r="W1089" i="25"/>
  <c r="U1090" i="25" a="1"/>
  <c r="U1090" i="25"/>
  <c r="V1090" i="25" a="1"/>
  <c r="V1090" i="25"/>
  <c r="W1090" i="25"/>
  <c r="U1091" i="25" a="1"/>
  <c r="U1091" i="25"/>
  <c r="V1091" i="25" a="1"/>
  <c r="V1091" i="25"/>
  <c r="W1091" i="25"/>
  <c r="U1092" i="25" a="1"/>
  <c r="U1092" i="25"/>
  <c r="V1092" i="25" a="1"/>
  <c r="V1092" i="25"/>
  <c r="W1092" i="25"/>
  <c r="U1093" i="25" a="1"/>
  <c r="U1093" i="25"/>
  <c r="V1093" i="25" a="1"/>
  <c r="V1093" i="25"/>
  <c r="W1093" i="25"/>
  <c r="U1094" i="25" a="1"/>
  <c r="U1094" i="25"/>
  <c r="V1094" i="25" a="1"/>
  <c r="V1094" i="25"/>
  <c r="W1094" i="25"/>
  <c r="U1095" i="25" a="1"/>
  <c r="U1095" i="25"/>
  <c r="V1095" i="25" a="1"/>
  <c r="V1095" i="25"/>
  <c r="W1095" i="25"/>
  <c r="U1096" i="25" a="1"/>
  <c r="U1096" i="25"/>
  <c r="V1096" i="25" a="1"/>
  <c r="V1096" i="25"/>
  <c r="W1096" i="25"/>
  <c r="U1097" i="25" a="1"/>
  <c r="U1097" i="25"/>
  <c r="V1097" i="25" a="1"/>
  <c r="V1097" i="25"/>
  <c r="W1097" i="25"/>
  <c r="U1098" i="25" a="1"/>
  <c r="U1098" i="25"/>
  <c r="V1098" i="25" a="1"/>
  <c r="V1098" i="25"/>
  <c r="W1098" i="25"/>
  <c r="U1099" i="25" a="1"/>
  <c r="U1099" i="25"/>
  <c r="V1099" i="25" a="1"/>
  <c r="V1099" i="25"/>
  <c r="W1099" i="25"/>
  <c r="U1100" i="25" a="1"/>
  <c r="U1100" i="25"/>
  <c r="V1100" i="25" a="1"/>
  <c r="V1100" i="25"/>
  <c r="W1100" i="25"/>
  <c r="U1101" i="25" a="1"/>
  <c r="U1101" i="25"/>
  <c r="V1101" i="25" a="1"/>
  <c r="V1101" i="25"/>
  <c r="W1101" i="25"/>
  <c r="U1102" i="25" a="1"/>
  <c r="U1102" i="25"/>
  <c r="V1102" i="25" a="1"/>
  <c r="V1102" i="25"/>
  <c r="W1102" i="25"/>
  <c r="U1103" i="25" a="1"/>
  <c r="U1103" i="25"/>
  <c r="V1103" i="25" a="1"/>
  <c r="V1103" i="25"/>
  <c r="W1103" i="25"/>
  <c r="U1104" i="25" a="1"/>
  <c r="U1104" i="25"/>
  <c r="V1104" i="25" a="1"/>
  <c r="V1104" i="25"/>
  <c r="W1104" i="25"/>
  <c r="U1105" i="25" a="1"/>
  <c r="U1105" i="25"/>
  <c r="V1105" i="25" a="1"/>
  <c r="V1105" i="25"/>
  <c r="W1105" i="25"/>
  <c r="U1106" i="25" a="1"/>
  <c r="U1106" i="25"/>
  <c r="V1106" i="25" a="1"/>
  <c r="V1106" i="25"/>
  <c r="W1106" i="25"/>
  <c r="U1107" i="25" a="1"/>
  <c r="U1107" i="25"/>
  <c r="V1107" i="25" a="1"/>
  <c r="V1107" i="25"/>
  <c r="W1107" i="25"/>
  <c r="U1108" i="25" a="1"/>
  <c r="U1108" i="25"/>
  <c r="V1108" i="25" a="1"/>
  <c r="V1108" i="25"/>
  <c r="W1108" i="25"/>
  <c r="U1109" i="25" a="1"/>
  <c r="U1109" i="25"/>
  <c r="V1109" i="25" a="1"/>
  <c r="V1109" i="25"/>
  <c r="W1109" i="25"/>
  <c r="U1110" i="25" a="1"/>
  <c r="U1110" i="25"/>
  <c r="V1110" i="25" a="1"/>
  <c r="V1110" i="25"/>
  <c r="W1110" i="25"/>
  <c r="U1111" i="25" a="1"/>
  <c r="U1111" i="25"/>
  <c r="V1111" i="25" a="1"/>
  <c r="V1111" i="25"/>
  <c r="W1111" i="25"/>
  <c r="U1112" i="25" a="1"/>
  <c r="U1112" i="25"/>
  <c r="V1112" i="25" a="1"/>
  <c r="V1112" i="25"/>
  <c r="W1112" i="25"/>
  <c r="U1113" i="25" a="1"/>
  <c r="U1113" i="25"/>
  <c r="V1113" i="25" a="1"/>
  <c r="V1113" i="25"/>
  <c r="W1113" i="25"/>
  <c r="U1114" i="25" a="1"/>
  <c r="U1114" i="25"/>
  <c r="V1114" i="25" a="1"/>
  <c r="V1114" i="25"/>
  <c r="W1114" i="25"/>
  <c r="U1115" i="25" a="1"/>
  <c r="U1115" i="25"/>
  <c r="V1115" i="25" a="1"/>
  <c r="V1115" i="25"/>
  <c r="W1115" i="25"/>
  <c r="U1116" i="25" a="1"/>
  <c r="U1116" i="25"/>
  <c r="V1116" i="25" a="1"/>
  <c r="V1116" i="25"/>
  <c r="W1116" i="25"/>
  <c r="U1117" i="25" a="1"/>
  <c r="U1117" i="25"/>
  <c r="V1117" i="25" a="1"/>
  <c r="V1117" i="25"/>
  <c r="W1117" i="25"/>
  <c r="U1118" i="25" a="1"/>
  <c r="U1118" i="25"/>
  <c r="V1118" i="25" a="1"/>
  <c r="V1118" i="25"/>
  <c r="W1118" i="25"/>
  <c r="U1119" i="25" a="1"/>
  <c r="U1119" i="25"/>
  <c r="V1119" i="25" a="1"/>
  <c r="V1119" i="25"/>
  <c r="W1119" i="25"/>
  <c r="U1120" i="25" a="1"/>
  <c r="U1120" i="25"/>
  <c r="V1120" i="25" a="1"/>
  <c r="V1120" i="25"/>
  <c r="W1120" i="25"/>
  <c r="U1121" i="25" a="1"/>
  <c r="U1121" i="25"/>
  <c r="V1121" i="25" a="1"/>
  <c r="V1121" i="25"/>
  <c r="W1121" i="25"/>
  <c r="U1122" i="25" a="1"/>
  <c r="U1122" i="25"/>
  <c r="V1122" i="25" a="1"/>
  <c r="V1122" i="25"/>
  <c r="W1122" i="25"/>
  <c r="U1123" i="25" a="1"/>
  <c r="U1123" i="25"/>
  <c r="V1123" i="25" a="1"/>
  <c r="V1123" i="25"/>
  <c r="W1123" i="25"/>
  <c r="U1124" i="25" a="1"/>
  <c r="U1124" i="25"/>
  <c r="V1124" i="25" a="1"/>
  <c r="V1124" i="25"/>
  <c r="W1124" i="25"/>
  <c r="U1125" i="25" a="1"/>
  <c r="U1125" i="25"/>
  <c r="V1125" i="25" a="1"/>
  <c r="V1125" i="25"/>
  <c r="W1125" i="25"/>
  <c r="U1126" i="25" a="1"/>
  <c r="U1126" i="25"/>
  <c r="V1126" i="25" a="1"/>
  <c r="V1126" i="25"/>
  <c r="W1126" i="25"/>
  <c r="U1127" i="25" a="1"/>
  <c r="U1127" i="25"/>
  <c r="V1127" i="25" a="1"/>
  <c r="V1127" i="25"/>
  <c r="W1127" i="25"/>
  <c r="U1128" i="25" a="1"/>
  <c r="U1128" i="25"/>
  <c r="V1128" i="25" a="1"/>
  <c r="V1128" i="25"/>
  <c r="W1128" i="25"/>
  <c r="U1129" i="25" a="1"/>
  <c r="U1129" i="25"/>
  <c r="V1129" i="25" a="1"/>
  <c r="V1129" i="25"/>
  <c r="W1129" i="25"/>
  <c r="U1130" i="25" a="1"/>
  <c r="U1130" i="25"/>
  <c r="V1130" i="25" a="1"/>
  <c r="V1130" i="25"/>
  <c r="W1130" i="25"/>
  <c r="U1131" i="25" a="1"/>
  <c r="U1131" i="25"/>
  <c r="V1131" i="25" a="1"/>
  <c r="V1131" i="25"/>
  <c r="W1131" i="25"/>
  <c r="U1132" i="25" a="1"/>
  <c r="U1132" i="25"/>
  <c r="V1132" i="25" a="1"/>
  <c r="V1132" i="25"/>
  <c r="W1132" i="25"/>
  <c r="U1133" i="25" a="1"/>
  <c r="U1133" i="25"/>
  <c r="V1133" i="25" a="1"/>
  <c r="V1133" i="25"/>
  <c r="W1133" i="25"/>
  <c r="U1134" i="25" a="1"/>
  <c r="U1134" i="25"/>
  <c r="V1134" i="25" a="1"/>
  <c r="V1134" i="25"/>
  <c r="W1134" i="25"/>
  <c r="U1135" i="25" a="1"/>
  <c r="U1135" i="25"/>
  <c r="V1135" i="25" a="1"/>
  <c r="V1135" i="25"/>
  <c r="W1135" i="25"/>
  <c r="U1136" i="25" a="1"/>
  <c r="U1136" i="25"/>
  <c r="V1136" i="25" a="1"/>
  <c r="V1136" i="25"/>
  <c r="W1136" i="25"/>
  <c r="U1137" i="25" a="1"/>
  <c r="U1137" i="25"/>
  <c r="V1137" i="25" a="1"/>
  <c r="V1137" i="25"/>
  <c r="W1137" i="25"/>
  <c r="U1138" i="25" a="1"/>
  <c r="U1138" i="25"/>
  <c r="V1138" i="25" a="1"/>
  <c r="V1138" i="25"/>
  <c r="W1138" i="25"/>
  <c r="U1139" i="25" a="1"/>
  <c r="U1139" i="25"/>
  <c r="V1139" i="25" a="1"/>
  <c r="V1139" i="25"/>
  <c r="W1139" i="25"/>
  <c r="U1140" i="25" a="1"/>
  <c r="U1140" i="25"/>
  <c r="V1140" i="25" a="1"/>
  <c r="V1140" i="25"/>
  <c r="W1140" i="25"/>
  <c r="U1141" i="25" a="1"/>
  <c r="U1141" i="25"/>
  <c r="V1141" i="25" a="1"/>
  <c r="V1141" i="25"/>
  <c r="W1141" i="25"/>
  <c r="U1142" i="25" a="1"/>
  <c r="U1142" i="25"/>
  <c r="V1142" i="25" a="1"/>
  <c r="V1142" i="25"/>
  <c r="W1142" i="25"/>
  <c r="U1143" i="25" a="1"/>
  <c r="U1143" i="25"/>
  <c r="V1143" i="25" a="1"/>
  <c r="V1143" i="25"/>
  <c r="W1143" i="25"/>
  <c r="U1144" i="25" a="1"/>
  <c r="U1144" i="25"/>
  <c r="V1144" i="25" a="1"/>
  <c r="V1144" i="25"/>
  <c r="W1144" i="25"/>
  <c r="U1145" i="25" a="1"/>
  <c r="U1145" i="25"/>
  <c r="V1145" i="25" a="1"/>
  <c r="V1145" i="25"/>
  <c r="W1145" i="25"/>
  <c r="U1146" i="25" a="1"/>
  <c r="U1146" i="25"/>
  <c r="V1146" i="25" a="1"/>
  <c r="V1146" i="25"/>
  <c r="W1146" i="25"/>
  <c r="U1147" i="25" a="1"/>
  <c r="U1147" i="25"/>
  <c r="V1147" i="25" a="1"/>
  <c r="V1147" i="25"/>
  <c r="W1147" i="25"/>
  <c r="U1148" i="25" a="1"/>
  <c r="U1148" i="25"/>
  <c r="V1148" i="25" a="1"/>
  <c r="V1148" i="25"/>
  <c r="W1148" i="25"/>
  <c r="U1149" i="25" a="1"/>
  <c r="U1149" i="25"/>
  <c r="V1149" i="25" a="1"/>
  <c r="V1149" i="25"/>
  <c r="W1149" i="25"/>
  <c r="U1150" i="25" a="1"/>
  <c r="U1150" i="25"/>
  <c r="V1150" i="25" a="1"/>
  <c r="V1150" i="25"/>
  <c r="W1150" i="25"/>
  <c r="U1151" i="25" a="1"/>
  <c r="U1151" i="25"/>
  <c r="V1151" i="25" a="1"/>
  <c r="V1151" i="25"/>
  <c r="W1151" i="25"/>
  <c r="U1152" i="25" a="1"/>
  <c r="U1152" i="25"/>
  <c r="V1152" i="25" a="1"/>
  <c r="V1152" i="25"/>
  <c r="W1152" i="25"/>
  <c r="U1153" i="25" a="1"/>
  <c r="U1153" i="25"/>
  <c r="V1153" i="25" a="1"/>
  <c r="V1153" i="25"/>
  <c r="W1153" i="25"/>
  <c r="U1154" i="25" a="1"/>
  <c r="U1154" i="25"/>
  <c r="V1154" i="25" a="1"/>
  <c r="V1154" i="25"/>
  <c r="W1154" i="25"/>
  <c r="U1155" i="25" a="1"/>
  <c r="U1155" i="25"/>
  <c r="V1155" i="25" a="1"/>
  <c r="V1155" i="25"/>
  <c r="W1155" i="25"/>
  <c r="U1156" i="25" a="1"/>
  <c r="U1156" i="25"/>
  <c r="V1156" i="25" a="1"/>
  <c r="V1156" i="25"/>
  <c r="W1156" i="25"/>
  <c r="U1157" i="25" a="1"/>
  <c r="U1157" i="25"/>
  <c r="V1157" i="25" a="1"/>
  <c r="V1157" i="25"/>
  <c r="W1157" i="25"/>
  <c r="U1158" i="25" a="1"/>
  <c r="U1158" i="25"/>
  <c r="V1158" i="25" a="1"/>
  <c r="V1158" i="25"/>
  <c r="W1158" i="25"/>
  <c r="U1159" i="25" a="1"/>
  <c r="U1159" i="25"/>
  <c r="V1159" i="25" a="1"/>
  <c r="V1159" i="25"/>
  <c r="W1159" i="25"/>
  <c r="U1160" i="25" a="1"/>
  <c r="U1160" i="25"/>
  <c r="V1160" i="25" a="1"/>
  <c r="V1160" i="25"/>
  <c r="W1160" i="25"/>
  <c r="U1161" i="25" a="1"/>
  <c r="U1161" i="25"/>
  <c r="V1161" i="25" a="1"/>
  <c r="V1161" i="25"/>
  <c r="W1161" i="25"/>
  <c r="U1162" i="25" a="1"/>
  <c r="U1162" i="25"/>
  <c r="V1162" i="25" a="1"/>
  <c r="V1162" i="25"/>
  <c r="W1162" i="25"/>
  <c r="U1163" i="25" a="1"/>
  <c r="U1163" i="25"/>
  <c r="V1163" i="25" a="1"/>
  <c r="V1163" i="25"/>
  <c r="W1163" i="25"/>
  <c r="U1164" i="25" a="1"/>
  <c r="U1164" i="25"/>
  <c r="V1164" i="25" a="1"/>
  <c r="V1164" i="25"/>
  <c r="W1164" i="25"/>
  <c r="U1165" i="25" a="1"/>
  <c r="U1165" i="25"/>
  <c r="V1165" i="25" a="1"/>
  <c r="V1165" i="25"/>
  <c r="W1165" i="25"/>
  <c r="U1166" i="25" a="1"/>
  <c r="U1166" i="25"/>
  <c r="V1166" i="25" a="1"/>
  <c r="V1166" i="25"/>
  <c r="W1166" i="25"/>
  <c r="U1167" i="25" a="1"/>
  <c r="U1167" i="25"/>
  <c r="V1167" i="25" a="1"/>
  <c r="V1167" i="25"/>
  <c r="W1167" i="25"/>
  <c r="U1168" i="25" a="1"/>
  <c r="U1168" i="25"/>
  <c r="V1168" i="25" a="1"/>
  <c r="V1168" i="25"/>
  <c r="W1168" i="25"/>
  <c r="U1169" i="25" a="1"/>
  <c r="U1169" i="25"/>
  <c r="V1169" i="25" a="1"/>
  <c r="V1169" i="25"/>
  <c r="W1169" i="25"/>
  <c r="U1170" i="25" a="1"/>
  <c r="U1170" i="25"/>
  <c r="V1170" i="25" a="1"/>
  <c r="V1170" i="25"/>
  <c r="W1170" i="25"/>
  <c r="U1171" i="25" a="1"/>
  <c r="U1171" i="25"/>
  <c r="V1171" i="25" a="1"/>
  <c r="V1171" i="25"/>
  <c r="W1171" i="25"/>
  <c r="U1172" i="25" a="1"/>
  <c r="U1172" i="25"/>
  <c r="V1172" i="25" a="1"/>
  <c r="V1172" i="25"/>
  <c r="W1172" i="25"/>
  <c r="U1173" i="25" a="1"/>
  <c r="U1173" i="25"/>
  <c r="V1173" i="25" a="1"/>
  <c r="V1173" i="25"/>
  <c r="W1173" i="25"/>
  <c r="U1174" i="25" a="1"/>
  <c r="U1174" i="25"/>
  <c r="V1174" i="25" a="1"/>
  <c r="V1174" i="25"/>
  <c r="W1174" i="25"/>
  <c r="U1175" i="25" a="1"/>
  <c r="U1175" i="25"/>
  <c r="V1175" i="25" a="1"/>
  <c r="V1175" i="25"/>
  <c r="W1175" i="25"/>
  <c r="U1176" i="25" a="1"/>
  <c r="U1176" i="25"/>
  <c r="V1176" i="25" a="1"/>
  <c r="V1176" i="25"/>
  <c r="W1176" i="25"/>
  <c r="U1177" i="25" a="1"/>
  <c r="U1177" i="25"/>
  <c r="V1177" i="25" a="1"/>
  <c r="V1177" i="25"/>
  <c r="W1177" i="25"/>
  <c r="U1178" i="25" a="1"/>
  <c r="U1178" i="25"/>
  <c r="V1178" i="25" a="1"/>
  <c r="V1178" i="25"/>
  <c r="W1178" i="25"/>
  <c r="U1179" i="25" a="1"/>
  <c r="U1179" i="25"/>
  <c r="V1179" i="25" a="1"/>
  <c r="V1179" i="25"/>
  <c r="W1179" i="25"/>
  <c r="U1180" i="25" a="1"/>
  <c r="U1180" i="25"/>
  <c r="V1180" i="25" a="1"/>
  <c r="V1180" i="25"/>
  <c r="W1180" i="25"/>
  <c r="U1181" i="25" a="1"/>
  <c r="U1181" i="25"/>
  <c r="V1181" i="25" a="1"/>
  <c r="V1181" i="25"/>
  <c r="W1181" i="25"/>
  <c r="U1182" i="25" a="1"/>
  <c r="U1182" i="25"/>
  <c r="V1182" i="25" a="1"/>
  <c r="V1182" i="25"/>
  <c r="W1182" i="25"/>
  <c r="U1183" i="25" a="1"/>
  <c r="U1183" i="25"/>
  <c r="V1183" i="25" a="1"/>
  <c r="V1183" i="25"/>
  <c r="W1183" i="25"/>
  <c r="U1184" i="25" a="1"/>
  <c r="U1184" i="25"/>
  <c r="V1184" i="25" a="1"/>
  <c r="V1184" i="25"/>
  <c r="W1184" i="25"/>
  <c r="U1185" i="25" a="1"/>
  <c r="U1185" i="25"/>
  <c r="V1185" i="25" a="1"/>
  <c r="V1185" i="25"/>
  <c r="W1185" i="25"/>
  <c r="U1186" i="25" a="1"/>
  <c r="U1186" i="25"/>
  <c r="V1186" i="25" a="1"/>
  <c r="V1186" i="25"/>
  <c r="W1186" i="25"/>
  <c r="U1187" i="25" a="1"/>
  <c r="U1187" i="25"/>
  <c r="V1187" i="25" a="1"/>
  <c r="V1187" i="25"/>
  <c r="W1187" i="25"/>
  <c r="U1188" i="25" a="1"/>
  <c r="U1188" i="25"/>
  <c r="V1188" i="25" a="1"/>
  <c r="V1188" i="25"/>
  <c r="W1188" i="25"/>
  <c r="U1189" i="25" a="1"/>
  <c r="U1189" i="25"/>
  <c r="V1189" i="25" a="1"/>
  <c r="V1189" i="25"/>
  <c r="W1189" i="25"/>
  <c r="U1190" i="25" a="1"/>
  <c r="U1190" i="25"/>
  <c r="V1190" i="25" a="1"/>
  <c r="V1190" i="25"/>
  <c r="W1190" i="25"/>
  <c r="U1191" i="25" a="1"/>
  <c r="U1191" i="25"/>
  <c r="V1191" i="25" a="1"/>
  <c r="V1191" i="25"/>
  <c r="W1191" i="25"/>
  <c r="U1192" i="25" a="1"/>
  <c r="U1192" i="25"/>
  <c r="V1192" i="25" a="1"/>
  <c r="V1192" i="25"/>
  <c r="W1192" i="25"/>
  <c r="U1193" i="25" a="1"/>
  <c r="U1193" i="25"/>
  <c r="V1193" i="25" a="1"/>
  <c r="V1193" i="25"/>
  <c r="W1193" i="25"/>
  <c r="U1194" i="25" a="1"/>
  <c r="U1194" i="25"/>
  <c r="V1194" i="25" a="1"/>
  <c r="V1194" i="25"/>
  <c r="W1194" i="25"/>
  <c r="U1195" i="25" a="1"/>
  <c r="U1195" i="25"/>
  <c r="V1195" i="25" a="1"/>
  <c r="V1195" i="25"/>
  <c r="W1195" i="25"/>
  <c r="U1196" i="25" a="1"/>
  <c r="U1196" i="25"/>
  <c r="V1196" i="25" a="1"/>
  <c r="V1196" i="25"/>
  <c r="W1196" i="25"/>
  <c r="U1197" i="25" a="1"/>
  <c r="U1197" i="25"/>
  <c r="V1197" i="25" a="1"/>
  <c r="V1197" i="25"/>
  <c r="W1197" i="25"/>
  <c r="U1198" i="25" a="1"/>
  <c r="U1198" i="25"/>
  <c r="V1198" i="25" a="1"/>
  <c r="V1198" i="25"/>
  <c r="W1198" i="25"/>
  <c r="U1199" i="25" a="1"/>
  <c r="U1199" i="25"/>
  <c r="V1199" i="25" a="1"/>
  <c r="V1199" i="25"/>
  <c r="W1199" i="25"/>
  <c r="U1200" i="25" a="1"/>
  <c r="U1200" i="25"/>
  <c r="V1200" i="25" a="1"/>
  <c r="V1200" i="25"/>
  <c r="W1200" i="25"/>
  <c r="U1201" i="25" a="1"/>
  <c r="U1201" i="25"/>
  <c r="V1201" i="25" a="1"/>
  <c r="V1201" i="25"/>
  <c r="W1201" i="25"/>
  <c r="U1202" i="25" a="1"/>
  <c r="U1202" i="25"/>
  <c r="V1202" i="25" a="1"/>
  <c r="V1202" i="25"/>
  <c r="W1202" i="25"/>
  <c r="U1203" i="25" a="1"/>
  <c r="U1203" i="25"/>
  <c r="V1203" i="25" a="1"/>
  <c r="V1203" i="25"/>
  <c r="W1203" i="25"/>
  <c r="U1204" i="25" a="1"/>
  <c r="U1204" i="25"/>
  <c r="V1204" i="25" a="1"/>
  <c r="V1204" i="25"/>
  <c r="W1204" i="25"/>
  <c r="U1205" i="25" a="1"/>
  <c r="U1205" i="25"/>
  <c r="V1205" i="25" a="1"/>
  <c r="V1205" i="25"/>
  <c r="W1205" i="25"/>
  <c r="U1206" i="25" a="1"/>
  <c r="U1206" i="25"/>
  <c r="V1206" i="25" a="1"/>
  <c r="V1206" i="25"/>
  <c r="W1206" i="25"/>
  <c r="U1207" i="25" a="1"/>
  <c r="U1207" i="25"/>
  <c r="V1207" i="25" a="1"/>
  <c r="V1207" i="25"/>
  <c r="W1207" i="25"/>
  <c r="U1208" i="25" a="1"/>
  <c r="U1208" i="25"/>
  <c r="V1208" i="25" a="1"/>
  <c r="V1208" i="25"/>
  <c r="W1208" i="25"/>
  <c r="U1209" i="25" a="1"/>
  <c r="U1209" i="25"/>
  <c r="V1209" i="25" a="1"/>
  <c r="V1209" i="25"/>
  <c r="W1209" i="25"/>
  <c r="U1210" i="25" a="1"/>
  <c r="U1210" i="25"/>
  <c r="V1210" i="25" a="1"/>
  <c r="V1210" i="25"/>
  <c r="W1210" i="25"/>
  <c r="U1211" i="25" a="1"/>
  <c r="U1211" i="25"/>
  <c r="V1211" i="25" a="1"/>
  <c r="V1211" i="25"/>
  <c r="W1211" i="25"/>
  <c r="U1212" i="25" a="1"/>
  <c r="U1212" i="25"/>
  <c r="V1212" i="25" a="1"/>
  <c r="V1212" i="25"/>
  <c r="W1212" i="25"/>
  <c r="U1213" i="25" a="1"/>
  <c r="U1213" i="25"/>
  <c r="V1213" i="25" a="1"/>
  <c r="V1213" i="25"/>
  <c r="W1213" i="25"/>
  <c r="U1214" i="25" a="1"/>
  <c r="U1214" i="25"/>
  <c r="V1214" i="25" a="1"/>
  <c r="V1214" i="25"/>
  <c r="W1214" i="25"/>
  <c r="U1215" i="25" a="1"/>
  <c r="U1215" i="25"/>
  <c r="V1215" i="25" a="1"/>
  <c r="V1215" i="25"/>
  <c r="W1215" i="25"/>
  <c r="U1216" i="25" a="1"/>
  <c r="U1216" i="25"/>
  <c r="V1216" i="25" a="1"/>
  <c r="V1216" i="25"/>
  <c r="W1216" i="25"/>
  <c r="U1217" i="25" a="1"/>
  <c r="U1217" i="25"/>
  <c r="V1217" i="25" a="1"/>
  <c r="V1217" i="25"/>
  <c r="W1217" i="25"/>
  <c r="U1218" i="25" a="1"/>
  <c r="U1218" i="25"/>
  <c r="V1218" i="25" a="1"/>
  <c r="V1218" i="25"/>
  <c r="W1218" i="25"/>
  <c r="U1219" i="25" a="1"/>
  <c r="U1219" i="25"/>
  <c r="V1219" i="25" a="1"/>
  <c r="V1219" i="25"/>
  <c r="W1219" i="25"/>
  <c r="U1220" i="25" a="1"/>
  <c r="U1220" i="25"/>
  <c r="V1220" i="25" a="1"/>
  <c r="V1220" i="25"/>
  <c r="W1220" i="25"/>
  <c r="U1221" i="25" a="1"/>
  <c r="U1221" i="25"/>
  <c r="V1221" i="25" a="1"/>
  <c r="V1221" i="25"/>
  <c r="W1221" i="25"/>
  <c r="U1222" i="25" a="1"/>
  <c r="U1222" i="25"/>
  <c r="V1222" i="25" a="1"/>
  <c r="V1222" i="25"/>
  <c r="W1222" i="25"/>
  <c r="U1223" i="25" a="1"/>
  <c r="U1223" i="25"/>
  <c r="V1223" i="25" a="1"/>
  <c r="V1223" i="25"/>
  <c r="W1223" i="25"/>
  <c r="U1224" i="25" a="1"/>
  <c r="U1224" i="25"/>
  <c r="V1224" i="25" a="1"/>
  <c r="V1224" i="25"/>
  <c r="W1224" i="25"/>
  <c r="U1225" i="25" a="1"/>
  <c r="U1225" i="25"/>
  <c r="V1225" i="25" a="1"/>
  <c r="V1225" i="25"/>
  <c r="W1225" i="25"/>
  <c r="U1226" i="25" a="1"/>
  <c r="U1226" i="25"/>
  <c r="V1226" i="25" a="1"/>
  <c r="V1226" i="25"/>
  <c r="W1226" i="25"/>
  <c r="U1227" i="25" a="1"/>
  <c r="U1227" i="25"/>
  <c r="V1227" i="25" a="1"/>
  <c r="V1227" i="25"/>
  <c r="W1227" i="25"/>
  <c r="U1228" i="25" a="1"/>
  <c r="U1228" i="25"/>
  <c r="V1228" i="25" a="1"/>
  <c r="V1228" i="25"/>
  <c r="W1228" i="25"/>
  <c r="U1229" i="25" a="1"/>
  <c r="U1229" i="25"/>
  <c r="V1229" i="25" a="1"/>
  <c r="V1229" i="25"/>
  <c r="W1229" i="25"/>
  <c r="U1230" i="25" a="1"/>
  <c r="U1230" i="25"/>
  <c r="V1230" i="25" a="1"/>
  <c r="V1230" i="25"/>
  <c r="W1230" i="25"/>
  <c r="U1231" i="25" a="1"/>
  <c r="U1231" i="25"/>
  <c r="V1231" i="25" a="1"/>
  <c r="V1231" i="25"/>
  <c r="W1231" i="25"/>
  <c r="U1232" i="25" a="1"/>
  <c r="U1232" i="25"/>
  <c r="V1232" i="25" a="1"/>
  <c r="V1232" i="25"/>
  <c r="W1232" i="25"/>
  <c r="U1233" i="25" a="1"/>
  <c r="U1233" i="25"/>
  <c r="V1233" i="25" a="1"/>
  <c r="V1233" i="25"/>
  <c r="W1233" i="25"/>
  <c r="U1234" i="25" a="1"/>
  <c r="U1234" i="25"/>
  <c r="V1234" i="25" a="1"/>
  <c r="V1234" i="25"/>
  <c r="W1234" i="25"/>
  <c r="U1235" i="25" a="1"/>
  <c r="U1235" i="25"/>
  <c r="V1235" i="25" a="1"/>
  <c r="V1235" i="25"/>
  <c r="W1235" i="25"/>
  <c r="U1236" i="25" a="1"/>
  <c r="U1236" i="25"/>
  <c r="V1236" i="25" a="1"/>
  <c r="V1236" i="25"/>
  <c r="W1236" i="25"/>
  <c r="U1237" i="25" a="1"/>
  <c r="U1237" i="25"/>
  <c r="V1237" i="25" a="1"/>
  <c r="V1237" i="25"/>
  <c r="W1237" i="25"/>
  <c r="U1238" i="25" a="1"/>
  <c r="U1238" i="25"/>
  <c r="V1238" i="25" a="1"/>
  <c r="V1238" i="25"/>
  <c r="W1238" i="25"/>
  <c r="U1239" i="25" a="1"/>
  <c r="U1239" i="25"/>
  <c r="V1239" i="25" a="1"/>
  <c r="V1239" i="25"/>
  <c r="W1239" i="25"/>
  <c r="U1240" i="25" a="1"/>
  <c r="U1240" i="25"/>
  <c r="V1240" i="25" a="1"/>
  <c r="V1240" i="25"/>
  <c r="W1240" i="25"/>
  <c r="U1241" i="25" a="1"/>
  <c r="U1241" i="25"/>
  <c r="V1241" i="25" a="1"/>
  <c r="V1241" i="25"/>
  <c r="W1241" i="25"/>
  <c r="U1242" i="25" a="1"/>
  <c r="U1242" i="25"/>
  <c r="V1242" i="25" a="1"/>
  <c r="V1242" i="25"/>
  <c r="W1242" i="25"/>
  <c r="U1243" i="25" a="1"/>
  <c r="U1243" i="25"/>
  <c r="V1243" i="25" a="1"/>
  <c r="V1243" i="25"/>
  <c r="W1243" i="25"/>
  <c r="U1244" i="25" a="1"/>
  <c r="U1244" i="25"/>
  <c r="V1244" i="25" a="1"/>
  <c r="V1244" i="25"/>
  <c r="W1244" i="25"/>
  <c r="U1245" i="25" a="1"/>
  <c r="U1245" i="25"/>
  <c r="V1245" i="25" a="1"/>
  <c r="V1245" i="25"/>
  <c r="W1245" i="25"/>
  <c r="U1246" i="25" a="1"/>
  <c r="U1246" i="25"/>
  <c r="V1246" i="25" a="1"/>
  <c r="V1246" i="25"/>
  <c r="W1246" i="25"/>
  <c r="U1247" i="25" a="1"/>
  <c r="U1247" i="25"/>
  <c r="V1247" i="25" a="1"/>
  <c r="V1247" i="25"/>
  <c r="W1247" i="25"/>
  <c r="U1248" i="25" a="1"/>
  <c r="U1248" i="25"/>
  <c r="V1248" i="25" a="1"/>
  <c r="V1248" i="25"/>
  <c r="W1248" i="25"/>
  <c r="U1249" i="25" a="1"/>
  <c r="U1249" i="25"/>
  <c r="V1249" i="25" a="1"/>
  <c r="V1249" i="25"/>
  <c r="W1249" i="25"/>
  <c r="U1250" i="25" a="1"/>
  <c r="U1250" i="25"/>
  <c r="V1250" i="25" a="1"/>
  <c r="V1250" i="25"/>
  <c r="W1250" i="25"/>
  <c r="U1251" i="25" a="1"/>
  <c r="U1251" i="25"/>
  <c r="V1251" i="25" a="1"/>
  <c r="V1251" i="25"/>
  <c r="W1251" i="25"/>
  <c r="U1252" i="25" a="1"/>
  <c r="U1252" i="25"/>
  <c r="V1252" i="25" a="1"/>
  <c r="V1252" i="25"/>
  <c r="W1252" i="25"/>
  <c r="U1253" i="25" a="1"/>
  <c r="U1253" i="25"/>
  <c r="V1253" i="25" a="1"/>
  <c r="V1253" i="25"/>
  <c r="W1253" i="25"/>
  <c r="U1254" i="25" a="1"/>
  <c r="U1254" i="25"/>
  <c r="V1254" i="25" a="1"/>
  <c r="V1254" i="25"/>
  <c r="W1254" i="25"/>
  <c r="U1255" i="25" a="1"/>
  <c r="U1255" i="25"/>
  <c r="V1255" i="25" a="1"/>
  <c r="V1255" i="25"/>
  <c r="W1255" i="25"/>
  <c r="U1256" i="25" a="1"/>
  <c r="U1256" i="25"/>
  <c r="V1256" i="25" a="1"/>
  <c r="V1256" i="25"/>
  <c r="W1256" i="25"/>
  <c r="U1257" i="25" a="1"/>
  <c r="U1257" i="25"/>
  <c r="V1257" i="25" a="1"/>
  <c r="V1257" i="25"/>
  <c r="W1257" i="25"/>
  <c r="U1258" i="25" a="1"/>
  <c r="U1258" i="25"/>
  <c r="V1258" i="25" a="1"/>
  <c r="V1258" i="25"/>
  <c r="W1258" i="25"/>
  <c r="U1259" i="25" a="1"/>
  <c r="U1259" i="25"/>
  <c r="V1259" i="25" a="1"/>
  <c r="V1259" i="25"/>
  <c r="W1259" i="25"/>
  <c r="U1260" i="25" a="1"/>
  <c r="U1260" i="25"/>
  <c r="V1260" i="25" a="1"/>
  <c r="V1260" i="25"/>
  <c r="W1260" i="25"/>
  <c r="U1261" i="25" a="1"/>
  <c r="U1261" i="25"/>
  <c r="V1261" i="25" a="1"/>
  <c r="V1261" i="25"/>
  <c r="W1261" i="25"/>
  <c r="U1262" i="25" a="1"/>
  <c r="U1262" i="25"/>
  <c r="V1262" i="25" a="1"/>
  <c r="V1262" i="25"/>
  <c r="W1262" i="25"/>
  <c r="U1263" i="25" a="1"/>
  <c r="U1263" i="25"/>
  <c r="V1263" i="25" a="1"/>
  <c r="V1263" i="25"/>
  <c r="W1263" i="25"/>
  <c r="U1264" i="25" a="1"/>
  <c r="U1264" i="25"/>
  <c r="V1264" i="25" a="1"/>
  <c r="V1264" i="25"/>
  <c r="W1264" i="25"/>
  <c r="U1265" i="25" a="1"/>
  <c r="U1265" i="25"/>
  <c r="V1265" i="25" a="1"/>
  <c r="V1265" i="25"/>
  <c r="W1265" i="25"/>
  <c r="U1266" i="25" a="1"/>
  <c r="U1266" i="25"/>
  <c r="V1266" i="25" a="1"/>
  <c r="V1266" i="25"/>
  <c r="W1266" i="25"/>
  <c r="U1267" i="25" a="1"/>
  <c r="U1267" i="25"/>
  <c r="V1267" i="25" a="1"/>
  <c r="V1267" i="25"/>
  <c r="W1267" i="25"/>
  <c r="U1268" i="25" a="1"/>
  <c r="U1268" i="25"/>
  <c r="V1268" i="25" a="1"/>
  <c r="V1268" i="25"/>
  <c r="W1268" i="25"/>
  <c r="U1269" i="25" a="1"/>
  <c r="U1269" i="25"/>
  <c r="V1269" i="25" a="1"/>
  <c r="V1269" i="25"/>
  <c r="W1269" i="25"/>
  <c r="U1270" i="25" a="1"/>
  <c r="U1270" i="25"/>
  <c r="V1270" i="25" a="1"/>
  <c r="V1270" i="25"/>
  <c r="W1270" i="25"/>
  <c r="U1271" i="25" a="1"/>
  <c r="U1271" i="25"/>
  <c r="V1271" i="25" a="1"/>
  <c r="V1271" i="25"/>
  <c r="W1271" i="25"/>
  <c r="U1272" i="25" a="1"/>
  <c r="U1272" i="25"/>
  <c r="V1272" i="25" a="1"/>
  <c r="V1272" i="25"/>
  <c r="W1272" i="25"/>
  <c r="U1273" i="25" a="1"/>
  <c r="U1273" i="25"/>
  <c r="V1273" i="25" a="1"/>
  <c r="V1273" i="25"/>
  <c r="W1273" i="25"/>
  <c r="U1274" i="25" a="1"/>
  <c r="U1274" i="25"/>
  <c r="V1274" i="25" a="1"/>
  <c r="V1274" i="25"/>
  <c r="W1274" i="25"/>
  <c r="U1275" i="25" a="1"/>
  <c r="U1275" i="25"/>
  <c r="V1275" i="25" a="1"/>
  <c r="V1275" i="25"/>
  <c r="W1275" i="25"/>
  <c r="U1276" i="25" a="1"/>
  <c r="U1276" i="25"/>
  <c r="V1276" i="25" a="1"/>
  <c r="V1276" i="25"/>
  <c r="W1276" i="25"/>
  <c r="U1277" i="25" a="1"/>
  <c r="U1277" i="25"/>
  <c r="V1277" i="25" a="1"/>
  <c r="V1277" i="25"/>
  <c r="W1277" i="25"/>
  <c r="U1278" i="25" a="1"/>
  <c r="U1278" i="25"/>
  <c r="V1278" i="25" a="1"/>
  <c r="V1278" i="25"/>
  <c r="W1278" i="25"/>
  <c r="U1279" i="25" a="1"/>
  <c r="U1279" i="25"/>
  <c r="V1279" i="25" a="1"/>
  <c r="V1279" i="25"/>
  <c r="W1279" i="25"/>
  <c r="U1280" i="25" a="1"/>
  <c r="U1280" i="25"/>
  <c r="V1280" i="25" a="1"/>
  <c r="V1280" i="25"/>
  <c r="W1280" i="25"/>
  <c r="U1281" i="25" a="1"/>
  <c r="U1281" i="25"/>
  <c r="V1281" i="25" a="1"/>
  <c r="V1281" i="25"/>
  <c r="W1281" i="25"/>
  <c r="U1282" i="25" a="1"/>
  <c r="U1282" i="25"/>
  <c r="V1282" i="25" a="1"/>
  <c r="V1282" i="25"/>
  <c r="W1282" i="25"/>
  <c r="U1283" i="25" a="1"/>
  <c r="U1283" i="25"/>
  <c r="V1283" i="25" a="1"/>
  <c r="V1283" i="25"/>
  <c r="W1283" i="25"/>
  <c r="U1284" i="25" a="1"/>
  <c r="U1284" i="25"/>
  <c r="V1284" i="25" a="1"/>
  <c r="V1284" i="25"/>
  <c r="W1284" i="25"/>
  <c r="U1285" i="25" a="1"/>
  <c r="U1285" i="25"/>
  <c r="V1285" i="25" a="1"/>
  <c r="V1285" i="25"/>
  <c r="W1285" i="25"/>
  <c r="U1286" i="25" a="1"/>
  <c r="U1286" i="25"/>
  <c r="V1286" i="25" a="1"/>
  <c r="V1286" i="25"/>
  <c r="W1286" i="25"/>
  <c r="U1287" i="25" a="1"/>
  <c r="U1287" i="25"/>
  <c r="V1287" i="25" a="1"/>
  <c r="V1287" i="25"/>
  <c r="W1287" i="25"/>
  <c r="U1288" i="25" a="1"/>
  <c r="U1288" i="25"/>
  <c r="V1288" i="25" a="1"/>
  <c r="V1288" i="25"/>
  <c r="W1288" i="25"/>
  <c r="U1289" i="25" a="1"/>
  <c r="U1289" i="25"/>
  <c r="V1289" i="25" a="1"/>
  <c r="V1289" i="25"/>
  <c r="W1289" i="25"/>
  <c r="U1290" i="25" a="1"/>
  <c r="U1290" i="25"/>
  <c r="V1290" i="25" a="1"/>
  <c r="V1290" i="25"/>
  <c r="W1290" i="25"/>
  <c r="U1291" i="25" a="1"/>
  <c r="U1291" i="25"/>
  <c r="V1291" i="25" a="1"/>
  <c r="V1291" i="25"/>
  <c r="W1291" i="25"/>
  <c r="U1292" i="25" a="1"/>
  <c r="U1292" i="25"/>
  <c r="V1292" i="25" a="1"/>
  <c r="V1292" i="25"/>
  <c r="W1292" i="25"/>
  <c r="U1293" i="25" a="1"/>
  <c r="U1293" i="25"/>
  <c r="V1293" i="25" a="1"/>
  <c r="V1293" i="25"/>
  <c r="W1293" i="25"/>
  <c r="U1294" i="25" a="1"/>
  <c r="U1294" i="25"/>
  <c r="V1294" i="25" a="1"/>
  <c r="V1294" i="25"/>
  <c r="W1294" i="25"/>
  <c r="U1295" i="25" a="1"/>
  <c r="U1295" i="25"/>
  <c r="V1295" i="25" a="1"/>
  <c r="V1295" i="25"/>
  <c r="W1295" i="25"/>
  <c r="U1296" i="25" a="1"/>
  <c r="U1296" i="25"/>
  <c r="V1296" i="25" a="1"/>
  <c r="V1296" i="25"/>
  <c r="W1296" i="25"/>
  <c r="U1297" i="25" a="1"/>
  <c r="U1297" i="25"/>
  <c r="V1297" i="25" a="1"/>
  <c r="V1297" i="25"/>
  <c r="W1297" i="25"/>
  <c r="U1298" i="25" a="1"/>
  <c r="U1298" i="25"/>
  <c r="V1298" i="25" a="1"/>
  <c r="V1298" i="25"/>
  <c r="W1298" i="25"/>
  <c r="U1299" i="25" a="1"/>
  <c r="U1299" i="25"/>
  <c r="V1299" i="25" a="1"/>
  <c r="V1299" i="25"/>
  <c r="W1299" i="25"/>
  <c r="U1300" i="25" a="1"/>
  <c r="U1300" i="25"/>
  <c r="V1300" i="25" a="1"/>
  <c r="V1300" i="25"/>
  <c r="W1300" i="25"/>
  <c r="U1301" i="25" a="1"/>
  <c r="U1301" i="25"/>
  <c r="V1301" i="25" a="1"/>
  <c r="V1301" i="25"/>
  <c r="W1301" i="25"/>
  <c r="U1302" i="25" a="1"/>
  <c r="U1302" i="25"/>
  <c r="V1302" i="25" a="1"/>
  <c r="V1302" i="25"/>
  <c r="W1302" i="25"/>
  <c r="U1303" i="25" a="1"/>
  <c r="U1303" i="25"/>
  <c r="V1303" i="25" a="1"/>
  <c r="V1303" i="25"/>
  <c r="W1303" i="25"/>
  <c r="U1304" i="25" a="1"/>
  <c r="U1304" i="25"/>
  <c r="V1304" i="25" a="1"/>
  <c r="V1304" i="25"/>
  <c r="W1304" i="25"/>
  <c r="U1305" i="25" a="1"/>
  <c r="U1305" i="25"/>
  <c r="V1305" i="25" a="1"/>
  <c r="V1305" i="25"/>
  <c r="W1305" i="25"/>
  <c r="U1306" i="25" a="1"/>
  <c r="U1306" i="25"/>
  <c r="V1306" i="25" a="1"/>
  <c r="V1306" i="25"/>
  <c r="W1306" i="25"/>
  <c r="U1307" i="25" a="1"/>
  <c r="U1307" i="25"/>
  <c r="V1307" i="25" a="1"/>
  <c r="V1307" i="25"/>
  <c r="W1307" i="25"/>
  <c r="U1308" i="25" a="1"/>
  <c r="U1308" i="25"/>
  <c r="V1308" i="25" a="1"/>
  <c r="V1308" i="25"/>
  <c r="W1308" i="25"/>
  <c r="U1309" i="25" a="1"/>
  <c r="U1309" i="25"/>
  <c r="V1309" i="25" a="1"/>
  <c r="V1309" i="25"/>
  <c r="W1309" i="25"/>
  <c r="U1310" i="25" a="1"/>
  <c r="U1310" i="25"/>
  <c r="V1310" i="25" a="1"/>
  <c r="V1310" i="25"/>
  <c r="W1310" i="25"/>
  <c r="U1311" i="25" a="1"/>
  <c r="U1311" i="25"/>
  <c r="V1311" i="25" a="1"/>
  <c r="V1311" i="25"/>
  <c r="W1311" i="25"/>
  <c r="U1312" i="25" a="1"/>
  <c r="U1312" i="25"/>
  <c r="V1312" i="25" a="1"/>
  <c r="V1312" i="25"/>
  <c r="W1312" i="25"/>
  <c r="U1313" i="25" a="1"/>
  <c r="U1313" i="25"/>
  <c r="V1313" i="25" a="1"/>
  <c r="V1313" i="25"/>
  <c r="W1313" i="25"/>
  <c r="U1314" i="25" a="1"/>
  <c r="U1314" i="25"/>
  <c r="V1314" i="25" a="1"/>
  <c r="V1314" i="25"/>
  <c r="W1314" i="25"/>
  <c r="U1315" i="25" a="1"/>
  <c r="U1315" i="25"/>
  <c r="V1315" i="25" a="1"/>
  <c r="V1315" i="25"/>
  <c r="W1315" i="25"/>
  <c r="U1316" i="25" a="1"/>
  <c r="U1316" i="25"/>
  <c r="V1316" i="25" a="1"/>
  <c r="V1316" i="25"/>
  <c r="W1316" i="25"/>
  <c r="U1317" i="25" a="1"/>
  <c r="U1317" i="25"/>
  <c r="V1317" i="25" a="1"/>
  <c r="V1317" i="25"/>
  <c r="W1317" i="25"/>
  <c r="U1318" i="25" a="1"/>
  <c r="U1318" i="25"/>
  <c r="V1318" i="25" a="1"/>
  <c r="V1318" i="25"/>
  <c r="W1318" i="25"/>
  <c r="U1319" i="25" a="1"/>
  <c r="U1319" i="25"/>
  <c r="V1319" i="25" a="1"/>
  <c r="V1319" i="25"/>
  <c r="W1319" i="25"/>
  <c r="U1320" i="25" a="1"/>
  <c r="U1320" i="25"/>
  <c r="V1320" i="25" a="1"/>
  <c r="V1320" i="25"/>
  <c r="W1320" i="25"/>
  <c r="U1321" i="25" a="1"/>
  <c r="U1321" i="25"/>
  <c r="V1321" i="25" a="1"/>
  <c r="V1321" i="25"/>
  <c r="W1321" i="25"/>
  <c r="U1322" i="25" a="1"/>
  <c r="U1322" i="25"/>
  <c r="V1322" i="25" a="1"/>
  <c r="V1322" i="25"/>
  <c r="W1322" i="25"/>
  <c r="U1323" i="25" a="1"/>
  <c r="U1323" i="25"/>
  <c r="V1323" i="25" a="1"/>
  <c r="V1323" i="25"/>
  <c r="W1323" i="25"/>
  <c r="U1324" i="25" a="1"/>
  <c r="U1324" i="25"/>
  <c r="V1324" i="25" a="1"/>
  <c r="V1324" i="25"/>
  <c r="W1324" i="25"/>
  <c r="U1325" i="25" a="1"/>
  <c r="U1325" i="25"/>
  <c r="V1325" i="25" a="1"/>
  <c r="V1325" i="25"/>
  <c r="W1325" i="25"/>
  <c r="U1326" i="25" a="1"/>
  <c r="U1326" i="25"/>
  <c r="V1326" i="25" a="1"/>
  <c r="V1326" i="25"/>
  <c r="W1326" i="25"/>
  <c r="U1327" i="25" a="1"/>
  <c r="U1327" i="25"/>
  <c r="V1327" i="25" a="1"/>
  <c r="V1327" i="25"/>
  <c r="W1327" i="25"/>
  <c r="U1328" i="25" a="1"/>
  <c r="U1328" i="25"/>
  <c r="V1328" i="25" a="1"/>
  <c r="V1328" i="25"/>
  <c r="W1328" i="25"/>
  <c r="U1329" i="25" a="1"/>
  <c r="U1329" i="25"/>
  <c r="V1329" i="25" a="1"/>
  <c r="V1329" i="25"/>
  <c r="W1329" i="25"/>
  <c r="U1330" i="25" a="1"/>
  <c r="U1330" i="25"/>
  <c r="V1330" i="25" a="1"/>
  <c r="V1330" i="25"/>
  <c r="W1330" i="25"/>
  <c r="U1331" i="25" a="1"/>
  <c r="U1331" i="25"/>
  <c r="V1331" i="25" a="1"/>
  <c r="V1331" i="25"/>
  <c r="W1331" i="25"/>
  <c r="U1332" i="25" a="1"/>
  <c r="U1332" i="25"/>
  <c r="V1332" i="25" a="1"/>
  <c r="V1332" i="25"/>
  <c r="W1332" i="25"/>
  <c r="U1333" i="25" a="1"/>
  <c r="U1333" i="25"/>
  <c r="V1333" i="25" a="1"/>
  <c r="V1333" i="25"/>
  <c r="W1333" i="25"/>
  <c r="U1334" i="25" a="1"/>
  <c r="U1334" i="25"/>
  <c r="V1334" i="25" a="1"/>
  <c r="V1334" i="25"/>
  <c r="W1334" i="25"/>
  <c r="U1335" i="25" a="1"/>
  <c r="U1335" i="25"/>
  <c r="V1335" i="25" a="1"/>
  <c r="V1335" i="25"/>
  <c r="W1335" i="25"/>
  <c r="U1336" i="25" a="1"/>
  <c r="U1336" i="25"/>
  <c r="V1336" i="25" a="1"/>
  <c r="V1336" i="25"/>
  <c r="W1336" i="25"/>
  <c r="U1337" i="25" a="1"/>
  <c r="U1337" i="25"/>
  <c r="V1337" i="25" a="1"/>
  <c r="V1337" i="25"/>
  <c r="W1337" i="25"/>
  <c r="U1338" i="25" a="1"/>
  <c r="U1338" i="25"/>
  <c r="V1338" i="25" a="1"/>
  <c r="V1338" i="25"/>
  <c r="W1338" i="25"/>
  <c r="U1339" i="25" a="1"/>
  <c r="U1339" i="25"/>
  <c r="V1339" i="25" a="1"/>
  <c r="V1339" i="25"/>
  <c r="W1339" i="25"/>
  <c r="U1340" i="25" a="1"/>
  <c r="U1340" i="25"/>
  <c r="V1340" i="25" a="1"/>
  <c r="V1340" i="25"/>
  <c r="W1340" i="25"/>
  <c r="U1341" i="25" a="1"/>
  <c r="U1341" i="25"/>
  <c r="V1341" i="25" a="1"/>
  <c r="V1341" i="25"/>
  <c r="W1341" i="25"/>
  <c r="U1342" i="25" a="1"/>
  <c r="U1342" i="25"/>
  <c r="V1342" i="25" a="1"/>
  <c r="V1342" i="25"/>
  <c r="W1342" i="25"/>
  <c r="U1343" i="25" a="1"/>
  <c r="U1343" i="25"/>
  <c r="V1343" i="25" a="1"/>
  <c r="V1343" i="25"/>
  <c r="W1343" i="25"/>
  <c r="U1344" i="25" a="1"/>
  <c r="U1344" i="25"/>
  <c r="V1344" i="25" a="1"/>
  <c r="V1344" i="25"/>
  <c r="W1344" i="25"/>
  <c r="U1345" i="25" a="1"/>
  <c r="U1345" i="25"/>
  <c r="V1345" i="25" a="1"/>
  <c r="V1345" i="25"/>
  <c r="W1345" i="25"/>
  <c r="U1346" i="25" a="1"/>
  <c r="U1346" i="25"/>
  <c r="V1346" i="25" a="1"/>
  <c r="V1346" i="25"/>
  <c r="W1346" i="25"/>
  <c r="U1347" i="25" a="1"/>
  <c r="U1347" i="25"/>
  <c r="V1347" i="25" a="1"/>
  <c r="V1347" i="25"/>
  <c r="W1347" i="25"/>
  <c r="U1348" i="25" a="1"/>
  <c r="U1348" i="25"/>
  <c r="V1348" i="25" a="1"/>
  <c r="V1348" i="25"/>
  <c r="W1348" i="25"/>
  <c r="U1349" i="25" a="1"/>
  <c r="U1349" i="25"/>
  <c r="V1349" i="25" a="1"/>
  <c r="V1349" i="25"/>
  <c r="W1349" i="25"/>
  <c r="U1350" i="25" a="1"/>
  <c r="U1350" i="25"/>
  <c r="V1350" i="25" a="1"/>
  <c r="V1350" i="25"/>
  <c r="W1350" i="25"/>
  <c r="U1351" i="25" a="1"/>
  <c r="U1351" i="25"/>
  <c r="V1351" i="25" a="1"/>
  <c r="V1351" i="25"/>
  <c r="W1351" i="25"/>
  <c r="U1352" i="25" a="1"/>
  <c r="U1352" i="25"/>
  <c r="V1352" i="25" a="1"/>
  <c r="V1352" i="25"/>
  <c r="W1352" i="25"/>
  <c r="U1353" i="25" a="1"/>
  <c r="U1353" i="25"/>
  <c r="V1353" i="25" a="1"/>
  <c r="V1353" i="25"/>
  <c r="W1353" i="25"/>
  <c r="U1354" i="25" a="1"/>
  <c r="U1354" i="25"/>
  <c r="V1354" i="25" a="1"/>
  <c r="V1354" i="25"/>
  <c r="W1354" i="25"/>
  <c r="U1355" i="25" a="1"/>
  <c r="U1355" i="25"/>
  <c r="V1355" i="25" a="1"/>
  <c r="V1355" i="25"/>
  <c r="W1355" i="25"/>
  <c r="U1356" i="25" a="1"/>
  <c r="U1356" i="25"/>
  <c r="V1356" i="25" a="1"/>
  <c r="V1356" i="25"/>
  <c r="W1356" i="25"/>
  <c r="U1357" i="25" a="1"/>
  <c r="U1357" i="25"/>
  <c r="V1357" i="25" a="1"/>
  <c r="V1357" i="25"/>
  <c r="W1357" i="25"/>
  <c r="U1358" i="25" a="1"/>
  <c r="U1358" i="25"/>
  <c r="V1358" i="25" a="1"/>
  <c r="V1358" i="25"/>
  <c r="W1358" i="25"/>
  <c r="U1359" i="25" a="1"/>
  <c r="U1359" i="25"/>
  <c r="V1359" i="25" a="1"/>
  <c r="V1359" i="25"/>
  <c r="W1359" i="25"/>
  <c r="U1360" i="25" a="1"/>
  <c r="U1360" i="25"/>
  <c r="V1360" i="25" a="1"/>
  <c r="V1360" i="25"/>
  <c r="W1360" i="25"/>
  <c r="U1361" i="25" a="1"/>
  <c r="U1361" i="25"/>
  <c r="V1361" i="25" a="1"/>
  <c r="V1361" i="25"/>
  <c r="W1361" i="25"/>
  <c r="U1362" i="25" a="1"/>
  <c r="U1362" i="25"/>
  <c r="V1362" i="25" a="1"/>
  <c r="V1362" i="25"/>
  <c r="W1362" i="25"/>
  <c r="U1363" i="25" a="1"/>
  <c r="U1363" i="25"/>
  <c r="V1363" i="25" a="1"/>
  <c r="V1363" i="25"/>
  <c r="W1363" i="25"/>
  <c r="U1364" i="25" a="1"/>
  <c r="U1364" i="25"/>
  <c r="V1364" i="25" a="1"/>
  <c r="V1364" i="25"/>
  <c r="W1364" i="25"/>
  <c r="U1365" i="25" a="1"/>
  <c r="U1365" i="25"/>
  <c r="V1365" i="25" a="1"/>
  <c r="V1365" i="25"/>
  <c r="W1365" i="25"/>
  <c r="U1366" i="25" a="1"/>
  <c r="U1366" i="25"/>
  <c r="V1366" i="25" a="1"/>
  <c r="V1366" i="25"/>
  <c r="W1366" i="25"/>
  <c r="U1367" i="25" a="1"/>
  <c r="U1367" i="25"/>
  <c r="V1367" i="25" a="1"/>
  <c r="V1367" i="25"/>
  <c r="W1367" i="25"/>
  <c r="U1368" i="25" a="1"/>
  <c r="U1368" i="25"/>
  <c r="V1368" i="25" a="1"/>
  <c r="V1368" i="25"/>
  <c r="W1368" i="25"/>
  <c r="U1369" i="25" a="1"/>
  <c r="U1369" i="25"/>
  <c r="V1369" i="25" a="1"/>
  <c r="V1369" i="25"/>
  <c r="W1369" i="25"/>
  <c r="U1370" i="25" a="1"/>
  <c r="U1370" i="25"/>
  <c r="V1370" i="25" a="1"/>
  <c r="V1370" i="25"/>
  <c r="W1370" i="25"/>
  <c r="U1371" i="25" a="1"/>
  <c r="U1371" i="25"/>
  <c r="V1371" i="25" a="1"/>
  <c r="V1371" i="25"/>
  <c r="W1371" i="25"/>
  <c r="U1372" i="25" a="1"/>
  <c r="U1372" i="25"/>
  <c r="V1372" i="25" a="1"/>
  <c r="V1372" i="25"/>
  <c r="W1372" i="25"/>
  <c r="U1373" i="25" a="1"/>
  <c r="U1373" i="25"/>
  <c r="V1373" i="25" a="1"/>
  <c r="V1373" i="25"/>
  <c r="W1373" i="25"/>
  <c r="U1374" i="25" a="1"/>
  <c r="U1374" i="25"/>
  <c r="V1374" i="25" a="1"/>
  <c r="V1374" i="25"/>
  <c r="W1374" i="25"/>
  <c r="U1375" i="25" a="1"/>
  <c r="U1375" i="25"/>
  <c r="V1375" i="25" a="1"/>
  <c r="V1375" i="25"/>
  <c r="W1375" i="25"/>
  <c r="U1376" i="25" a="1"/>
  <c r="U1376" i="25"/>
  <c r="V1376" i="25" a="1"/>
  <c r="V1376" i="25"/>
  <c r="W1376" i="25"/>
  <c r="U1377" i="25" a="1"/>
  <c r="U1377" i="25"/>
  <c r="V1377" i="25" a="1"/>
  <c r="V1377" i="25"/>
  <c r="W1377" i="25"/>
  <c r="U1378" i="25" a="1"/>
  <c r="U1378" i="25"/>
  <c r="V1378" i="25" a="1"/>
  <c r="V1378" i="25"/>
  <c r="W1378" i="25"/>
  <c r="U1379" i="25" a="1"/>
  <c r="U1379" i="25"/>
  <c r="V1379" i="25" a="1"/>
  <c r="V1379" i="25"/>
  <c r="W1379" i="25"/>
  <c r="U1380" i="25" a="1"/>
  <c r="U1380" i="25"/>
  <c r="V1380" i="25" a="1"/>
  <c r="V1380" i="25"/>
  <c r="W1380" i="25"/>
  <c r="U1381" i="25" a="1"/>
  <c r="U1381" i="25"/>
  <c r="V1381" i="25" a="1"/>
  <c r="V1381" i="25"/>
  <c r="W1381" i="25"/>
  <c r="U1382" i="25" a="1"/>
  <c r="U1382" i="25"/>
  <c r="V1382" i="25" a="1"/>
  <c r="V1382" i="25"/>
  <c r="W1382" i="25"/>
  <c r="U1383" i="25" a="1"/>
  <c r="U1383" i="25"/>
  <c r="V1383" i="25" a="1"/>
  <c r="V1383" i="25"/>
  <c r="W1383" i="25"/>
  <c r="U1384" i="25" a="1"/>
  <c r="U1384" i="25"/>
  <c r="V1384" i="25" a="1"/>
  <c r="V1384" i="25"/>
  <c r="W1384" i="25"/>
  <c r="U1385" i="25" a="1"/>
  <c r="U1385" i="25"/>
  <c r="V1385" i="25" a="1"/>
  <c r="V1385" i="25"/>
  <c r="W1385" i="25"/>
  <c r="U1386" i="25" a="1"/>
  <c r="U1386" i="25"/>
  <c r="V1386" i="25" a="1"/>
  <c r="V1386" i="25"/>
  <c r="W1386" i="25"/>
  <c r="U1387" i="25" a="1"/>
  <c r="U1387" i="25"/>
  <c r="V1387" i="25" a="1"/>
  <c r="V1387" i="25"/>
  <c r="W1387" i="25"/>
  <c r="U1388" i="25" a="1"/>
  <c r="U1388" i="25"/>
  <c r="V1388" i="25" a="1"/>
  <c r="V1388" i="25"/>
  <c r="W1388" i="25"/>
  <c r="U1389" i="25" a="1"/>
  <c r="U1389" i="25"/>
  <c r="V1389" i="25" a="1"/>
  <c r="V1389" i="25"/>
  <c r="W1389" i="25"/>
  <c r="U1390" i="25" a="1"/>
  <c r="U1390" i="25"/>
  <c r="V1390" i="25" a="1"/>
  <c r="V1390" i="25"/>
  <c r="W1390" i="25"/>
  <c r="U1391" i="25" a="1"/>
  <c r="U1391" i="25"/>
  <c r="V1391" i="25" a="1"/>
  <c r="V1391" i="25"/>
  <c r="W1391" i="25"/>
  <c r="U1392" i="25" a="1"/>
  <c r="U1392" i="25"/>
  <c r="V1392" i="25" a="1"/>
  <c r="V1392" i="25"/>
  <c r="W1392" i="25"/>
  <c r="U1393" i="25" a="1"/>
  <c r="U1393" i="25"/>
  <c r="V1393" i="25" a="1"/>
  <c r="V1393" i="25"/>
  <c r="W1393" i="25"/>
  <c r="U1394" i="25" a="1"/>
  <c r="U1394" i="25"/>
  <c r="V1394" i="25" a="1"/>
  <c r="V1394" i="25"/>
  <c r="W1394" i="25"/>
  <c r="U1395" i="25" a="1"/>
  <c r="U1395" i="25"/>
  <c r="V1395" i="25" a="1"/>
  <c r="V1395" i="25"/>
  <c r="W1395" i="25"/>
  <c r="U1396" i="25" a="1"/>
  <c r="U1396" i="25"/>
  <c r="V1396" i="25" a="1"/>
  <c r="V1396" i="25"/>
  <c r="W1396" i="25"/>
  <c r="U1397" i="25" a="1"/>
  <c r="U1397" i="25"/>
  <c r="V1397" i="25" a="1"/>
  <c r="V1397" i="25"/>
  <c r="W1397" i="25"/>
  <c r="U1398" i="25" a="1"/>
  <c r="U1398" i="25"/>
  <c r="V1398" i="25" a="1"/>
  <c r="V1398" i="25"/>
  <c r="W1398" i="25"/>
  <c r="U1399" i="25" a="1"/>
  <c r="U1399" i="25"/>
  <c r="V1399" i="25" a="1"/>
  <c r="V1399" i="25"/>
  <c r="W1399" i="25"/>
  <c r="U1400" i="25" a="1"/>
  <c r="U1400" i="25"/>
  <c r="V1400" i="25" a="1"/>
  <c r="V1400" i="25"/>
  <c r="W1400" i="25"/>
  <c r="U1401" i="25" a="1"/>
  <c r="U1401" i="25"/>
  <c r="V1401" i="25" a="1"/>
  <c r="V1401" i="25"/>
  <c r="W1401" i="25"/>
  <c r="U1402" i="25" a="1"/>
  <c r="U1402" i="25"/>
  <c r="V1402" i="25" a="1"/>
  <c r="V1402" i="25"/>
  <c r="W1402" i="25"/>
  <c r="U1403" i="25" a="1"/>
  <c r="U1403" i="25"/>
  <c r="V1403" i="25" a="1"/>
  <c r="V1403" i="25"/>
  <c r="W1403" i="25"/>
  <c r="U1404" i="25" a="1"/>
  <c r="U1404" i="25"/>
  <c r="V1404" i="25" a="1"/>
  <c r="V1404" i="25"/>
  <c r="W1404" i="25"/>
  <c r="U1405" i="25" a="1"/>
  <c r="U1405" i="25"/>
  <c r="V1405" i="25" a="1"/>
  <c r="V1405" i="25"/>
  <c r="W1405" i="25"/>
  <c r="U1406" i="25" a="1"/>
  <c r="U1406" i="25"/>
  <c r="V1406" i="25" a="1"/>
  <c r="V1406" i="25"/>
  <c r="W1406" i="25"/>
  <c r="U1407" i="25" a="1"/>
  <c r="U1407" i="25"/>
  <c r="V1407" i="25" a="1"/>
  <c r="V1407" i="25"/>
  <c r="W1407" i="25"/>
  <c r="U1408" i="25" a="1"/>
  <c r="U1408" i="25"/>
  <c r="V1408" i="25" a="1"/>
  <c r="V1408" i="25"/>
  <c r="W1408" i="25"/>
  <c r="U1409" i="25" a="1"/>
  <c r="U1409" i="25"/>
  <c r="V1409" i="25" a="1"/>
  <c r="V1409" i="25"/>
  <c r="W1409" i="25"/>
  <c r="U1410" i="25" a="1"/>
  <c r="U1410" i="25"/>
  <c r="V1410" i="25" a="1"/>
  <c r="V1410" i="25"/>
  <c r="W1410" i="25"/>
  <c r="U1411" i="25" a="1"/>
  <c r="U1411" i="25"/>
  <c r="V1411" i="25" a="1"/>
  <c r="V1411" i="25"/>
  <c r="W1411" i="25"/>
  <c r="U1412" i="25" a="1"/>
  <c r="U1412" i="25"/>
  <c r="V1412" i="25" a="1"/>
  <c r="V1412" i="25"/>
  <c r="W1412" i="25"/>
  <c r="U1413" i="25" a="1"/>
  <c r="U1413" i="25"/>
  <c r="V1413" i="25" a="1"/>
  <c r="V1413" i="25"/>
  <c r="W1413" i="25"/>
  <c r="U1414" i="25" a="1"/>
  <c r="U1414" i="25"/>
  <c r="V1414" i="25" a="1"/>
  <c r="V1414" i="25"/>
  <c r="W1414" i="25"/>
  <c r="U1415" i="25" a="1"/>
  <c r="U1415" i="25"/>
  <c r="V1415" i="25" a="1"/>
  <c r="V1415" i="25"/>
  <c r="W1415" i="25"/>
  <c r="U1416" i="25" a="1"/>
  <c r="U1416" i="25"/>
  <c r="V1416" i="25" a="1"/>
  <c r="V1416" i="25"/>
  <c r="W1416" i="25"/>
  <c r="U1417" i="25" a="1"/>
  <c r="U1417" i="25"/>
  <c r="V1417" i="25" a="1"/>
  <c r="V1417" i="25"/>
  <c r="W1417" i="25"/>
  <c r="U1418" i="25" a="1"/>
  <c r="U1418" i="25"/>
  <c r="V1418" i="25" a="1"/>
  <c r="V1418" i="25"/>
  <c r="W1418" i="25"/>
  <c r="U1419" i="25" a="1"/>
  <c r="U1419" i="25"/>
  <c r="V1419" i="25" a="1"/>
  <c r="V1419" i="25"/>
  <c r="W1419" i="25"/>
  <c r="U1420" i="25" a="1"/>
  <c r="U1420" i="25"/>
  <c r="V1420" i="25" a="1"/>
  <c r="V1420" i="25"/>
  <c r="W1420" i="25"/>
  <c r="U1421" i="25" a="1"/>
  <c r="U1421" i="25"/>
  <c r="V1421" i="25" a="1"/>
  <c r="V1421" i="25"/>
  <c r="W1421" i="25"/>
  <c r="U1422" i="25" a="1"/>
  <c r="U1422" i="25"/>
  <c r="V1422" i="25" a="1"/>
  <c r="V1422" i="25"/>
  <c r="W1422" i="25"/>
  <c r="U1423" i="25" a="1"/>
  <c r="U1423" i="25"/>
  <c r="V1423" i="25" a="1"/>
  <c r="V1423" i="25"/>
  <c r="W1423" i="25"/>
  <c r="U1424" i="25" a="1"/>
  <c r="U1424" i="25"/>
  <c r="V1424" i="25" a="1"/>
  <c r="V1424" i="25"/>
  <c r="W1424" i="25"/>
  <c r="U1425" i="25" a="1"/>
  <c r="U1425" i="25"/>
  <c r="V1425" i="25" a="1"/>
  <c r="V1425" i="25"/>
  <c r="W1425" i="25"/>
  <c r="U1426" i="25" a="1"/>
  <c r="U1426" i="25"/>
  <c r="V1426" i="25" a="1"/>
  <c r="V1426" i="25"/>
  <c r="W1426" i="25"/>
  <c r="U1427" i="25" a="1"/>
  <c r="U1427" i="25"/>
  <c r="V1427" i="25" a="1"/>
  <c r="V1427" i="25"/>
  <c r="W1427" i="25"/>
  <c r="U1428" i="25" a="1"/>
  <c r="U1428" i="25"/>
  <c r="V1428" i="25" a="1"/>
  <c r="V1428" i="25"/>
  <c r="W1428" i="25"/>
  <c r="U1429" i="25" a="1"/>
  <c r="U1429" i="25"/>
  <c r="V1429" i="25" a="1"/>
  <c r="V1429" i="25"/>
  <c r="W1429" i="25"/>
  <c r="U1430" i="25" a="1"/>
  <c r="U1430" i="25"/>
  <c r="V1430" i="25" a="1"/>
  <c r="V1430" i="25"/>
  <c r="W1430" i="25"/>
  <c r="U1431" i="25" a="1"/>
  <c r="U1431" i="25"/>
  <c r="V1431" i="25" a="1"/>
  <c r="V1431" i="25"/>
  <c r="W1431" i="25"/>
  <c r="U1432" i="25" a="1"/>
  <c r="U1432" i="25"/>
  <c r="V1432" i="25" a="1"/>
  <c r="V1432" i="25"/>
  <c r="W1432" i="25"/>
  <c r="U1433" i="25" a="1"/>
  <c r="U1433" i="25"/>
  <c r="V1433" i="25" a="1"/>
  <c r="V1433" i="25"/>
  <c r="W1433" i="25"/>
  <c r="U1434" i="25" a="1"/>
  <c r="U1434" i="25"/>
  <c r="V1434" i="25" a="1"/>
  <c r="V1434" i="25"/>
  <c r="W1434" i="25"/>
  <c r="U1435" i="25" a="1"/>
  <c r="U1435" i="25"/>
  <c r="V1435" i="25" a="1"/>
  <c r="V1435" i="25"/>
  <c r="W1435" i="25"/>
  <c r="U1436" i="25" a="1"/>
  <c r="U1436" i="25"/>
  <c r="V1436" i="25" a="1"/>
  <c r="V1436" i="25"/>
  <c r="W1436" i="25"/>
  <c r="U1437" i="25" a="1"/>
  <c r="U1437" i="25"/>
  <c r="V1437" i="25" a="1"/>
  <c r="V1437" i="25"/>
  <c r="W1437" i="25"/>
  <c r="U1438" i="25" a="1"/>
  <c r="U1438" i="25"/>
  <c r="V1438" i="25" a="1"/>
  <c r="V1438" i="25"/>
  <c r="W1438" i="25"/>
  <c r="U1439" i="25" a="1"/>
  <c r="U1439" i="25"/>
  <c r="V1439" i="25" a="1"/>
  <c r="V1439" i="25"/>
  <c r="W1439" i="25"/>
  <c r="U1440" i="25" a="1"/>
  <c r="U1440" i="25"/>
  <c r="V1440" i="25" a="1"/>
  <c r="V1440" i="25"/>
  <c r="W1440" i="25"/>
  <c r="U1441" i="25" a="1"/>
  <c r="U1441" i="25"/>
  <c r="V1441" i="25" a="1"/>
  <c r="V1441" i="25"/>
  <c r="W1441" i="25"/>
  <c r="U1442" i="25" a="1"/>
  <c r="U1442" i="25"/>
  <c r="V1442" i="25" a="1"/>
  <c r="V1442" i="25"/>
  <c r="W1442" i="25"/>
  <c r="U1443" i="25" a="1"/>
  <c r="U1443" i="25"/>
  <c r="V1443" i="25" a="1"/>
  <c r="V1443" i="25"/>
  <c r="W1443" i="25"/>
  <c r="U1444" i="25" a="1"/>
  <c r="U1444" i="25"/>
  <c r="V1444" i="25" a="1"/>
  <c r="V1444" i="25"/>
  <c r="W1444" i="25"/>
  <c r="U1445" i="25" a="1"/>
  <c r="U1445" i="25"/>
  <c r="V1445" i="25" a="1"/>
  <c r="V1445" i="25"/>
  <c r="W1445" i="25"/>
  <c r="U1446" i="25" a="1"/>
  <c r="U1446" i="25"/>
  <c r="V1446" i="25" a="1"/>
  <c r="V1446" i="25"/>
  <c r="W1446" i="25"/>
  <c r="U1447" i="25" a="1"/>
  <c r="U1447" i="25"/>
  <c r="V1447" i="25" a="1"/>
  <c r="V1447" i="25"/>
  <c r="W1447" i="25"/>
  <c r="U1448" i="25" a="1"/>
  <c r="U1448" i="25"/>
  <c r="V1448" i="25" a="1"/>
  <c r="V1448" i="25"/>
  <c r="W1448" i="25"/>
  <c r="U1449" i="25" a="1"/>
  <c r="U1449" i="25"/>
  <c r="V1449" i="25" a="1"/>
  <c r="V1449" i="25"/>
  <c r="W1449" i="25"/>
  <c r="U1450" i="25" a="1"/>
  <c r="U1450" i="25"/>
  <c r="V1450" i="25" a="1"/>
  <c r="V1450" i="25"/>
  <c r="W1450" i="25"/>
  <c r="U1451" i="25" a="1"/>
  <c r="U1451" i="25"/>
  <c r="V1451" i="25" a="1"/>
  <c r="V1451" i="25"/>
  <c r="W1451" i="25"/>
  <c r="U1452" i="25" a="1"/>
  <c r="U1452" i="25"/>
  <c r="V1452" i="25" a="1"/>
  <c r="V1452" i="25"/>
  <c r="W1452" i="25"/>
  <c r="U1453" i="25" a="1"/>
  <c r="U1453" i="25"/>
  <c r="V1453" i="25" a="1"/>
  <c r="V1453" i="25"/>
  <c r="W1453" i="25"/>
  <c r="U1454" i="25" a="1"/>
  <c r="U1454" i="25"/>
  <c r="V1454" i="25" a="1"/>
  <c r="V1454" i="25"/>
  <c r="W1454" i="25"/>
  <c r="U1455" i="25" a="1"/>
  <c r="U1455" i="25"/>
  <c r="V1455" i="25" a="1"/>
  <c r="V1455" i="25"/>
  <c r="W1455" i="25"/>
  <c r="U1456" i="25" a="1"/>
  <c r="U1456" i="25"/>
  <c r="V1456" i="25" a="1"/>
  <c r="V1456" i="25"/>
  <c r="W1456" i="25"/>
  <c r="U1457" i="25" a="1"/>
  <c r="U1457" i="25"/>
  <c r="V1457" i="25" a="1"/>
  <c r="V1457" i="25"/>
  <c r="W1457" i="25"/>
  <c r="U1458" i="25" a="1"/>
  <c r="U1458" i="25"/>
  <c r="V1458" i="25" a="1"/>
  <c r="V1458" i="25"/>
  <c r="W1458" i="25"/>
  <c r="U1459" i="25" a="1"/>
  <c r="U1459" i="25"/>
  <c r="V1459" i="25" a="1"/>
  <c r="V1459" i="25"/>
  <c r="W1459" i="25"/>
  <c r="U1460" i="25" a="1"/>
  <c r="U1460" i="25"/>
  <c r="V1460" i="25" a="1"/>
  <c r="V1460" i="25"/>
  <c r="W1460" i="25"/>
  <c r="U1461" i="25" a="1"/>
  <c r="U1461" i="25"/>
  <c r="V1461" i="25" a="1"/>
  <c r="V1461" i="25"/>
  <c r="W1461" i="25"/>
  <c r="U1462" i="25" a="1"/>
  <c r="U1462" i="25"/>
  <c r="V1462" i="25" a="1"/>
  <c r="V1462" i="25"/>
  <c r="W1462" i="25"/>
  <c r="U1463" i="25" a="1"/>
  <c r="U1463" i="25"/>
  <c r="V1463" i="25" a="1"/>
  <c r="V1463" i="25"/>
  <c r="W1463" i="25"/>
  <c r="U1464" i="25" a="1"/>
  <c r="U1464" i="25"/>
  <c r="V1464" i="25" a="1"/>
  <c r="V1464" i="25"/>
  <c r="W1464" i="25"/>
  <c r="U1465" i="25" a="1"/>
  <c r="U1465" i="25"/>
  <c r="V1465" i="25" a="1"/>
  <c r="V1465" i="25"/>
  <c r="W1465" i="25"/>
  <c r="U1466" i="25" a="1"/>
  <c r="U1466" i="25"/>
  <c r="V1466" i="25" a="1"/>
  <c r="V1466" i="25"/>
  <c r="W1466" i="25"/>
  <c r="U1467" i="25" a="1"/>
  <c r="U1467" i="25"/>
  <c r="V1467" i="25" a="1"/>
  <c r="V1467" i="25"/>
  <c r="W1467" i="25"/>
  <c r="U1468" i="25" a="1"/>
  <c r="U1468" i="25"/>
  <c r="V1468" i="25" a="1"/>
  <c r="V1468" i="25"/>
  <c r="W1468" i="25"/>
  <c r="U1469" i="25" a="1"/>
  <c r="U1469" i="25"/>
  <c r="V1469" i="25" a="1"/>
  <c r="V1469" i="25"/>
  <c r="W1469" i="25"/>
  <c r="U1470" i="25" a="1"/>
  <c r="U1470" i="25"/>
  <c r="V1470" i="25" a="1"/>
  <c r="V1470" i="25"/>
  <c r="W1470" i="25"/>
  <c r="U1471" i="25" a="1"/>
  <c r="U1471" i="25"/>
  <c r="V1471" i="25" a="1"/>
  <c r="V1471" i="25"/>
  <c r="W1471" i="25"/>
  <c r="U1472" i="25" a="1"/>
  <c r="U1472" i="25"/>
  <c r="V1472" i="25" a="1"/>
  <c r="V1472" i="25"/>
  <c r="W1472" i="25"/>
  <c r="U1473" i="25" a="1"/>
  <c r="U1473" i="25"/>
  <c r="V1473" i="25" a="1"/>
  <c r="V1473" i="25"/>
  <c r="W1473" i="25"/>
  <c r="U1474" i="25" a="1"/>
  <c r="U1474" i="25"/>
  <c r="V1474" i="25" a="1"/>
  <c r="V1474" i="25"/>
  <c r="W1474" i="25"/>
  <c r="U1475" i="25" a="1"/>
  <c r="U1475" i="25"/>
  <c r="V1475" i="25" a="1"/>
  <c r="V1475" i="25"/>
  <c r="W1475" i="25"/>
  <c r="U1476" i="25" a="1"/>
  <c r="U1476" i="25"/>
  <c r="V1476" i="25" a="1"/>
  <c r="V1476" i="25"/>
  <c r="W1476" i="25"/>
  <c r="U1477" i="25" a="1"/>
  <c r="U1477" i="25"/>
  <c r="V1477" i="25" a="1"/>
  <c r="V1477" i="25"/>
  <c r="W1477" i="25"/>
  <c r="U1478" i="25" a="1"/>
  <c r="U1478" i="25"/>
  <c r="V1478" i="25" a="1"/>
  <c r="V1478" i="25"/>
  <c r="W1478" i="25"/>
  <c r="U1479" i="25" a="1"/>
  <c r="U1479" i="25"/>
  <c r="V1479" i="25" a="1"/>
  <c r="V1479" i="25"/>
  <c r="W1479" i="25"/>
  <c r="U1480" i="25" a="1"/>
  <c r="U1480" i="25"/>
  <c r="V1480" i="25" a="1"/>
  <c r="V1480" i="25"/>
  <c r="W1480" i="25"/>
  <c r="U1481" i="25" a="1"/>
  <c r="U1481" i="25"/>
  <c r="V1481" i="25" a="1"/>
  <c r="V1481" i="25"/>
  <c r="W1481" i="25"/>
  <c r="U1482" i="25" a="1"/>
  <c r="U1482" i="25"/>
  <c r="V1482" i="25" a="1"/>
  <c r="V1482" i="25"/>
  <c r="W1482" i="25"/>
  <c r="U1483" i="25" a="1"/>
  <c r="U1483" i="25"/>
  <c r="V1483" i="25" a="1"/>
  <c r="V1483" i="25"/>
  <c r="W1483" i="25"/>
  <c r="U1484" i="25" a="1"/>
  <c r="U1484" i="25"/>
  <c r="V1484" i="25" a="1"/>
  <c r="V1484" i="25"/>
  <c r="W1484" i="25"/>
  <c r="U1485" i="25" a="1"/>
  <c r="U1485" i="25"/>
  <c r="V1485" i="25" a="1"/>
  <c r="V1485" i="25"/>
  <c r="W1485" i="25"/>
  <c r="U1486" i="25" a="1"/>
  <c r="U1486" i="25"/>
  <c r="V1486" i="25" a="1"/>
  <c r="V1486" i="25"/>
  <c r="W1486" i="25"/>
  <c r="U1487" i="25" a="1"/>
  <c r="U1487" i="25"/>
  <c r="V1487" i="25" a="1"/>
  <c r="V1487" i="25"/>
  <c r="W1487" i="25"/>
  <c r="U1488" i="25" a="1"/>
  <c r="U1488" i="25"/>
  <c r="V1488" i="25" a="1"/>
  <c r="V1488" i="25"/>
  <c r="W1488" i="25"/>
  <c r="U1489" i="25" a="1"/>
  <c r="U1489" i="25"/>
  <c r="V1489" i="25" a="1"/>
  <c r="V1489" i="25"/>
  <c r="W1489" i="25"/>
  <c r="U1490" i="25" a="1"/>
  <c r="U1490" i="25"/>
  <c r="V1490" i="25" a="1"/>
  <c r="V1490" i="25"/>
  <c r="W1490" i="25"/>
  <c r="U1491" i="25" a="1"/>
  <c r="U1491" i="25"/>
  <c r="V1491" i="25" a="1"/>
  <c r="V1491" i="25"/>
  <c r="W1491" i="25"/>
  <c r="U1492" i="25" a="1"/>
  <c r="U1492" i="25"/>
  <c r="V1492" i="25" a="1"/>
  <c r="V1492" i="25"/>
  <c r="W1492" i="25"/>
  <c r="U1493" i="25" a="1"/>
  <c r="U1493" i="25"/>
  <c r="V1493" i="25" a="1"/>
  <c r="V1493" i="25"/>
  <c r="W1493" i="25"/>
  <c r="U1494" i="25" a="1"/>
  <c r="U1494" i="25"/>
  <c r="V1494" i="25" a="1"/>
  <c r="V1494" i="25"/>
  <c r="W1494" i="25"/>
  <c r="U1495" i="25" a="1"/>
  <c r="U1495" i="25"/>
  <c r="V1495" i="25" a="1"/>
  <c r="V1495" i="25"/>
  <c r="W1495" i="25"/>
  <c r="U1496" i="25" a="1"/>
  <c r="U1496" i="25"/>
  <c r="V1496" i="25" a="1"/>
  <c r="V1496" i="25"/>
  <c r="W1496" i="25"/>
  <c r="U1497" i="25" a="1"/>
  <c r="U1497" i="25"/>
  <c r="V1497" i="25" a="1"/>
  <c r="V1497" i="25"/>
  <c r="W1497" i="25"/>
  <c r="U1498" i="25" a="1"/>
  <c r="U1498" i="25"/>
  <c r="V1498" i="25" a="1"/>
  <c r="V1498" i="25"/>
  <c r="W1498" i="25"/>
  <c r="U1499" i="25" a="1"/>
  <c r="U1499" i="25"/>
  <c r="V1499" i="25" a="1"/>
  <c r="V1499" i="25"/>
  <c r="W1499" i="25"/>
  <c r="U1500" i="25" a="1"/>
  <c r="U1500" i="25"/>
  <c r="V1500" i="25" a="1"/>
  <c r="V1500" i="25"/>
  <c r="W1500" i="25"/>
  <c r="U1501" i="25" a="1"/>
  <c r="U1501" i="25"/>
  <c r="V1501" i="25" a="1"/>
  <c r="V1501" i="25"/>
  <c r="W1501" i="25"/>
  <c r="U1502" i="25" a="1"/>
  <c r="U1502" i="25"/>
  <c r="V1502" i="25" a="1"/>
  <c r="V1502" i="25"/>
  <c r="W1502" i="25"/>
  <c r="U1503" i="25" a="1"/>
  <c r="U1503" i="25"/>
  <c r="V1503" i="25" a="1"/>
  <c r="V1503" i="25"/>
  <c r="W1503" i="25"/>
  <c r="U1504" i="25" a="1"/>
  <c r="U1504" i="25"/>
  <c r="V1504" i="25" a="1"/>
  <c r="V1504" i="25"/>
  <c r="W1504" i="25"/>
  <c r="U1505" i="25" a="1"/>
  <c r="U1505" i="25"/>
  <c r="V1505" i="25" a="1"/>
  <c r="V1505" i="25"/>
  <c r="W1505" i="25"/>
  <c r="U1506" i="25" a="1"/>
  <c r="U1506" i="25"/>
  <c r="V1506" i="25" a="1"/>
  <c r="V1506" i="25"/>
  <c r="W1506" i="25"/>
  <c r="U1507" i="25" a="1"/>
  <c r="U1507" i="25"/>
  <c r="V1507" i="25" a="1"/>
  <c r="V1507" i="25"/>
  <c r="W1507" i="25"/>
  <c r="U1508" i="25" a="1"/>
  <c r="U1508" i="25"/>
  <c r="V1508" i="25" a="1"/>
  <c r="V1508" i="25"/>
  <c r="W1508" i="25"/>
  <c r="U1509" i="25" a="1"/>
  <c r="U1509" i="25"/>
  <c r="V1509" i="25" a="1"/>
  <c r="V1509" i="25"/>
  <c r="W1509" i="25"/>
  <c r="Z7" i="25"/>
  <c r="Z8" i="25"/>
  <c r="Z9" i="25"/>
  <c r="Z10" i="25"/>
  <c r="Z11" i="25"/>
  <c r="Z12" i="25"/>
  <c r="Z13" i="25"/>
  <c r="Z14" i="25"/>
  <c r="Z15" i="25"/>
  <c r="Z16" i="25"/>
  <c r="Z17" i="25"/>
  <c r="Z18" i="25"/>
  <c r="Z19" i="25"/>
  <c r="Z20" i="25"/>
  <c r="Z21" i="25"/>
  <c r="Z22" i="25"/>
  <c r="Z23" i="25"/>
  <c r="Z24" i="25"/>
  <c r="Z25" i="25"/>
  <c r="Z26" i="25"/>
  <c r="Z27" i="25"/>
  <c r="Z28" i="25"/>
  <c r="Z29" i="25"/>
  <c r="Z30" i="25"/>
  <c r="Z31" i="25"/>
  <c r="Z32" i="25"/>
  <c r="Z33" i="25"/>
  <c r="Z34" i="25"/>
  <c r="Z35" i="25"/>
  <c r="Z36" i="25"/>
  <c r="Z37" i="25"/>
  <c r="Z38" i="25"/>
  <c r="Z39" i="25"/>
  <c r="Z40" i="25"/>
  <c r="Z41" i="25"/>
  <c r="Z42" i="25"/>
  <c r="Z43" i="25"/>
  <c r="Z44" i="25"/>
  <c r="Z45" i="25"/>
  <c r="Z46" i="25"/>
  <c r="Z47" i="25"/>
  <c r="Z48" i="25"/>
  <c r="Z49" i="25"/>
  <c r="Z50" i="25"/>
  <c r="Z51" i="25"/>
  <c r="Z52" i="25"/>
  <c r="Z53" i="25"/>
  <c r="Z54" i="25"/>
  <c r="Z55" i="25"/>
  <c r="Z56" i="25"/>
  <c r="Z57" i="25"/>
  <c r="Z58" i="25"/>
  <c r="Z59" i="25"/>
  <c r="Z60" i="25"/>
  <c r="Z61" i="25"/>
  <c r="Z62" i="25"/>
  <c r="Z63" i="25"/>
  <c r="Z64" i="25"/>
  <c r="Z65" i="25"/>
  <c r="Z66" i="25"/>
  <c r="Z67" i="25"/>
  <c r="Z68" i="25"/>
  <c r="Z69" i="25"/>
  <c r="Z70" i="25"/>
  <c r="Z71" i="25"/>
  <c r="Z72" i="25"/>
  <c r="Z73" i="25"/>
  <c r="Z74" i="25"/>
  <c r="Z75" i="25"/>
  <c r="Z76" i="25"/>
  <c r="Z77" i="25"/>
  <c r="Z78" i="25"/>
  <c r="Z79" i="25"/>
  <c r="Z80" i="25"/>
  <c r="Z81" i="25"/>
  <c r="Z82" i="25"/>
  <c r="Z83" i="25"/>
  <c r="Z84" i="25"/>
  <c r="Z85" i="25"/>
  <c r="Z86" i="25"/>
  <c r="Z87" i="25"/>
  <c r="Z88" i="25"/>
  <c r="Z89" i="25"/>
  <c r="Z90" i="25"/>
  <c r="Z91" i="25"/>
  <c r="Z92" i="25"/>
  <c r="Z93" i="25"/>
  <c r="Z94" i="25"/>
  <c r="Z95" i="25"/>
  <c r="Z96" i="25"/>
  <c r="Z97" i="25"/>
  <c r="Z98" i="25"/>
  <c r="Z99" i="25"/>
  <c r="Z100" i="25"/>
  <c r="Z101" i="25"/>
  <c r="Z102" i="25"/>
  <c r="Z103" i="25"/>
  <c r="Z104" i="25"/>
  <c r="Z105" i="25"/>
  <c r="Z106" i="25"/>
  <c r="Z107" i="25"/>
  <c r="Z108" i="25"/>
  <c r="Z109" i="25"/>
  <c r="Z110" i="25"/>
  <c r="Z111" i="25"/>
  <c r="Z112" i="25"/>
  <c r="Z113" i="25"/>
  <c r="Z114" i="25"/>
  <c r="Z115" i="25"/>
  <c r="Z116" i="25"/>
  <c r="Z117" i="25"/>
  <c r="Z118" i="25"/>
  <c r="Z119" i="25"/>
  <c r="Z120" i="25"/>
  <c r="Z121" i="25"/>
  <c r="Z122" i="25"/>
  <c r="Z123" i="25"/>
  <c r="Z124" i="25"/>
  <c r="Z125" i="25"/>
  <c r="Z126" i="25"/>
  <c r="Z127" i="25"/>
  <c r="Z128" i="25"/>
  <c r="Z129" i="25"/>
  <c r="Z130" i="25"/>
  <c r="Z131" i="25"/>
  <c r="Z132" i="25"/>
  <c r="Z133" i="25"/>
  <c r="Z134" i="25"/>
  <c r="Z135" i="25"/>
  <c r="Z136" i="25"/>
  <c r="Z137" i="25"/>
  <c r="Z138" i="25"/>
  <c r="Z139" i="25"/>
  <c r="Z140" i="25"/>
  <c r="Z141" i="25"/>
  <c r="Z142" i="25"/>
  <c r="Z143" i="25"/>
  <c r="Z144" i="25"/>
  <c r="Z145" i="25"/>
  <c r="Z146" i="25"/>
  <c r="Z147" i="25"/>
  <c r="Z148" i="25"/>
  <c r="Z149" i="25"/>
  <c r="Z150" i="25"/>
  <c r="Z151" i="25"/>
  <c r="Z152" i="25"/>
  <c r="Z153" i="25"/>
  <c r="Z154" i="25"/>
  <c r="Z155" i="25"/>
  <c r="Z156" i="25"/>
  <c r="Z157" i="25"/>
  <c r="Z158" i="25"/>
  <c r="Z159" i="25"/>
  <c r="Z160" i="25"/>
  <c r="Z161" i="25"/>
  <c r="Z162" i="25"/>
  <c r="Z163" i="25"/>
  <c r="Z164" i="25"/>
  <c r="Z165" i="25"/>
  <c r="Z166" i="25"/>
  <c r="Z167" i="25"/>
  <c r="Z168" i="25"/>
  <c r="Z169" i="25"/>
  <c r="Z170" i="25"/>
  <c r="Z171" i="25"/>
  <c r="Z172" i="25"/>
  <c r="Z173" i="25"/>
  <c r="Z174" i="25"/>
  <c r="Z175" i="25"/>
  <c r="Z176" i="25"/>
  <c r="Z177" i="25"/>
  <c r="Z178" i="25"/>
  <c r="Z179" i="25"/>
  <c r="Z180" i="25"/>
  <c r="Z181" i="25"/>
  <c r="Z182" i="25"/>
  <c r="Z183" i="25"/>
  <c r="Z184" i="25"/>
  <c r="Z185" i="25"/>
  <c r="Z186" i="25"/>
  <c r="Z187" i="25"/>
  <c r="Z188" i="25"/>
  <c r="Z189" i="25"/>
  <c r="Z190" i="25"/>
  <c r="Z191" i="25"/>
  <c r="Z192" i="25"/>
  <c r="Z193" i="25"/>
  <c r="Z194" i="25"/>
  <c r="Z195" i="25"/>
  <c r="Z196" i="25"/>
  <c r="Z197" i="25"/>
  <c r="Z198" i="25"/>
  <c r="Z199" i="25"/>
  <c r="Z200" i="25"/>
  <c r="Z201" i="25"/>
  <c r="Z202" i="25"/>
  <c r="Z203" i="25"/>
  <c r="Z204" i="25"/>
  <c r="Z205" i="25"/>
  <c r="Z206" i="25"/>
  <c r="Z207" i="25"/>
  <c r="Z208" i="25"/>
  <c r="Z209" i="25"/>
  <c r="Z210" i="25"/>
  <c r="Z211" i="25"/>
  <c r="Z212" i="25"/>
  <c r="Z213" i="25"/>
  <c r="Z214" i="25"/>
  <c r="Z215" i="25"/>
  <c r="Z216" i="25"/>
  <c r="Z217" i="25"/>
  <c r="Z218" i="25"/>
  <c r="Z219" i="25"/>
  <c r="Z220" i="25"/>
  <c r="Z221" i="25"/>
  <c r="Z222" i="25"/>
  <c r="Z223" i="25"/>
  <c r="Z224" i="25"/>
  <c r="Z225" i="25"/>
  <c r="Z226" i="25"/>
  <c r="Z227" i="25"/>
  <c r="Z228" i="25"/>
  <c r="Z229" i="25"/>
  <c r="Z230" i="25"/>
  <c r="Z231" i="25"/>
  <c r="Z232" i="25"/>
  <c r="Z233" i="25"/>
  <c r="Z234" i="25"/>
  <c r="Z235" i="25"/>
  <c r="Z236" i="25"/>
  <c r="Z237" i="25"/>
  <c r="Z238" i="25"/>
  <c r="Z239" i="25"/>
  <c r="Z240" i="25"/>
  <c r="Z241" i="25"/>
  <c r="Z242" i="25"/>
  <c r="Z243" i="25"/>
  <c r="Z244" i="25"/>
  <c r="Z245" i="25"/>
  <c r="Z246" i="25"/>
  <c r="Z247" i="25"/>
  <c r="Z248" i="25"/>
  <c r="Z249" i="25"/>
  <c r="Z250" i="25"/>
  <c r="Z251" i="25"/>
  <c r="Z252" i="25"/>
  <c r="Z253" i="25"/>
  <c r="Z254" i="25"/>
  <c r="Z255" i="25"/>
  <c r="Z256" i="25"/>
  <c r="Z257" i="25"/>
  <c r="Z258" i="25"/>
  <c r="Z259" i="25"/>
  <c r="Z260" i="25"/>
  <c r="Z261" i="25"/>
  <c r="Z262" i="25"/>
  <c r="Z263" i="25"/>
  <c r="Z264" i="25"/>
  <c r="Z265" i="25"/>
  <c r="Z266" i="25"/>
  <c r="Z267" i="25"/>
  <c r="Z268" i="25"/>
  <c r="Z269" i="25"/>
  <c r="Z270" i="25"/>
  <c r="Z271" i="25"/>
  <c r="Z272" i="25"/>
  <c r="Z273" i="25"/>
  <c r="Z274" i="25"/>
  <c r="Z275" i="25"/>
  <c r="Z276" i="25"/>
  <c r="Z277" i="25"/>
  <c r="Z278" i="25"/>
  <c r="Z279" i="25"/>
  <c r="Z280" i="25"/>
  <c r="Z281" i="25"/>
  <c r="Z282" i="25"/>
  <c r="Z283" i="25"/>
  <c r="Z284" i="25"/>
  <c r="Z285" i="25"/>
  <c r="Z286" i="25"/>
  <c r="Z287" i="25"/>
  <c r="Z288" i="25"/>
  <c r="Z289" i="25"/>
  <c r="Z290" i="25"/>
  <c r="Z291" i="25"/>
  <c r="Z292" i="25"/>
  <c r="Z293" i="25"/>
  <c r="Z294" i="25"/>
  <c r="Z295" i="25"/>
  <c r="Z296" i="25"/>
  <c r="Z297" i="25"/>
  <c r="Z298" i="25"/>
  <c r="Z299" i="25"/>
  <c r="Z300" i="25"/>
  <c r="Z301" i="25"/>
  <c r="Z302" i="25"/>
  <c r="Z303" i="25"/>
  <c r="Z304" i="25"/>
  <c r="Z305" i="25"/>
  <c r="Z306" i="25"/>
  <c r="Z307" i="25"/>
  <c r="Z308" i="25"/>
  <c r="Z309" i="25"/>
  <c r="Z310" i="25"/>
  <c r="Z311" i="25"/>
  <c r="Z312" i="25"/>
  <c r="Z313" i="25"/>
  <c r="Z314" i="25"/>
  <c r="Z315" i="25"/>
  <c r="Z316" i="25"/>
  <c r="Z317" i="25"/>
  <c r="Z318" i="25"/>
  <c r="Z319" i="25"/>
  <c r="Z320" i="25"/>
  <c r="Z321" i="25"/>
  <c r="Z322" i="25"/>
  <c r="Z323" i="25"/>
  <c r="Z324" i="25"/>
  <c r="Z325" i="25"/>
  <c r="Z326" i="25"/>
  <c r="Z327" i="25"/>
  <c r="Z328" i="25"/>
  <c r="Z329" i="25"/>
  <c r="Z330" i="25"/>
  <c r="Z331" i="25"/>
  <c r="Z332" i="25"/>
  <c r="Z333" i="25"/>
  <c r="Z334" i="25"/>
  <c r="Z335" i="25"/>
  <c r="Z336" i="25"/>
  <c r="Z337" i="25"/>
  <c r="Z338" i="25"/>
  <c r="Z339" i="25"/>
  <c r="Z340" i="25"/>
  <c r="Z341" i="25"/>
  <c r="Z342" i="25"/>
  <c r="Z343" i="25"/>
  <c r="Z344" i="25"/>
  <c r="Z345" i="25"/>
  <c r="Z346" i="25"/>
  <c r="Z347" i="25"/>
  <c r="Z348" i="25"/>
  <c r="Z349" i="25"/>
  <c r="Z350" i="25"/>
  <c r="Z351" i="25"/>
  <c r="Z352" i="25"/>
  <c r="Z353" i="25"/>
  <c r="Z354" i="25"/>
  <c r="Z355" i="25"/>
  <c r="Z356" i="25"/>
  <c r="Z357" i="25"/>
  <c r="Z358" i="25"/>
  <c r="Z359" i="25"/>
  <c r="Z360" i="25"/>
  <c r="Z361" i="25"/>
  <c r="Z362" i="25"/>
  <c r="Z363" i="25"/>
  <c r="Z364" i="25"/>
  <c r="Z365" i="25"/>
  <c r="Z366" i="25"/>
  <c r="Z367" i="25"/>
  <c r="Z368" i="25"/>
  <c r="Z369" i="25"/>
  <c r="Z370" i="25"/>
  <c r="Z371" i="25"/>
  <c r="Z372" i="25"/>
  <c r="Z373" i="25"/>
  <c r="Z374" i="25"/>
  <c r="Z375" i="25"/>
  <c r="Z376" i="25"/>
  <c r="Z377" i="25"/>
  <c r="Z378" i="25"/>
  <c r="Z379" i="25"/>
  <c r="Z380" i="25"/>
  <c r="Z381" i="25"/>
  <c r="Z382" i="25"/>
  <c r="Z383" i="25"/>
  <c r="Z384" i="25"/>
  <c r="Z385" i="25"/>
  <c r="Z386" i="25"/>
  <c r="Z387" i="25"/>
  <c r="Z388" i="25"/>
  <c r="Z389" i="25"/>
  <c r="Z390" i="25"/>
  <c r="Z391" i="25"/>
  <c r="Z392" i="25"/>
  <c r="Z393" i="25"/>
  <c r="Z394" i="25"/>
  <c r="Z395" i="25"/>
  <c r="Z396" i="25"/>
  <c r="Z397" i="25"/>
  <c r="Z398" i="25"/>
  <c r="Z399" i="25"/>
  <c r="Z400" i="25"/>
  <c r="Z401" i="25"/>
  <c r="Z402" i="25"/>
  <c r="Z403" i="25"/>
  <c r="Z404" i="25"/>
  <c r="Z405" i="25"/>
  <c r="Z406" i="25"/>
  <c r="Z407" i="25"/>
  <c r="Z408" i="25"/>
  <c r="Z409" i="25"/>
  <c r="Z410" i="25"/>
  <c r="Z411" i="25"/>
  <c r="Z412" i="25"/>
  <c r="Z413" i="25"/>
  <c r="Z414" i="25"/>
  <c r="Z415" i="25"/>
  <c r="Z416" i="25"/>
  <c r="Z417" i="25"/>
  <c r="Z418" i="25"/>
  <c r="Z419" i="25"/>
  <c r="Z420" i="25"/>
  <c r="Z421" i="25"/>
  <c r="Z422" i="25"/>
  <c r="Z423" i="25"/>
  <c r="Z424" i="25"/>
  <c r="Z425" i="25"/>
  <c r="Z426" i="25"/>
  <c r="Z427" i="25"/>
  <c r="Z428" i="25"/>
  <c r="Z429" i="25"/>
  <c r="Z430" i="25"/>
  <c r="Z431" i="25"/>
  <c r="Z432" i="25"/>
  <c r="Z433" i="25"/>
  <c r="Z434" i="25"/>
  <c r="Z435" i="25"/>
  <c r="Z436" i="25"/>
  <c r="Z437" i="25"/>
  <c r="Z438" i="25"/>
  <c r="Z439" i="25"/>
  <c r="Z440" i="25"/>
  <c r="Z441" i="25"/>
  <c r="Z442" i="25"/>
  <c r="Z443" i="25"/>
  <c r="Z444" i="25"/>
  <c r="Z445" i="25"/>
  <c r="Z446" i="25"/>
  <c r="Z447" i="25"/>
  <c r="Z448" i="25"/>
  <c r="Z449" i="25"/>
  <c r="Z450" i="25"/>
  <c r="Z451" i="25"/>
  <c r="Z452" i="25"/>
  <c r="Z453" i="25"/>
  <c r="Z454" i="25"/>
  <c r="Z455" i="25"/>
  <c r="Z456" i="25"/>
  <c r="Z457" i="25"/>
  <c r="Z458" i="25"/>
  <c r="Z459" i="25"/>
  <c r="Z460" i="25"/>
  <c r="Z461" i="25"/>
  <c r="Z462" i="25"/>
  <c r="Z463" i="25"/>
  <c r="Z464" i="25"/>
  <c r="Z465" i="25"/>
  <c r="Z466" i="25"/>
  <c r="Z467" i="25"/>
  <c r="Z468" i="25"/>
  <c r="Z469" i="25"/>
  <c r="Z470" i="25"/>
  <c r="Z471" i="25"/>
  <c r="Z472" i="25"/>
  <c r="Z473" i="25"/>
  <c r="Z474" i="25"/>
  <c r="Z475" i="25"/>
  <c r="Z476" i="25"/>
  <c r="Z477" i="25"/>
  <c r="Z478" i="25"/>
  <c r="Z479" i="25"/>
  <c r="Z480" i="25"/>
  <c r="Z481" i="25"/>
  <c r="Z482" i="25"/>
  <c r="Z483" i="25"/>
  <c r="Z484" i="25"/>
  <c r="Z485" i="25"/>
  <c r="Z486" i="25"/>
  <c r="Z487" i="25"/>
  <c r="Z488" i="25"/>
  <c r="Z489" i="25"/>
  <c r="Z490" i="25"/>
  <c r="Z491" i="25"/>
  <c r="Z492" i="25"/>
  <c r="Z493" i="25"/>
  <c r="Z494" i="25"/>
  <c r="Z495" i="25"/>
  <c r="Z496" i="25"/>
  <c r="Z497" i="25"/>
  <c r="Z498" i="25"/>
  <c r="Z499" i="25"/>
  <c r="Z500" i="25"/>
  <c r="Z501" i="25"/>
  <c r="Z502" i="25"/>
  <c r="Z503" i="25"/>
  <c r="Z504" i="25"/>
  <c r="Z505" i="25"/>
  <c r="Z506" i="25"/>
  <c r="AB506" i="25"/>
  <c r="X506" i="25"/>
  <c r="AD506" i="25"/>
  <c r="Z507" i="25"/>
  <c r="AB507" i="25"/>
  <c r="X507" i="25"/>
  <c r="AD507" i="25"/>
  <c r="Z508" i="25"/>
  <c r="AB508" i="25"/>
  <c r="X508" i="25"/>
  <c r="AD508" i="25"/>
  <c r="Z509" i="25"/>
  <c r="AB509" i="25"/>
  <c r="X509" i="25"/>
  <c r="AD509" i="25"/>
  <c r="Z510" i="25"/>
  <c r="AB510" i="25"/>
  <c r="X510" i="25"/>
  <c r="AD510" i="25"/>
  <c r="Z511" i="25"/>
  <c r="AB511" i="25"/>
  <c r="X511" i="25"/>
  <c r="AD511" i="25"/>
  <c r="Z512" i="25"/>
  <c r="AB512" i="25"/>
  <c r="X512" i="25"/>
  <c r="AD512" i="25"/>
  <c r="Z513" i="25"/>
  <c r="AB513" i="25"/>
  <c r="X513" i="25"/>
  <c r="AD513" i="25"/>
  <c r="Z514" i="25"/>
  <c r="AB514" i="25"/>
  <c r="X514" i="25"/>
  <c r="AD514" i="25"/>
  <c r="Z515" i="25"/>
  <c r="AB515" i="25"/>
  <c r="X515" i="25"/>
  <c r="AD515" i="25"/>
  <c r="Z516" i="25"/>
  <c r="AB516" i="25"/>
  <c r="X516" i="25"/>
  <c r="AD516" i="25"/>
  <c r="Z517" i="25"/>
  <c r="AB517" i="25"/>
  <c r="X517" i="25"/>
  <c r="AD517" i="25"/>
  <c r="Z518" i="25"/>
  <c r="AB518" i="25"/>
  <c r="X518" i="25"/>
  <c r="AD518" i="25"/>
  <c r="Z519" i="25"/>
  <c r="AB519" i="25"/>
  <c r="X519" i="25"/>
  <c r="AD519" i="25"/>
  <c r="Z520" i="25"/>
  <c r="AB520" i="25"/>
  <c r="X520" i="25"/>
  <c r="AD520" i="25"/>
  <c r="Z521" i="25"/>
  <c r="AB521" i="25"/>
  <c r="X521" i="25"/>
  <c r="AD521" i="25"/>
  <c r="Z522" i="25"/>
  <c r="AB522" i="25"/>
  <c r="X522" i="25"/>
  <c r="AD522" i="25"/>
  <c r="Z523" i="25"/>
  <c r="AB523" i="25"/>
  <c r="X523" i="25"/>
  <c r="AD523" i="25"/>
  <c r="Z524" i="25"/>
  <c r="AB524" i="25"/>
  <c r="X524" i="25"/>
  <c r="AD524" i="25"/>
  <c r="Z525" i="25"/>
  <c r="AB525" i="25"/>
  <c r="X525" i="25"/>
  <c r="AD525" i="25"/>
  <c r="Z526" i="25"/>
  <c r="AB526" i="25"/>
  <c r="X526" i="25"/>
  <c r="AD526" i="25"/>
  <c r="Z527" i="25"/>
  <c r="AB527" i="25"/>
  <c r="X527" i="25"/>
  <c r="AD527" i="25"/>
  <c r="Z528" i="25"/>
  <c r="AB528" i="25"/>
  <c r="X528" i="25"/>
  <c r="AD528" i="25"/>
  <c r="Z529" i="25"/>
  <c r="AB529" i="25"/>
  <c r="X529" i="25"/>
  <c r="AD529" i="25"/>
  <c r="Z530" i="25"/>
  <c r="AB530" i="25"/>
  <c r="X530" i="25"/>
  <c r="AD530" i="25"/>
  <c r="Z531" i="25"/>
  <c r="AB531" i="25"/>
  <c r="X531" i="25"/>
  <c r="AD531" i="25"/>
  <c r="Z532" i="25"/>
  <c r="AB532" i="25"/>
  <c r="X532" i="25"/>
  <c r="AD532" i="25"/>
  <c r="Z533" i="25"/>
  <c r="AB533" i="25"/>
  <c r="X533" i="25"/>
  <c r="AD533" i="25"/>
  <c r="Z534" i="25"/>
  <c r="AB534" i="25"/>
  <c r="X534" i="25"/>
  <c r="AD534" i="25"/>
  <c r="Z535" i="25"/>
  <c r="AB535" i="25"/>
  <c r="X535" i="25"/>
  <c r="AD535" i="25"/>
  <c r="Z536" i="25"/>
  <c r="AB536" i="25"/>
  <c r="X536" i="25"/>
  <c r="AD536" i="25"/>
  <c r="Z537" i="25"/>
  <c r="AB537" i="25"/>
  <c r="X537" i="25"/>
  <c r="AD537" i="25"/>
  <c r="Z538" i="25"/>
  <c r="AB538" i="25"/>
  <c r="X538" i="25"/>
  <c r="AD538" i="25"/>
  <c r="Z539" i="25"/>
  <c r="AB539" i="25"/>
  <c r="X539" i="25"/>
  <c r="AD539" i="25"/>
  <c r="Z540" i="25"/>
  <c r="AB540" i="25"/>
  <c r="X540" i="25"/>
  <c r="AD540" i="25"/>
  <c r="Z541" i="25"/>
  <c r="AB541" i="25"/>
  <c r="X541" i="25"/>
  <c r="AD541" i="25"/>
  <c r="Z542" i="25"/>
  <c r="AB542" i="25"/>
  <c r="X542" i="25"/>
  <c r="AD542" i="25"/>
  <c r="Z543" i="25"/>
  <c r="AB543" i="25"/>
  <c r="X543" i="25"/>
  <c r="AD543" i="25"/>
  <c r="Z544" i="25"/>
  <c r="AB544" i="25"/>
  <c r="X544" i="25"/>
  <c r="AD544" i="25"/>
  <c r="Z545" i="25"/>
  <c r="AB545" i="25"/>
  <c r="X545" i="25"/>
  <c r="AD545" i="25"/>
  <c r="Z546" i="25"/>
  <c r="AB546" i="25"/>
  <c r="X546" i="25"/>
  <c r="AD546" i="25"/>
  <c r="Z547" i="25"/>
  <c r="AB547" i="25"/>
  <c r="X547" i="25"/>
  <c r="AD547" i="25"/>
  <c r="Z548" i="25"/>
  <c r="AB548" i="25"/>
  <c r="X548" i="25"/>
  <c r="AD548" i="25"/>
  <c r="Z549" i="25"/>
  <c r="AB549" i="25"/>
  <c r="X549" i="25"/>
  <c r="AD549" i="25"/>
  <c r="Z550" i="25"/>
  <c r="AB550" i="25"/>
  <c r="X550" i="25"/>
  <c r="AD550" i="25"/>
  <c r="Z551" i="25"/>
  <c r="AB551" i="25"/>
  <c r="X551" i="25"/>
  <c r="AD551" i="25"/>
  <c r="Z552" i="25"/>
  <c r="AB552" i="25"/>
  <c r="X552" i="25"/>
  <c r="AD552" i="25"/>
  <c r="Z553" i="25"/>
  <c r="AB553" i="25"/>
  <c r="X553" i="25"/>
  <c r="AD553" i="25"/>
  <c r="Z554" i="25"/>
  <c r="AB554" i="25"/>
  <c r="X554" i="25"/>
  <c r="AD554" i="25"/>
  <c r="Z555" i="25"/>
  <c r="AB555" i="25"/>
  <c r="X555" i="25"/>
  <c r="AD555" i="25"/>
  <c r="Z556" i="25"/>
  <c r="AB556" i="25"/>
  <c r="X556" i="25"/>
  <c r="AD556" i="25"/>
  <c r="Z557" i="25"/>
  <c r="AB557" i="25"/>
  <c r="X557" i="25"/>
  <c r="AD557" i="25"/>
  <c r="Z558" i="25"/>
  <c r="AB558" i="25"/>
  <c r="X558" i="25"/>
  <c r="AD558" i="25"/>
  <c r="Z559" i="25"/>
  <c r="AB559" i="25"/>
  <c r="X559" i="25"/>
  <c r="AD559" i="25"/>
  <c r="Z560" i="25"/>
  <c r="AB560" i="25"/>
  <c r="X560" i="25"/>
  <c r="AD560" i="25"/>
  <c r="Z561" i="25"/>
  <c r="AB561" i="25"/>
  <c r="X561" i="25"/>
  <c r="AD561" i="25"/>
  <c r="Z562" i="25"/>
  <c r="AB562" i="25"/>
  <c r="X562" i="25"/>
  <c r="AD562" i="25"/>
  <c r="Z563" i="25"/>
  <c r="AB563" i="25"/>
  <c r="X563" i="25"/>
  <c r="AD563" i="25"/>
  <c r="Z564" i="25"/>
  <c r="AB564" i="25"/>
  <c r="X564" i="25"/>
  <c r="AD564" i="25"/>
  <c r="Z565" i="25"/>
  <c r="AB565" i="25"/>
  <c r="X565" i="25"/>
  <c r="AD565" i="25"/>
  <c r="Z566" i="25"/>
  <c r="AB566" i="25"/>
  <c r="X566" i="25"/>
  <c r="AD566" i="25"/>
  <c r="Z567" i="25"/>
  <c r="AB567" i="25"/>
  <c r="X567" i="25"/>
  <c r="AD567" i="25"/>
  <c r="Z568" i="25"/>
  <c r="AB568" i="25"/>
  <c r="X568" i="25"/>
  <c r="AD568" i="25"/>
  <c r="Z569" i="25"/>
  <c r="AB569" i="25"/>
  <c r="X569" i="25"/>
  <c r="AD569" i="25"/>
  <c r="Z570" i="25"/>
  <c r="AB570" i="25"/>
  <c r="X570" i="25"/>
  <c r="AD570" i="25"/>
  <c r="Z571" i="25"/>
  <c r="AB571" i="25"/>
  <c r="X571" i="25"/>
  <c r="AD571" i="25"/>
  <c r="Z572" i="25"/>
  <c r="AB572" i="25"/>
  <c r="X572" i="25"/>
  <c r="AD572" i="25"/>
  <c r="Z573" i="25"/>
  <c r="AB573" i="25"/>
  <c r="X573" i="25"/>
  <c r="AD573" i="25"/>
  <c r="Z574" i="25"/>
  <c r="AB574" i="25"/>
  <c r="X574" i="25"/>
  <c r="AD574" i="25"/>
  <c r="Z575" i="25"/>
  <c r="AB575" i="25"/>
  <c r="X575" i="25"/>
  <c r="AD575" i="25"/>
  <c r="Z576" i="25"/>
  <c r="AB576" i="25"/>
  <c r="X576" i="25"/>
  <c r="AD576" i="25"/>
  <c r="Z577" i="25"/>
  <c r="AB577" i="25"/>
  <c r="X577" i="25"/>
  <c r="AD577" i="25"/>
  <c r="Z578" i="25"/>
  <c r="AB578" i="25"/>
  <c r="X578" i="25"/>
  <c r="AD578" i="25"/>
  <c r="Z579" i="25"/>
  <c r="AB579" i="25"/>
  <c r="X579" i="25"/>
  <c r="AD579" i="25"/>
  <c r="Z580" i="25"/>
  <c r="AB580" i="25"/>
  <c r="X580" i="25"/>
  <c r="AD580" i="25"/>
  <c r="Z581" i="25"/>
  <c r="AB581" i="25"/>
  <c r="X581" i="25"/>
  <c r="AD581" i="25"/>
  <c r="Z582" i="25"/>
  <c r="AB582" i="25"/>
  <c r="X582" i="25"/>
  <c r="AD582" i="25"/>
  <c r="Z583" i="25"/>
  <c r="AB583" i="25"/>
  <c r="X583" i="25"/>
  <c r="AD583" i="25"/>
  <c r="Z584" i="25"/>
  <c r="AB584" i="25"/>
  <c r="X584" i="25"/>
  <c r="AD584" i="25"/>
  <c r="Z585" i="25"/>
  <c r="AB585" i="25"/>
  <c r="X585" i="25"/>
  <c r="AD585" i="25"/>
  <c r="Z586" i="25"/>
  <c r="AB586" i="25"/>
  <c r="X586" i="25"/>
  <c r="AD586" i="25"/>
  <c r="Z587" i="25"/>
  <c r="AB587" i="25"/>
  <c r="X587" i="25"/>
  <c r="AD587" i="25"/>
  <c r="Z588" i="25"/>
  <c r="AB588" i="25"/>
  <c r="X588" i="25"/>
  <c r="AD588" i="25"/>
  <c r="Z589" i="25"/>
  <c r="AB589" i="25"/>
  <c r="X589" i="25"/>
  <c r="AD589" i="25"/>
  <c r="Z590" i="25"/>
  <c r="AB590" i="25"/>
  <c r="X590" i="25"/>
  <c r="AD590" i="25"/>
  <c r="Z591" i="25"/>
  <c r="AB591" i="25"/>
  <c r="X591" i="25"/>
  <c r="AD591" i="25"/>
  <c r="Z592" i="25"/>
  <c r="AB592" i="25"/>
  <c r="X592" i="25"/>
  <c r="AD592" i="25"/>
  <c r="Z593" i="25"/>
  <c r="AB593" i="25"/>
  <c r="X593" i="25"/>
  <c r="AD593" i="25"/>
  <c r="Z594" i="25"/>
  <c r="AB594" i="25"/>
  <c r="X594" i="25"/>
  <c r="AD594" i="25"/>
  <c r="Z595" i="25"/>
  <c r="AB595" i="25"/>
  <c r="X595" i="25"/>
  <c r="AD595" i="25"/>
  <c r="Z596" i="25"/>
  <c r="AB596" i="25"/>
  <c r="X596" i="25"/>
  <c r="AD596" i="25"/>
  <c r="Z597" i="25"/>
  <c r="AB597" i="25"/>
  <c r="X597" i="25"/>
  <c r="AD597" i="25"/>
  <c r="Z598" i="25"/>
  <c r="AB598" i="25"/>
  <c r="X598" i="25"/>
  <c r="AD598" i="25"/>
  <c r="Z599" i="25"/>
  <c r="AB599" i="25"/>
  <c r="X599" i="25"/>
  <c r="AD599" i="25"/>
  <c r="Z600" i="25"/>
  <c r="AB600" i="25"/>
  <c r="X600" i="25"/>
  <c r="AD600" i="25"/>
  <c r="Z601" i="25"/>
  <c r="AB601" i="25"/>
  <c r="X601" i="25"/>
  <c r="AD601" i="25"/>
  <c r="Z602" i="25"/>
  <c r="AB602" i="25"/>
  <c r="X602" i="25"/>
  <c r="AD602" i="25"/>
  <c r="Z603" i="25"/>
  <c r="AB603" i="25"/>
  <c r="X603" i="25"/>
  <c r="AD603" i="25"/>
  <c r="Z604" i="25"/>
  <c r="AB604" i="25"/>
  <c r="X604" i="25"/>
  <c r="AD604" i="25"/>
  <c r="Z605" i="25"/>
  <c r="AB605" i="25"/>
  <c r="X605" i="25"/>
  <c r="AD605" i="25"/>
  <c r="Z606" i="25"/>
  <c r="AB606" i="25"/>
  <c r="X606" i="25"/>
  <c r="AD606" i="25"/>
  <c r="Z607" i="25"/>
  <c r="AB607" i="25"/>
  <c r="X607" i="25"/>
  <c r="AD607" i="25"/>
  <c r="Z608" i="25"/>
  <c r="AB608" i="25"/>
  <c r="X608" i="25"/>
  <c r="AD608" i="25"/>
  <c r="Z609" i="25"/>
  <c r="AB609" i="25"/>
  <c r="X609" i="25"/>
  <c r="AD609" i="25"/>
  <c r="Z610" i="25"/>
  <c r="AB610" i="25"/>
  <c r="X610" i="25"/>
  <c r="AD610" i="25"/>
  <c r="Z611" i="25"/>
  <c r="AB611" i="25"/>
  <c r="X611" i="25"/>
  <c r="AD611" i="25"/>
  <c r="Z612" i="25"/>
  <c r="AB612" i="25"/>
  <c r="X612" i="25"/>
  <c r="AD612" i="25"/>
  <c r="Z613" i="25"/>
  <c r="AB613" i="25"/>
  <c r="X613" i="25"/>
  <c r="AD613" i="25"/>
  <c r="Z614" i="25"/>
  <c r="AB614" i="25"/>
  <c r="X614" i="25"/>
  <c r="AD614" i="25"/>
  <c r="Z615" i="25"/>
  <c r="AB615" i="25"/>
  <c r="X615" i="25"/>
  <c r="AD615" i="25"/>
  <c r="Z616" i="25"/>
  <c r="AB616" i="25"/>
  <c r="X616" i="25"/>
  <c r="AD616" i="25"/>
  <c r="Z617" i="25"/>
  <c r="AB617" i="25"/>
  <c r="X617" i="25"/>
  <c r="AD617" i="25"/>
  <c r="Z618" i="25"/>
  <c r="AB618" i="25"/>
  <c r="X618" i="25"/>
  <c r="AD618" i="25"/>
  <c r="Z619" i="25"/>
  <c r="AB619" i="25"/>
  <c r="X619" i="25"/>
  <c r="AD619" i="25"/>
  <c r="Z620" i="25"/>
  <c r="AB620" i="25"/>
  <c r="X620" i="25"/>
  <c r="AD620" i="25"/>
  <c r="Z621" i="25"/>
  <c r="AB621" i="25"/>
  <c r="X621" i="25"/>
  <c r="AD621" i="25"/>
  <c r="Z622" i="25"/>
  <c r="AB622" i="25"/>
  <c r="X622" i="25"/>
  <c r="AD622" i="25"/>
  <c r="Z623" i="25"/>
  <c r="AB623" i="25"/>
  <c r="X623" i="25"/>
  <c r="AD623" i="25"/>
  <c r="Z624" i="25"/>
  <c r="AB624" i="25"/>
  <c r="X624" i="25"/>
  <c r="AD624" i="25"/>
  <c r="Z625" i="25"/>
  <c r="AB625" i="25"/>
  <c r="X625" i="25"/>
  <c r="AD625" i="25"/>
  <c r="Z626" i="25"/>
  <c r="AB626" i="25"/>
  <c r="X626" i="25"/>
  <c r="AD626" i="25"/>
  <c r="Z627" i="25"/>
  <c r="AB627" i="25"/>
  <c r="X627" i="25"/>
  <c r="AD627" i="25"/>
  <c r="Z628" i="25"/>
  <c r="AB628" i="25"/>
  <c r="X628" i="25"/>
  <c r="AD628" i="25"/>
  <c r="Z629" i="25"/>
  <c r="AB629" i="25"/>
  <c r="X629" i="25"/>
  <c r="AD629" i="25"/>
  <c r="Z630" i="25"/>
  <c r="AB630" i="25"/>
  <c r="X630" i="25"/>
  <c r="AD630" i="25"/>
  <c r="Z631" i="25"/>
  <c r="AB631" i="25"/>
  <c r="X631" i="25"/>
  <c r="AD631" i="25"/>
  <c r="Z632" i="25"/>
  <c r="AB632" i="25"/>
  <c r="X632" i="25"/>
  <c r="AD632" i="25"/>
  <c r="Z633" i="25"/>
  <c r="AB633" i="25"/>
  <c r="X633" i="25"/>
  <c r="AD633" i="25"/>
  <c r="Z634" i="25"/>
  <c r="AB634" i="25"/>
  <c r="X634" i="25"/>
  <c r="AD634" i="25"/>
  <c r="Z635" i="25"/>
  <c r="AB635" i="25"/>
  <c r="X635" i="25"/>
  <c r="AD635" i="25"/>
  <c r="Z636" i="25"/>
  <c r="AB636" i="25"/>
  <c r="X636" i="25"/>
  <c r="AD636" i="25"/>
  <c r="Z637" i="25"/>
  <c r="AB637" i="25"/>
  <c r="X637" i="25"/>
  <c r="AD637" i="25"/>
  <c r="Z638" i="25"/>
  <c r="AB638" i="25"/>
  <c r="X638" i="25"/>
  <c r="AD638" i="25"/>
  <c r="Z639" i="25"/>
  <c r="AB639" i="25"/>
  <c r="X639" i="25"/>
  <c r="AD639" i="25"/>
  <c r="Z640" i="25"/>
  <c r="AB640" i="25"/>
  <c r="X640" i="25"/>
  <c r="AD640" i="25"/>
  <c r="Z641" i="25"/>
  <c r="AB641" i="25"/>
  <c r="X641" i="25"/>
  <c r="AD641" i="25"/>
  <c r="Z642" i="25"/>
  <c r="AB642" i="25"/>
  <c r="X642" i="25"/>
  <c r="AD642" i="25"/>
  <c r="Z643" i="25"/>
  <c r="AB643" i="25"/>
  <c r="X643" i="25"/>
  <c r="AD643" i="25"/>
  <c r="Z644" i="25"/>
  <c r="AB644" i="25"/>
  <c r="X644" i="25"/>
  <c r="AD644" i="25"/>
  <c r="Z645" i="25"/>
  <c r="AB645" i="25"/>
  <c r="X645" i="25"/>
  <c r="AD645" i="25"/>
  <c r="Z646" i="25"/>
  <c r="AB646" i="25"/>
  <c r="X646" i="25"/>
  <c r="AD646" i="25"/>
  <c r="Z647" i="25"/>
  <c r="AB647" i="25"/>
  <c r="X647" i="25"/>
  <c r="AD647" i="25"/>
  <c r="Z648" i="25"/>
  <c r="AB648" i="25"/>
  <c r="X648" i="25"/>
  <c r="AD648" i="25"/>
  <c r="Z649" i="25"/>
  <c r="AB649" i="25"/>
  <c r="X649" i="25"/>
  <c r="AD649" i="25"/>
  <c r="Z650" i="25"/>
  <c r="AB650" i="25"/>
  <c r="X650" i="25"/>
  <c r="AD650" i="25"/>
  <c r="Z651" i="25"/>
  <c r="AB651" i="25"/>
  <c r="X651" i="25"/>
  <c r="AD651" i="25"/>
  <c r="Z652" i="25"/>
  <c r="AB652" i="25"/>
  <c r="X652" i="25"/>
  <c r="AD652" i="25"/>
  <c r="Z653" i="25"/>
  <c r="AB653" i="25"/>
  <c r="X653" i="25"/>
  <c r="AD653" i="25"/>
  <c r="Z654" i="25"/>
  <c r="AB654" i="25"/>
  <c r="X654" i="25"/>
  <c r="AD654" i="25"/>
  <c r="Z655" i="25"/>
  <c r="AB655" i="25"/>
  <c r="X655" i="25"/>
  <c r="AD655" i="25"/>
  <c r="Z656" i="25"/>
  <c r="AB656" i="25"/>
  <c r="X656" i="25"/>
  <c r="AD656" i="25"/>
  <c r="Z657" i="25"/>
  <c r="AB657" i="25"/>
  <c r="X657" i="25"/>
  <c r="AD657" i="25"/>
  <c r="Z658" i="25"/>
  <c r="AB658" i="25"/>
  <c r="X658" i="25"/>
  <c r="AD658" i="25"/>
  <c r="Z659" i="25"/>
  <c r="AB659" i="25"/>
  <c r="X659" i="25"/>
  <c r="AD659" i="25"/>
  <c r="Z660" i="25"/>
  <c r="AB660" i="25"/>
  <c r="X660" i="25"/>
  <c r="AD660" i="25"/>
  <c r="Z661" i="25"/>
  <c r="AB661" i="25"/>
  <c r="X661" i="25"/>
  <c r="AD661" i="25"/>
  <c r="Z662" i="25"/>
  <c r="AB662" i="25"/>
  <c r="X662" i="25"/>
  <c r="AD662" i="25"/>
  <c r="Z663" i="25"/>
  <c r="AB663" i="25"/>
  <c r="X663" i="25"/>
  <c r="AD663" i="25"/>
  <c r="Z664" i="25"/>
  <c r="AB664" i="25"/>
  <c r="X664" i="25"/>
  <c r="AD664" i="25"/>
  <c r="Z665" i="25"/>
  <c r="AB665" i="25"/>
  <c r="X665" i="25"/>
  <c r="AD665" i="25"/>
  <c r="Z666" i="25"/>
  <c r="AB666" i="25"/>
  <c r="X666" i="25"/>
  <c r="AD666" i="25"/>
  <c r="Z667" i="25"/>
  <c r="AB667" i="25"/>
  <c r="X667" i="25"/>
  <c r="AD667" i="25"/>
  <c r="Z668" i="25"/>
  <c r="AB668" i="25"/>
  <c r="X668" i="25"/>
  <c r="AD668" i="25"/>
  <c r="Z669" i="25"/>
  <c r="AB669" i="25"/>
  <c r="X669" i="25"/>
  <c r="AD669" i="25"/>
  <c r="Z670" i="25"/>
  <c r="AB670" i="25"/>
  <c r="X670" i="25"/>
  <c r="AD670" i="25"/>
  <c r="Z671" i="25"/>
  <c r="AB671" i="25"/>
  <c r="X671" i="25"/>
  <c r="AD671" i="25"/>
  <c r="Z672" i="25"/>
  <c r="AB672" i="25"/>
  <c r="X672" i="25"/>
  <c r="AD672" i="25"/>
  <c r="Z673" i="25"/>
  <c r="AB673" i="25"/>
  <c r="X673" i="25"/>
  <c r="AD673" i="25"/>
  <c r="Z674" i="25"/>
  <c r="AB674" i="25"/>
  <c r="X674" i="25"/>
  <c r="AD674" i="25"/>
  <c r="Z675" i="25"/>
  <c r="AB675" i="25"/>
  <c r="X675" i="25"/>
  <c r="AD675" i="25"/>
  <c r="Z676" i="25"/>
  <c r="AB676" i="25"/>
  <c r="X676" i="25"/>
  <c r="AD676" i="25"/>
  <c r="Z677" i="25"/>
  <c r="AB677" i="25"/>
  <c r="X677" i="25"/>
  <c r="AD677" i="25"/>
  <c r="Z678" i="25"/>
  <c r="AB678" i="25"/>
  <c r="X678" i="25"/>
  <c r="AD678" i="25"/>
  <c r="Z679" i="25"/>
  <c r="AB679" i="25"/>
  <c r="X679" i="25"/>
  <c r="AD679" i="25"/>
  <c r="Z680" i="25"/>
  <c r="AB680" i="25"/>
  <c r="X680" i="25"/>
  <c r="AD680" i="25"/>
  <c r="Z681" i="25"/>
  <c r="AB681" i="25"/>
  <c r="X681" i="25"/>
  <c r="AD681" i="25"/>
  <c r="Z682" i="25"/>
  <c r="AB682" i="25"/>
  <c r="X682" i="25"/>
  <c r="AD682" i="25"/>
  <c r="Z683" i="25"/>
  <c r="AB683" i="25"/>
  <c r="X683" i="25"/>
  <c r="AD683" i="25"/>
  <c r="Z684" i="25"/>
  <c r="AB684" i="25"/>
  <c r="X684" i="25"/>
  <c r="AD684" i="25"/>
  <c r="Z685" i="25"/>
  <c r="AB685" i="25"/>
  <c r="X685" i="25"/>
  <c r="AD685" i="25"/>
  <c r="Z686" i="25"/>
  <c r="AB686" i="25"/>
  <c r="X686" i="25"/>
  <c r="AD686" i="25"/>
  <c r="Z687" i="25"/>
  <c r="AB687" i="25"/>
  <c r="X687" i="25"/>
  <c r="AD687" i="25"/>
  <c r="Z688" i="25"/>
  <c r="AB688" i="25"/>
  <c r="X688" i="25"/>
  <c r="AD688" i="25"/>
  <c r="Z689" i="25"/>
  <c r="AB689" i="25"/>
  <c r="X689" i="25"/>
  <c r="AD689" i="25"/>
  <c r="Z690" i="25"/>
  <c r="AB690" i="25"/>
  <c r="X690" i="25"/>
  <c r="AD690" i="25"/>
  <c r="Z691" i="25"/>
  <c r="AB691" i="25"/>
  <c r="X691" i="25"/>
  <c r="AD691" i="25"/>
  <c r="Z692" i="25"/>
  <c r="AB692" i="25"/>
  <c r="X692" i="25"/>
  <c r="AD692" i="25"/>
  <c r="Z693" i="25"/>
  <c r="AB693" i="25"/>
  <c r="X693" i="25"/>
  <c r="AD693" i="25"/>
  <c r="Z694" i="25"/>
  <c r="AB694" i="25"/>
  <c r="X694" i="25"/>
  <c r="AD694" i="25"/>
  <c r="Z695" i="25"/>
  <c r="AB695" i="25"/>
  <c r="X695" i="25"/>
  <c r="AD695" i="25"/>
  <c r="Z696" i="25"/>
  <c r="AB696" i="25"/>
  <c r="X696" i="25"/>
  <c r="AD696" i="25"/>
  <c r="Z697" i="25"/>
  <c r="AB697" i="25"/>
  <c r="X697" i="25"/>
  <c r="AD697" i="25"/>
  <c r="Z698" i="25"/>
  <c r="AB698" i="25"/>
  <c r="X698" i="25"/>
  <c r="AD698" i="25"/>
  <c r="Z699" i="25"/>
  <c r="AB699" i="25"/>
  <c r="X699" i="25"/>
  <c r="AD699" i="25"/>
  <c r="Z700" i="25"/>
  <c r="AB700" i="25"/>
  <c r="X700" i="25"/>
  <c r="AD700" i="25"/>
  <c r="Z701" i="25"/>
  <c r="AB701" i="25"/>
  <c r="X701" i="25"/>
  <c r="AD701" i="25"/>
  <c r="Z702" i="25"/>
  <c r="AB702" i="25"/>
  <c r="X702" i="25"/>
  <c r="AD702" i="25"/>
  <c r="Z703" i="25"/>
  <c r="AB703" i="25"/>
  <c r="X703" i="25"/>
  <c r="AD703" i="25"/>
  <c r="Z704" i="25"/>
  <c r="AB704" i="25"/>
  <c r="X704" i="25"/>
  <c r="AD704" i="25"/>
  <c r="Z705" i="25"/>
  <c r="AB705" i="25"/>
  <c r="X705" i="25"/>
  <c r="AD705" i="25"/>
  <c r="Z706" i="25"/>
  <c r="AB706" i="25"/>
  <c r="X706" i="25"/>
  <c r="AD706" i="25"/>
  <c r="Z707" i="25"/>
  <c r="AB707" i="25"/>
  <c r="X707" i="25"/>
  <c r="AD707" i="25"/>
  <c r="Z708" i="25"/>
  <c r="AB708" i="25"/>
  <c r="X708" i="25"/>
  <c r="AD708" i="25"/>
  <c r="Z709" i="25"/>
  <c r="AB709" i="25"/>
  <c r="X709" i="25"/>
  <c r="AD709" i="25"/>
  <c r="Z710" i="25"/>
  <c r="AB710" i="25"/>
  <c r="X710" i="25"/>
  <c r="AD710" i="25"/>
  <c r="Z711" i="25"/>
  <c r="AB711" i="25"/>
  <c r="X711" i="25"/>
  <c r="AD711" i="25"/>
  <c r="Z712" i="25"/>
  <c r="AB712" i="25"/>
  <c r="X712" i="25"/>
  <c r="AD712" i="25"/>
  <c r="Z713" i="25"/>
  <c r="AB713" i="25"/>
  <c r="X713" i="25"/>
  <c r="AD713" i="25"/>
  <c r="Z714" i="25"/>
  <c r="AB714" i="25"/>
  <c r="X714" i="25"/>
  <c r="AD714" i="25"/>
  <c r="Z715" i="25"/>
  <c r="AB715" i="25"/>
  <c r="X715" i="25"/>
  <c r="AD715" i="25"/>
  <c r="Z716" i="25"/>
  <c r="AB716" i="25"/>
  <c r="X716" i="25"/>
  <c r="AD716" i="25"/>
  <c r="Z717" i="25"/>
  <c r="AB717" i="25"/>
  <c r="X717" i="25"/>
  <c r="AD717" i="25"/>
  <c r="Z718" i="25"/>
  <c r="AB718" i="25"/>
  <c r="X718" i="25"/>
  <c r="AD718" i="25"/>
  <c r="Z719" i="25"/>
  <c r="AB719" i="25"/>
  <c r="X719" i="25"/>
  <c r="AD719" i="25"/>
  <c r="Z720" i="25"/>
  <c r="AB720" i="25"/>
  <c r="X720" i="25"/>
  <c r="AD720" i="25"/>
  <c r="Z721" i="25"/>
  <c r="AB721" i="25"/>
  <c r="X721" i="25"/>
  <c r="AD721" i="25"/>
  <c r="Z722" i="25"/>
  <c r="AB722" i="25"/>
  <c r="X722" i="25"/>
  <c r="AD722" i="25"/>
  <c r="Z723" i="25"/>
  <c r="AB723" i="25"/>
  <c r="X723" i="25"/>
  <c r="AD723" i="25"/>
  <c r="Z724" i="25"/>
  <c r="AB724" i="25"/>
  <c r="X724" i="25"/>
  <c r="AD724" i="25"/>
  <c r="Z725" i="25"/>
  <c r="AB725" i="25"/>
  <c r="X725" i="25"/>
  <c r="AD725" i="25"/>
  <c r="Z726" i="25"/>
  <c r="AB726" i="25"/>
  <c r="X726" i="25"/>
  <c r="AD726" i="25"/>
  <c r="Z727" i="25"/>
  <c r="AB727" i="25"/>
  <c r="X727" i="25"/>
  <c r="AD727" i="25"/>
  <c r="Z728" i="25"/>
  <c r="AB728" i="25"/>
  <c r="X728" i="25"/>
  <c r="AD728" i="25"/>
  <c r="Z729" i="25"/>
  <c r="AB729" i="25"/>
  <c r="X729" i="25"/>
  <c r="AD729" i="25"/>
  <c r="Z730" i="25"/>
  <c r="AB730" i="25"/>
  <c r="X730" i="25"/>
  <c r="AD730" i="25"/>
  <c r="Z731" i="25"/>
  <c r="AB731" i="25"/>
  <c r="X731" i="25"/>
  <c r="AD731" i="25"/>
  <c r="Z732" i="25"/>
  <c r="AB732" i="25"/>
  <c r="X732" i="25"/>
  <c r="AD732" i="25"/>
  <c r="Z733" i="25"/>
  <c r="AB733" i="25"/>
  <c r="X733" i="25"/>
  <c r="AD733" i="25"/>
  <c r="Z734" i="25"/>
  <c r="AB734" i="25"/>
  <c r="X734" i="25"/>
  <c r="AD734" i="25"/>
  <c r="Z735" i="25"/>
  <c r="AB735" i="25"/>
  <c r="X735" i="25"/>
  <c r="AD735" i="25"/>
  <c r="Z736" i="25"/>
  <c r="AB736" i="25"/>
  <c r="X736" i="25"/>
  <c r="AD736" i="25"/>
  <c r="Z737" i="25"/>
  <c r="AB737" i="25"/>
  <c r="X737" i="25"/>
  <c r="AD737" i="25"/>
  <c r="Z738" i="25"/>
  <c r="AB738" i="25"/>
  <c r="X738" i="25"/>
  <c r="AD738" i="25"/>
  <c r="Z739" i="25"/>
  <c r="AB739" i="25"/>
  <c r="X739" i="25"/>
  <c r="AD739" i="25"/>
  <c r="Z740" i="25"/>
  <c r="AB740" i="25"/>
  <c r="X740" i="25"/>
  <c r="AD740" i="25"/>
  <c r="Z741" i="25"/>
  <c r="AB741" i="25"/>
  <c r="X741" i="25"/>
  <c r="AD741" i="25"/>
  <c r="Z742" i="25"/>
  <c r="AB742" i="25"/>
  <c r="X742" i="25"/>
  <c r="AD742" i="25"/>
  <c r="Z743" i="25"/>
  <c r="AB743" i="25"/>
  <c r="X743" i="25"/>
  <c r="AD743" i="25"/>
  <c r="Z744" i="25"/>
  <c r="AB744" i="25"/>
  <c r="X744" i="25"/>
  <c r="AD744" i="25"/>
  <c r="Z745" i="25"/>
  <c r="AB745" i="25"/>
  <c r="X745" i="25"/>
  <c r="AD745" i="25"/>
  <c r="Z746" i="25"/>
  <c r="AB746" i="25"/>
  <c r="X746" i="25"/>
  <c r="AD746" i="25"/>
  <c r="Z747" i="25"/>
  <c r="AB747" i="25"/>
  <c r="X747" i="25"/>
  <c r="AD747" i="25"/>
  <c r="Z748" i="25"/>
  <c r="AB748" i="25"/>
  <c r="X748" i="25"/>
  <c r="AD748" i="25"/>
  <c r="Z749" i="25"/>
  <c r="AB749" i="25"/>
  <c r="X749" i="25"/>
  <c r="AD749" i="25"/>
  <c r="Z750" i="25"/>
  <c r="AB750" i="25"/>
  <c r="X750" i="25"/>
  <c r="AD750" i="25"/>
  <c r="Z751" i="25"/>
  <c r="AB751" i="25"/>
  <c r="X751" i="25"/>
  <c r="AD751" i="25"/>
  <c r="Z752" i="25"/>
  <c r="AB752" i="25"/>
  <c r="X752" i="25"/>
  <c r="AD752" i="25"/>
  <c r="Z753" i="25"/>
  <c r="AB753" i="25"/>
  <c r="X753" i="25"/>
  <c r="AD753" i="25"/>
  <c r="Z754" i="25"/>
  <c r="AB754" i="25"/>
  <c r="X754" i="25"/>
  <c r="AD754" i="25"/>
  <c r="Z755" i="25"/>
  <c r="AB755" i="25"/>
  <c r="X755" i="25"/>
  <c r="AD755" i="25"/>
  <c r="Z756" i="25"/>
  <c r="AB756" i="25"/>
  <c r="X756" i="25"/>
  <c r="AD756" i="25"/>
  <c r="Z757" i="25"/>
  <c r="AB757" i="25"/>
  <c r="X757" i="25"/>
  <c r="AD757" i="25"/>
  <c r="Z758" i="25"/>
  <c r="AB758" i="25"/>
  <c r="X758" i="25"/>
  <c r="AD758" i="25"/>
  <c r="Z759" i="25"/>
  <c r="AB759" i="25"/>
  <c r="X759" i="25"/>
  <c r="AD759" i="25"/>
  <c r="Z760" i="25"/>
  <c r="AB760" i="25"/>
  <c r="X760" i="25"/>
  <c r="AD760" i="25"/>
  <c r="Z761" i="25"/>
  <c r="AB761" i="25"/>
  <c r="X761" i="25"/>
  <c r="AD761" i="25"/>
  <c r="Z762" i="25"/>
  <c r="AB762" i="25"/>
  <c r="X762" i="25"/>
  <c r="AD762" i="25"/>
  <c r="Z763" i="25"/>
  <c r="AB763" i="25"/>
  <c r="X763" i="25"/>
  <c r="AD763" i="25"/>
  <c r="Z764" i="25"/>
  <c r="AB764" i="25"/>
  <c r="X764" i="25"/>
  <c r="AD764" i="25"/>
  <c r="Z765" i="25"/>
  <c r="AB765" i="25"/>
  <c r="X765" i="25"/>
  <c r="AD765" i="25"/>
  <c r="Z766" i="25"/>
  <c r="AB766" i="25"/>
  <c r="X766" i="25"/>
  <c r="AD766" i="25"/>
  <c r="Z767" i="25"/>
  <c r="AB767" i="25"/>
  <c r="X767" i="25"/>
  <c r="AD767" i="25"/>
  <c r="Z768" i="25"/>
  <c r="AB768" i="25"/>
  <c r="X768" i="25"/>
  <c r="AD768" i="25"/>
  <c r="Z769" i="25"/>
  <c r="AB769" i="25"/>
  <c r="X769" i="25"/>
  <c r="AD769" i="25"/>
  <c r="Z770" i="25"/>
  <c r="AB770" i="25"/>
  <c r="X770" i="25"/>
  <c r="AD770" i="25"/>
  <c r="Z771" i="25"/>
  <c r="AB771" i="25"/>
  <c r="X771" i="25"/>
  <c r="AD771" i="25"/>
  <c r="Z772" i="25"/>
  <c r="AB772" i="25"/>
  <c r="X772" i="25"/>
  <c r="AD772" i="25"/>
  <c r="Z773" i="25"/>
  <c r="AB773" i="25"/>
  <c r="X773" i="25"/>
  <c r="AD773" i="25"/>
  <c r="Z774" i="25"/>
  <c r="AB774" i="25"/>
  <c r="X774" i="25"/>
  <c r="AD774" i="25"/>
  <c r="Z775" i="25"/>
  <c r="AB775" i="25"/>
  <c r="X775" i="25"/>
  <c r="AD775" i="25"/>
  <c r="Z776" i="25"/>
  <c r="AB776" i="25"/>
  <c r="X776" i="25"/>
  <c r="AD776" i="25"/>
  <c r="Z777" i="25"/>
  <c r="AB777" i="25"/>
  <c r="X777" i="25"/>
  <c r="AD777" i="25"/>
  <c r="Z778" i="25"/>
  <c r="AB778" i="25"/>
  <c r="X778" i="25"/>
  <c r="AD778" i="25"/>
  <c r="Z779" i="25"/>
  <c r="AB779" i="25"/>
  <c r="X779" i="25"/>
  <c r="AD779" i="25"/>
  <c r="Z780" i="25"/>
  <c r="AB780" i="25"/>
  <c r="X780" i="25"/>
  <c r="AD780" i="25"/>
  <c r="Z781" i="25"/>
  <c r="AB781" i="25"/>
  <c r="X781" i="25"/>
  <c r="AD781" i="25"/>
  <c r="Z782" i="25"/>
  <c r="AB782" i="25"/>
  <c r="X782" i="25"/>
  <c r="AD782" i="25"/>
  <c r="Z783" i="25"/>
  <c r="AB783" i="25"/>
  <c r="X783" i="25"/>
  <c r="AD783" i="25"/>
  <c r="Z784" i="25"/>
  <c r="AB784" i="25"/>
  <c r="X784" i="25"/>
  <c r="AD784" i="25"/>
  <c r="Z785" i="25"/>
  <c r="AB785" i="25"/>
  <c r="X785" i="25"/>
  <c r="AD785" i="25"/>
  <c r="Z786" i="25"/>
  <c r="AB786" i="25"/>
  <c r="X786" i="25"/>
  <c r="AD786" i="25"/>
  <c r="Z787" i="25"/>
  <c r="AB787" i="25"/>
  <c r="X787" i="25"/>
  <c r="AD787" i="25"/>
  <c r="Z788" i="25"/>
  <c r="AB788" i="25"/>
  <c r="X788" i="25"/>
  <c r="AD788" i="25"/>
  <c r="Z789" i="25"/>
  <c r="AB789" i="25"/>
  <c r="X789" i="25"/>
  <c r="AD789" i="25"/>
  <c r="Z790" i="25"/>
  <c r="AB790" i="25"/>
  <c r="X790" i="25"/>
  <c r="AD790" i="25"/>
  <c r="Z791" i="25"/>
  <c r="AB791" i="25"/>
  <c r="X791" i="25"/>
  <c r="AD791" i="25"/>
  <c r="Z792" i="25"/>
  <c r="AB792" i="25"/>
  <c r="X792" i="25"/>
  <c r="AD792" i="25"/>
  <c r="Z793" i="25"/>
  <c r="AB793" i="25"/>
  <c r="X793" i="25"/>
  <c r="AD793" i="25"/>
  <c r="Z794" i="25"/>
  <c r="AB794" i="25"/>
  <c r="X794" i="25"/>
  <c r="AD794" i="25"/>
  <c r="Z795" i="25"/>
  <c r="AB795" i="25"/>
  <c r="X795" i="25"/>
  <c r="AD795" i="25"/>
  <c r="Z796" i="25"/>
  <c r="AB796" i="25"/>
  <c r="X796" i="25"/>
  <c r="AD796" i="25"/>
  <c r="Z797" i="25"/>
  <c r="AB797" i="25"/>
  <c r="X797" i="25"/>
  <c r="AD797" i="25"/>
  <c r="Z798" i="25"/>
  <c r="AB798" i="25"/>
  <c r="X798" i="25"/>
  <c r="AD798" i="25"/>
  <c r="Z799" i="25"/>
  <c r="AB799" i="25"/>
  <c r="X799" i="25"/>
  <c r="AD799" i="25"/>
  <c r="Z800" i="25"/>
  <c r="AB800" i="25"/>
  <c r="X800" i="25"/>
  <c r="AD800" i="25"/>
  <c r="Z801" i="25"/>
  <c r="AB801" i="25"/>
  <c r="X801" i="25"/>
  <c r="AD801" i="25"/>
  <c r="Z802" i="25"/>
  <c r="AB802" i="25"/>
  <c r="X802" i="25"/>
  <c r="AD802" i="25"/>
  <c r="Z803" i="25"/>
  <c r="AB803" i="25"/>
  <c r="X803" i="25"/>
  <c r="AD803" i="25"/>
  <c r="Z804" i="25"/>
  <c r="AB804" i="25"/>
  <c r="X804" i="25"/>
  <c r="AD804" i="25"/>
  <c r="Z805" i="25"/>
  <c r="AB805" i="25"/>
  <c r="X805" i="25"/>
  <c r="AD805" i="25"/>
  <c r="Z806" i="25"/>
  <c r="AB806" i="25"/>
  <c r="X806" i="25"/>
  <c r="AD806" i="25"/>
  <c r="Z807" i="25"/>
  <c r="AB807" i="25"/>
  <c r="X807" i="25"/>
  <c r="AD807" i="25"/>
  <c r="Z808" i="25"/>
  <c r="AB808" i="25"/>
  <c r="X808" i="25"/>
  <c r="AD808" i="25"/>
  <c r="Z809" i="25"/>
  <c r="AB809" i="25"/>
  <c r="X809" i="25"/>
  <c r="AD809" i="25"/>
  <c r="Z810" i="25"/>
  <c r="AB810" i="25"/>
  <c r="X810" i="25"/>
  <c r="AD810" i="25"/>
  <c r="Z811" i="25"/>
  <c r="AB811" i="25"/>
  <c r="X811" i="25"/>
  <c r="AD811" i="25"/>
  <c r="Z812" i="25"/>
  <c r="AB812" i="25"/>
  <c r="X812" i="25"/>
  <c r="AD812" i="25"/>
  <c r="Z813" i="25"/>
  <c r="AB813" i="25"/>
  <c r="X813" i="25"/>
  <c r="AD813" i="25"/>
  <c r="Z814" i="25"/>
  <c r="AB814" i="25"/>
  <c r="X814" i="25"/>
  <c r="AD814" i="25"/>
  <c r="Z815" i="25"/>
  <c r="AB815" i="25"/>
  <c r="X815" i="25"/>
  <c r="AD815" i="25"/>
  <c r="Z816" i="25"/>
  <c r="AB816" i="25"/>
  <c r="X816" i="25"/>
  <c r="AD816" i="25"/>
  <c r="Z817" i="25"/>
  <c r="AB817" i="25"/>
  <c r="X817" i="25"/>
  <c r="AD817" i="25"/>
  <c r="Z818" i="25"/>
  <c r="AB818" i="25"/>
  <c r="X818" i="25"/>
  <c r="AD818" i="25"/>
  <c r="Z819" i="25"/>
  <c r="AB819" i="25"/>
  <c r="X819" i="25"/>
  <c r="AD819" i="25"/>
  <c r="Z820" i="25"/>
  <c r="AB820" i="25"/>
  <c r="X820" i="25"/>
  <c r="AD820" i="25"/>
  <c r="Z821" i="25"/>
  <c r="AB821" i="25"/>
  <c r="X821" i="25"/>
  <c r="AD821" i="25"/>
  <c r="Z822" i="25"/>
  <c r="AB822" i="25"/>
  <c r="X822" i="25"/>
  <c r="AD822" i="25"/>
  <c r="Z823" i="25"/>
  <c r="AB823" i="25"/>
  <c r="X823" i="25"/>
  <c r="AD823" i="25"/>
  <c r="Z824" i="25"/>
  <c r="AB824" i="25"/>
  <c r="X824" i="25"/>
  <c r="AD824" i="25"/>
  <c r="Z825" i="25"/>
  <c r="AB825" i="25"/>
  <c r="X825" i="25"/>
  <c r="AD825" i="25"/>
  <c r="Z826" i="25"/>
  <c r="AB826" i="25"/>
  <c r="X826" i="25"/>
  <c r="AD826" i="25"/>
  <c r="Z827" i="25"/>
  <c r="AB827" i="25"/>
  <c r="X827" i="25"/>
  <c r="AD827" i="25"/>
  <c r="Z828" i="25"/>
  <c r="AB828" i="25"/>
  <c r="X828" i="25"/>
  <c r="AD828" i="25"/>
  <c r="Z829" i="25"/>
  <c r="AB829" i="25"/>
  <c r="X829" i="25"/>
  <c r="AD829" i="25"/>
  <c r="Z830" i="25"/>
  <c r="AB830" i="25"/>
  <c r="X830" i="25"/>
  <c r="AD830" i="25"/>
  <c r="Z831" i="25"/>
  <c r="AB831" i="25"/>
  <c r="X831" i="25"/>
  <c r="AD831" i="25"/>
  <c r="Z832" i="25"/>
  <c r="AB832" i="25"/>
  <c r="X832" i="25"/>
  <c r="AD832" i="25"/>
  <c r="Z833" i="25"/>
  <c r="AB833" i="25"/>
  <c r="X833" i="25"/>
  <c r="AD833" i="25"/>
  <c r="Z834" i="25"/>
  <c r="AB834" i="25"/>
  <c r="X834" i="25"/>
  <c r="AD834" i="25"/>
  <c r="Z835" i="25"/>
  <c r="AB835" i="25"/>
  <c r="X835" i="25"/>
  <c r="AD835" i="25"/>
  <c r="Z836" i="25"/>
  <c r="AB836" i="25"/>
  <c r="X836" i="25"/>
  <c r="AD836" i="25"/>
  <c r="Z837" i="25"/>
  <c r="AB837" i="25"/>
  <c r="X837" i="25"/>
  <c r="AD837" i="25"/>
  <c r="Z838" i="25"/>
  <c r="AB838" i="25"/>
  <c r="X838" i="25"/>
  <c r="AD838" i="25"/>
  <c r="Z839" i="25"/>
  <c r="AB839" i="25"/>
  <c r="X839" i="25"/>
  <c r="AD839" i="25"/>
  <c r="Z840" i="25"/>
  <c r="AB840" i="25"/>
  <c r="X840" i="25"/>
  <c r="AD840" i="25"/>
  <c r="Z841" i="25"/>
  <c r="AB841" i="25"/>
  <c r="X841" i="25"/>
  <c r="AD841" i="25"/>
  <c r="Z842" i="25"/>
  <c r="AB842" i="25"/>
  <c r="X842" i="25"/>
  <c r="AD842" i="25"/>
  <c r="Z843" i="25"/>
  <c r="AB843" i="25"/>
  <c r="X843" i="25"/>
  <c r="AD843" i="25"/>
  <c r="Z844" i="25"/>
  <c r="AB844" i="25"/>
  <c r="X844" i="25"/>
  <c r="AD844" i="25"/>
  <c r="Z845" i="25"/>
  <c r="AB845" i="25"/>
  <c r="X845" i="25"/>
  <c r="AD845" i="25"/>
  <c r="Z846" i="25"/>
  <c r="AB846" i="25"/>
  <c r="X846" i="25"/>
  <c r="AD846" i="25"/>
  <c r="Z847" i="25"/>
  <c r="AB847" i="25"/>
  <c r="X847" i="25"/>
  <c r="AD847" i="25"/>
  <c r="Z848" i="25"/>
  <c r="AB848" i="25"/>
  <c r="X848" i="25"/>
  <c r="AD848" i="25"/>
  <c r="Z849" i="25"/>
  <c r="AB849" i="25"/>
  <c r="X849" i="25"/>
  <c r="AD849" i="25"/>
  <c r="Z850" i="25"/>
  <c r="AB850" i="25"/>
  <c r="X850" i="25"/>
  <c r="AD850" i="25"/>
  <c r="Z851" i="25"/>
  <c r="AB851" i="25"/>
  <c r="X851" i="25"/>
  <c r="AD851" i="25"/>
  <c r="Z852" i="25"/>
  <c r="AB852" i="25"/>
  <c r="X852" i="25"/>
  <c r="AD852" i="25"/>
  <c r="Z853" i="25"/>
  <c r="AB853" i="25"/>
  <c r="X853" i="25"/>
  <c r="AD853" i="25"/>
  <c r="Z854" i="25"/>
  <c r="AB854" i="25"/>
  <c r="X854" i="25"/>
  <c r="AD854" i="25"/>
  <c r="Z855" i="25"/>
  <c r="AB855" i="25"/>
  <c r="X855" i="25"/>
  <c r="AD855" i="25"/>
  <c r="Z856" i="25"/>
  <c r="AB856" i="25"/>
  <c r="X856" i="25"/>
  <c r="AD856" i="25"/>
  <c r="Z857" i="25"/>
  <c r="AB857" i="25"/>
  <c r="X857" i="25"/>
  <c r="AD857" i="25"/>
  <c r="Z858" i="25"/>
  <c r="AB858" i="25"/>
  <c r="X858" i="25"/>
  <c r="AD858" i="25"/>
  <c r="Z859" i="25"/>
  <c r="AB859" i="25"/>
  <c r="X859" i="25"/>
  <c r="AD859" i="25"/>
  <c r="Z860" i="25"/>
  <c r="AB860" i="25"/>
  <c r="X860" i="25"/>
  <c r="AD860" i="25"/>
  <c r="Z861" i="25"/>
  <c r="AB861" i="25"/>
  <c r="X861" i="25"/>
  <c r="AD861" i="25"/>
  <c r="Z862" i="25"/>
  <c r="AB862" i="25"/>
  <c r="X862" i="25"/>
  <c r="AD862" i="25"/>
  <c r="Z863" i="25"/>
  <c r="AB863" i="25"/>
  <c r="X863" i="25"/>
  <c r="AD863" i="25"/>
  <c r="Z864" i="25"/>
  <c r="AB864" i="25"/>
  <c r="X864" i="25"/>
  <c r="AD864" i="25"/>
  <c r="Z865" i="25"/>
  <c r="AB865" i="25"/>
  <c r="X865" i="25"/>
  <c r="AD865" i="25"/>
  <c r="Z866" i="25"/>
  <c r="AB866" i="25"/>
  <c r="X866" i="25"/>
  <c r="AD866" i="25"/>
  <c r="Z867" i="25"/>
  <c r="AB867" i="25"/>
  <c r="X867" i="25"/>
  <c r="AD867" i="25"/>
  <c r="Z868" i="25"/>
  <c r="AB868" i="25"/>
  <c r="X868" i="25"/>
  <c r="AD868" i="25"/>
  <c r="Z869" i="25"/>
  <c r="AB869" i="25"/>
  <c r="X869" i="25"/>
  <c r="AD869" i="25"/>
  <c r="Z870" i="25"/>
  <c r="AB870" i="25"/>
  <c r="X870" i="25"/>
  <c r="AD870" i="25"/>
  <c r="Z871" i="25"/>
  <c r="AB871" i="25"/>
  <c r="X871" i="25"/>
  <c r="AD871" i="25"/>
  <c r="Z872" i="25"/>
  <c r="AB872" i="25"/>
  <c r="X872" i="25"/>
  <c r="AD872" i="25"/>
  <c r="Z873" i="25"/>
  <c r="AB873" i="25"/>
  <c r="X873" i="25"/>
  <c r="AD873" i="25"/>
  <c r="Z874" i="25"/>
  <c r="AB874" i="25"/>
  <c r="X874" i="25"/>
  <c r="AD874" i="25"/>
  <c r="Z875" i="25"/>
  <c r="AB875" i="25"/>
  <c r="X875" i="25"/>
  <c r="AD875" i="25"/>
  <c r="Z876" i="25"/>
  <c r="AB876" i="25"/>
  <c r="X876" i="25"/>
  <c r="AD876" i="25"/>
  <c r="Z877" i="25"/>
  <c r="AB877" i="25"/>
  <c r="X877" i="25"/>
  <c r="AD877" i="25"/>
  <c r="Z878" i="25"/>
  <c r="AB878" i="25"/>
  <c r="X878" i="25"/>
  <c r="AD878" i="25"/>
  <c r="Z879" i="25"/>
  <c r="AB879" i="25"/>
  <c r="X879" i="25"/>
  <c r="AD879" i="25"/>
  <c r="Z880" i="25"/>
  <c r="AB880" i="25"/>
  <c r="X880" i="25"/>
  <c r="AD880" i="25"/>
  <c r="Z881" i="25"/>
  <c r="AB881" i="25"/>
  <c r="X881" i="25"/>
  <c r="AD881" i="25"/>
  <c r="Z882" i="25"/>
  <c r="AB882" i="25"/>
  <c r="X882" i="25"/>
  <c r="AD882" i="25"/>
  <c r="Z883" i="25"/>
  <c r="AB883" i="25"/>
  <c r="X883" i="25"/>
  <c r="AD883" i="25"/>
  <c r="Z884" i="25"/>
  <c r="AB884" i="25"/>
  <c r="X884" i="25"/>
  <c r="AD884" i="25"/>
  <c r="Z885" i="25"/>
  <c r="AB885" i="25"/>
  <c r="X885" i="25"/>
  <c r="AD885" i="25"/>
  <c r="Z886" i="25"/>
  <c r="AB886" i="25"/>
  <c r="X886" i="25"/>
  <c r="AD886" i="25"/>
  <c r="Z887" i="25"/>
  <c r="AB887" i="25"/>
  <c r="X887" i="25"/>
  <c r="AD887" i="25"/>
  <c r="Z888" i="25"/>
  <c r="AB888" i="25"/>
  <c r="X888" i="25"/>
  <c r="AD888" i="25"/>
  <c r="Z889" i="25"/>
  <c r="AB889" i="25"/>
  <c r="X889" i="25"/>
  <c r="AD889" i="25"/>
  <c r="Z890" i="25"/>
  <c r="AB890" i="25"/>
  <c r="X890" i="25"/>
  <c r="AD890" i="25"/>
  <c r="Z891" i="25"/>
  <c r="AB891" i="25"/>
  <c r="X891" i="25"/>
  <c r="AD891" i="25"/>
  <c r="Z892" i="25"/>
  <c r="AB892" i="25"/>
  <c r="X892" i="25"/>
  <c r="AD892" i="25"/>
  <c r="Z893" i="25"/>
  <c r="AB893" i="25"/>
  <c r="X893" i="25"/>
  <c r="AD893" i="25"/>
  <c r="Z894" i="25"/>
  <c r="AB894" i="25"/>
  <c r="X894" i="25"/>
  <c r="AD894" i="25"/>
  <c r="Z895" i="25"/>
  <c r="AB895" i="25"/>
  <c r="X895" i="25"/>
  <c r="AD895" i="25"/>
  <c r="Z896" i="25"/>
  <c r="AB896" i="25"/>
  <c r="X896" i="25"/>
  <c r="AD896" i="25"/>
  <c r="Z897" i="25"/>
  <c r="AB897" i="25"/>
  <c r="X897" i="25"/>
  <c r="AD897" i="25"/>
  <c r="Z898" i="25"/>
  <c r="AB898" i="25"/>
  <c r="X898" i="25"/>
  <c r="AD898" i="25"/>
  <c r="Z899" i="25"/>
  <c r="AB899" i="25"/>
  <c r="X899" i="25"/>
  <c r="AD899" i="25"/>
  <c r="Z900" i="25"/>
  <c r="AB900" i="25"/>
  <c r="X900" i="25"/>
  <c r="AD900" i="25"/>
  <c r="Z901" i="25"/>
  <c r="AB901" i="25"/>
  <c r="X901" i="25"/>
  <c r="AD901" i="25"/>
  <c r="Z902" i="25"/>
  <c r="AB902" i="25"/>
  <c r="X902" i="25"/>
  <c r="AD902" i="25"/>
  <c r="Z903" i="25"/>
  <c r="AB903" i="25"/>
  <c r="X903" i="25"/>
  <c r="AD903" i="25"/>
  <c r="Z904" i="25"/>
  <c r="AB904" i="25"/>
  <c r="X904" i="25"/>
  <c r="AD904" i="25"/>
  <c r="Z905" i="25"/>
  <c r="AB905" i="25"/>
  <c r="X905" i="25"/>
  <c r="AD905" i="25"/>
  <c r="Z906" i="25"/>
  <c r="AB906" i="25"/>
  <c r="X906" i="25"/>
  <c r="AD906" i="25"/>
  <c r="Z907" i="25"/>
  <c r="AB907" i="25"/>
  <c r="X907" i="25"/>
  <c r="AD907" i="25"/>
  <c r="Z908" i="25"/>
  <c r="AB908" i="25"/>
  <c r="X908" i="25"/>
  <c r="AD908" i="25"/>
  <c r="Z909" i="25"/>
  <c r="AB909" i="25"/>
  <c r="X909" i="25"/>
  <c r="AD909" i="25"/>
  <c r="Z910" i="25"/>
  <c r="AB910" i="25"/>
  <c r="X910" i="25"/>
  <c r="AD910" i="25"/>
  <c r="Z911" i="25"/>
  <c r="AB911" i="25"/>
  <c r="X911" i="25"/>
  <c r="AD911" i="25"/>
  <c r="Z912" i="25"/>
  <c r="AB912" i="25"/>
  <c r="X912" i="25"/>
  <c r="AD912" i="25"/>
  <c r="Z913" i="25"/>
  <c r="AB913" i="25"/>
  <c r="X913" i="25"/>
  <c r="AD913" i="25"/>
  <c r="Z914" i="25"/>
  <c r="AB914" i="25"/>
  <c r="X914" i="25"/>
  <c r="AD914" i="25"/>
  <c r="Z915" i="25"/>
  <c r="AB915" i="25"/>
  <c r="X915" i="25"/>
  <c r="AD915" i="25"/>
  <c r="Z916" i="25"/>
  <c r="AB916" i="25"/>
  <c r="X916" i="25"/>
  <c r="AD916" i="25"/>
  <c r="Z917" i="25"/>
  <c r="AB917" i="25"/>
  <c r="X917" i="25"/>
  <c r="AD917" i="25"/>
  <c r="Z918" i="25"/>
  <c r="AB918" i="25"/>
  <c r="X918" i="25"/>
  <c r="AD918" i="25"/>
  <c r="Z919" i="25"/>
  <c r="AB919" i="25"/>
  <c r="X919" i="25"/>
  <c r="AD919" i="25"/>
  <c r="Z920" i="25"/>
  <c r="AB920" i="25"/>
  <c r="X920" i="25"/>
  <c r="AD920" i="25"/>
  <c r="Z921" i="25"/>
  <c r="AB921" i="25"/>
  <c r="X921" i="25"/>
  <c r="AD921" i="25"/>
  <c r="Z922" i="25"/>
  <c r="AB922" i="25"/>
  <c r="X922" i="25"/>
  <c r="AD922" i="25"/>
  <c r="Z923" i="25"/>
  <c r="AB923" i="25"/>
  <c r="X923" i="25"/>
  <c r="AD923" i="25"/>
  <c r="Z924" i="25"/>
  <c r="AB924" i="25"/>
  <c r="X924" i="25"/>
  <c r="AD924" i="25"/>
  <c r="Z925" i="25"/>
  <c r="AB925" i="25"/>
  <c r="X925" i="25"/>
  <c r="AD925" i="25"/>
  <c r="Z926" i="25"/>
  <c r="AB926" i="25"/>
  <c r="X926" i="25"/>
  <c r="AD926" i="25"/>
  <c r="Z927" i="25"/>
  <c r="AB927" i="25"/>
  <c r="X927" i="25"/>
  <c r="AD927" i="25"/>
  <c r="Z928" i="25"/>
  <c r="AB928" i="25"/>
  <c r="X928" i="25"/>
  <c r="AD928" i="25"/>
  <c r="Z929" i="25"/>
  <c r="AB929" i="25"/>
  <c r="X929" i="25"/>
  <c r="AD929" i="25"/>
  <c r="Z930" i="25"/>
  <c r="AB930" i="25"/>
  <c r="X930" i="25"/>
  <c r="AD930" i="25"/>
  <c r="Z931" i="25"/>
  <c r="AB931" i="25"/>
  <c r="X931" i="25"/>
  <c r="AD931" i="25"/>
  <c r="Z932" i="25"/>
  <c r="AB932" i="25"/>
  <c r="X932" i="25"/>
  <c r="AD932" i="25"/>
  <c r="Z933" i="25"/>
  <c r="AB933" i="25"/>
  <c r="X933" i="25"/>
  <c r="AD933" i="25"/>
  <c r="Z934" i="25"/>
  <c r="AB934" i="25"/>
  <c r="X934" i="25"/>
  <c r="AD934" i="25"/>
  <c r="Z935" i="25"/>
  <c r="AB935" i="25"/>
  <c r="X935" i="25"/>
  <c r="AD935" i="25"/>
  <c r="Z936" i="25"/>
  <c r="AB936" i="25"/>
  <c r="X936" i="25"/>
  <c r="AD936" i="25"/>
  <c r="Z937" i="25"/>
  <c r="AB937" i="25"/>
  <c r="X937" i="25"/>
  <c r="AD937" i="25"/>
  <c r="Z938" i="25"/>
  <c r="AB938" i="25"/>
  <c r="X938" i="25"/>
  <c r="AD938" i="25"/>
  <c r="Z939" i="25"/>
  <c r="AB939" i="25"/>
  <c r="X939" i="25"/>
  <c r="AD939" i="25"/>
  <c r="Z940" i="25"/>
  <c r="AB940" i="25"/>
  <c r="X940" i="25"/>
  <c r="AD940" i="25"/>
  <c r="Z941" i="25"/>
  <c r="AB941" i="25"/>
  <c r="X941" i="25"/>
  <c r="AD941" i="25"/>
  <c r="Z942" i="25"/>
  <c r="AB942" i="25"/>
  <c r="X942" i="25"/>
  <c r="AD942" i="25"/>
  <c r="Z943" i="25"/>
  <c r="AB943" i="25"/>
  <c r="X943" i="25"/>
  <c r="AD943" i="25"/>
  <c r="Z944" i="25"/>
  <c r="AB944" i="25"/>
  <c r="X944" i="25"/>
  <c r="AD944" i="25"/>
  <c r="Z945" i="25"/>
  <c r="AB945" i="25"/>
  <c r="X945" i="25"/>
  <c r="AD945" i="25"/>
  <c r="Z946" i="25"/>
  <c r="AB946" i="25"/>
  <c r="X946" i="25"/>
  <c r="AD946" i="25"/>
  <c r="Z947" i="25"/>
  <c r="AB947" i="25"/>
  <c r="X947" i="25"/>
  <c r="AD947" i="25"/>
  <c r="Z948" i="25"/>
  <c r="AB948" i="25"/>
  <c r="X948" i="25"/>
  <c r="AD948" i="25"/>
  <c r="Z949" i="25"/>
  <c r="AB949" i="25"/>
  <c r="X949" i="25"/>
  <c r="AD949" i="25"/>
  <c r="Z950" i="25"/>
  <c r="AB950" i="25"/>
  <c r="X950" i="25"/>
  <c r="AD950" i="25"/>
  <c r="Z951" i="25"/>
  <c r="AB951" i="25"/>
  <c r="X951" i="25"/>
  <c r="AD951" i="25"/>
  <c r="Z952" i="25"/>
  <c r="AB952" i="25"/>
  <c r="X952" i="25"/>
  <c r="AD952" i="25"/>
  <c r="Z953" i="25"/>
  <c r="AB953" i="25"/>
  <c r="X953" i="25"/>
  <c r="AD953" i="25"/>
  <c r="Z954" i="25"/>
  <c r="AB954" i="25"/>
  <c r="X954" i="25"/>
  <c r="AD954" i="25"/>
  <c r="Z955" i="25"/>
  <c r="AB955" i="25"/>
  <c r="X955" i="25"/>
  <c r="AD955" i="25"/>
  <c r="Z956" i="25"/>
  <c r="AB956" i="25"/>
  <c r="X956" i="25"/>
  <c r="AD956" i="25"/>
  <c r="Z957" i="25"/>
  <c r="AB957" i="25"/>
  <c r="X957" i="25"/>
  <c r="AD957" i="25"/>
  <c r="Z958" i="25"/>
  <c r="AB958" i="25"/>
  <c r="X958" i="25"/>
  <c r="AD958" i="25"/>
  <c r="Z959" i="25"/>
  <c r="AB959" i="25"/>
  <c r="X959" i="25"/>
  <c r="AD959" i="25"/>
  <c r="Z960" i="25"/>
  <c r="AB960" i="25"/>
  <c r="X960" i="25"/>
  <c r="AD960" i="25"/>
  <c r="Z961" i="25"/>
  <c r="AB961" i="25"/>
  <c r="X961" i="25"/>
  <c r="AD961" i="25"/>
  <c r="Z962" i="25"/>
  <c r="AB962" i="25"/>
  <c r="X962" i="25"/>
  <c r="AD962" i="25"/>
  <c r="Z963" i="25"/>
  <c r="AB963" i="25"/>
  <c r="X963" i="25"/>
  <c r="AD963" i="25"/>
  <c r="Z964" i="25"/>
  <c r="AB964" i="25"/>
  <c r="X964" i="25"/>
  <c r="AD964" i="25"/>
  <c r="Z965" i="25"/>
  <c r="AB965" i="25"/>
  <c r="X965" i="25"/>
  <c r="AD965" i="25"/>
  <c r="Z966" i="25"/>
  <c r="AB966" i="25"/>
  <c r="X966" i="25"/>
  <c r="AD966" i="25"/>
  <c r="Z967" i="25"/>
  <c r="AB967" i="25"/>
  <c r="X967" i="25"/>
  <c r="AD967" i="25"/>
  <c r="Z968" i="25"/>
  <c r="AB968" i="25"/>
  <c r="X968" i="25"/>
  <c r="AD968" i="25"/>
  <c r="Z969" i="25"/>
  <c r="AB969" i="25"/>
  <c r="X969" i="25"/>
  <c r="AD969" i="25"/>
  <c r="Z970" i="25"/>
  <c r="AB970" i="25"/>
  <c r="X970" i="25"/>
  <c r="AD970" i="25"/>
  <c r="Z971" i="25"/>
  <c r="AB971" i="25"/>
  <c r="X971" i="25"/>
  <c r="AD971" i="25"/>
  <c r="Z972" i="25"/>
  <c r="AB972" i="25"/>
  <c r="X972" i="25"/>
  <c r="AD972" i="25"/>
  <c r="Z973" i="25"/>
  <c r="AB973" i="25"/>
  <c r="X973" i="25"/>
  <c r="AD973" i="25"/>
  <c r="Z974" i="25"/>
  <c r="AB974" i="25"/>
  <c r="X974" i="25"/>
  <c r="AD974" i="25"/>
  <c r="Z975" i="25"/>
  <c r="AB975" i="25"/>
  <c r="X975" i="25"/>
  <c r="AD975" i="25"/>
  <c r="Z976" i="25"/>
  <c r="AB976" i="25"/>
  <c r="X976" i="25"/>
  <c r="AD976" i="25"/>
  <c r="Z977" i="25"/>
  <c r="AB977" i="25"/>
  <c r="X977" i="25"/>
  <c r="AD977" i="25"/>
  <c r="Z978" i="25"/>
  <c r="AB978" i="25"/>
  <c r="X978" i="25"/>
  <c r="AD978" i="25"/>
  <c r="Z979" i="25"/>
  <c r="AB979" i="25"/>
  <c r="X979" i="25"/>
  <c r="AD979" i="25"/>
  <c r="Z980" i="25"/>
  <c r="AB980" i="25"/>
  <c r="X980" i="25"/>
  <c r="AD980" i="25"/>
  <c r="Z981" i="25"/>
  <c r="AB981" i="25"/>
  <c r="X981" i="25"/>
  <c r="AD981" i="25"/>
  <c r="Z982" i="25"/>
  <c r="AB982" i="25"/>
  <c r="X982" i="25"/>
  <c r="AD982" i="25"/>
  <c r="Z983" i="25"/>
  <c r="AB983" i="25"/>
  <c r="X983" i="25"/>
  <c r="AD983" i="25"/>
  <c r="Z984" i="25"/>
  <c r="AB984" i="25"/>
  <c r="X984" i="25"/>
  <c r="AD984" i="25"/>
  <c r="Z985" i="25"/>
  <c r="AB985" i="25"/>
  <c r="X985" i="25"/>
  <c r="AD985" i="25"/>
  <c r="Z986" i="25"/>
  <c r="AB986" i="25"/>
  <c r="X986" i="25"/>
  <c r="AD986" i="25"/>
  <c r="Z987" i="25"/>
  <c r="AB987" i="25"/>
  <c r="X987" i="25"/>
  <c r="AD987" i="25"/>
  <c r="Z988" i="25"/>
  <c r="AB988" i="25"/>
  <c r="X988" i="25"/>
  <c r="AD988" i="25"/>
  <c r="Z989" i="25"/>
  <c r="AB989" i="25"/>
  <c r="X989" i="25"/>
  <c r="AD989" i="25"/>
  <c r="Z990" i="25"/>
  <c r="AB990" i="25"/>
  <c r="X990" i="25"/>
  <c r="AD990" i="25"/>
  <c r="Z991" i="25"/>
  <c r="AB991" i="25"/>
  <c r="X991" i="25"/>
  <c r="AD991" i="25"/>
  <c r="Z992" i="25"/>
  <c r="AB992" i="25"/>
  <c r="X992" i="25"/>
  <c r="AD992" i="25"/>
  <c r="Z993" i="25"/>
  <c r="AB993" i="25"/>
  <c r="X993" i="25"/>
  <c r="AD993" i="25"/>
  <c r="Z994" i="25"/>
  <c r="AB994" i="25"/>
  <c r="X994" i="25"/>
  <c r="AD994" i="25"/>
  <c r="Z995" i="25"/>
  <c r="AB995" i="25"/>
  <c r="X995" i="25"/>
  <c r="AD995" i="25"/>
  <c r="Z996" i="25"/>
  <c r="AB996" i="25"/>
  <c r="X996" i="25"/>
  <c r="AD996" i="25"/>
  <c r="Z997" i="25"/>
  <c r="AB997" i="25"/>
  <c r="X997" i="25"/>
  <c r="AD997" i="25"/>
  <c r="Z998" i="25"/>
  <c r="AB998" i="25"/>
  <c r="X998" i="25"/>
  <c r="AD998" i="25"/>
  <c r="Z999" i="25"/>
  <c r="AB999" i="25"/>
  <c r="X999" i="25"/>
  <c r="AD999" i="25"/>
  <c r="Z1000" i="25"/>
  <c r="AB1000" i="25"/>
  <c r="X1000" i="25"/>
  <c r="AD1000" i="25"/>
  <c r="Z1001" i="25"/>
  <c r="AB1001" i="25"/>
  <c r="X1001" i="25"/>
  <c r="AD1001" i="25"/>
  <c r="Z1002" i="25"/>
  <c r="AB1002" i="25"/>
  <c r="X1002" i="25"/>
  <c r="AD1002" i="25"/>
  <c r="Z1003" i="25"/>
  <c r="AB1003" i="25"/>
  <c r="X1003" i="25"/>
  <c r="AD1003" i="25"/>
  <c r="Z1004" i="25"/>
  <c r="AB1004" i="25"/>
  <c r="X1004" i="25"/>
  <c r="AD1004" i="25"/>
  <c r="Z1005" i="25"/>
  <c r="AB1005" i="25"/>
  <c r="X1005" i="25"/>
  <c r="AD1005" i="25"/>
  <c r="Z1006" i="25"/>
  <c r="AB1006" i="25"/>
  <c r="X1006" i="25"/>
  <c r="AD1006" i="25"/>
  <c r="Z1007" i="25"/>
  <c r="AB1007" i="25"/>
  <c r="X1007" i="25"/>
  <c r="AD1007" i="25"/>
  <c r="Z1008" i="25"/>
  <c r="AB1008" i="25"/>
  <c r="X1008" i="25"/>
  <c r="AD1008" i="25"/>
  <c r="Z1009" i="25"/>
  <c r="AB1009" i="25"/>
  <c r="X1009" i="25"/>
  <c r="AD1009" i="25"/>
  <c r="Z1010" i="25"/>
  <c r="AB1010" i="25"/>
  <c r="X1010" i="25"/>
  <c r="AD1010" i="25"/>
  <c r="Z1011" i="25"/>
  <c r="AB1011" i="25"/>
  <c r="X1011" i="25"/>
  <c r="AD1011" i="25"/>
  <c r="Z1012" i="25"/>
  <c r="AB1012" i="25"/>
  <c r="X1012" i="25"/>
  <c r="AD1012" i="25"/>
  <c r="Z1013" i="25"/>
  <c r="AB1013" i="25"/>
  <c r="X1013" i="25"/>
  <c r="AD1013" i="25"/>
  <c r="Z1014" i="25"/>
  <c r="AB1014" i="25"/>
  <c r="X1014" i="25"/>
  <c r="AD1014" i="25"/>
  <c r="Z1015" i="25"/>
  <c r="AB1015" i="25"/>
  <c r="X1015" i="25"/>
  <c r="AD1015" i="25"/>
  <c r="Z1016" i="25"/>
  <c r="AB1016" i="25"/>
  <c r="X1016" i="25"/>
  <c r="AD1016" i="25"/>
  <c r="Z1017" i="25"/>
  <c r="AB1017" i="25"/>
  <c r="X1017" i="25"/>
  <c r="AD1017" i="25"/>
  <c r="Z1018" i="25"/>
  <c r="AB1018" i="25"/>
  <c r="X1018" i="25"/>
  <c r="AD1018" i="25"/>
  <c r="Z1019" i="25"/>
  <c r="AB1019" i="25"/>
  <c r="X1019" i="25"/>
  <c r="AD1019" i="25"/>
  <c r="Z1020" i="25"/>
  <c r="AB1020" i="25"/>
  <c r="X1020" i="25"/>
  <c r="AD1020" i="25"/>
  <c r="Z1021" i="25"/>
  <c r="AB1021" i="25"/>
  <c r="X1021" i="25"/>
  <c r="AD1021" i="25"/>
  <c r="Z1022" i="25"/>
  <c r="AB1022" i="25"/>
  <c r="X1022" i="25"/>
  <c r="AD1022" i="25"/>
  <c r="Z1023" i="25"/>
  <c r="AB1023" i="25"/>
  <c r="X1023" i="25"/>
  <c r="AD1023" i="25"/>
  <c r="Z1024" i="25"/>
  <c r="AB1024" i="25"/>
  <c r="X1024" i="25"/>
  <c r="AD1024" i="25"/>
  <c r="Z1025" i="25"/>
  <c r="AB1025" i="25"/>
  <c r="X1025" i="25"/>
  <c r="AD1025" i="25"/>
  <c r="Z1026" i="25"/>
  <c r="AB1026" i="25"/>
  <c r="X1026" i="25"/>
  <c r="AD1026" i="25"/>
  <c r="Z1027" i="25"/>
  <c r="AB1027" i="25"/>
  <c r="X1027" i="25"/>
  <c r="AD1027" i="25"/>
  <c r="Z1028" i="25"/>
  <c r="AB1028" i="25"/>
  <c r="X1028" i="25"/>
  <c r="AD1028" i="25"/>
  <c r="Z1029" i="25"/>
  <c r="AB1029" i="25"/>
  <c r="X1029" i="25"/>
  <c r="AD1029" i="25"/>
  <c r="Z1030" i="25"/>
  <c r="AB1030" i="25"/>
  <c r="X1030" i="25"/>
  <c r="AD1030" i="25"/>
  <c r="Z1031" i="25"/>
  <c r="AB1031" i="25"/>
  <c r="X1031" i="25"/>
  <c r="AD1031" i="25"/>
  <c r="Z1032" i="25"/>
  <c r="AB1032" i="25"/>
  <c r="X1032" i="25"/>
  <c r="AD1032" i="25"/>
  <c r="Z1033" i="25"/>
  <c r="AB1033" i="25"/>
  <c r="X1033" i="25"/>
  <c r="AD1033" i="25"/>
  <c r="Z1034" i="25"/>
  <c r="AB1034" i="25"/>
  <c r="X1034" i="25"/>
  <c r="AD1034" i="25"/>
  <c r="Z1035" i="25"/>
  <c r="AB1035" i="25"/>
  <c r="X1035" i="25"/>
  <c r="AD1035" i="25"/>
  <c r="Z1036" i="25"/>
  <c r="AB1036" i="25"/>
  <c r="X1036" i="25"/>
  <c r="AD1036" i="25"/>
  <c r="Z1037" i="25"/>
  <c r="AB1037" i="25"/>
  <c r="X1037" i="25"/>
  <c r="AD1037" i="25"/>
  <c r="Z1038" i="25"/>
  <c r="AB1038" i="25"/>
  <c r="X1038" i="25"/>
  <c r="AD1038" i="25"/>
  <c r="Z1039" i="25"/>
  <c r="AB1039" i="25"/>
  <c r="X1039" i="25"/>
  <c r="AD1039" i="25"/>
  <c r="Z1040" i="25"/>
  <c r="AB1040" i="25"/>
  <c r="X1040" i="25"/>
  <c r="AD1040" i="25"/>
  <c r="Z1041" i="25"/>
  <c r="AB1041" i="25"/>
  <c r="X1041" i="25"/>
  <c r="AD1041" i="25"/>
  <c r="Z1042" i="25"/>
  <c r="AB1042" i="25"/>
  <c r="X1042" i="25"/>
  <c r="AD1042" i="25"/>
  <c r="Z1043" i="25"/>
  <c r="AB1043" i="25"/>
  <c r="X1043" i="25"/>
  <c r="AD1043" i="25"/>
  <c r="Z1044" i="25"/>
  <c r="AB1044" i="25"/>
  <c r="X1044" i="25"/>
  <c r="AD1044" i="25"/>
  <c r="Z1045" i="25"/>
  <c r="AB1045" i="25"/>
  <c r="X1045" i="25"/>
  <c r="AD1045" i="25"/>
  <c r="Z1046" i="25"/>
  <c r="AB1046" i="25"/>
  <c r="X1046" i="25"/>
  <c r="AD1046" i="25"/>
  <c r="Z1047" i="25"/>
  <c r="AB1047" i="25"/>
  <c r="X1047" i="25"/>
  <c r="AD1047" i="25"/>
  <c r="Z1048" i="25"/>
  <c r="AB1048" i="25"/>
  <c r="X1048" i="25"/>
  <c r="AD1048" i="25"/>
  <c r="Z1049" i="25"/>
  <c r="AB1049" i="25"/>
  <c r="X1049" i="25"/>
  <c r="AD1049" i="25"/>
  <c r="Z1050" i="25"/>
  <c r="AB1050" i="25"/>
  <c r="X1050" i="25"/>
  <c r="AD1050" i="25"/>
  <c r="Z1051" i="25"/>
  <c r="AB1051" i="25"/>
  <c r="X1051" i="25"/>
  <c r="AD1051" i="25"/>
  <c r="Z1052" i="25"/>
  <c r="AB1052" i="25"/>
  <c r="X1052" i="25"/>
  <c r="AD1052" i="25"/>
  <c r="Z1053" i="25"/>
  <c r="AB1053" i="25"/>
  <c r="X1053" i="25"/>
  <c r="AD1053" i="25"/>
  <c r="Z1054" i="25"/>
  <c r="AB1054" i="25"/>
  <c r="X1054" i="25"/>
  <c r="AD1054" i="25"/>
  <c r="Z1055" i="25"/>
  <c r="AB1055" i="25"/>
  <c r="X1055" i="25"/>
  <c r="AD1055" i="25"/>
  <c r="Z1056" i="25"/>
  <c r="AB1056" i="25"/>
  <c r="X1056" i="25"/>
  <c r="AD1056" i="25"/>
  <c r="Z1057" i="25"/>
  <c r="AB1057" i="25"/>
  <c r="X1057" i="25"/>
  <c r="AD1057" i="25"/>
  <c r="Z1058" i="25"/>
  <c r="AB1058" i="25"/>
  <c r="X1058" i="25"/>
  <c r="AD1058" i="25"/>
  <c r="Z1059" i="25"/>
  <c r="AB1059" i="25"/>
  <c r="X1059" i="25"/>
  <c r="AD1059" i="25"/>
  <c r="Z1060" i="25"/>
  <c r="AB1060" i="25"/>
  <c r="X1060" i="25"/>
  <c r="AD1060" i="25"/>
  <c r="Z1061" i="25"/>
  <c r="AB1061" i="25"/>
  <c r="X1061" i="25"/>
  <c r="AD1061" i="25"/>
  <c r="Z1062" i="25"/>
  <c r="AB1062" i="25"/>
  <c r="X1062" i="25"/>
  <c r="AD1062" i="25"/>
  <c r="Z1063" i="25"/>
  <c r="AB1063" i="25"/>
  <c r="X1063" i="25"/>
  <c r="AD1063" i="25"/>
  <c r="Z1064" i="25"/>
  <c r="AB1064" i="25"/>
  <c r="X1064" i="25"/>
  <c r="AD1064" i="25"/>
  <c r="Z1065" i="25"/>
  <c r="AB1065" i="25"/>
  <c r="X1065" i="25"/>
  <c r="AD1065" i="25"/>
  <c r="Z1066" i="25"/>
  <c r="AB1066" i="25"/>
  <c r="X1066" i="25"/>
  <c r="AD1066" i="25"/>
  <c r="Z1067" i="25"/>
  <c r="AB1067" i="25"/>
  <c r="X1067" i="25"/>
  <c r="AD1067" i="25"/>
  <c r="Z1068" i="25"/>
  <c r="AB1068" i="25"/>
  <c r="X1068" i="25"/>
  <c r="AD1068" i="25"/>
  <c r="Z1069" i="25"/>
  <c r="AB1069" i="25"/>
  <c r="X1069" i="25"/>
  <c r="AD1069" i="25"/>
  <c r="Z1070" i="25"/>
  <c r="AB1070" i="25"/>
  <c r="X1070" i="25"/>
  <c r="AD1070" i="25"/>
  <c r="Z1071" i="25"/>
  <c r="AB1071" i="25"/>
  <c r="X1071" i="25"/>
  <c r="AD1071" i="25"/>
  <c r="Z1072" i="25"/>
  <c r="AB1072" i="25"/>
  <c r="X1072" i="25"/>
  <c r="AD1072" i="25"/>
  <c r="Z1073" i="25"/>
  <c r="AB1073" i="25"/>
  <c r="X1073" i="25"/>
  <c r="AD1073" i="25"/>
  <c r="Z1074" i="25"/>
  <c r="AB1074" i="25"/>
  <c r="X1074" i="25"/>
  <c r="AD1074" i="25"/>
  <c r="Z1075" i="25"/>
  <c r="AB1075" i="25"/>
  <c r="X1075" i="25"/>
  <c r="AD1075" i="25"/>
  <c r="Z1076" i="25"/>
  <c r="AB1076" i="25"/>
  <c r="X1076" i="25"/>
  <c r="AD1076" i="25"/>
  <c r="Z1077" i="25"/>
  <c r="AB1077" i="25"/>
  <c r="X1077" i="25"/>
  <c r="AD1077" i="25"/>
  <c r="Z1078" i="25"/>
  <c r="AB1078" i="25"/>
  <c r="X1078" i="25"/>
  <c r="AD1078" i="25"/>
  <c r="Z1079" i="25"/>
  <c r="AB1079" i="25"/>
  <c r="X1079" i="25"/>
  <c r="AD1079" i="25"/>
  <c r="Z1080" i="25"/>
  <c r="AB1080" i="25"/>
  <c r="X1080" i="25"/>
  <c r="AD1080" i="25"/>
  <c r="Z1081" i="25"/>
  <c r="AB1081" i="25"/>
  <c r="X1081" i="25"/>
  <c r="AD1081" i="25"/>
  <c r="Z1082" i="25"/>
  <c r="AB1082" i="25"/>
  <c r="X1082" i="25"/>
  <c r="AD1082" i="25"/>
  <c r="Z1083" i="25"/>
  <c r="AB1083" i="25"/>
  <c r="X1083" i="25"/>
  <c r="AD1083" i="25"/>
  <c r="Z1084" i="25"/>
  <c r="AB1084" i="25"/>
  <c r="X1084" i="25"/>
  <c r="AD1084" i="25"/>
  <c r="Z1085" i="25"/>
  <c r="AB1085" i="25"/>
  <c r="X1085" i="25"/>
  <c r="AD1085" i="25"/>
  <c r="Z1086" i="25"/>
  <c r="AB1086" i="25"/>
  <c r="X1086" i="25"/>
  <c r="AD1086" i="25"/>
  <c r="Z1087" i="25"/>
  <c r="AB1087" i="25"/>
  <c r="X1087" i="25"/>
  <c r="AD1087" i="25"/>
  <c r="Z1088" i="25"/>
  <c r="AB1088" i="25"/>
  <c r="X1088" i="25"/>
  <c r="AD1088" i="25"/>
  <c r="Z1089" i="25"/>
  <c r="AB1089" i="25"/>
  <c r="X1089" i="25"/>
  <c r="AD1089" i="25"/>
  <c r="Z1090" i="25"/>
  <c r="AB1090" i="25"/>
  <c r="X1090" i="25"/>
  <c r="AD1090" i="25"/>
  <c r="Z1091" i="25"/>
  <c r="AB1091" i="25"/>
  <c r="X1091" i="25"/>
  <c r="AD1091" i="25"/>
  <c r="Z1092" i="25"/>
  <c r="AB1092" i="25"/>
  <c r="X1092" i="25"/>
  <c r="AD1092" i="25"/>
  <c r="Z1093" i="25"/>
  <c r="AB1093" i="25"/>
  <c r="X1093" i="25"/>
  <c r="AD1093" i="25"/>
  <c r="Z1094" i="25"/>
  <c r="AB1094" i="25"/>
  <c r="X1094" i="25"/>
  <c r="AD1094" i="25"/>
  <c r="Z1095" i="25"/>
  <c r="AB1095" i="25"/>
  <c r="X1095" i="25"/>
  <c r="AD1095" i="25"/>
  <c r="Z1096" i="25"/>
  <c r="AB1096" i="25"/>
  <c r="X1096" i="25"/>
  <c r="AD1096" i="25"/>
  <c r="Z1097" i="25"/>
  <c r="AB1097" i="25"/>
  <c r="X1097" i="25"/>
  <c r="AD1097" i="25"/>
  <c r="Z1098" i="25"/>
  <c r="AB1098" i="25"/>
  <c r="X1098" i="25"/>
  <c r="AD1098" i="25"/>
  <c r="Z1099" i="25"/>
  <c r="AB1099" i="25"/>
  <c r="X1099" i="25"/>
  <c r="AD1099" i="25"/>
  <c r="Z1100" i="25"/>
  <c r="AB1100" i="25"/>
  <c r="X1100" i="25"/>
  <c r="AD1100" i="25"/>
  <c r="Z1101" i="25"/>
  <c r="AB1101" i="25"/>
  <c r="X1101" i="25"/>
  <c r="AD1101" i="25"/>
  <c r="Z1102" i="25"/>
  <c r="AB1102" i="25"/>
  <c r="X1102" i="25"/>
  <c r="AD1102" i="25"/>
  <c r="Z1103" i="25"/>
  <c r="AB1103" i="25"/>
  <c r="X1103" i="25"/>
  <c r="AD1103" i="25"/>
  <c r="Z1104" i="25"/>
  <c r="AB1104" i="25"/>
  <c r="X1104" i="25"/>
  <c r="AD1104" i="25"/>
  <c r="Z1105" i="25"/>
  <c r="AB1105" i="25"/>
  <c r="X1105" i="25"/>
  <c r="AD1105" i="25"/>
  <c r="Z1106" i="25"/>
  <c r="AB1106" i="25"/>
  <c r="X1106" i="25"/>
  <c r="AD1106" i="25"/>
  <c r="Z1107" i="25"/>
  <c r="AB1107" i="25"/>
  <c r="X1107" i="25"/>
  <c r="AD1107" i="25"/>
  <c r="Z1108" i="25"/>
  <c r="AB1108" i="25"/>
  <c r="X1108" i="25"/>
  <c r="AD1108" i="25"/>
  <c r="Z1109" i="25"/>
  <c r="AB1109" i="25"/>
  <c r="X1109" i="25"/>
  <c r="AD1109" i="25"/>
  <c r="Z1110" i="25"/>
  <c r="AB1110" i="25"/>
  <c r="X1110" i="25"/>
  <c r="AD1110" i="25"/>
  <c r="Z1111" i="25"/>
  <c r="AB1111" i="25"/>
  <c r="X1111" i="25"/>
  <c r="AD1111" i="25"/>
  <c r="Z1112" i="25"/>
  <c r="AB1112" i="25"/>
  <c r="X1112" i="25"/>
  <c r="AD1112" i="25"/>
  <c r="Z1113" i="25"/>
  <c r="AB1113" i="25"/>
  <c r="X1113" i="25"/>
  <c r="AD1113" i="25"/>
  <c r="Z1114" i="25"/>
  <c r="AB1114" i="25"/>
  <c r="X1114" i="25"/>
  <c r="AD1114" i="25"/>
  <c r="Z1115" i="25"/>
  <c r="AB1115" i="25"/>
  <c r="X1115" i="25"/>
  <c r="AD1115" i="25"/>
  <c r="Z1116" i="25"/>
  <c r="AB1116" i="25"/>
  <c r="X1116" i="25"/>
  <c r="AD1116" i="25"/>
  <c r="Z1117" i="25"/>
  <c r="AB1117" i="25"/>
  <c r="X1117" i="25"/>
  <c r="AD1117" i="25"/>
  <c r="Z1118" i="25"/>
  <c r="AB1118" i="25"/>
  <c r="X1118" i="25"/>
  <c r="AD1118" i="25"/>
  <c r="Z1119" i="25"/>
  <c r="AB1119" i="25"/>
  <c r="X1119" i="25"/>
  <c r="AD1119" i="25"/>
  <c r="Z1120" i="25"/>
  <c r="AB1120" i="25"/>
  <c r="X1120" i="25"/>
  <c r="AD1120" i="25"/>
  <c r="Z1121" i="25"/>
  <c r="AB1121" i="25"/>
  <c r="X1121" i="25"/>
  <c r="AD1121" i="25"/>
  <c r="Z1122" i="25"/>
  <c r="AB1122" i="25"/>
  <c r="X1122" i="25"/>
  <c r="AD1122" i="25"/>
  <c r="Z1123" i="25"/>
  <c r="AB1123" i="25"/>
  <c r="X1123" i="25"/>
  <c r="AD1123" i="25"/>
  <c r="Z1124" i="25"/>
  <c r="AB1124" i="25"/>
  <c r="X1124" i="25"/>
  <c r="AD1124" i="25"/>
  <c r="Z1125" i="25"/>
  <c r="AB1125" i="25"/>
  <c r="X1125" i="25"/>
  <c r="AD1125" i="25"/>
  <c r="Z1126" i="25"/>
  <c r="AB1126" i="25"/>
  <c r="X1126" i="25"/>
  <c r="AD1126" i="25"/>
  <c r="Z1127" i="25"/>
  <c r="AB1127" i="25"/>
  <c r="X1127" i="25"/>
  <c r="AD1127" i="25"/>
  <c r="Z1128" i="25"/>
  <c r="AB1128" i="25"/>
  <c r="X1128" i="25"/>
  <c r="AD1128" i="25"/>
  <c r="Z1129" i="25"/>
  <c r="AB1129" i="25"/>
  <c r="X1129" i="25"/>
  <c r="AD1129" i="25"/>
  <c r="Z1130" i="25"/>
  <c r="AB1130" i="25"/>
  <c r="X1130" i="25"/>
  <c r="AD1130" i="25"/>
  <c r="Z1131" i="25"/>
  <c r="AB1131" i="25"/>
  <c r="X1131" i="25"/>
  <c r="AD1131" i="25"/>
  <c r="Z1132" i="25"/>
  <c r="AB1132" i="25"/>
  <c r="X1132" i="25"/>
  <c r="AD1132" i="25"/>
  <c r="Z1133" i="25"/>
  <c r="AB1133" i="25"/>
  <c r="X1133" i="25"/>
  <c r="AD1133" i="25"/>
  <c r="Z1134" i="25"/>
  <c r="AB1134" i="25"/>
  <c r="X1134" i="25"/>
  <c r="AD1134" i="25"/>
  <c r="Z1135" i="25"/>
  <c r="AB1135" i="25"/>
  <c r="X1135" i="25"/>
  <c r="AD1135" i="25"/>
  <c r="Z1136" i="25"/>
  <c r="AB1136" i="25"/>
  <c r="X1136" i="25"/>
  <c r="AD1136" i="25"/>
  <c r="Z1137" i="25"/>
  <c r="AB1137" i="25"/>
  <c r="X1137" i="25"/>
  <c r="AD1137" i="25"/>
  <c r="Z1138" i="25"/>
  <c r="AB1138" i="25"/>
  <c r="X1138" i="25"/>
  <c r="AD1138" i="25"/>
  <c r="Z1139" i="25"/>
  <c r="AB1139" i="25"/>
  <c r="X1139" i="25"/>
  <c r="AD1139" i="25"/>
  <c r="Z1140" i="25"/>
  <c r="AB1140" i="25"/>
  <c r="X1140" i="25"/>
  <c r="AD1140" i="25"/>
  <c r="Z1141" i="25"/>
  <c r="AB1141" i="25"/>
  <c r="X1141" i="25"/>
  <c r="AD1141" i="25"/>
  <c r="Z1142" i="25"/>
  <c r="AB1142" i="25"/>
  <c r="X1142" i="25"/>
  <c r="AD1142" i="25"/>
  <c r="Z1143" i="25"/>
  <c r="AB1143" i="25"/>
  <c r="X1143" i="25"/>
  <c r="AD1143" i="25"/>
  <c r="Z1144" i="25"/>
  <c r="AB1144" i="25"/>
  <c r="X1144" i="25"/>
  <c r="AD1144" i="25"/>
  <c r="Z1145" i="25"/>
  <c r="AB1145" i="25"/>
  <c r="X1145" i="25"/>
  <c r="AD1145" i="25"/>
  <c r="Z1146" i="25"/>
  <c r="AB1146" i="25"/>
  <c r="X1146" i="25"/>
  <c r="AD1146" i="25"/>
  <c r="Z1147" i="25"/>
  <c r="AB1147" i="25"/>
  <c r="X1147" i="25"/>
  <c r="AD1147" i="25"/>
  <c r="Z1148" i="25"/>
  <c r="AB1148" i="25"/>
  <c r="X1148" i="25"/>
  <c r="AD1148" i="25"/>
  <c r="Z1149" i="25"/>
  <c r="AB1149" i="25"/>
  <c r="X1149" i="25"/>
  <c r="AD1149" i="25"/>
  <c r="Z1150" i="25"/>
  <c r="AB1150" i="25"/>
  <c r="X1150" i="25"/>
  <c r="AD1150" i="25"/>
  <c r="Z1151" i="25"/>
  <c r="AB1151" i="25"/>
  <c r="X1151" i="25"/>
  <c r="AD1151" i="25"/>
  <c r="Z1152" i="25"/>
  <c r="AB1152" i="25"/>
  <c r="X1152" i="25"/>
  <c r="AD1152" i="25"/>
  <c r="Z1153" i="25"/>
  <c r="AB1153" i="25"/>
  <c r="X1153" i="25"/>
  <c r="AD1153" i="25"/>
  <c r="Z1154" i="25"/>
  <c r="AB1154" i="25"/>
  <c r="X1154" i="25"/>
  <c r="AD1154" i="25"/>
  <c r="Z1155" i="25"/>
  <c r="AB1155" i="25"/>
  <c r="X1155" i="25"/>
  <c r="AD1155" i="25"/>
  <c r="Z1156" i="25"/>
  <c r="AB1156" i="25"/>
  <c r="X1156" i="25"/>
  <c r="AD1156" i="25"/>
  <c r="Z1157" i="25"/>
  <c r="AB1157" i="25"/>
  <c r="X1157" i="25"/>
  <c r="AD1157" i="25"/>
  <c r="Z1158" i="25"/>
  <c r="AB1158" i="25"/>
  <c r="X1158" i="25"/>
  <c r="AD1158" i="25"/>
  <c r="Z1159" i="25"/>
  <c r="AB1159" i="25"/>
  <c r="X1159" i="25"/>
  <c r="AD1159" i="25"/>
  <c r="Z1160" i="25"/>
  <c r="AB1160" i="25"/>
  <c r="X1160" i="25"/>
  <c r="AD1160" i="25"/>
  <c r="Z1161" i="25"/>
  <c r="AB1161" i="25"/>
  <c r="X1161" i="25"/>
  <c r="AD1161" i="25"/>
  <c r="Z1162" i="25"/>
  <c r="AB1162" i="25"/>
  <c r="X1162" i="25"/>
  <c r="AD1162" i="25"/>
  <c r="Z1163" i="25"/>
  <c r="AB1163" i="25"/>
  <c r="X1163" i="25"/>
  <c r="AD1163" i="25"/>
  <c r="Z1164" i="25"/>
  <c r="AB1164" i="25"/>
  <c r="X1164" i="25"/>
  <c r="AD1164" i="25"/>
  <c r="Z1165" i="25"/>
  <c r="AB1165" i="25"/>
  <c r="X1165" i="25"/>
  <c r="AD1165" i="25"/>
  <c r="Z1166" i="25"/>
  <c r="AB1166" i="25"/>
  <c r="X1166" i="25"/>
  <c r="AD1166" i="25"/>
  <c r="Z1167" i="25"/>
  <c r="AB1167" i="25"/>
  <c r="X1167" i="25"/>
  <c r="AD1167" i="25"/>
  <c r="Z1168" i="25"/>
  <c r="AB1168" i="25"/>
  <c r="X1168" i="25"/>
  <c r="AD1168" i="25"/>
  <c r="Z1169" i="25"/>
  <c r="AB1169" i="25"/>
  <c r="X1169" i="25"/>
  <c r="AD1169" i="25"/>
  <c r="Z1170" i="25"/>
  <c r="AB1170" i="25"/>
  <c r="X1170" i="25"/>
  <c r="AD1170" i="25"/>
  <c r="Z1171" i="25"/>
  <c r="AB1171" i="25"/>
  <c r="X1171" i="25"/>
  <c r="AD1171" i="25"/>
  <c r="Z1172" i="25"/>
  <c r="AB1172" i="25"/>
  <c r="X1172" i="25"/>
  <c r="AD1172" i="25"/>
  <c r="Z1173" i="25"/>
  <c r="AB1173" i="25"/>
  <c r="X1173" i="25"/>
  <c r="AD1173" i="25"/>
  <c r="Z1174" i="25"/>
  <c r="AB1174" i="25"/>
  <c r="X1174" i="25"/>
  <c r="AD1174" i="25"/>
  <c r="Z1175" i="25"/>
  <c r="AB1175" i="25"/>
  <c r="X1175" i="25"/>
  <c r="AD1175" i="25"/>
  <c r="Z1176" i="25"/>
  <c r="AB1176" i="25"/>
  <c r="X1176" i="25"/>
  <c r="AD1176" i="25"/>
  <c r="Z1177" i="25"/>
  <c r="AB1177" i="25"/>
  <c r="X1177" i="25"/>
  <c r="AD1177" i="25"/>
  <c r="Z1178" i="25"/>
  <c r="AB1178" i="25"/>
  <c r="X1178" i="25"/>
  <c r="AD1178" i="25"/>
  <c r="Z1179" i="25"/>
  <c r="AB1179" i="25"/>
  <c r="X1179" i="25"/>
  <c r="AD1179" i="25"/>
  <c r="Z1180" i="25"/>
  <c r="AB1180" i="25"/>
  <c r="X1180" i="25"/>
  <c r="AD1180" i="25"/>
  <c r="Z1181" i="25"/>
  <c r="AB1181" i="25"/>
  <c r="X1181" i="25"/>
  <c r="AD1181" i="25"/>
  <c r="Z1182" i="25"/>
  <c r="AB1182" i="25"/>
  <c r="X1182" i="25"/>
  <c r="AD1182" i="25"/>
  <c r="Z1183" i="25"/>
  <c r="AB1183" i="25"/>
  <c r="X1183" i="25"/>
  <c r="AD1183" i="25"/>
  <c r="Z1184" i="25"/>
  <c r="AB1184" i="25"/>
  <c r="X1184" i="25"/>
  <c r="AD1184" i="25"/>
  <c r="Z1185" i="25"/>
  <c r="AB1185" i="25"/>
  <c r="X1185" i="25"/>
  <c r="AD1185" i="25"/>
  <c r="Z1186" i="25"/>
  <c r="AB1186" i="25"/>
  <c r="X1186" i="25"/>
  <c r="AD1186" i="25"/>
  <c r="Z1187" i="25"/>
  <c r="AB1187" i="25"/>
  <c r="X1187" i="25"/>
  <c r="AD1187" i="25"/>
  <c r="Z1188" i="25"/>
  <c r="AB1188" i="25"/>
  <c r="X1188" i="25"/>
  <c r="AD1188" i="25"/>
  <c r="Z1189" i="25"/>
  <c r="AB1189" i="25"/>
  <c r="X1189" i="25"/>
  <c r="AD1189" i="25"/>
  <c r="Z1190" i="25"/>
  <c r="AB1190" i="25"/>
  <c r="X1190" i="25"/>
  <c r="AD1190" i="25"/>
  <c r="Z1191" i="25"/>
  <c r="AB1191" i="25"/>
  <c r="X1191" i="25"/>
  <c r="AD1191" i="25"/>
  <c r="Z1192" i="25"/>
  <c r="AB1192" i="25"/>
  <c r="X1192" i="25"/>
  <c r="AD1192" i="25"/>
  <c r="Z1193" i="25"/>
  <c r="AB1193" i="25"/>
  <c r="X1193" i="25"/>
  <c r="AD1193" i="25"/>
  <c r="Z1194" i="25"/>
  <c r="AB1194" i="25"/>
  <c r="X1194" i="25"/>
  <c r="AD1194" i="25"/>
  <c r="Z1195" i="25"/>
  <c r="AB1195" i="25"/>
  <c r="X1195" i="25"/>
  <c r="AD1195" i="25"/>
  <c r="Z1196" i="25"/>
  <c r="AB1196" i="25"/>
  <c r="X1196" i="25"/>
  <c r="AD1196" i="25"/>
  <c r="Z1197" i="25"/>
  <c r="AB1197" i="25"/>
  <c r="X1197" i="25"/>
  <c r="AD1197" i="25"/>
  <c r="Z1198" i="25"/>
  <c r="AB1198" i="25"/>
  <c r="X1198" i="25"/>
  <c r="AD1198" i="25"/>
  <c r="Z1199" i="25"/>
  <c r="AB1199" i="25"/>
  <c r="X1199" i="25"/>
  <c r="AD1199" i="25"/>
  <c r="Z1200" i="25"/>
  <c r="AB1200" i="25"/>
  <c r="X1200" i="25"/>
  <c r="AD1200" i="25"/>
  <c r="Z1201" i="25"/>
  <c r="AB1201" i="25"/>
  <c r="X1201" i="25"/>
  <c r="AD1201" i="25"/>
  <c r="Z1202" i="25"/>
  <c r="AB1202" i="25"/>
  <c r="X1202" i="25"/>
  <c r="AD1202" i="25"/>
  <c r="Z1203" i="25"/>
  <c r="AB1203" i="25"/>
  <c r="X1203" i="25"/>
  <c r="AD1203" i="25"/>
  <c r="Z1204" i="25"/>
  <c r="AB1204" i="25"/>
  <c r="X1204" i="25"/>
  <c r="AD1204" i="25"/>
  <c r="Z1205" i="25"/>
  <c r="AB1205" i="25"/>
  <c r="X1205" i="25"/>
  <c r="AD1205" i="25"/>
  <c r="Z1206" i="25"/>
  <c r="AB1206" i="25"/>
  <c r="X1206" i="25"/>
  <c r="AD1206" i="25"/>
  <c r="Z1207" i="25"/>
  <c r="AB1207" i="25"/>
  <c r="X1207" i="25"/>
  <c r="AD1207" i="25"/>
  <c r="Z1208" i="25"/>
  <c r="AB1208" i="25"/>
  <c r="X1208" i="25"/>
  <c r="AD1208" i="25"/>
  <c r="Z1209" i="25"/>
  <c r="AB1209" i="25"/>
  <c r="X1209" i="25"/>
  <c r="AD1209" i="25"/>
  <c r="Z1210" i="25"/>
  <c r="AB1210" i="25"/>
  <c r="X1210" i="25"/>
  <c r="AD1210" i="25"/>
  <c r="Z1211" i="25"/>
  <c r="AB1211" i="25"/>
  <c r="X1211" i="25"/>
  <c r="AD1211" i="25"/>
  <c r="Z1212" i="25"/>
  <c r="AB1212" i="25"/>
  <c r="X1212" i="25"/>
  <c r="AD1212" i="25"/>
  <c r="Z1213" i="25"/>
  <c r="AB1213" i="25"/>
  <c r="X1213" i="25"/>
  <c r="AD1213" i="25"/>
  <c r="Z1214" i="25"/>
  <c r="AB1214" i="25"/>
  <c r="X1214" i="25"/>
  <c r="AD1214" i="25"/>
  <c r="Z1215" i="25"/>
  <c r="AB1215" i="25"/>
  <c r="X1215" i="25"/>
  <c r="AD1215" i="25"/>
  <c r="Z1216" i="25"/>
  <c r="AB1216" i="25"/>
  <c r="X1216" i="25"/>
  <c r="AD1216" i="25"/>
  <c r="Z1217" i="25"/>
  <c r="AB1217" i="25"/>
  <c r="X1217" i="25"/>
  <c r="AD1217" i="25"/>
  <c r="Z1218" i="25"/>
  <c r="AB1218" i="25"/>
  <c r="X1218" i="25"/>
  <c r="AD1218" i="25"/>
  <c r="Z1219" i="25"/>
  <c r="AB1219" i="25"/>
  <c r="X1219" i="25"/>
  <c r="AD1219" i="25"/>
  <c r="Z1220" i="25"/>
  <c r="AB1220" i="25"/>
  <c r="X1220" i="25"/>
  <c r="AD1220" i="25"/>
  <c r="Z1221" i="25"/>
  <c r="AB1221" i="25"/>
  <c r="X1221" i="25"/>
  <c r="AD1221" i="25"/>
  <c r="Z1222" i="25"/>
  <c r="AB1222" i="25"/>
  <c r="X1222" i="25"/>
  <c r="AD1222" i="25"/>
  <c r="Z1223" i="25"/>
  <c r="AB1223" i="25"/>
  <c r="X1223" i="25"/>
  <c r="AD1223" i="25"/>
  <c r="Z1224" i="25"/>
  <c r="AB1224" i="25"/>
  <c r="X1224" i="25"/>
  <c r="AD1224" i="25"/>
  <c r="Z1225" i="25"/>
  <c r="AB1225" i="25"/>
  <c r="X1225" i="25"/>
  <c r="AD1225" i="25"/>
  <c r="Z1226" i="25"/>
  <c r="AB1226" i="25"/>
  <c r="X1226" i="25"/>
  <c r="AD1226" i="25"/>
  <c r="Z1227" i="25"/>
  <c r="AB1227" i="25"/>
  <c r="X1227" i="25"/>
  <c r="AD1227" i="25"/>
  <c r="Z1228" i="25"/>
  <c r="AB1228" i="25"/>
  <c r="X1228" i="25"/>
  <c r="AD1228" i="25"/>
  <c r="Z1229" i="25"/>
  <c r="AB1229" i="25"/>
  <c r="X1229" i="25"/>
  <c r="AD1229" i="25"/>
  <c r="Z1230" i="25"/>
  <c r="AB1230" i="25"/>
  <c r="X1230" i="25"/>
  <c r="AD1230" i="25"/>
  <c r="Z1231" i="25"/>
  <c r="AB1231" i="25"/>
  <c r="X1231" i="25"/>
  <c r="AD1231" i="25"/>
  <c r="Z1232" i="25"/>
  <c r="AB1232" i="25"/>
  <c r="X1232" i="25"/>
  <c r="AD1232" i="25"/>
  <c r="Z1233" i="25"/>
  <c r="AB1233" i="25"/>
  <c r="X1233" i="25"/>
  <c r="AD1233" i="25"/>
  <c r="Z1234" i="25"/>
  <c r="AB1234" i="25"/>
  <c r="X1234" i="25"/>
  <c r="AD1234" i="25"/>
  <c r="Z1235" i="25"/>
  <c r="AB1235" i="25"/>
  <c r="X1235" i="25"/>
  <c r="AD1235" i="25"/>
  <c r="Z1236" i="25"/>
  <c r="AB1236" i="25"/>
  <c r="X1236" i="25"/>
  <c r="AD1236" i="25"/>
  <c r="Z1237" i="25"/>
  <c r="AB1237" i="25"/>
  <c r="X1237" i="25"/>
  <c r="AD1237" i="25"/>
  <c r="Z1238" i="25"/>
  <c r="AB1238" i="25"/>
  <c r="X1238" i="25"/>
  <c r="AD1238" i="25"/>
  <c r="Z1239" i="25"/>
  <c r="AB1239" i="25"/>
  <c r="X1239" i="25"/>
  <c r="AD1239" i="25"/>
  <c r="Z1240" i="25"/>
  <c r="AB1240" i="25"/>
  <c r="X1240" i="25"/>
  <c r="AD1240" i="25"/>
  <c r="Z1241" i="25"/>
  <c r="AB1241" i="25"/>
  <c r="X1241" i="25"/>
  <c r="AD1241" i="25"/>
  <c r="Z1242" i="25"/>
  <c r="AB1242" i="25"/>
  <c r="X1242" i="25"/>
  <c r="AD1242" i="25"/>
  <c r="Z1243" i="25"/>
  <c r="AB1243" i="25"/>
  <c r="X1243" i="25"/>
  <c r="AD1243" i="25"/>
  <c r="Z1244" i="25"/>
  <c r="AB1244" i="25"/>
  <c r="X1244" i="25"/>
  <c r="AD1244" i="25"/>
  <c r="Z1245" i="25"/>
  <c r="AB1245" i="25"/>
  <c r="X1245" i="25"/>
  <c r="AD1245" i="25"/>
  <c r="Z1246" i="25"/>
  <c r="AB1246" i="25"/>
  <c r="X1246" i="25"/>
  <c r="AD1246" i="25"/>
  <c r="Z1247" i="25"/>
  <c r="AB1247" i="25"/>
  <c r="X1247" i="25"/>
  <c r="AD1247" i="25"/>
  <c r="Z1248" i="25"/>
  <c r="AB1248" i="25"/>
  <c r="X1248" i="25"/>
  <c r="AD1248" i="25"/>
  <c r="Z1249" i="25"/>
  <c r="AB1249" i="25"/>
  <c r="X1249" i="25"/>
  <c r="AD1249" i="25"/>
  <c r="Z1250" i="25"/>
  <c r="AB1250" i="25"/>
  <c r="X1250" i="25"/>
  <c r="AD1250" i="25"/>
  <c r="Z1251" i="25"/>
  <c r="AB1251" i="25"/>
  <c r="X1251" i="25"/>
  <c r="AD1251" i="25"/>
  <c r="Z1252" i="25"/>
  <c r="AB1252" i="25"/>
  <c r="X1252" i="25"/>
  <c r="AD1252" i="25"/>
  <c r="Z1253" i="25"/>
  <c r="AB1253" i="25"/>
  <c r="X1253" i="25"/>
  <c r="AD1253" i="25"/>
  <c r="Z1254" i="25"/>
  <c r="AB1254" i="25"/>
  <c r="X1254" i="25"/>
  <c r="AD1254" i="25"/>
  <c r="Z1255" i="25"/>
  <c r="AB1255" i="25"/>
  <c r="X1255" i="25"/>
  <c r="AD1255" i="25"/>
  <c r="Z1256" i="25"/>
  <c r="AB1256" i="25"/>
  <c r="X1256" i="25"/>
  <c r="AD1256" i="25"/>
  <c r="Z1257" i="25"/>
  <c r="AB1257" i="25"/>
  <c r="X1257" i="25"/>
  <c r="AD1257" i="25"/>
  <c r="Z1258" i="25"/>
  <c r="AB1258" i="25"/>
  <c r="X1258" i="25"/>
  <c r="AD1258" i="25"/>
  <c r="Z1259" i="25"/>
  <c r="AB1259" i="25"/>
  <c r="X1259" i="25"/>
  <c r="AD1259" i="25"/>
  <c r="Z1260" i="25"/>
  <c r="AB1260" i="25"/>
  <c r="X1260" i="25"/>
  <c r="AD1260" i="25"/>
  <c r="Z1261" i="25"/>
  <c r="AB1261" i="25"/>
  <c r="X1261" i="25"/>
  <c r="AD1261" i="25"/>
  <c r="Z1262" i="25"/>
  <c r="AB1262" i="25"/>
  <c r="X1262" i="25"/>
  <c r="AD1262" i="25"/>
  <c r="Z1263" i="25"/>
  <c r="AB1263" i="25"/>
  <c r="X1263" i="25"/>
  <c r="AD1263" i="25"/>
  <c r="Z1264" i="25"/>
  <c r="AB1264" i="25"/>
  <c r="X1264" i="25"/>
  <c r="AD1264" i="25"/>
  <c r="Z1265" i="25"/>
  <c r="AB1265" i="25"/>
  <c r="X1265" i="25"/>
  <c r="AD1265" i="25"/>
  <c r="Z1266" i="25"/>
  <c r="AB1266" i="25"/>
  <c r="X1266" i="25"/>
  <c r="AD1266" i="25"/>
  <c r="Z1267" i="25"/>
  <c r="AB1267" i="25"/>
  <c r="X1267" i="25"/>
  <c r="AD1267" i="25"/>
  <c r="Z1268" i="25"/>
  <c r="AB1268" i="25"/>
  <c r="X1268" i="25"/>
  <c r="AD1268" i="25"/>
  <c r="Z1269" i="25"/>
  <c r="AB1269" i="25"/>
  <c r="X1269" i="25"/>
  <c r="AD1269" i="25"/>
  <c r="Z1270" i="25"/>
  <c r="AB1270" i="25"/>
  <c r="X1270" i="25"/>
  <c r="AD1270" i="25"/>
  <c r="Z1271" i="25"/>
  <c r="AB1271" i="25"/>
  <c r="X1271" i="25"/>
  <c r="AD1271" i="25"/>
  <c r="Z1272" i="25"/>
  <c r="AB1272" i="25"/>
  <c r="X1272" i="25"/>
  <c r="AD1272" i="25"/>
  <c r="Z1273" i="25"/>
  <c r="AB1273" i="25"/>
  <c r="X1273" i="25"/>
  <c r="AD1273" i="25"/>
  <c r="Z1274" i="25"/>
  <c r="AB1274" i="25"/>
  <c r="X1274" i="25"/>
  <c r="AD1274" i="25"/>
  <c r="Z1275" i="25"/>
  <c r="AB1275" i="25"/>
  <c r="X1275" i="25"/>
  <c r="AD1275" i="25"/>
  <c r="Z1276" i="25"/>
  <c r="AB1276" i="25"/>
  <c r="X1276" i="25"/>
  <c r="AD1276" i="25"/>
  <c r="Z1277" i="25"/>
  <c r="AB1277" i="25"/>
  <c r="X1277" i="25"/>
  <c r="AD1277" i="25"/>
  <c r="Z1278" i="25"/>
  <c r="AB1278" i="25"/>
  <c r="X1278" i="25"/>
  <c r="AD1278" i="25"/>
  <c r="Z1279" i="25"/>
  <c r="AB1279" i="25"/>
  <c r="X1279" i="25"/>
  <c r="AD1279" i="25"/>
  <c r="Z1280" i="25"/>
  <c r="AB1280" i="25"/>
  <c r="X1280" i="25"/>
  <c r="AD1280" i="25"/>
  <c r="Z1281" i="25"/>
  <c r="AB1281" i="25"/>
  <c r="X1281" i="25"/>
  <c r="AD1281" i="25"/>
  <c r="Z1282" i="25"/>
  <c r="AB1282" i="25"/>
  <c r="X1282" i="25"/>
  <c r="AD1282" i="25"/>
  <c r="Z1283" i="25"/>
  <c r="AB1283" i="25"/>
  <c r="X1283" i="25"/>
  <c r="AD1283" i="25"/>
  <c r="Z1284" i="25"/>
  <c r="AB1284" i="25"/>
  <c r="X1284" i="25"/>
  <c r="AD1284" i="25"/>
  <c r="Z1285" i="25"/>
  <c r="AB1285" i="25"/>
  <c r="X1285" i="25"/>
  <c r="AD1285" i="25"/>
  <c r="Z1286" i="25"/>
  <c r="AB1286" i="25"/>
  <c r="X1286" i="25"/>
  <c r="AD1286" i="25"/>
  <c r="Z1287" i="25"/>
  <c r="AB1287" i="25"/>
  <c r="X1287" i="25"/>
  <c r="AD1287" i="25"/>
  <c r="Z1288" i="25"/>
  <c r="AB1288" i="25"/>
  <c r="X1288" i="25"/>
  <c r="AD1288" i="25"/>
  <c r="Z1289" i="25"/>
  <c r="AB1289" i="25"/>
  <c r="X1289" i="25"/>
  <c r="AD1289" i="25"/>
  <c r="Z1290" i="25"/>
  <c r="AB1290" i="25"/>
  <c r="X1290" i="25"/>
  <c r="AD1290" i="25"/>
  <c r="Z1291" i="25"/>
  <c r="AB1291" i="25"/>
  <c r="X1291" i="25"/>
  <c r="AD1291" i="25"/>
  <c r="Z1292" i="25"/>
  <c r="AB1292" i="25"/>
  <c r="X1292" i="25"/>
  <c r="AD1292" i="25"/>
  <c r="Z1293" i="25"/>
  <c r="AB1293" i="25"/>
  <c r="X1293" i="25"/>
  <c r="AD1293" i="25"/>
  <c r="Z1294" i="25"/>
  <c r="AB1294" i="25"/>
  <c r="X1294" i="25"/>
  <c r="AD1294" i="25"/>
  <c r="Z1295" i="25"/>
  <c r="AB1295" i="25"/>
  <c r="X1295" i="25"/>
  <c r="AD1295" i="25"/>
  <c r="Z1296" i="25"/>
  <c r="AB1296" i="25"/>
  <c r="X1296" i="25"/>
  <c r="AD1296" i="25"/>
  <c r="Z1297" i="25"/>
  <c r="AB1297" i="25"/>
  <c r="X1297" i="25"/>
  <c r="AD1297" i="25"/>
  <c r="Z1298" i="25"/>
  <c r="AB1298" i="25"/>
  <c r="X1298" i="25"/>
  <c r="AD1298" i="25"/>
  <c r="Z1299" i="25"/>
  <c r="AB1299" i="25"/>
  <c r="X1299" i="25"/>
  <c r="AD1299" i="25"/>
  <c r="Z1300" i="25"/>
  <c r="AB1300" i="25"/>
  <c r="X1300" i="25"/>
  <c r="AD1300" i="25"/>
  <c r="Z1301" i="25"/>
  <c r="AB1301" i="25"/>
  <c r="X1301" i="25"/>
  <c r="AD1301" i="25"/>
  <c r="Z1302" i="25"/>
  <c r="AB1302" i="25"/>
  <c r="X1302" i="25"/>
  <c r="AD1302" i="25"/>
  <c r="Z1303" i="25"/>
  <c r="AB1303" i="25"/>
  <c r="X1303" i="25"/>
  <c r="AD1303" i="25"/>
  <c r="Z1304" i="25"/>
  <c r="AB1304" i="25"/>
  <c r="X1304" i="25"/>
  <c r="AD1304" i="25"/>
  <c r="Z1305" i="25"/>
  <c r="AB1305" i="25"/>
  <c r="X1305" i="25"/>
  <c r="AD1305" i="25"/>
  <c r="Z1306" i="25"/>
  <c r="AB1306" i="25"/>
  <c r="X1306" i="25"/>
  <c r="AD1306" i="25"/>
  <c r="Z1307" i="25"/>
  <c r="AB1307" i="25"/>
  <c r="X1307" i="25"/>
  <c r="AD1307" i="25"/>
  <c r="Z1308" i="25"/>
  <c r="AB1308" i="25"/>
  <c r="X1308" i="25"/>
  <c r="AD1308" i="25"/>
  <c r="Z1309" i="25"/>
  <c r="AB1309" i="25"/>
  <c r="X1309" i="25"/>
  <c r="AD1309" i="25"/>
  <c r="Z1310" i="25"/>
  <c r="AB1310" i="25"/>
  <c r="X1310" i="25"/>
  <c r="AD1310" i="25"/>
  <c r="Z1311" i="25"/>
  <c r="AB1311" i="25"/>
  <c r="X1311" i="25"/>
  <c r="AD1311" i="25"/>
  <c r="Z1312" i="25"/>
  <c r="AB1312" i="25"/>
  <c r="X1312" i="25"/>
  <c r="AD1312" i="25"/>
  <c r="Z1313" i="25"/>
  <c r="AB1313" i="25"/>
  <c r="X1313" i="25"/>
  <c r="AD1313" i="25"/>
  <c r="Z1314" i="25"/>
  <c r="AB1314" i="25"/>
  <c r="X1314" i="25"/>
  <c r="AD1314" i="25"/>
  <c r="Z1315" i="25"/>
  <c r="AB1315" i="25"/>
  <c r="X1315" i="25"/>
  <c r="AD1315" i="25"/>
  <c r="Z1316" i="25"/>
  <c r="AB1316" i="25"/>
  <c r="X1316" i="25"/>
  <c r="AD1316" i="25"/>
  <c r="Z1317" i="25"/>
  <c r="AB1317" i="25"/>
  <c r="X1317" i="25"/>
  <c r="AD1317" i="25"/>
  <c r="Z1318" i="25"/>
  <c r="AB1318" i="25"/>
  <c r="X1318" i="25"/>
  <c r="AD1318" i="25"/>
  <c r="Z1319" i="25"/>
  <c r="AB1319" i="25"/>
  <c r="X1319" i="25"/>
  <c r="AD1319" i="25"/>
  <c r="Z1320" i="25"/>
  <c r="AB1320" i="25"/>
  <c r="X1320" i="25"/>
  <c r="AD1320" i="25"/>
  <c r="Z1321" i="25"/>
  <c r="AB1321" i="25"/>
  <c r="X1321" i="25"/>
  <c r="AD1321" i="25"/>
  <c r="Z1322" i="25"/>
  <c r="AB1322" i="25"/>
  <c r="X1322" i="25"/>
  <c r="AD1322" i="25"/>
  <c r="Z1323" i="25"/>
  <c r="AB1323" i="25"/>
  <c r="X1323" i="25"/>
  <c r="AD1323" i="25"/>
  <c r="Z1324" i="25"/>
  <c r="AB1324" i="25"/>
  <c r="X1324" i="25"/>
  <c r="AD1324" i="25"/>
  <c r="Z1325" i="25"/>
  <c r="AB1325" i="25"/>
  <c r="X1325" i="25"/>
  <c r="AD1325" i="25"/>
  <c r="Z1326" i="25"/>
  <c r="AB1326" i="25"/>
  <c r="X1326" i="25"/>
  <c r="AD1326" i="25"/>
  <c r="Z1327" i="25"/>
  <c r="AB1327" i="25"/>
  <c r="X1327" i="25"/>
  <c r="AD1327" i="25"/>
  <c r="Z1328" i="25"/>
  <c r="AB1328" i="25"/>
  <c r="X1328" i="25"/>
  <c r="AD1328" i="25"/>
  <c r="Z1329" i="25"/>
  <c r="AB1329" i="25"/>
  <c r="X1329" i="25"/>
  <c r="AD1329" i="25"/>
  <c r="Z1330" i="25"/>
  <c r="AB1330" i="25"/>
  <c r="X1330" i="25"/>
  <c r="AD1330" i="25"/>
  <c r="Z1331" i="25"/>
  <c r="AB1331" i="25"/>
  <c r="X1331" i="25"/>
  <c r="AD1331" i="25"/>
  <c r="Z1332" i="25"/>
  <c r="AB1332" i="25"/>
  <c r="X1332" i="25"/>
  <c r="AD1332" i="25"/>
  <c r="Z1333" i="25"/>
  <c r="AB1333" i="25"/>
  <c r="X1333" i="25"/>
  <c r="AD1333" i="25"/>
  <c r="Z1334" i="25"/>
  <c r="AB1334" i="25"/>
  <c r="X1334" i="25"/>
  <c r="AD1334" i="25"/>
  <c r="Z1335" i="25"/>
  <c r="AB1335" i="25"/>
  <c r="X1335" i="25"/>
  <c r="AD1335" i="25"/>
  <c r="Z1336" i="25"/>
  <c r="AB1336" i="25"/>
  <c r="X1336" i="25"/>
  <c r="AD1336" i="25"/>
  <c r="Z1337" i="25"/>
  <c r="AB1337" i="25"/>
  <c r="X1337" i="25"/>
  <c r="AD1337" i="25"/>
  <c r="Z1338" i="25"/>
  <c r="AB1338" i="25"/>
  <c r="X1338" i="25"/>
  <c r="AD1338" i="25"/>
  <c r="Z1339" i="25"/>
  <c r="AB1339" i="25"/>
  <c r="X1339" i="25"/>
  <c r="AD1339" i="25"/>
  <c r="Z1340" i="25"/>
  <c r="AB1340" i="25"/>
  <c r="X1340" i="25"/>
  <c r="AD1340" i="25"/>
  <c r="Z1341" i="25"/>
  <c r="AB1341" i="25"/>
  <c r="X1341" i="25"/>
  <c r="AD1341" i="25"/>
  <c r="Z1342" i="25"/>
  <c r="AB1342" i="25"/>
  <c r="X1342" i="25"/>
  <c r="AD1342" i="25"/>
  <c r="Z1343" i="25"/>
  <c r="AB1343" i="25"/>
  <c r="X1343" i="25"/>
  <c r="AD1343" i="25"/>
  <c r="Z1344" i="25"/>
  <c r="AB1344" i="25"/>
  <c r="X1344" i="25"/>
  <c r="AD1344" i="25"/>
  <c r="Z1345" i="25"/>
  <c r="AB1345" i="25"/>
  <c r="X1345" i="25"/>
  <c r="AD1345" i="25"/>
  <c r="Z1346" i="25"/>
  <c r="AB1346" i="25"/>
  <c r="X1346" i="25"/>
  <c r="AD1346" i="25"/>
  <c r="Z1347" i="25"/>
  <c r="AB1347" i="25"/>
  <c r="X1347" i="25"/>
  <c r="AD1347" i="25"/>
  <c r="Z1348" i="25"/>
  <c r="AB1348" i="25"/>
  <c r="X1348" i="25"/>
  <c r="AD1348" i="25"/>
  <c r="Z1349" i="25"/>
  <c r="AB1349" i="25"/>
  <c r="X1349" i="25"/>
  <c r="AD1349" i="25"/>
  <c r="Z1350" i="25"/>
  <c r="AB1350" i="25"/>
  <c r="X1350" i="25"/>
  <c r="AD1350" i="25"/>
  <c r="Z1351" i="25"/>
  <c r="AB1351" i="25"/>
  <c r="X1351" i="25"/>
  <c r="AD1351" i="25"/>
  <c r="Z1352" i="25"/>
  <c r="AB1352" i="25"/>
  <c r="X1352" i="25"/>
  <c r="AD1352" i="25"/>
  <c r="Z1353" i="25"/>
  <c r="AB1353" i="25"/>
  <c r="X1353" i="25"/>
  <c r="AD1353" i="25"/>
  <c r="Z1354" i="25"/>
  <c r="AB1354" i="25"/>
  <c r="X1354" i="25"/>
  <c r="AD1354" i="25"/>
  <c r="Z1355" i="25"/>
  <c r="AB1355" i="25"/>
  <c r="X1355" i="25"/>
  <c r="AD1355" i="25"/>
  <c r="Z1356" i="25"/>
  <c r="AB1356" i="25"/>
  <c r="X1356" i="25"/>
  <c r="AD1356" i="25"/>
  <c r="Z1357" i="25"/>
  <c r="AB1357" i="25"/>
  <c r="X1357" i="25"/>
  <c r="AD1357" i="25"/>
  <c r="Z1358" i="25"/>
  <c r="AB1358" i="25"/>
  <c r="X1358" i="25"/>
  <c r="AD1358" i="25"/>
  <c r="Z1359" i="25"/>
  <c r="AB1359" i="25"/>
  <c r="X1359" i="25"/>
  <c r="AD1359" i="25"/>
  <c r="Z1360" i="25"/>
  <c r="AB1360" i="25"/>
  <c r="X1360" i="25"/>
  <c r="AD1360" i="25"/>
  <c r="Z1361" i="25"/>
  <c r="AB1361" i="25"/>
  <c r="X1361" i="25"/>
  <c r="AD1361" i="25"/>
  <c r="Z1362" i="25"/>
  <c r="AB1362" i="25"/>
  <c r="X1362" i="25"/>
  <c r="AD1362" i="25"/>
  <c r="Z1363" i="25"/>
  <c r="AB1363" i="25"/>
  <c r="X1363" i="25"/>
  <c r="AD1363" i="25"/>
  <c r="Z1364" i="25"/>
  <c r="AB1364" i="25"/>
  <c r="X1364" i="25"/>
  <c r="AD1364" i="25"/>
  <c r="Z1365" i="25"/>
  <c r="AB1365" i="25"/>
  <c r="X1365" i="25"/>
  <c r="AD1365" i="25"/>
  <c r="Z1366" i="25"/>
  <c r="AB1366" i="25"/>
  <c r="X1366" i="25"/>
  <c r="AD1366" i="25"/>
  <c r="Z1367" i="25"/>
  <c r="AB1367" i="25"/>
  <c r="X1367" i="25"/>
  <c r="AD1367" i="25"/>
  <c r="Z1368" i="25"/>
  <c r="AB1368" i="25"/>
  <c r="X1368" i="25"/>
  <c r="AD1368" i="25"/>
  <c r="Z1369" i="25"/>
  <c r="AB1369" i="25"/>
  <c r="X1369" i="25"/>
  <c r="AD1369" i="25"/>
  <c r="Z1370" i="25"/>
  <c r="AB1370" i="25"/>
  <c r="X1370" i="25"/>
  <c r="AD1370" i="25"/>
  <c r="Z1371" i="25"/>
  <c r="AB1371" i="25"/>
  <c r="X1371" i="25"/>
  <c r="AD1371" i="25"/>
  <c r="Z1372" i="25"/>
  <c r="AB1372" i="25"/>
  <c r="X1372" i="25"/>
  <c r="AD1372" i="25"/>
  <c r="Z1373" i="25"/>
  <c r="AB1373" i="25"/>
  <c r="X1373" i="25"/>
  <c r="AD1373" i="25"/>
  <c r="Z1374" i="25"/>
  <c r="AB1374" i="25"/>
  <c r="X1374" i="25"/>
  <c r="AD1374" i="25"/>
  <c r="Z1375" i="25"/>
  <c r="AB1375" i="25"/>
  <c r="X1375" i="25"/>
  <c r="AD1375" i="25"/>
  <c r="Z1376" i="25"/>
  <c r="AB1376" i="25"/>
  <c r="X1376" i="25"/>
  <c r="AD1376" i="25"/>
  <c r="Z1377" i="25"/>
  <c r="AB1377" i="25"/>
  <c r="X1377" i="25"/>
  <c r="AD1377" i="25"/>
  <c r="Z1378" i="25"/>
  <c r="AB1378" i="25"/>
  <c r="X1378" i="25"/>
  <c r="AD1378" i="25"/>
  <c r="Z1379" i="25"/>
  <c r="AB1379" i="25"/>
  <c r="X1379" i="25"/>
  <c r="AD1379" i="25"/>
  <c r="Z1380" i="25"/>
  <c r="AB1380" i="25"/>
  <c r="X1380" i="25"/>
  <c r="AD1380" i="25"/>
  <c r="Z1381" i="25"/>
  <c r="AB1381" i="25"/>
  <c r="X1381" i="25"/>
  <c r="AD1381" i="25"/>
  <c r="Z1382" i="25"/>
  <c r="AB1382" i="25"/>
  <c r="X1382" i="25"/>
  <c r="AD1382" i="25"/>
  <c r="Z1383" i="25"/>
  <c r="AB1383" i="25"/>
  <c r="X1383" i="25"/>
  <c r="AD1383" i="25"/>
  <c r="Z1384" i="25"/>
  <c r="AB1384" i="25"/>
  <c r="X1384" i="25"/>
  <c r="AD1384" i="25"/>
  <c r="Z1385" i="25"/>
  <c r="AB1385" i="25"/>
  <c r="X1385" i="25"/>
  <c r="AD1385" i="25"/>
  <c r="Z1386" i="25"/>
  <c r="AB1386" i="25"/>
  <c r="X1386" i="25"/>
  <c r="AD1386" i="25"/>
  <c r="Z1387" i="25"/>
  <c r="AB1387" i="25"/>
  <c r="X1387" i="25"/>
  <c r="AD1387" i="25"/>
  <c r="Z1388" i="25"/>
  <c r="AB1388" i="25"/>
  <c r="X1388" i="25"/>
  <c r="AD1388" i="25"/>
  <c r="Z1389" i="25"/>
  <c r="AB1389" i="25"/>
  <c r="X1389" i="25"/>
  <c r="AD1389" i="25"/>
  <c r="Z1390" i="25"/>
  <c r="AB1390" i="25"/>
  <c r="X1390" i="25"/>
  <c r="AD1390" i="25"/>
  <c r="Z1391" i="25"/>
  <c r="AB1391" i="25"/>
  <c r="X1391" i="25"/>
  <c r="AD1391" i="25"/>
  <c r="Z1392" i="25"/>
  <c r="AB1392" i="25"/>
  <c r="X1392" i="25"/>
  <c r="AD1392" i="25"/>
  <c r="Z1393" i="25"/>
  <c r="AB1393" i="25"/>
  <c r="X1393" i="25"/>
  <c r="AD1393" i="25"/>
  <c r="Z1394" i="25"/>
  <c r="AB1394" i="25"/>
  <c r="X1394" i="25"/>
  <c r="AD1394" i="25"/>
  <c r="Z1395" i="25"/>
  <c r="AB1395" i="25"/>
  <c r="X1395" i="25"/>
  <c r="AD1395" i="25"/>
  <c r="Z1396" i="25"/>
  <c r="AB1396" i="25"/>
  <c r="X1396" i="25"/>
  <c r="AD1396" i="25"/>
  <c r="Z1397" i="25"/>
  <c r="AB1397" i="25"/>
  <c r="X1397" i="25"/>
  <c r="AD1397" i="25"/>
  <c r="Z1398" i="25"/>
  <c r="AB1398" i="25"/>
  <c r="X1398" i="25"/>
  <c r="AD1398" i="25"/>
  <c r="Z1399" i="25"/>
  <c r="AB1399" i="25"/>
  <c r="X1399" i="25"/>
  <c r="AD1399" i="25"/>
  <c r="Z1400" i="25"/>
  <c r="AB1400" i="25"/>
  <c r="X1400" i="25"/>
  <c r="AD1400" i="25"/>
  <c r="Z1401" i="25"/>
  <c r="AB1401" i="25"/>
  <c r="X1401" i="25"/>
  <c r="AD1401" i="25"/>
  <c r="Z1402" i="25"/>
  <c r="AB1402" i="25"/>
  <c r="X1402" i="25"/>
  <c r="AD1402" i="25"/>
  <c r="Z1403" i="25"/>
  <c r="AB1403" i="25"/>
  <c r="X1403" i="25"/>
  <c r="AD1403" i="25"/>
  <c r="Z1404" i="25"/>
  <c r="AB1404" i="25"/>
  <c r="X1404" i="25"/>
  <c r="AD1404" i="25"/>
  <c r="Z1405" i="25"/>
  <c r="AB1405" i="25"/>
  <c r="X1405" i="25"/>
  <c r="AD1405" i="25"/>
  <c r="Z1406" i="25"/>
  <c r="AB1406" i="25"/>
  <c r="X1406" i="25"/>
  <c r="AD1406" i="25"/>
  <c r="Z1407" i="25"/>
  <c r="AB1407" i="25"/>
  <c r="X1407" i="25"/>
  <c r="AD1407" i="25"/>
  <c r="Z1408" i="25"/>
  <c r="AB1408" i="25"/>
  <c r="X1408" i="25"/>
  <c r="AD1408" i="25"/>
  <c r="Z1409" i="25"/>
  <c r="AB1409" i="25"/>
  <c r="X1409" i="25"/>
  <c r="AD1409" i="25"/>
  <c r="Z1410" i="25"/>
  <c r="AB1410" i="25"/>
  <c r="X1410" i="25"/>
  <c r="AD1410" i="25"/>
  <c r="Z1411" i="25"/>
  <c r="AB1411" i="25"/>
  <c r="X1411" i="25"/>
  <c r="AD1411" i="25"/>
  <c r="Z1412" i="25"/>
  <c r="AB1412" i="25"/>
  <c r="X1412" i="25"/>
  <c r="AD1412" i="25"/>
  <c r="Z1413" i="25"/>
  <c r="AB1413" i="25"/>
  <c r="X1413" i="25"/>
  <c r="AD1413" i="25"/>
  <c r="Z1414" i="25"/>
  <c r="AB1414" i="25"/>
  <c r="X1414" i="25"/>
  <c r="AD1414" i="25"/>
  <c r="Z1415" i="25"/>
  <c r="AB1415" i="25"/>
  <c r="X1415" i="25"/>
  <c r="AD1415" i="25"/>
  <c r="Z1416" i="25"/>
  <c r="AB1416" i="25"/>
  <c r="X1416" i="25"/>
  <c r="AD1416" i="25"/>
  <c r="Z1417" i="25"/>
  <c r="AB1417" i="25"/>
  <c r="X1417" i="25"/>
  <c r="AD1417" i="25"/>
  <c r="Z1418" i="25"/>
  <c r="AB1418" i="25"/>
  <c r="X1418" i="25"/>
  <c r="AD1418" i="25"/>
  <c r="Z1419" i="25"/>
  <c r="AB1419" i="25"/>
  <c r="X1419" i="25"/>
  <c r="AD1419" i="25"/>
  <c r="Z1420" i="25"/>
  <c r="AB1420" i="25"/>
  <c r="X1420" i="25"/>
  <c r="AD1420" i="25"/>
  <c r="Z1421" i="25"/>
  <c r="AB1421" i="25"/>
  <c r="X1421" i="25"/>
  <c r="AD1421" i="25"/>
  <c r="Z1422" i="25"/>
  <c r="AB1422" i="25"/>
  <c r="X1422" i="25"/>
  <c r="AD1422" i="25"/>
  <c r="Z1423" i="25"/>
  <c r="AB1423" i="25"/>
  <c r="X1423" i="25"/>
  <c r="AD1423" i="25"/>
  <c r="Z1424" i="25"/>
  <c r="AB1424" i="25"/>
  <c r="X1424" i="25"/>
  <c r="AD1424" i="25"/>
  <c r="Z1425" i="25"/>
  <c r="AB1425" i="25"/>
  <c r="X1425" i="25"/>
  <c r="AD1425" i="25"/>
  <c r="Z1426" i="25"/>
  <c r="AB1426" i="25"/>
  <c r="X1426" i="25"/>
  <c r="AD1426" i="25"/>
  <c r="Z1427" i="25"/>
  <c r="AB1427" i="25"/>
  <c r="X1427" i="25"/>
  <c r="AD1427" i="25"/>
  <c r="Z1428" i="25"/>
  <c r="AB1428" i="25"/>
  <c r="X1428" i="25"/>
  <c r="AD1428" i="25"/>
  <c r="Z1429" i="25"/>
  <c r="AB1429" i="25"/>
  <c r="X1429" i="25"/>
  <c r="AD1429" i="25"/>
  <c r="Z1430" i="25"/>
  <c r="AB1430" i="25"/>
  <c r="X1430" i="25"/>
  <c r="AD1430" i="25"/>
  <c r="Z1431" i="25"/>
  <c r="AB1431" i="25"/>
  <c r="X1431" i="25"/>
  <c r="AD1431" i="25"/>
  <c r="Z1432" i="25"/>
  <c r="AB1432" i="25"/>
  <c r="X1432" i="25"/>
  <c r="AD1432" i="25"/>
  <c r="Z1433" i="25"/>
  <c r="AB1433" i="25"/>
  <c r="X1433" i="25"/>
  <c r="AD1433" i="25"/>
  <c r="Z1434" i="25"/>
  <c r="AB1434" i="25"/>
  <c r="X1434" i="25"/>
  <c r="AD1434" i="25"/>
  <c r="Z1435" i="25"/>
  <c r="AB1435" i="25"/>
  <c r="X1435" i="25"/>
  <c r="AD1435" i="25"/>
  <c r="Z1436" i="25"/>
  <c r="AB1436" i="25"/>
  <c r="X1436" i="25"/>
  <c r="AD1436" i="25"/>
  <c r="Z1437" i="25"/>
  <c r="AB1437" i="25"/>
  <c r="X1437" i="25"/>
  <c r="AD1437" i="25"/>
  <c r="Z1438" i="25"/>
  <c r="AB1438" i="25"/>
  <c r="X1438" i="25"/>
  <c r="AD1438" i="25"/>
  <c r="Z1439" i="25"/>
  <c r="AB1439" i="25"/>
  <c r="X1439" i="25"/>
  <c r="AD1439" i="25"/>
  <c r="Z1440" i="25"/>
  <c r="AB1440" i="25"/>
  <c r="X1440" i="25"/>
  <c r="AD1440" i="25"/>
  <c r="Z1441" i="25"/>
  <c r="AB1441" i="25"/>
  <c r="X1441" i="25"/>
  <c r="AD1441" i="25"/>
  <c r="Z1442" i="25"/>
  <c r="AB1442" i="25"/>
  <c r="X1442" i="25"/>
  <c r="AD1442" i="25"/>
  <c r="Z1443" i="25"/>
  <c r="AB1443" i="25"/>
  <c r="X1443" i="25"/>
  <c r="AD1443" i="25"/>
  <c r="Z1444" i="25"/>
  <c r="AB1444" i="25"/>
  <c r="X1444" i="25"/>
  <c r="AD1444" i="25"/>
  <c r="Z1445" i="25"/>
  <c r="AB1445" i="25"/>
  <c r="X1445" i="25"/>
  <c r="AD1445" i="25"/>
  <c r="Z1446" i="25"/>
  <c r="AB1446" i="25"/>
  <c r="X1446" i="25"/>
  <c r="AD1446" i="25"/>
  <c r="Z1447" i="25"/>
  <c r="AB1447" i="25"/>
  <c r="X1447" i="25"/>
  <c r="AD1447" i="25"/>
  <c r="Z1448" i="25"/>
  <c r="AB1448" i="25"/>
  <c r="X1448" i="25"/>
  <c r="AD1448" i="25"/>
  <c r="Z1449" i="25"/>
  <c r="AB1449" i="25"/>
  <c r="X1449" i="25"/>
  <c r="AD1449" i="25"/>
  <c r="Z1450" i="25"/>
  <c r="AB1450" i="25"/>
  <c r="X1450" i="25"/>
  <c r="AD1450" i="25"/>
  <c r="Z1451" i="25"/>
  <c r="AB1451" i="25"/>
  <c r="X1451" i="25"/>
  <c r="AD1451" i="25"/>
  <c r="Z1452" i="25"/>
  <c r="AB1452" i="25"/>
  <c r="X1452" i="25"/>
  <c r="AD1452" i="25"/>
  <c r="Z1453" i="25"/>
  <c r="AB1453" i="25"/>
  <c r="X1453" i="25"/>
  <c r="AD1453" i="25"/>
  <c r="Z1454" i="25"/>
  <c r="AB1454" i="25"/>
  <c r="X1454" i="25"/>
  <c r="AD1454" i="25"/>
  <c r="Z1455" i="25"/>
  <c r="AB1455" i="25"/>
  <c r="X1455" i="25"/>
  <c r="AD1455" i="25"/>
  <c r="Z1456" i="25"/>
  <c r="AB1456" i="25"/>
  <c r="X1456" i="25"/>
  <c r="AD1456" i="25"/>
  <c r="Z1457" i="25"/>
  <c r="AB1457" i="25"/>
  <c r="X1457" i="25"/>
  <c r="AD1457" i="25"/>
  <c r="Z1458" i="25"/>
  <c r="AB1458" i="25"/>
  <c r="X1458" i="25"/>
  <c r="AD1458" i="25"/>
  <c r="Z1459" i="25"/>
  <c r="AB1459" i="25"/>
  <c r="X1459" i="25"/>
  <c r="AD1459" i="25"/>
  <c r="Z1460" i="25"/>
  <c r="AB1460" i="25"/>
  <c r="X1460" i="25"/>
  <c r="AD1460" i="25"/>
  <c r="Z1461" i="25"/>
  <c r="AB1461" i="25"/>
  <c r="X1461" i="25"/>
  <c r="AD1461" i="25"/>
  <c r="Z1462" i="25"/>
  <c r="AB1462" i="25"/>
  <c r="X1462" i="25"/>
  <c r="AD1462" i="25"/>
  <c r="Z1463" i="25"/>
  <c r="AB1463" i="25"/>
  <c r="X1463" i="25"/>
  <c r="AD1463" i="25"/>
  <c r="Z1464" i="25"/>
  <c r="AB1464" i="25"/>
  <c r="X1464" i="25"/>
  <c r="AD1464" i="25"/>
  <c r="Z1465" i="25"/>
  <c r="AB1465" i="25"/>
  <c r="X1465" i="25"/>
  <c r="AD1465" i="25"/>
  <c r="Z1466" i="25"/>
  <c r="AB1466" i="25"/>
  <c r="X1466" i="25"/>
  <c r="AD1466" i="25"/>
  <c r="Z1467" i="25"/>
  <c r="AB1467" i="25"/>
  <c r="X1467" i="25"/>
  <c r="AD1467" i="25"/>
  <c r="Z1468" i="25"/>
  <c r="AB1468" i="25"/>
  <c r="X1468" i="25"/>
  <c r="AD1468" i="25"/>
  <c r="Z1469" i="25"/>
  <c r="AB1469" i="25"/>
  <c r="X1469" i="25"/>
  <c r="AD1469" i="25"/>
  <c r="Z1470" i="25"/>
  <c r="AB1470" i="25"/>
  <c r="X1470" i="25"/>
  <c r="AD1470" i="25"/>
  <c r="Z1471" i="25"/>
  <c r="AB1471" i="25"/>
  <c r="X1471" i="25"/>
  <c r="AD1471" i="25"/>
  <c r="Z1472" i="25"/>
  <c r="AB1472" i="25"/>
  <c r="X1472" i="25"/>
  <c r="AD1472" i="25"/>
  <c r="Z1473" i="25"/>
  <c r="AB1473" i="25"/>
  <c r="X1473" i="25"/>
  <c r="AD1473" i="25"/>
  <c r="Z1474" i="25"/>
  <c r="AB1474" i="25"/>
  <c r="X1474" i="25"/>
  <c r="AD1474" i="25"/>
  <c r="Z1475" i="25"/>
  <c r="AB1475" i="25"/>
  <c r="X1475" i="25"/>
  <c r="AD1475" i="25"/>
  <c r="Z1476" i="25"/>
  <c r="AB1476" i="25"/>
  <c r="X1476" i="25"/>
  <c r="AD1476" i="25"/>
  <c r="Z1477" i="25"/>
  <c r="AB1477" i="25"/>
  <c r="X1477" i="25"/>
  <c r="AD1477" i="25"/>
  <c r="Z1478" i="25"/>
  <c r="AB1478" i="25"/>
  <c r="X1478" i="25"/>
  <c r="AD1478" i="25"/>
  <c r="Z1479" i="25"/>
  <c r="AB1479" i="25"/>
  <c r="X1479" i="25"/>
  <c r="AD1479" i="25"/>
  <c r="Z1480" i="25"/>
  <c r="AB1480" i="25"/>
  <c r="X1480" i="25"/>
  <c r="AD1480" i="25"/>
  <c r="Z1481" i="25"/>
  <c r="AB1481" i="25"/>
  <c r="X1481" i="25"/>
  <c r="AD1481" i="25"/>
  <c r="Z1482" i="25"/>
  <c r="AB1482" i="25"/>
  <c r="X1482" i="25"/>
  <c r="AD1482" i="25"/>
  <c r="Z1483" i="25"/>
  <c r="AB1483" i="25"/>
  <c r="X1483" i="25"/>
  <c r="AD1483" i="25"/>
  <c r="Z1484" i="25"/>
  <c r="AB1484" i="25"/>
  <c r="X1484" i="25"/>
  <c r="AD1484" i="25"/>
  <c r="Z1485" i="25"/>
  <c r="AB1485" i="25"/>
  <c r="X1485" i="25"/>
  <c r="AD1485" i="25"/>
  <c r="Z1486" i="25"/>
  <c r="AB1486" i="25"/>
  <c r="X1486" i="25"/>
  <c r="AD1486" i="25"/>
  <c r="Z1487" i="25"/>
  <c r="AB1487" i="25"/>
  <c r="X1487" i="25"/>
  <c r="AD1487" i="25"/>
  <c r="Z1488" i="25"/>
  <c r="AB1488" i="25"/>
  <c r="X1488" i="25"/>
  <c r="AD1488" i="25"/>
  <c r="Z1489" i="25"/>
  <c r="AB1489" i="25"/>
  <c r="X1489" i="25"/>
  <c r="AD1489" i="25"/>
  <c r="Z1490" i="25"/>
  <c r="AB1490" i="25"/>
  <c r="X1490" i="25"/>
  <c r="AD1490" i="25"/>
  <c r="Z1491" i="25"/>
  <c r="AB1491" i="25"/>
  <c r="X1491" i="25"/>
  <c r="AD1491" i="25"/>
  <c r="Z1492" i="25"/>
  <c r="AB1492" i="25"/>
  <c r="X1492" i="25"/>
  <c r="AD1492" i="25"/>
  <c r="Z1493" i="25"/>
  <c r="AB1493" i="25"/>
  <c r="X1493" i="25"/>
  <c r="AD1493" i="25"/>
  <c r="Z1494" i="25"/>
  <c r="AB1494" i="25"/>
  <c r="X1494" i="25"/>
  <c r="AD1494" i="25"/>
  <c r="Z1495" i="25"/>
  <c r="AB1495" i="25"/>
  <c r="X1495" i="25"/>
  <c r="AD1495" i="25"/>
  <c r="Z1496" i="25"/>
  <c r="AB1496" i="25"/>
  <c r="X1496" i="25"/>
  <c r="AD1496" i="25"/>
  <c r="Z1497" i="25"/>
  <c r="AB1497" i="25"/>
  <c r="X1497" i="25"/>
  <c r="AD1497" i="25"/>
  <c r="Z1498" i="25"/>
  <c r="AB1498" i="25"/>
  <c r="X1498" i="25"/>
  <c r="AD1498" i="25"/>
  <c r="Z1499" i="25"/>
  <c r="AB1499" i="25"/>
  <c r="X1499" i="25"/>
  <c r="AD1499" i="25"/>
  <c r="Z1500" i="25"/>
  <c r="AB1500" i="25"/>
  <c r="X1500" i="25"/>
  <c r="AD1500" i="25"/>
  <c r="Z1501" i="25"/>
  <c r="AB1501" i="25"/>
  <c r="X1501" i="25"/>
  <c r="AD1501" i="25"/>
  <c r="Z1502" i="25"/>
  <c r="AB1502" i="25"/>
  <c r="X1502" i="25"/>
  <c r="AD1502" i="25"/>
  <c r="Z1503" i="25"/>
  <c r="AB1503" i="25"/>
  <c r="X1503" i="25"/>
  <c r="AD1503" i="25"/>
  <c r="Z1504" i="25"/>
  <c r="AB1504" i="25"/>
  <c r="X1504" i="25"/>
  <c r="AD1504" i="25"/>
  <c r="Z1505" i="25"/>
  <c r="AB1505" i="25"/>
  <c r="X1505" i="25"/>
  <c r="AD1505" i="25"/>
  <c r="Z1506" i="25"/>
  <c r="AB1506" i="25"/>
  <c r="X1506" i="25"/>
  <c r="AD1506" i="25"/>
  <c r="Z1507" i="25"/>
  <c r="AB1507" i="25"/>
  <c r="X1507" i="25"/>
  <c r="AD1507" i="25"/>
  <c r="Z1508" i="25"/>
  <c r="AB1508" i="25"/>
  <c r="X1508" i="25"/>
  <c r="AD1508" i="25"/>
  <c r="Z1509" i="25"/>
  <c r="AB1509" i="25"/>
  <c r="X1509" i="25"/>
  <c r="AD1509" i="25"/>
  <c r="U1510" i="25" a="1"/>
  <c r="U1510" i="25"/>
  <c r="V1510" i="25" a="1"/>
  <c r="V1510" i="25"/>
  <c r="W1510" i="25"/>
  <c r="Z1510" i="25"/>
  <c r="AB1510" i="25"/>
  <c r="X1510" i="25"/>
  <c r="AD1510" i="25"/>
  <c r="U1511" i="25" a="1"/>
  <c r="U1511" i="25"/>
  <c r="V1511" i="25" a="1"/>
  <c r="V1511" i="25"/>
  <c r="W1511" i="25"/>
  <c r="Z1511" i="25"/>
  <c r="AB1511" i="25"/>
  <c r="X1511" i="25"/>
  <c r="AD1511" i="25"/>
  <c r="U1512" i="25" a="1"/>
  <c r="U1512" i="25"/>
  <c r="V1512" i="25" a="1"/>
  <c r="V1512" i="25"/>
  <c r="W1512" i="25"/>
  <c r="Z1512" i="25"/>
  <c r="AB1512" i="25"/>
  <c r="X1512" i="25"/>
  <c r="AD1512" i="25"/>
  <c r="U1513" i="25" a="1"/>
  <c r="U1513" i="25"/>
  <c r="V1513" i="25" a="1"/>
  <c r="V1513" i="25"/>
  <c r="W1513" i="25"/>
  <c r="Z1513" i="25"/>
  <c r="AB1513" i="25"/>
  <c r="X1513" i="25"/>
  <c r="AD1513" i="25"/>
  <c r="U1514" i="25" a="1"/>
  <c r="U1514" i="25"/>
  <c r="V1514" i="25" a="1"/>
  <c r="V1514" i="25"/>
  <c r="W1514" i="25"/>
  <c r="Z1514" i="25"/>
  <c r="AB1514" i="25"/>
  <c r="X1514" i="25"/>
  <c r="AD1514" i="25"/>
  <c r="U1515" i="25" a="1"/>
  <c r="U1515" i="25"/>
  <c r="V1515" i="25" a="1"/>
  <c r="V1515" i="25"/>
  <c r="W1515" i="25"/>
  <c r="Z1515" i="25"/>
  <c r="AB1515" i="25"/>
  <c r="X1515" i="25"/>
  <c r="AD1515" i="25"/>
  <c r="U1516" i="25" a="1"/>
  <c r="U1516" i="25"/>
  <c r="V1516" i="25" a="1"/>
  <c r="V1516" i="25"/>
  <c r="W1516" i="25"/>
  <c r="Z1516" i="25"/>
  <c r="AB1516" i="25"/>
  <c r="X1516" i="25"/>
  <c r="AD1516" i="25"/>
  <c r="U1517" i="25" a="1"/>
  <c r="U1517" i="25"/>
  <c r="V1517" i="25" a="1"/>
  <c r="V1517" i="25"/>
  <c r="W1517" i="25"/>
  <c r="Z1517" i="25"/>
  <c r="AB1517" i="25"/>
  <c r="X1517" i="25"/>
  <c r="AD1517" i="25"/>
  <c r="U1518" i="25" a="1"/>
  <c r="U1518" i="25"/>
  <c r="V1518" i="25" a="1"/>
  <c r="V1518" i="25"/>
  <c r="W1518" i="25"/>
  <c r="Z1518" i="25"/>
  <c r="AB1518" i="25"/>
  <c r="X1518" i="25"/>
  <c r="AD1518" i="25"/>
  <c r="AD5" i="25" a="1"/>
  <c r="AD5" i="25"/>
  <c r="AH10" i="25"/>
  <c r="AJ10" i="25" a="1"/>
  <c r="AJ10" i="25"/>
  <c r="AI10" i="25" a="1"/>
  <c r="AI10" i="25"/>
  <c r="AG10" i="25" a="1"/>
  <c r="AG10" i="25"/>
  <c r="AF10" i="25" a="1"/>
  <c r="AF10" i="25"/>
  <c r="AA7" i="25"/>
  <c r="AC7" i="25"/>
  <c r="AA8" i="25"/>
  <c r="AC8" i="25"/>
  <c r="AA9" i="25"/>
  <c r="AC9" i="25"/>
  <c r="AA10" i="25"/>
  <c r="AC10" i="25"/>
  <c r="AA11" i="25"/>
  <c r="AC11" i="25"/>
  <c r="AA12" i="25"/>
  <c r="AC12" i="25"/>
  <c r="AA13" i="25"/>
  <c r="AC13" i="25"/>
  <c r="AA14" i="25"/>
  <c r="AC14" i="25"/>
  <c r="AA15" i="25"/>
  <c r="AC15" i="25"/>
  <c r="AA16" i="25"/>
  <c r="AC16" i="25"/>
  <c r="AA17" i="25"/>
  <c r="AC17" i="25"/>
  <c r="AA18" i="25"/>
  <c r="AC18" i="25"/>
  <c r="AA19" i="25"/>
  <c r="AC19" i="25"/>
  <c r="AA20" i="25"/>
  <c r="AC20" i="25"/>
  <c r="AA21" i="25"/>
  <c r="AC21" i="25"/>
  <c r="AA22" i="25"/>
  <c r="AC22" i="25"/>
  <c r="AA23" i="25"/>
  <c r="AC23" i="25"/>
  <c r="AA24" i="25"/>
  <c r="AC24" i="25"/>
  <c r="AA25" i="25"/>
  <c r="AC25" i="25"/>
  <c r="AA26" i="25"/>
  <c r="AC26" i="25"/>
  <c r="AA27" i="25"/>
  <c r="AC27" i="25"/>
  <c r="AA28" i="25"/>
  <c r="AC28" i="25"/>
  <c r="AA29" i="25"/>
  <c r="AC29" i="25"/>
  <c r="AA30" i="25"/>
  <c r="AC30" i="25"/>
  <c r="AA31" i="25"/>
  <c r="AC31" i="25"/>
  <c r="AA32" i="25"/>
  <c r="AC32" i="25"/>
  <c r="AA33" i="25"/>
  <c r="AC33" i="25"/>
  <c r="AA34" i="25"/>
  <c r="AC34" i="25"/>
  <c r="AA35" i="25"/>
  <c r="AC35" i="25"/>
  <c r="AA36" i="25"/>
  <c r="AC36" i="25"/>
  <c r="AA37" i="25"/>
  <c r="AC37" i="25"/>
  <c r="AA38" i="25"/>
  <c r="AC38" i="25"/>
  <c r="AA39" i="25"/>
  <c r="AC39" i="25"/>
  <c r="AA40" i="25"/>
  <c r="AC40" i="25"/>
  <c r="AA41" i="25"/>
  <c r="AC41" i="25"/>
  <c r="AA42" i="25"/>
  <c r="AC42" i="25"/>
  <c r="AA43" i="25"/>
  <c r="AC43" i="25"/>
  <c r="AA44" i="25"/>
  <c r="AC44" i="25"/>
  <c r="AA45" i="25"/>
  <c r="AC45" i="25"/>
  <c r="AA46" i="25"/>
  <c r="AC46" i="25"/>
  <c r="AA47" i="25"/>
  <c r="AC47" i="25"/>
  <c r="AA48" i="25"/>
  <c r="AC48" i="25"/>
  <c r="AA49" i="25"/>
  <c r="AC49" i="25"/>
  <c r="AA50" i="25"/>
  <c r="AC50" i="25"/>
  <c r="AA51" i="25"/>
  <c r="AC51" i="25"/>
  <c r="AA52" i="25"/>
  <c r="AC52" i="25"/>
  <c r="AA53" i="25"/>
  <c r="AC53" i="25"/>
  <c r="AA54" i="25"/>
  <c r="AC54" i="25"/>
  <c r="AA55" i="25"/>
  <c r="AC55" i="25"/>
  <c r="AA56" i="25"/>
  <c r="AC56" i="25"/>
  <c r="AA57" i="25"/>
  <c r="AC57" i="25"/>
  <c r="AA58" i="25"/>
  <c r="AC58" i="25"/>
  <c r="AA59" i="25"/>
  <c r="AC59" i="25"/>
  <c r="AA60" i="25"/>
  <c r="AC60" i="25"/>
  <c r="AA61" i="25"/>
  <c r="AC61" i="25"/>
  <c r="AA62" i="25"/>
  <c r="AC62" i="25"/>
  <c r="AA63" i="25"/>
  <c r="AC63" i="25"/>
  <c r="AA64" i="25"/>
  <c r="AC64" i="25"/>
  <c r="AA65" i="25"/>
  <c r="AC65" i="25"/>
  <c r="AA66" i="25"/>
  <c r="AC66" i="25"/>
  <c r="AA67" i="25"/>
  <c r="AC67" i="25"/>
  <c r="AA68" i="25"/>
  <c r="AC68" i="25"/>
  <c r="AA69" i="25"/>
  <c r="AC69" i="25"/>
  <c r="AA70" i="25"/>
  <c r="AC70" i="25"/>
  <c r="AA71" i="25"/>
  <c r="AC71" i="25"/>
  <c r="AA72" i="25"/>
  <c r="AC72" i="25"/>
  <c r="AA73" i="25"/>
  <c r="AC73" i="25"/>
  <c r="AA74" i="25"/>
  <c r="AC74" i="25"/>
  <c r="AA75" i="25"/>
  <c r="AC75" i="25"/>
  <c r="AA76" i="25"/>
  <c r="AC76" i="25"/>
  <c r="AA77" i="25"/>
  <c r="AC77" i="25"/>
  <c r="AA78" i="25"/>
  <c r="AC78" i="25"/>
  <c r="AA79" i="25"/>
  <c r="AC79" i="25"/>
  <c r="AA80" i="25"/>
  <c r="AC80" i="25"/>
  <c r="AA81" i="25"/>
  <c r="AC81" i="25"/>
  <c r="AA82" i="25"/>
  <c r="AC82" i="25"/>
  <c r="AA83" i="25"/>
  <c r="AC83" i="25"/>
  <c r="AA84" i="25"/>
  <c r="AC84" i="25"/>
  <c r="AA85" i="25"/>
  <c r="AC85" i="25"/>
  <c r="AA86" i="25"/>
  <c r="AC86" i="25"/>
  <c r="AA87" i="25"/>
  <c r="AC87" i="25"/>
  <c r="AA88" i="25"/>
  <c r="AC88" i="25"/>
  <c r="AA89" i="25"/>
  <c r="AC89" i="25"/>
  <c r="AA90" i="25"/>
  <c r="AC90" i="25"/>
  <c r="AA91" i="25"/>
  <c r="AC91" i="25"/>
  <c r="AA92" i="25"/>
  <c r="AC92" i="25"/>
  <c r="AA93" i="25"/>
  <c r="AC93" i="25"/>
  <c r="AA94" i="25"/>
  <c r="AC94" i="25"/>
  <c r="AA95" i="25"/>
  <c r="AC95" i="25"/>
  <c r="AA96" i="25"/>
  <c r="AC96" i="25"/>
  <c r="AA97" i="25"/>
  <c r="AC97" i="25"/>
  <c r="AA98" i="25"/>
  <c r="AC98" i="25"/>
  <c r="AA99" i="25"/>
  <c r="AC99" i="25"/>
  <c r="AA100" i="25"/>
  <c r="AC100" i="25"/>
  <c r="AA101" i="25"/>
  <c r="AC101" i="25"/>
  <c r="AA102" i="25"/>
  <c r="AC102" i="25"/>
  <c r="AA103" i="25"/>
  <c r="AC103" i="25"/>
  <c r="AA104" i="25"/>
  <c r="AC104" i="25"/>
  <c r="AA105" i="25"/>
  <c r="AC105" i="25"/>
  <c r="AA106" i="25"/>
  <c r="AC106" i="25"/>
  <c r="AA107" i="25"/>
  <c r="AC107" i="25"/>
  <c r="AA108" i="25"/>
  <c r="AC108" i="25"/>
  <c r="AA109" i="25"/>
  <c r="AC109" i="25"/>
  <c r="AA110" i="25"/>
  <c r="AC110" i="25"/>
  <c r="AA111" i="25"/>
  <c r="AC111" i="25"/>
  <c r="AA112" i="25"/>
  <c r="AC112" i="25"/>
  <c r="AA113" i="25"/>
  <c r="AC113" i="25"/>
  <c r="AA114" i="25"/>
  <c r="AC114" i="25"/>
  <c r="AA115" i="25"/>
  <c r="AC115" i="25"/>
  <c r="AA116" i="25"/>
  <c r="AC116" i="25"/>
  <c r="AA117" i="25"/>
  <c r="AC117" i="25"/>
  <c r="AA118" i="25"/>
  <c r="AC118" i="25"/>
  <c r="AA119" i="25"/>
  <c r="AC119" i="25"/>
  <c r="AA120" i="25"/>
  <c r="AC120" i="25"/>
  <c r="AA121" i="25"/>
  <c r="AC121" i="25"/>
  <c r="AA122" i="25"/>
  <c r="AC122" i="25"/>
  <c r="AA123" i="25"/>
  <c r="AC123" i="25"/>
  <c r="AA124" i="25"/>
  <c r="AC124" i="25"/>
  <c r="AA125" i="25"/>
  <c r="AC125" i="25"/>
  <c r="AA126" i="25"/>
  <c r="AC126" i="25"/>
  <c r="AA127" i="25"/>
  <c r="AC127" i="25"/>
  <c r="AA128" i="25"/>
  <c r="AC128" i="25"/>
  <c r="AA129" i="25"/>
  <c r="AC129" i="25"/>
  <c r="AA130" i="25"/>
  <c r="AC130" i="25"/>
  <c r="AA131" i="25"/>
  <c r="AC131" i="25"/>
  <c r="AA132" i="25"/>
  <c r="AC132" i="25"/>
  <c r="AA133" i="25"/>
  <c r="AC133" i="25"/>
  <c r="AA134" i="25"/>
  <c r="AC134" i="25"/>
  <c r="AA135" i="25"/>
  <c r="AC135" i="25"/>
  <c r="AA136" i="25"/>
  <c r="AC136" i="25"/>
  <c r="AA137" i="25"/>
  <c r="AC137" i="25"/>
  <c r="AA138" i="25"/>
  <c r="AC138" i="25"/>
  <c r="AA139" i="25"/>
  <c r="AC139" i="25"/>
  <c r="AA140" i="25"/>
  <c r="AC140" i="25"/>
  <c r="AA141" i="25"/>
  <c r="AC141" i="25"/>
  <c r="AA142" i="25"/>
  <c r="AC142" i="25"/>
  <c r="AA143" i="25"/>
  <c r="AC143" i="25"/>
  <c r="AA144" i="25"/>
  <c r="AC144" i="25"/>
  <c r="AA145" i="25"/>
  <c r="AC145" i="25"/>
  <c r="AA146" i="25"/>
  <c r="AC146" i="25"/>
  <c r="AA147" i="25"/>
  <c r="AC147" i="25"/>
  <c r="AA148" i="25"/>
  <c r="AC148" i="25"/>
  <c r="AA149" i="25"/>
  <c r="AC149" i="25"/>
  <c r="AA150" i="25"/>
  <c r="AC150" i="25"/>
  <c r="AA151" i="25"/>
  <c r="AC151" i="25"/>
  <c r="AA152" i="25"/>
  <c r="AC152" i="25"/>
  <c r="AA153" i="25"/>
  <c r="AC153" i="25"/>
  <c r="AA154" i="25"/>
  <c r="AC154" i="25"/>
  <c r="AA155" i="25"/>
  <c r="AC155" i="25"/>
  <c r="AA156" i="25"/>
  <c r="AC156" i="25"/>
  <c r="AA157" i="25"/>
  <c r="AC157" i="25"/>
  <c r="AA158" i="25"/>
  <c r="AC158" i="25"/>
  <c r="AA159" i="25"/>
  <c r="AC159" i="25"/>
  <c r="AA160" i="25"/>
  <c r="AC160" i="25"/>
  <c r="AA161" i="25"/>
  <c r="AC161" i="25"/>
  <c r="AA162" i="25"/>
  <c r="AC162" i="25"/>
  <c r="AA163" i="25"/>
  <c r="AC163" i="25"/>
  <c r="AA164" i="25"/>
  <c r="AC164" i="25"/>
  <c r="AA165" i="25"/>
  <c r="AC165" i="25"/>
  <c r="AA166" i="25"/>
  <c r="AC166" i="25"/>
  <c r="AA167" i="25"/>
  <c r="AC167" i="25"/>
  <c r="AA168" i="25"/>
  <c r="AC168" i="25"/>
  <c r="AA169" i="25"/>
  <c r="AC169" i="25"/>
  <c r="AA170" i="25"/>
  <c r="AC170" i="25"/>
  <c r="AA171" i="25"/>
  <c r="AC171" i="25"/>
  <c r="AA172" i="25"/>
  <c r="AC172" i="25"/>
  <c r="AA173" i="25"/>
  <c r="AC173" i="25"/>
  <c r="AA174" i="25"/>
  <c r="AC174" i="25"/>
  <c r="AA175" i="25"/>
  <c r="AC175" i="25"/>
  <c r="AA176" i="25"/>
  <c r="AC176" i="25"/>
  <c r="AA177" i="25"/>
  <c r="AC177" i="25"/>
  <c r="AA178" i="25"/>
  <c r="AC178" i="25"/>
  <c r="AA179" i="25"/>
  <c r="AC179" i="25"/>
  <c r="AA180" i="25"/>
  <c r="AC180" i="25"/>
  <c r="AA181" i="25"/>
  <c r="AC181" i="25"/>
  <c r="AA182" i="25"/>
  <c r="AC182" i="25"/>
  <c r="AA183" i="25"/>
  <c r="AC183" i="25"/>
  <c r="AA184" i="25"/>
  <c r="AC184" i="25"/>
  <c r="AA185" i="25"/>
  <c r="AC185" i="25"/>
  <c r="AA186" i="25"/>
  <c r="AC186" i="25"/>
  <c r="AA187" i="25"/>
  <c r="AC187" i="25"/>
  <c r="AA188" i="25"/>
  <c r="AC188" i="25"/>
  <c r="AA189" i="25"/>
  <c r="AC189" i="25"/>
  <c r="AA190" i="25"/>
  <c r="AC190" i="25"/>
  <c r="AA191" i="25"/>
  <c r="AC191" i="25"/>
  <c r="AA192" i="25"/>
  <c r="AC192" i="25"/>
  <c r="AA193" i="25"/>
  <c r="AC193" i="25"/>
  <c r="AA194" i="25"/>
  <c r="AC194" i="25"/>
  <c r="AA195" i="25"/>
  <c r="AC195" i="25"/>
  <c r="AA196" i="25"/>
  <c r="AC196" i="25"/>
  <c r="AA197" i="25"/>
  <c r="AC197" i="25"/>
  <c r="AA198" i="25"/>
  <c r="AC198" i="25"/>
  <c r="AA199" i="25"/>
  <c r="AC199" i="25"/>
  <c r="AA200" i="25"/>
  <c r="AC200" i="25"/>
  <c r="AA201" i="25"/>
  <c r="AC201" i="25"/>
  <c r="AA202" i="25"/>
  <c r="AC202" i="25"/>
  <c r="AA203" i="25"/>
  <c r="AC203" i="25"/>
  <c r="AA204" i="25"/>
  <c r="AC204" i="25"/>
  <c r="AA205" i="25"/>
  <c r="AC205" i="25"/>
  <c r="AA206" i="25"/>
  <c r="AC206" i="25"/>
  <c r="AA207" i="25"/>
  <c r="AC207" i="25"/>
  <c r="AA208" i="25"/>
  <c r="AC208" i="25"/>
  <c r="AA209" i="25"/>
  <c r="AC209" i="25"/>
  <c r="AA210" i="25"/>
  <c r="AC210" i="25"/>
  <c r="AA211" i="25"/>
  <c r="AC211" i="25"/>
  <c r="AA212" i="25"/>
  <c r="AC212" i="25"/>
  <c r="AA213" i="25"/>
  <c r="AC213" i="25"/>
  <c r="AA214" i="25"/>
  <c r="AC214" i="25"/>
  <c r="AA215" i="25"/>
  <c r="AC215" i="25"/>
  <c r="AA216" i="25"/>
  <c r="AC216" i="25"/>
  <c r="AA217" i="25"/>
  <c r="AC217" i="25"/>
  <c r="AA218" i="25"/>
  <c r="AC218" i="25"/>
  <c r="AA219" i="25"/>
  <c r="AC219" i="25"/>
  <c r="AA220" i="25"/>
  <c r="AC220" i="25"/>
  <c r="AA221" i="25"/>
  <c r="AC221" i="25"/>
  <c r="AA222" i="25"/>
  <c r="AC222" i="25"/>
  <c r="AA223" i="25"/>
  <c r="AC223" i="25"/>
  <c r="AA224" i="25"/>
  <c r="AC224" i="25"/>
  <c r="AA225" i="25"/>
  <c r="AC225" i="25"/>
  <c r="AA226" i="25"/>
  <c r="AC226" i="25"/>
  <c r="AA227" i="25"/>
  <c r="AC227" i="25"/>
  <c r="AA228" i="25"/>
  <c r="AC228" i="25"/>
  <c r="AA229" i="25"/>
  <c r="AC229" i="25"/>
  <c r="AA230" i="25"/>
  <c r="AC230" i="25"/>
  <c r="AA231" i="25"/>
  <c r="AC231" i="25"/>
  <c r="AA232" i="25"/>
  <c r="AC232" i="25"/>
  <c r="AA233" i="25"/>
  <c r="AC233" i="25"/>
  <c r="AA234" i="25"/>
  <c r="AC234" i="25"/>
  <c r="AA235" i="25"/>
  <c r="AC235" i="25"/>
  <c r="AA236" i="25"/>
  <c r="AC236" i="25"/>
  <c r="AA237" i="25"/>
  <c r="AC237" i="25"/>
  <c r="AA238" i="25"/>
  <c r="AC238" i="25"/>
  <c r="AA239" i="25"/>
  <c r="AC239" i="25"/>
  <c r="AA240" i="25"/>
  <c r="AC240" i="25"/>
  <c r="AA241" i="25"/>
  <c r="AC241" i="25"/>
  <c r="AA242" i="25"/>
  <c r="AC242" i="25"/>
  <c r="AA243" i="25"/>
  <c r="AC243" i="25"/>
  <c r="AA244" i="25"/>
  <c r="AC244" i="25"/>
  <c r="AA245" i="25"/>
  <c r="AC245" i="25"/>
  <c r="AA246" i="25"/>
  <c r="AC246" i="25"/>
  <c r="AA247" i="25"/>
  <c r="AC247" i="25"/>
  <c r="AA248" i="25"/>
  <c r="AC248" i="25"/>
  <c r="AA249" i="25"/>
  <c r="AC249" i="25"/>
  <c r="AA250" i="25"/>
  <c r="AC250" i="25"/>
  <c r="AA251" i="25"/>
  <c r="AC251" i="25"/>
  <c r="AA252" i="25"/>
  <c r="AC252" i="25"/>
  <c r="AA253" i="25"/>
  <c r="AC253" i="25"/>
  <c r="AA254" i="25"/>
  <c r="AC254" i="25"/>
  <c r="AA255" i="25"/>
  <c r="AC255" i="25"/>
  <c r="AA256" i="25"/>
  <c r="AC256" i="25"/>
  <c r="AA257" i="25"/>
  <c r="AC257" i="25"/>
  <c r="AA258" i="25"/>
  <c r="AC258" i="25"/>
  <c r="AA259" i="25"/>
  <c r="AC259" i="25"/>
  <c r="AA260" i="25"/>
  <c r="AC260" i="25"/>
  <c r="AA261" i="25"/>
  <c r="AC261" i="25"/>
  <c r="AA262" i="25"/>
  <c r="AC262" i="25"/>
  <c r="AA263" i="25"/>
  <c r="AC263" i="25"/>
  <c r="AA264" i="25"/>
  <c r="AC264" i="25"/>
  <c r="AA265" i="25"/>
  <c r="AC265" i="25"/>
  <c r="AA266" i="25"/>
  <c r="AC266" i="25"/>
  <c r="AA267" i="25"/>
  <c r="AC267" i="25"/>
  <c r="AA268" i="25"/>
  <c r="AC268" i="25"/>
  <c r="AA269" i="25"/>
  <c r="AC269" i="25"/>
  <c r="AA270" i="25"/>
  <c r="AC270" i="25"/>
  <c r="AA271" i="25"/>
  <c r="AC271" i="25"/>
  <c r="AA272" i="25"/>
  <c r="AC272" i="25"/>
  <c r="AA273" i="25"/>
  <c r="AC273" i="25"/>
  <c r="AA274" i="25"/>
  <c r="AC274" i="25"/>
  <c r="AA275" i="25"/>
  <c r="AC275" i="25"/>
  <c r="AA276" i="25"/>
  <c r="AC276" i="25"/>
  <c r="AA277" i="25"/>
  <c r="AC277" i="25"/>
  <c r="AA278" i="25"/>
  <c r="AC278" i="25"/>
  <c r="AA279" i="25"/>
  <c r="AC279" i="25"/>
  <c r="AA280" i="25"/>
  <c r="AC280" i="25"/>
  <c r="AA281" i="25"/>
  <c r="AC281" i="25"/>
  <c r="AA282" i="25"/>
  <c r="AC282" i="25"/>
  <c r="AA283" i="25"/>
  <c r="AC283" i="25"/>
  <c r="AA284" i="25"/>
  <c r="AC284" i="25"/>
  <c r="AA285" i="25"/>
  <c r="AC285" i="25"/>
  <c r="AA286" i="25"/>
  <c r="AC286" i="25"/>
  <c r="AA287" i="25"/>
  <c r="AC287" i="25"/>
  <c r="AA288" i="25"/>
  <c r="AC288" i="25"/>
  <c r="AA289" i="25"/>
  <c r="AC289" i="25"/>
  <c r="AA290" i="25"/>
  <c r="AC290" i="25"/>
  <c r="AA291" i="25"/>
  <c r="AC291" i="25"/>
  <c r="AA292" i="25"/>
  <c r="AC292" i="25"/>
  <c r="AA293" i="25"/>
  <c r="AC293" i="25"/>
  <c r="AA294" i="25"/>
  <c r="AC294" i="25"/>
  <c r="AA295" i="25"/>
  <c r="AC295" i="25"/>
  <c r="AA296" i="25"/>
  <c r="AC296" i="25"/>
  <c r="AA297" i="25"/>
  <c r="AC297" i="25"/>
  <c r="AA298" i="25"/>
  <c r="AC298" i="25"/>
  <c r="AA299" i="25"/>
  <c r="AC299" i="25"/>
  <c r="AA300" i="25"/>
  <c r="AC300" i="25"/>
  <c r="AA301" i="25"/>
  <c r="AC301" i="25"/>
  <c r="AA302" i="25"/>
  <c r="AC302" i="25"/>
  <c r="AA303" i="25"/>
  <c r="AC303" i="25"/>
  <c r="AA304" i="25"/>
  <c r="AC304" i="25"/>
  <c r="AA305" i="25"/>
  <c r="AC305" i="25"/>
  <c r="AA306" i="25"/>
  <c r="AC306" i="25"/>
  <c r="AA307" i="25"/>
  <c r="AC307" i="25"/>
  <c r="AA308" i="25"/>
  <c r="AC308" i="25"/>
  <c r="AA309" i="25"/>
  <c r="AC309" i="25"/>
  <c r="AA310" i="25"/>
  <c r="AC310" i="25"/>
  <c r="AA311" i="25"/>
  <c r="AC311" i="25"/>
  <c r="AA312" i="25"/>
  <c r="AC312" i="25"/>
  <c r="AA313" i="25"/>
  <c r="AC313" i="25"/>
  <c r="AA314" i="25"/>
  <c r="AC314" i="25"/>
  <c r="AA315" i="25"/>
  <c r="AC315" i="25"/>
  <c r="AA316" i="25"/>
  <c r="AC316" i="25"/>
  <c r="AA317" i="25"/>
  <c r="AC317" i="25"/>
  <c r="AA318" i="25"/>
  <c r="AC318" i="25"/>
  <c r="AA319" i="25"/>
  <c r="AC319" i="25"/>
  <c r="AA320" i="25"/>
  <c r="AC320" i="25"/>
  <c r="AA321" i="25"/>
  <c r="AC321" i="25"/>
  <c r="AA322" i="25"/>
  <c r="AC322" i="25"/>
  <c r="AA323" i="25"/>
  <c r="AC323" i="25"/>
  <c r="AA324" i="25"/>
  <c r="AC324" i="25"/>
  <c r="AA325" i="25"/>
  <c r="AC325" i="25"/>
  <c r="AA326" i="25"/>
  <c r="AC326" i="25"/>
  <c r="AA327" i="25"/>
  <c r="AC327" i="25"/>
  <c r="AA328" i="25"/>
  <c r="AC328" i="25"/>
  <c r="AA329" i="25"/>
  <c r="AC329" i="25"/>
  <c r="AA330" i="25"/>
  <c r="AC330" i="25"/>
  <c r="AA331" i="25"/>
  <c r="AC331" i="25"/>
  <c r="AA332" i="25"/>
  <c r="AC332" i="25"/>
  <c r="AA333" i="25"/>
  <c r="AC333" i="25"/>
  <c r="AA334" i="25"/>
  <c r="AC334" i="25"/>
  <c r="AA335" i="25"/>
  <c r="AC335" i="25"/>
  <c r="AA336" i="25"/>
  <c r="AC336" i="25"/>
  <c r="AA337" i="25"/>
  <c r="AC337" i="25"/>
  <c r="AA338" i="25"/>
  <c r="AC338" i="25"/>
  <c r="AA339" i="25"/>
  <c r="AC339" i="25"/>
  <c r="AA340" i="25"/>
  <c r="AC340" i="25"/>
  <c r="AA341" i="25"/>
  <c r="AC341" i="25"/>
  <c r="AA342" i="25"/>
  <c r="AC342" i="25"/>
  <c r="AA343" i="25"/>
  <c r="AC343" i="25"/>
  <c r="AA344" i="25"/>
  <c r="AC344" i="25"/>
  <c r="AA345" i="25"/>
  <c r="AC345" i="25"/>
  <c r="AA346" i="25"/>
  <c r="AC346" i="25"/>
  <c r="AA347" i="25"/>
  <c r="AC347" i="25"/>
  <c r="AA348" i="25"/>
  <c r="AC348" i="25"/>
  <c r="AA349" i="25"/>
  <c r="AC349" i="25"/>
  <c r="AA350" i="25"/>
  <c r="AC350" i="25"/>
  <c r="AA351" i="25"/>
  <c r="AC351" i="25"/>
  <c r="AA352" i="25"/>
  <c r="AC352" i="25"/>
  <c r="AA353" i="25"/>
  <c r="AC353" i="25"/>
  <c r="AA354" i="25"/>
  <c r="AC354" i="25"/>
  <c r="AA355" i="25"/>
  <c r="AC355" i="25"/>
  <c r="AA356" i="25"/>
  <c r="AC356" i="25"/>
  <c r="AA357" i="25"/>
  <c r="AC357" i="25"/>
  <c r="AA358" i="25"/>
  <c r="AC358" i="25"/>
  <c r="AA359" i="25"/>
  <c r="AC359" i="25"/>
  <c r="AA360" i="25"/>
  <c r="AC360" i="25"/>
  <c r="AA361" i="25"/>
  <c r="AC361" i="25"/>
  <c r="AA362" i="25"/>
  <c r="AC362" i="25"/>
  <c r="AA363" i="25"/>
  <c r="AC363" i="25"/>
  <c r="AA364" i="25"/>
  <c r="AC364" i="25"/>
  <c r="AA365" i="25"/>
  <c r="AC365" i="25"/>
  <c r="AA366" i="25"/>
  <c r="AC366" i="25"/>
  <c r="AA367" i="25"/>
  <c r="AC367" i="25"/>
  <c r="AA368" i="25"/>
  <c r="AC368" i="25"/>
  <c r="AA369" i="25"/>
  <c r="AC369" i="25"/>
  <c r="AA370" i="25"/>
  <c r="AC370" i="25"/>
  <c r="AA371" i="25"/>
  <c r="AC371" i="25"/>
  <c r="AA372" i="25"/>
  <c r="AC372" i="25"/>
  <c r="AA373" i="25"/>
  <c r="AC373" i="25"/>
  <c r="AA374" i="25"/>
  <c r="AC374" i="25"/>
  <c r="AA375" i="25"/>
  <c r="AC375" i="25"/>
  <c r="AA376" i="25"/>
  <c r="AC376" i="25"/>
  <c r="AA377" i="25"/>
  <c r="AC377" i="25"/>
  <c r="AA378" i="25"/>
  <c r="AC378" i="25"/>
  <c r="AA379" i="25"/>
  <c r="AC379" i="25"/>
  <c r="AA380" i="25"/>
  <c r="AC380" i="25"/>
  <c r="AA381" i="25"/>
  <c r="AC381" i="25"/>
  <c r="AA382" i="25"/>
  <c r="AC382" i="25"/>
  <c r="AA383" i="25"/>
  <c r="AC383" i="25"/>
  <c r="AA384" i="25"/>
  <c r="AC384" i="25"/>
  <c r="AA385" i="25"/>
  <c r="AC385" i="25"/>
  <c r="AA386" i="25"/>
  <c r="AC386" i="25"/>
  <c r="AA387" i="25"/>
  <c r="AC387" i="25"/>
  <c r="AA388" i="25"/>
  <c r="AC388" i="25"/>
  <c r="AA389" i="25"/>
  <c r="AC389" i="25"/>
  <c r="AA390" i="25"/>
  <c r="AC390" i="25"/>
  <c r="AA391" i="25"/>
  <c r="AC391" i="25"/>
  <c r="AA392" i="25"/>
  <c r="AC392" i="25"/>
  <c r="AA393" i="25"/>
  <c r="AC393" i="25"/>
  <c r="AA394" i="25"/>
  <c r="AC394" i="25"/>
  <c r="AA395" i="25"/>
  <c r="AC395" i="25"/>
  <c r="AA396" i="25"/>
  <c r="AC396" i="25"/>
  <c r="AA397" i="25"/>
  <c r="AC397" i="25"/>
  <c r="AA398" i="25"/>
  <c r="AC398" i="25"/>
  <c r="AA399" i="25"/>
  <c r="AC399" i="25"/>
  <c r="AA400" i="25"/>
  <c r="AC400" i="25"/>
  <c r="AA401" i="25"/>
  <c r="AC401" i="25"/>
  <c r="AA402" i="25"/>
  <c r="AC402" i="25"/>
  <c r="AA403" i="25"/>
  <c r="AC403" i="25"/>
  <c r="AA404" i="25"/>
  <c r="AC404" i="25"/>
  <c r="AA405" i="25"/>
  <c r="AC405" i="25"/>
  <c r="AA406" i="25"/>
  <c r="AC406" i="25"/>
  <c r="AA407" i="25"/>
  <c r="AC407" i="25"/>
  <c r="AA408" i="25"/>
  <c r="AC408" i="25"/>
  <c r="AA409" i="25"/>
  <c r="AC409" i="25"/>
  <c r="AA410" i="25"/>
  <c r="AC410" i="25"/>
  <c r="AA411" i="25"/>
  <c r="AC411" i="25"/>
  <c r="AA412" i="25"/>
  <c r="AC412" i="25"/>
  <c r="AA413" i="25"/>
  <c r="AC413" i="25"/>
  <c r="AA414" i="25"/>
  <c r="AC414" i="25"/>
  <c r="AA415" i="25"/>
  <c r="AC415" i="25"/>
  <c r="AA416" i="25"/>
  <c r="AC416" i="25"/>
  <c r="AA417" i="25"/>
  <c r="AC417" i="25"/>
  <c r="AA418" i="25"/>
  <c r="AC418" i="25"/>
  <c r="AA419" i="25"/>
  <c r="AC419" i="25"/>
  <c r="AA420" i="25"/>
  <c r="AC420" i="25"/>
  <c r="AA421" i="25"/>
  <c r="AC421" i="25"/>
  <c r="AA422" i="25"/>
  <c r="AC422" i="25"/>
  <c r="AA423" i="25"/>
  <c r="AC423" i="25"/>
  <c r="AA424" i="25"/>
  <c r="AC424" i="25"/>
  <c r="AA425" i="25"/>
  <c r="AC425" i="25"/>
  <c r="AA426" i="25"/>
  <c r="AC426" i="25"/>
  <c r="AA427" i="25"/>
  <c r="AC427" i="25"/>
  <c r="AA428" i="25"/>
  <c r="AC428" i="25"/>
  <c r="AA429" i="25"/>
  <c r="AC429" i="25"/>
  <c r="AA430" i="25"/>
  <c r="AC430" i="25"/>
  <c r="AA431" i="25"/>
  <c r="AC431" i="25"/>
  <c r="AA432" i="25"/>
  <c r="AC432" i="25"/>
  <c r="AA433" i="25"/>
  <c r="AC433" i="25"/>
  <c r="AA434" i="25"/>
  <c r="AC434" i="25"/>
  <c r="AA435" i="25"/>
  <c r="AC435" i="25"/>
  <c r="AA436" i="25"/>
  <c r="AC436" i="25"/>
  <c r="AA437" i="25"/>
  <c r="AC437" i="25"/>
  <c r="AA438" i="25"/>
  <c r="AC438" i="25"/>
  <c r="AA439" i="25"/>
  <c r="AC439" i="25"/>
  <c r="AA440" i="25"/>
  <c r="AC440" i="25"/>
  <c r="AA441" i="25"/>
  <c r="AC441" i="25"/>
  <c r="AA442" i="25"/>
  <c r="AC442" i="25"/>
  <c r="AA443" i="25"/>
  <c r="AC443" i="25"/>
  <c r="AA444" i="25"/>
  <c r="AC444" i="25"/>
  <c r="AA445" i="25"/>
  <c r="AC445" i="25"/>
  <c r="AA446" i="25"/>
  <c r="AC446" i="25"/>
  <c r="AA447" i="25"/>
  <c r="AC447" i="25"/>
  <c r="AA448" i="25"/>
  <c r="AC448" i="25"/>
  <c r="AA449" i="25"/>
  <c r="AC449" i="25"/>
  <c r="AA450" i="25"/>
  <c r="AC450" i="25"/>
  <c r="AA451" i="25"/>
  <c r="AC451" i="25"/>
  <c r="AA452" i="25"/>
  <c r="AC452" i="25"/>
  <c r="AA453" i="25"/>
  <c r="AC453" i="25"/>
  <c r="AA454" i="25"/>
  <c r="AC454" i="25"/>
  <c r="AA455" i="25"/>
  <c r="AC455" i="25"/>
  <c r="AA456" i="25"/>
  <c r="AC456" i="25"/>
  <c r="AA457" i="25"/>
  <c r="AC457" i="25"/>
  <c r="AA458" i="25"/>
  <c r="AC458" i="25"/>
  <c r="AA459" i="25"/>
  <c r="AC459" i="25"/>
  <c r="AA460" i="25"/>
  <c r="AC460" i="25"/>
  <c r="AA461" i="25"/>
  <c r="AC461" i="25"/>
  <c r="AA462" i="25"/>
  <c r="AC462" i="25"/>
  <c r="AA463" i="25"/>
  <c r="AC463" i="25"/>
  <c r="AA464" i="25"/>
  <c r="AC464" i="25"/>
  <c r="AA465" i="25"/>
  <c r="AC465" i="25"/>
  <c r="AA466" i="25"/>
  <c r="AC466" i="25"/>
  <c r="AA467" i="25"/>
  <c r="AC467" i="25"/>
  <c r="AA468" i="25"/>
  <c r="AC468" i="25"/>
  <c r="AA469" i="25"/>
  <c r="AC469" i="25"/>
  <c r="AA470" i="25"/>
  <c r="AC470" i="25"/>
  <c r="AA471" i="25"/>
  <c r="AC471" i="25"/>
  <c r="AA472" i="25"/>
  <c r="AC472" i="25"/>
  <c r="AA473" i="25"/>
  <c r="AC473" i="25"/>
  <c r="AA474" i="25"/>
  <c r="AC474" i="25"/>
  <c r="AA475" i="25"/>
  <c r="AC475" i="25"/>
  <c r="AA476" i="25"/>
  <c r="AC476" i="25"/>
  <c r="AA477" i="25"/>
  <c r="AC477" i="25"/>
  <c r="AA478" i="25"/>
  <c r="AC478" i="25"/>
  <c r="AA479" i="25"/>
  <c r="AC479" i="25"/>
  <c r="AA480" i="25"/>
  <c r="AC480" i="25"/>
  <c r="AA481" i="25"/>
  <c r="AC481" i="25"/>
  <c r="AA482" i="25"/>
  <c r="AC482" i="25"/>
  <c r="AA483" i="25"/>
  <c r="AC483" i="25"/>
  <c r="AA484" i="25"/>
  <c r="AC484" i="25"/>
  <c r="AA485" i="25"/>
  <c r="AC485" i="25"/>
  <c r="AA486" i="25"/>
  <c r="AC486" i="25"/>
  <c r="AA487" i="25"/>
  <c r="AC487" i="25"/>
  <c r="AA488" i="25"/>
  <c r="AC488" i="25"/>
  <c r="AA489" i="25"/>
  <c r="AC489" i="25"/>
  <c r="AA490" i="25"/>
  <c r="AC490" i="25"/>
  <c r="AA491" i="25"/>
  <c r="AC491" i="25"/>
  <c r="AA492" i="25"/>
  <c r="AC492" i="25"/>
  <c r="AA493" i="25"/>
  <c r="AC493" i="25"/>
  <c r="AA494" i="25"/>
  <c r="AC494" i="25"/>
  <c r="AA495" i="25"/>
  <c r="AC495" i="25"/>
  <c r="AA496" i="25"/>
  <c r="AC496" i="25"/>
  <c r="AA497" i="25"/>
  <c r="AC497" i="25"/>
  <c r="AA498" i="25"/>
  <c r="AC498" i="25"/>
  <c r="AA499" i="25"/>
  <c r="AC499" i="25"/>
  <c r="AA500" i="25"/>
  <c r="AC500" i="25"/>
  <c r="AA501" i="25"/>
  <c r="AC501" i="25"/>
  <c r="AA502" i="25"/>
  <c r="AC502" i="25"/>
  <c r="AA503" i="25"/>
  <c r="AC503" i="25"/>
  <c r="AA504" i="25"/>
  <c r="AC504" i="25"/>
  <c r="AA505" i="25"/>
  <c r="AC505" i="25"/>
  <c r="Y7" i="25"/>
  <c r="Y8" i="25"/>
  <c r="Y9" i="25"/>
  <c r="Y10" i="25"/>
  <c r="Y11" i="25"/>
  <c r="Y12" i="25"/>
  <c r="Y13" i="25"/>
  <c r="Y14" i="25"/>
  <c r="Y15" i="25"/>
  <c r="Y16" i="25"/>
  <c r="Y17" i="25"/>
  <c r="Y18" i="25"/>
  <c r="Y19" i="25"/>
  <c r="Y20" i="25"/>
  <c r="Y21" i="25"/>
  <c r="Y22" i="25"/>
  <c r="Y23" i="25"/>
  <c r="Y24" i="25"/>
  <c r="Y25" i="25"/>
  <c r="Y26" i="25"/>
  <c r="Y27" i="25"/>
  <c r="Y28" i="25"/>
  <c r="Y29" i="25"/>
  <c r="Y30" i="25"/>
  <c r="Y31" i="25"/>
  <c r="Y32" i="25"/>
  <c r="Y33" i="25"/>
  <c r="Y34" i="25"/>
  <c r="Y35" i="25"/>
  <c r="Y36" i="25"/>
  <c r="Y37" i="25"/>
  <c r="Y38" i="25"/>
  <c r="Y39" i="25"/>
  <c r="Y40" i="25"/>
  <c r="Y41" i="25"/>
  <c r="Y42" i="25"/>
  <c r="Y43" i="25"/>
  <c r="Y44" i="25"/>
  <c r="Y45" i="25"/>
  <c r="Y46" i="25"/>
  <c r="Y47" i="25"/>
  <c r="Y48" i="25"/>
  <c r="Y49" i="25"/>
  <c r="Y50" i="25"/>
  <c r="Y51" i="25"/>
  <c r="Y52" i="25"/>
  <c r="Y53" i="25"/>
  <c r="Y54" i="25"/>
  <c r="Y55" i="25"/>
  <c r="Y56" i="25"/>
  <c r="Y57" i="25"/>
  <c r="Y58" i="25"/>
  <c r="Y59" i="25"/>
  <c r="Y60" i="25"/>
  <c r="Y61" i="25"/>
  <c r="Y62" i="25"/>
  <c r="Y63" i="25"/>
  <c r="Y64" i="25"/>
  <c r="Y65" i="25"/>
  <c r="Y66" i="25"/>
  <c r="Y67" i="25"/>
  <c r="Y68" i="25"/>
  <c r="Y69" i="25"/>
  <c r="Y70" i="25"/>
  <c r="Y71" i="25"/>
  <c r="Y72" i="25"/>
  <c r="Y73" i="25"/>
  <c r="Y74" i="25"/>
  <c r="Y75" i="25"/>
  <c r="Y76" i="25"/>
  <c r="Y77" i="25"/>
  <c r="Y78" i="25"/>
  <c r="Y79" i="25"/>
  <c r="Y80" i="25"/>
  <c r="Y81" i="25"/>
  <c r="Y82" i="25"/>
  <c r="Y83" i="25"/>
  <c r="Y84" i="25"/>
  <c r="Y85" i="25"/>
  <c r="Y86" i="25"/>
  <c r="Y87" i="25"/>
  <c r="Y88" i="25"/>
  <c r="Y89" i="25"/>
  <c r="Y90" i="25"/>
  <c r="Y91" i="25"/>
  <c r="Y92" i="25"/>
  <c r="Y93" i="25"/>
  <c r="Y94" i="25"/>
  <c r="Y95" i="25"/>
  <c r="Y96" i="25"/>
  <c r="Y97" i="25"/>
  <c r="Y98" i="25"/>
  <c r="Y99" i="25"/>
  <c r="Y100" i="25"/>
  <c r="Y101" i="25"/>
  <c r="Y102" i="25"/>
  <c r="Y103" i="25"/>
  <c r="Y104" i="25"/>
  <c r="Y105" i="25"/>
  <c r="Y106" i="25"/>
  <c r="Y107" i="25"/>
  <c r="Y108" i="25"/>
  <c r="Y109" i="25"/>
  <c r="Y110" i="25"/>
  <c r="Y111" i="25"/>
  <c r="Y112" i="25"/>
  <c r="Y113" i="25"/>
  <c r="Y114" i="25"/>
  <c r="Y115" i="25"/>
  <c r="Y116" i="25"/>
  <c r="Y117" i="25"/>
  <c r="Y118" i="25"/>
  <c r="Y119" i="25"/>
  <c r="Y120" i="25"/>
  <c r="Y121" i="25"/>
  <c r="Y122" i="25"/>
  <c r="Y123" i="25"/>
  <c r="Y124" i="25"/>
  <c r="Y125" i="25"/>
  <c r="Y126" i="25"/>
  <c r="Y127" i="25"/>
  <c r="Y128" i="25"/>
  <c r="Y129" i="25"/>
  <c r="Y130" i="25"/>
  <c r="Y131" i="25"/>
  <c r="Y132" i="25"/>
  <c r="Y133" i="25"/>
  <c r="Y134" i="25"/>
  <c r="Y135" i="25"/>
  <c r="Y136" i="25"/>
  <c r="Y137" i="25"/>
  <c r="Y138" i="25"/>
  <c r="Y139" i="25"/>
  <c r="Y140" i="25"/>
  <c r="Y141" i="25"/>
  <c r="Y142" i="25"/>
  <c r="Y143" i="25"/>
  <c r="Y144" i="25"/>
  <c r="Y145" i="25"/>
  <c r="Y146" i="25"/>
  <c r="Y147" i="25"/>
  <c r="Y148" i="25"/>
  <c r="Y149" i="25"/>
  <c r="Y150" i="25"/>
  <c r="Y151" i="25"/>
  <c r="Y152" i="25"/>
  <c r="Y153" i="25"/>
  <c r="Y154" i="25"/>
  <c r="Y155" i="25"/>
  <c r="Y156" i="25"/>
  <c r="Y157" i="25"/>
  <c r="Y158" i="25"/>
  <c r="Y159" i="25"/>
  <c r="Y160" i="25"/>
  <c r="Y161" i="25"/>
  <c r="Y162" i="25"/>
  <c r="Y163" i="25"/>
  <c r="Y164" i="25"/>
  <c r="Y165" i="25"/>
  <c r="Y166" i="25"/>
  <c r="Y167" i="25"/>
  <c r="Y168" i="25"/>
  <c r="Y169" i="25"/>
  <c r="Y170" i="25"/>
  <c r="Y171" i="25"/>
  <c r="Y172" i="25"/>
  <c r="Y173" i="25"/>
  <c r="Y174" i="25"/>
  <c r="Y175" i="25"/>
  <c r="Y176" i="25"/>
  <c r="Y177" i="25"/>
  <c r="Y178" i="25"/>
  <c r="Y179" i="25"/>
  <c r="Y180" i="25"/>
  <c r="Y181" i="25"/>
  <c r="Y182" i="25"/>
  <c r="Y183" i="25"/>
  <c r="Y184" i="25"/>
  <c r="Y185" i="25"/>
  <c r="Y186" i="25"/>
  <c r="Y187" i="25"/>
  <c r="Y188" i="25"/>
  <c r="Y189" i="25"/>
  <c r="Y190" i="25"/>
  <c r="Y191" i="25"/>
  <c r="Y192" i="25"/>
  <c r="Y193" i="25"/>
  <c r="Y194" i="25"/>
  <c r="Y195" i="25"/>
  <c r="Y196" i="25"/>
  <c r="Y197" i="25"/>
  <c r="Y198" i="25"/>
  <c r="Y199" i="25"/>
  <c r="Y200" i="25"/>
  <c r="Y201" i="25"/>
  <c r="Y202" i="25"/>
  <c r="Y203" i="25"/>
  <c r="Y204" i="25"/>
  <c r="Y205" i="25"/>
  <c r="Y206" i="25"/>
  <c r="Y207" i="25"/>
  <c r="Y208" i="25"/>
  <c r="Y209" i="25"/>
  <c r="Y210" i="25"/>
  <c r="Y211" i="25"/>
  <c r="Y212" i="25"/>
  <c r="Y213" i="25"/>
  <c r="Y214" i="25"/>
  <c r="Y215" i="25"/>
  <c r="Y216" i="25"/>
  <c r="Y217" i="25"/>
  <c r="Y218" i="25"/>
  <c r="Y219" i="25"/>
  <c r="Y220" i="25"/>
  <c r="Y221" i="25"/>
  <c r="Y222" i="25"/>
  <c r="Y223" i="25"/>
  <c r="Y224" i="25"/>
  <c r="Y225" i="25"/>
  <c r="Y226" i="25"/>
  <c r="Y227" i="25"/>
  <c r="Y228" i="25"/>
  <c r="Y229" i="25"/>
  <c r="Y230" i="25"/>
  <c r="Y231" i="25"/>
  <c r="Y232" i="25"/>
  <c r="Y233" i="25"/>
  <c r="Y234" i="25"/>
  <c r="Y235" i="25"/>
  <c r="Y236" i="25"/>
  <c r="Y237" i="25"/>
  <c r="Y238" i="25"/>
  <c r="Y239" i="25"/>
  <c r="Y240" i="25"/>
  <c r="Y241" i="25"/>
  <c r="Y242" i="25"/>
  <c r="Y243" i="25"/>
  <c r="Y244" i="25"/>
  <c r="Y245" i="25"/>
  <c r="Y246" i="25"/>
  <c r="Y247" i="25"/>
  <c r="Y248" i="25"/>
  <c r="Y249" i="25"/>
  <c r="Y250" i="25"/>
  <c r="Y251" i="25"/>
  <c r="Y252" i="25"/>
  <c r="Y253" i="25"/>
  <c r="Y254" i="25"/>
  <c r="Y255" i="25"/>
  <c r="Y256" i="25"/>
  <c r="Y257" i="25"/>
  <c r="Y258" i="25"/>
  <c r="Y259" i="25"/>
  <c r="Y260" i="25"/>
  <c r="Y261" i="25"/>
  <c r="Y262" i="25"/>
  <c r="Y263" i="25"/>
  <c r="Y264" i="25"/>
  <c r="Y265" i="25"/>
  <c r="Y266" i="25"/>
  <c r="Y267" i="25"/>
  <c r="Y268" i="25"/>
  <c r="Y269" i="25"/>
  <c r="Y270" i="25"/>
  <c r="Y271" i="25"/>
  <c r="Y272" i="25"/>
  <c r="Y273" i="25"/>
  <c r="Y274" i="25"/>
  <c r="Y275" i="25"/>
  <c r="Y276" i="25"/>
  <c r="Y277" i="25"/>
  <c r="Y278" i="25"/>
  <c r="Y279" i="25"/>
  <c r="Y280" i="25"/>
  <c r="Y281" i="25"/>
  <c r="Y282" i="25"/>
  <c r="Y283" i="25"/>
  <c r="Y284" i="25"/>
  <c r="Y285" i="25"/>
  <c r="Y286" i="25"/>
  <c r="Y287" i="25"/>
  <c r="Y288" i="25"/>
  <c r="Y289" i="25"/>
  <c r="Y290" i="25"/>
  <c r="Y291" i="25"/>
  <c r="Y292" i="25"/>
  <c r="Y293" i="25"/>
  <c r="Y294" i="25"/>
  <c r="Y295" i="25"/>
  <c r="Y296" i="25"/>
  <c r="Y297" i="25"/>
  <c r="Y298" i="25"/>
  <c r="Y299" i="25"/>
  <c r="Y300" i="25"/>
  <c r="Y301" i="25"/>
  <c r="Y302" i="25"/>
  <c r="Y303" i="25"/>
  <c r="Y304" i="25"/>
  <c r="Y305" i="25"/>
  <c r="Y306" i="25"/>
  <c r="Y307" i="25"/>
  <c r="Y308" i="25"/>
  <c r="Y309" i="25"/>
  <c r="Y310" i="25"/>
  <c r="Y311" i="25"/>
  <c r="Y312" i="25"/>
  <c r="Y313" i="25"/>
  <c r="Y314" i="25"/>
  <c r="Y315" i="25"/>
  <c r="Y316" i="25"/>
  <c r="Y317" i="25"/>
  <c r="Y318" i="25"/>
  <c r="Y319" i="25"/>
  <c r="Y320" i="25"/>
  <c r="Y321" i="25"/>
  <c r="Y322" i="25"/>
  <c r="Y323" i="25"/>
  <c r="Y324" i="25"/>
  <c r="Y325" i="25"/>
  <c r="Y326" i="25"/>
  <c r="Y327" i="25"/>
  <c r="Y328" i="25"/>
  <c r="Y329" i="25"/>
  <c r="Y330" i="25"/>
  <c r="Y331" i="25"/>
  <c r="Y332" i="25"/>
  <c r="Y333" i="25"/>
  <c r="Y334" i="25"/>
  <c r="Y335" i="25"/>
  <c r="Y336" i="25"/>
  <c r="Y337" i="25"/>
  <c r="Y338" i="25"/>
  <c r="Y339" i="25"/>
  <c r="Y340" i="25"/>
  <c r="Y341" i="25"/>
  <c r="Y342" i="25"/>
  <c r="Y343" i="25"/>
  <c r="Y344" i="25"/>
  <c r="Y345" i="25"/>
  <c r="Y346" i="25"/>
  <c r="Y347" i="25"/>
  <c r="Y348" i="25"/>
  <c r="Y349" i="25"/>
  <c r="Y350" i="25"/>
  <c r="Y351" i="25"/>
  <c r="Y352" i="25"/>
  <c r="Y353" i="25"/>
  <c r="Y354" i="25"/>
  <c r="Y355" i="25"/>
  <c r="Y356" i="25"/>
  <c r="Y357" i="25"/>
  <c r="Y358" i="25"/>
  <c r="Y359" i="25"/>
  <c r="Y360" i="25"/>
  <c r="Y361" i="25"/>
  <c r="Y362" i="25"/>
  <c r="Y363" i="25"/>
  <c r="Y364" i="25"/>
  <c r="Y365" i="25"/>
  <c r="Y366" i="25"/>
  <c r="Y367" i="25"/>
  <c r="Y368" i="25"/>
  <c r="Y369" i="25"/>
  <c r="Y370" i="25"/>
  <c r="Y371" i="25"/>
  <c r="Y372" i="25"/>
  <c r="Y373" i="25"/>
  <c r="Y374" i="25"/>
  <c r="Y375" i="25"/>
  <c r="Y376" i="25"/>
  <c r="Y377" i="25"/>
  <c r="Y378" i="25"/>
  <c r="Y379" i="25"/>
  <c r="Y380" i="25"/>
  <c r="Y381" i="25"/>
  <c r="Y382" i="25"/>
  <c r="Y383" i="25"/>
  <c r="Y384" i="25"/>
  <c r="Y385" i="25"/>
  <c r="Y386" i="25"/>
  <c r="Y387" i="25"/>
  <c r="Y388" i="25"/>
  <c r="Y389" i="25"/>
  <c r="Y390" i="25"/>
  <c r="Y391" i="25"/>
  <c r="Y392" i="25"/>
  <c r="Y393" i="25"/>
  <c r="Y394" i="25"/>
  <c r="Y395" i="25"/>
  <c r="Y396" i="25"/>
  <c r="Y397" i="25"/>
  <c r="Y398" i="25"/>
  <c r="Y399" i="25"/>
  <c r="Y400" i="25"/>
  <c r="Y401" i="25"/>
  <c r="Y402" i="25"/>
  <c r="Y403" i="25"/>
  <c r="Y404" i="25"/>
  <c r="Y405" i="25"/>
  <c r="Y406" i="25"/>
  <c r="Y407" i="25"/>
  <c r="Y408" i="25"/>
  <c r="Y409" i="25"/>
  <c r="Y410" i="25"/>
  <c r="Y411" i="25"/>
  <c r="Y412" i="25"/>
  <c r="Y413" i="25"/>
  <c r="Y414" i="25"/>
  <c r="Y415" i="25"/>
  <c r="Y416" i="25"/>
  <c r="Y417" i="25"/>
  <c r="Y418" i="25"/>
  <c r="Y419" i="25"/>
  <c r="Y420" i="25"/>
  <c r="Y421" i="25"/>
  <c r="Y422" i="25"/>
  <c r="Y423" i="25"/>
  <c r="Y424" i="25"/>
  <c r="Y425" i="25"/>
  <c r="Y426" i="25"/>
  <c r="Y427" i="25"/>
  <c r="Y428" i="25"/>
  <c r="Y429" i="25"/>
  <c r="Y430" i="25"/>
  <c r="Y431" i="25"/>
  <c r="Y432" i="25"/>
  <c r="Y433" i="25"/>
  <c r="Y434" i="25"/>
  <c r="Y435" i="25"/>
  <c r="Y436" i="25"/>
  <c r="Y437" i="25"/>
  <c r="Y438" i="25"/>
  <c r="Y439" i="25"/>
  <c r="Y440" i="25"/>
  <c r="Y441" i="25"/>
  <c r="Y442" i="25"/>
  <c r="Y443" i="25"/>
  <c r="Y444" i="25"/>
  <c r="Y445" i="25"/>
  <c r="Y446" i="25"/>
  <c r="Y447" i="25"/>
  <c r="Y448" i="25"/>
  <c r="Y449" i="25"/>
  <c r="Y450" i="25"/>
  <c r="Y451" i="25"/>
  <c r="Y452" i="25"/>
  <c r="Y453" i="25"/>
  <c r="Y454" i="25"/>
  <c r="Y455" i="25"/>
  <c r="Y456" i="25"/>
  <c r="Y457" i="25"/>
  <c r="Y458" i="25"/>
  <c r="Y459" i="25"/>
  <c r="Y460" i="25"/>
  <c r="Y461" i="25"/>
  <c r="Y462" i="25"/>
  <c r="Y463" i="25"/>
  <c r="Y464" i="25"/>
  <c r="Y465" i="25"/>
  <c r="Y466" i="25"/>
  <c r="Y467" i="25"/>
  <c r="Y468" i="25"/>
  <c r="Y469" i="25"/>
  <c r="Y470" i="25"/>
  <c r="Y471" i="25"/>
  <c r="Y472" i="25"/>
  <c r="Y473" i="25"/>
  <c r="Y474" i="25"/>
  <c r="Y475" i="25"/>
  <c r="Y476" i="25"/>
  <c r="Y477" i="25"/>
  <c r="Y478" i="25"/>
  <c r="Y479" i="25"/>
  <c r="Y480" i="25"/>
  <c r="Y481" i="25"/>
  <c r="Y482" i="25"/>
  <c r="Y483" i="25"/>
  <c r="Y484" i="25"/>
  <c r="Y485" i="25"/>
  <c r="Y486" i="25"/>
  <c r="Y487" i="25"/>
  <c r="Y488" i="25"/>
  <c r="Y489" i="25"/>
  <c r="Y490" i="25"/>
  <c r="Y491" i="25"/>
  <c r="Y492" i="25"/>
  <c r="Y493" i="25"/>
  <c r="Y494" i="25"/>
  <c r="Y495" i="25"/>
  <c r="Y496" i="25"/>
  <c r="Y497" i="25"/>
  <c r="Y498" i="25"/>
  <c r="Y499" i="25"/>
  <c r="Y500" i="25"/>
  <c r="Y501" i="25"/>
  <c r="Y502" i="25"/>
  <c r="Y503" i="25"/>
  <c r="Y504" i="25"/>
  <c r="Y505" i="25"/>
  <c r="Y506" i="25"/>
  <c r="AA506" i="25"/>
  <c r="AC506" i="25"/>
  <c r="Y507" i="25"/>
  <c r="AA507" i="25"/>
  <c r="AC507" i="25"/>
  <c r="Y508" i="25"/>
  <c r="AA508" i="25"/>
  <c r="AC508" i="25"/>
  <c r="Y509" i="25"/>
  <c r="AA509" i="25"/>
  <c r="AC509" i="25"/>
  <c r="Y510" i="25"/>
  <c r="AA510" i="25"/>
  <c r="AC510" i="25"/>
  <c r="Y511" i="25"/>
  <c r="AA511" i="25"/>
  <c r="AC511" i="25"/>
  <c r="Y512" i="25"/>
  <c r="AA512" i="25"/>
  <c r="AC512" i="25"/>
  <c r="Y513" i="25"/>
  <c r="AA513" i="25"/>
  <c r="AC513" i="25"/>
  <c r="Y514" i="25"/>
  <c r="AA514" i="25"/>
  <c r="AC514" i="25"/>
  <c r="Y515" i="25"/>
  <c r="AA515" i="25"/>
  <c r="AC515" i="25"/>
  <c r="Y516" i="25"/>
  <c r="AA516" i="25"/>
  <c r="AC516" i="25"/>
  <c r="Y517" i="25"/>
  <c r="AA517" i="25"/>
  <c r="AC517" i="25"/>
  <c r="Y518" i="25"/>
  <c r="AA518" i="25"/>
  <c r="AC518" i="25"/>
  <c r="Y519" i="25"/>
  <c r="AA519" i="25"/>
  <c r="AC519" i="25"/>
  <c r="Y520" i="25"/>
  <c r="AA520" i="25"/>
  <c r="AC520" i="25"/>
  <c r="Y521" i="25"/>
  <c r="AA521" i="25"/>
  <c r="AC521" i="25"/>
  <c r="Y522" i="25"/>
  <c r="AA522" i="25"/>
  <c r="AC522" i="25"/>
  <c r="Y523" i="25"/>
  <c r="AA523" i="25"/>
  <c r="AC523" i="25"/>
  <c r="Y524" i="25"/>
  <c r="AA524" i="25"/>
  <c r="AC524" i="25"/>
  <c r="Y525" i="25"/>
  <c r="AA525" i="25"/>
  <c r="AC525" i="25"/>
  <c r="Y526" i="25"/>
  <c r="AA526" i="25"/>
  <c r="AC526" i="25"/>
  <c r="Y527" i="25"/>
  <c r="AA527" i="25"/>
  <c r="AC527" i="25"/>
  <c r="Y528" i="25"/>
  <c r="AA528" i="25"/>
  <c r="AC528" i="25"/>
  <c r="Y529" i="25"/>
  <c r="AA529" i="25"/>
  <c r="AC529" i="25"/>
  <c r="Y530" i="25"/>
  <c r="AA530" i="25"/>
  <c r="AC530" i="25"/>
  <c r="Y531" i="25"/>
  <c r="AA531" i="25"/>
  <c r="AC531" i="25"/>
  <c r="Y532" i="25"/>
  <c r="AA532" i="25"/>
  <c r="AC532" i="25"/>
  <c r="Y533" i="25"/>
  <c r="AA533" i="25"/>
  <c r="AC533" i="25"/>
  <c r="Y534" i="25"/>
  <c r="AA534" i="25"/>
  <c r="AC534" i="25"/>
  <c r="Y535" i="25"/>
  <c r="AA535" i="25"/>
  <c r="AC535" i="25"/>
  <c r="Y536" i="25"/>
  <c r="AA536" i="25"/>
  <c r="AC536" i="25"/>
  <c r="Y537" i="25"/>
  <c r="AA537" i="25"/>
  <c r="AC537" i="25"/>
  <c r="Y538" i="25"/>
  <c r="AA538" i="25"/>
  <c r="AC538" i="25"/>
  <c r="Y539" i="25"/>
  <c r="AA539" i="25"/>
  <c r="AC539" i="25"/>
  <c r="Y540" i="25"/>
  <c r="AA540" i="25"/>
  <c r="AC540" i="25"/>
  <c r="Y541" i="25"/>
  <c r="AA541" i="25"/>
  <c r="AC541" i="25"/>
  <c r="Y542" i="25"/>
  <c r="AA542" i="25"/>
  <c r="AC542" i="25"/>
  <c r="Y543" i="25"/>
  <c r="AA543" i="25"/>
  <c r="AC543" i="25"/>
  <c r="Y544" i="25"/>
  <c r="AA544" i="25"/>
  <c r="AC544" i="25"/>
  <c r="Y545" i="25"/>
  <c r="AA545" i="25"/>
  <c r="AC545" i="25"/>
  <c r="Y546" i="25"/>
  <c r="AA546" i="25"/>
  <c r="AC546" i="25"/>
  <c r="Y547" i="25"/>
  <c r="AA547" i="25"/>
  <c r="AC547" i="25"/>
  <c r="Y548" i="25"/>
  <c r="AA548" i="25"/>
  <c r="AC548" i="25"/>
  <c r="Y549" i="25"/>
  <c r="AA549" i="25"/>
  <c r="AC549" i="25"/>
  <c r="Y550" i="25"/>
  <c r="AA550" i="25"/>
  <c r="AC550" i="25"/>
  <c r="Y551" i="25"/>
  <c r="AA551" i="25"/>
  <c r="AC551" i="25"/>
  <c r="Y552" i="25"/>
  <c r="AA552" i="25"/>
  <c r="AC552" i="25"/>
  <c r="Y553" i="25"/>
  <c r="AA553" i="25"/>
  <c r="AC553" i="25"/>
  <c r="Y554" i="25"/>
  <c r="AA554" i="25"/>
  <c r="AC554" i="25"/>
  <c r="Y555" i="25"/>
  <c r="AA555" i="25"/>
  <c r="AC555" i="25"/>
  <c r="Y556" i="25"/>
  <c r="AA556" i="25"/>
  <c r="AC556" i="25"/>
  <c r="Y557" i="25"/>
  <c r="AA557" i="25"/>
  <c r="AC557" i="25"/>
  <c r="Y558" i="25"/>
  <c r="AA558" i="25"/>
  <c r="AC558" i="25"/>
  <c r="Y559" i="25"/>
  <c r="AA559" i="25"/>
  <c r="AC559" i="25"/>
  <c r="Y560" i="25"/>
  <c r="AA560" i="25"/>
  <c r="AC560" i="25"/>
  <c r="Y561" i="25"/>
  <c r="AA561" i="25"/>
  <c r="AC561" i="25"/>
  <c r="Y562" i="25"/>
  <c r="AA562" i="25"/>
  <c r="AC562" i="25"/>
  <c r="Y563" i="25"/>
  <c r="AA563" i="25"/>
  <c r="AC563" i="25"/>
  <c r="Y564" i="25"/>
  <c r="AA564" i="25"/>
  <c r="AC564" i="25"/>
  <c r="Y565" i="25"/>
  <c r="AA565" i="25"/>
  <c r="AC565" i="25"/>
  <c r="Y566" i="25"/>
  <c r="AA566" i="25"/>
  <c r="AC566" i="25"/>
  <c r="Y567" i="25"/>
  <c r="AA567" i="25"/>
  <c r="AC567" i="25"/>
  <c r="Y568" i="25"/>
  <c r="AA568" i="25"/>
  <c r="AC568" i="25"/>
  <c r="Y569" i="25"/>
  <c r="AA569" i="25"/>
  <c r="AC569" i="25"/>
  <c r="Y570" i="25"/>
  <c r="AA570" i="25"/>
  <c r="AC570" i="25"/>
  <c r="Y571" i="25"/>
  <c r="AA571" i="25"/>
  <c r="AC571" i="25"/>
  <c r="Y572" i="25"/>
  <c r="AA572" i="25"/>
  <c r="AC572" i="25"/>
  <c r="Y573" i="25"/>
  <c r="AA573" i="25"/>
  <c r="AC573" i="25"/>
  <c r="Y574" i="25"/>
  <c r="AA574" i="25"/>
  <c r="AC574" i="25"/>
  <c r="Y575" i="25"/>
  <c r="AA575" i="25"/>
  <c r="AC575" i="25"/>
  <c r="Y576" i="25"/>
  <c r="AA576" i="25"/>
  <c r="AC576" i="25"/>
  <c r="Y577" i="25"/>
  <c r="AA577" i="25"/>
  <c r="AC577" i="25"/>
  <c r="Y578" i="25"/>
  <c r="AA578" i="25"/>
  <c r="AC578" i="25"/>
  <c r="Y579" i="25"/>
  <c r="AA579" i="25"/>
  <c r="AC579" i="25"/>
  <c r="Y580" i="25"/>
  <c r="AA580" i="25"/>
  <c r="AC580" i="25"/>
  <c r="Y581" i="25"/>
  <c r="AA581" i="25"/>
  <c r="AC581" i="25"/>
  <c r="Y582" i="25"/>
  <c r="AA582" i="25"/>
  <c r="AC582" i="25"/>
  <c r="Y583" i="25"/>
  <c r="AA583" i="25"/>
  <c r="AC583" i="25"/>
  <c r="Y584" i="25"/>
  <c r="AA584" i="25"/>
  <c r="AC584" i="25"/>
  <c r="Y585" i="25"/>
  <c r="AA585" i="25"/>
  <c r="AC585" i="25"/>
  <c r="Y586" i="25"/>
  <c r="AA586" i="25"/>
  <c r="AC586" i="25"/>
  <c r="Y587" i="25"/>
  <c r="AA587" i="25"/>
  <c r="AC587" i="25"/>
  <c r="Y588" i="25"/>
  <c r="AA588" i="25"/>
  <c r="AC588" i="25"/>
  <c r="Y589" i="25"/>
  <c r="AA589" i="25"/>
  <c r="AC589" i="25"/>
  <c r="Y590" i="25"/>
  <c r="AA590" i="25"/>
  <c r="AC590" i="25"/>
  <c r="Y591" i="25"/>
  <c r="AA591" i="25"/>
  <c r="AC591" i="25"/>
  <c r="Y592" i="25"/>
  <c r="AA592" i="25"/>
  <c r="AC592" i="25"/>
  <c r="Y593" i="25"/>
  <c r="AA593" i="25"/>
  <c r="AC593" i="25"/>
  <c r="Y594" i="25"/>
  <c r="AA594" i="25"/>
  <c r="AC594" i="25"/>
  <c r="Y595" i="25"/>
  <c r="AA595" i="25"/>
  <c r="AC595" i="25"/>
  <c r="Y596" i="25"/>
  <c r="AA596" i="25"/>
  <c r="AC596" i="25"/>
  <c r="Y597" i="25"/>
  <c r="AA597" i="25"/>
  <c r="AC597" i="25"/>
  <c r="Y598" i="25"/>
  <c r="AA598" i="25"/>
  <c r="AC598" i="25"/>
  <c r="Y599" i="25"/>
  <c r="AA599" i="25"/>
  <c r="AC599" i="25"/>
  <c r="Y600" i="25"/>
  <c r="AA600" i="25"/>
  <c r="AC600" i="25"/>
  <c r="Y601" i="25"/>
  <c r="AA601" i="25"/>
  <c r="AC601" i="25"/>
  <c r="Y602" i="25"/>
  <c r="AA602" i="25"/>
  <c r="AC602" i="25"/>
  <c r="Y603" i="25"/>
  <c r="AA603" i="25"/>
  <c r="AC603" i="25"/>
  <c r="Y604" i="25"/>
  <c r="AA604" i="25"/>
  <c r="AC604" i="25"/>
  <c r="Y605" i="25"/>
  <c r="AA605" i="25"/>
  <c r="AC605" i="25"/>
  <c r="Y606" i="25"/>
  <c r="AA606" i="25"/>
  <c r="AC606" i="25"/>
  <c r="Y607" i="25"/>
  <c r="AA607" i="25"/>
  <c r="AC607" i="25"/>
  <c r="Y608" i="25"/>
  <c r="AA608" i="25"/>
  <c r="AC608" i="25"/>
  <c r="Y609" i="25"/>
  <c r="AA609" i="25"/>
  <c r="AC609" i="25"/>
  <c r="Y610" i="25"/>
  <c r="AA610" i="25"/>
  <c r="AC610" i="25"/>
  <c r="Y611" i="25"/>
  <c r="AA611" i="25"/>
  <c r="AC611" i="25"/>
  <c r="Y612" i="25"/>
  <c r="AA612" i="25"/>
  <c r="AC612" i="25"/>
  <c r="Y613" i="25"/>
  <c r="AA613" i="25"/>
  <c r="AC613" i="25"/>
  <c r="Y614" i="25"/>
  <c r="AA614" i="25"/>
  <c r="AC614" i="25"/>
  <c r="Y615" i="25"/>
  <c r="AA615" i="25"/>
  <c r="AC615" i="25"/>
  <c r="Y616" i="25"/>
  <c r="AA616" i="25"/>
  <c r="AC616" i="25"/>
  <c r="Y617" i="25"/>
  <c r="AA617" i="25"/>
  <c r="AC617" i="25"/>
  <c r="Y618" i="25"/>
  <c r="AA618" i="25"/>
  <c r="AC618" i="25"/>
  <c r="Y619" i="25"/>
  <c r="AA619" i="25"/>
  <c r="AC619" i="25"/>
  <c r="Y620" i="25"/>
  <c r="AA620" i="25"/>
  <c r="AC620" i="25"/>
  <c r="Y621" i="25"/>
  <c r="AA621" i="25"/>
  <c r="AC621" i="25"/>
  <c r="Y622" i="25"/>
  <c r="AA622" i="25"/>
  <c r="AC622" i="25"/>
  <c r="Y623" i="25"/>
  <c r="AA623" i="25"/>
  <c r="AC623" i="25"/>
  <c r="Y624" i="25"/>
  <c r="AA624" i="25"/>
  <c r="AC624" i="25"/>
  <c r="Y625" i="25"/>
  <c r="AA625" i="25"/>
  <c r="AC625" i="25"/>
  <c r="Y626" i="25"/>
  <c r="AA626" i="25"/>
  <c r="AC626" i="25"/>
  <c r="Y627" i="25"/>
  <c r="AA627" i="25"/>
  <c r="AC627" i="25"/>
  <c r="Y628" i="25"/>
  <c r="AA628" i="25"/>
  <c r="AC628" i="25"/>
  <c r="Y629" i="25"/>
  <c r="AA629" i="25"/>
  <c r="AC629" i="25"/>
  <c r="Y630" i="25"/>
  <c r="AA630" i="25"/>
  <c r="AC630" i="25"/>
  <c r="Y631" i="25"/>
  <c r="AA631" i="25"/>
  <c r="AC631" i="25"/>
  <c r="Y632" i="25"/>
  <c r="AA632" i="25"/>
  <c r="AC632" i="25"/>
  <c r="Y633" i="25"/>
  <c r="AA633" i="25"/>
  <c r="AC633" i="25"/>
  <c r="Y634" i="25"/>
  <c r="AA634" i="25"/>
  <c r="AC634" i="25"/>
  <c r="Y635" i="25"/>
  <c r="AA635" i="25"/>
  <c r="AC635" i="25"/>
  <c r="Y636" i="25"/>
  <c r="AA636" i="25"/>
  <c r="AC636" i="25"/>
  <c r="Y637" i="25"/>
  <c r="AA637" i="25"/>
  <c r="AC637" i="25"/>
  <c r="Y638" i="25"/>
  <c r="AA638" i="25"/>
  <c r="AC638" i="25"/>
  <c r="Y639" i="25"/>
  <c r="AA639" i="25"/>
  <c r="AC639" i="25"/>
  <c r="Y640" i="25"/>
  <c r="AA640" i="25"/>
  <c r="AC640" i="25"/>
  <c r="Y641" i="25"/>
  <c r="AA641" i="25"/>
  <c r="AC641" i="25"/>
  <c r="Y642" i="25"/>
  <c r="AA642" i="25"/>
  <c r="AC642" i="25"/>
  <c r="Y643" i="25"/>
  <c r="AA643" i="25"/>
  <c r="AC643" i="25"/>
  <c r="Y644" i="25"/>
  <c r="AA644" i="25"/>
  <c r="AC644" i="25"/>
  <c r="Y645" i="25"/>
  <c r="AA645" i="25"/>
  <c r="AC645" i="25"/>
  <c r="Y646" i="25"/>
  <c r="AA646" i="25"/>
  <c r="AC646" i="25"/>
  <c r="Y647" i="25"/>
  <c r="AA647" i="25"/>
  <c r="AC647" i="25"/>
  <c r="Y648" i="25"/>
  <c r="AA648" i="25"/>
  <c r="AC648" i="25"/>
  <c r="Y649" i="25"/>
  <c r="AA649" i="25"/>
  <c r="AC649" i="25"/>
  <c r="Y650" i="25"/>
  <c r="AA650" i="25"/>
  <c r="AC650" i="25"/>
  <c r="Y651" i="25"/>
  <c r="AA651" i="25"/>
  <c r="AC651" i="25"/>
  <c r="Y652" i="25"/>
  <c r="AA652" i="25"/>
  <c r="AC652" i="25"/>
  <c r="Y653" i="25"/>
  <c r="AA653" i="25"/>
  <c r="AC653" i="25"/>
  <c r="Y654" i="25"/>
  <c r="AA654" i="25"/>
  <c r="AC654" i="25"/>
  <c r="Y655" i="25"/>
  <c r="AA655" i="25"/>
  <c r="AC655" i="25"/>
  <c r="Y656" i="25"/>
  <c r="AA656" i="25"/>
  <c r="AC656" i="25"/>
  <c r="Y657" i="25"/>
  <c r="AA657" i="25"/>
  <c r="AC657" i="25"/>
  <c r="Y658" i="25"/>
  <c r="AA658" i="25"/>
  <c r="AC658" i="25"/>
  <c r="Y659" i="25"/>
  <c r="AA659" i="25"/>
  <c r="AC659" i="25"/>
  <c r="Y660" i="25"/>
  <c r="AA660" i="25"/>
  <c r="AC660" i="25"/>
  <c r="Y661" i="25"/>
  <c r="AA661" i="25"/>
  <c r="AC661" i="25"/>
  <c r="Y662" i="25"/>
  <c r="AA662" i="25"/>
  <c r="AC662" i="25"/>
  <c r="Y663" i="25"/>
  <c r="AA663" i="25"/>
  <c r="AC663" i="25"/>
  <c r="Y664" i="25"/>
  <c r="AA664" i="25"/>
  <c r="AC664" i="25"/>
  <c r="Y665" i="25"/>
  <c r="AA665" i="25"/>
  <c r="AC665" i="25"/>
  <c r="Y666" i="25"/>
  <c r="AA666" i="25"/>
  <c r="AC666" i="25"/>
  <c r="Y667" i="25"/>
  <c r="AA667" i="25"/>
  <c r="AC667" i="25"/>
  <c r="Y668" i="25"/>
  <c r="AA668" i="25"/>
  <c r="AC668" i="25"/>
  <c r="Y669" i="25"/>
  <c r="AA669" i="25"/>
  <c r="AC669" i="25"/>
  <c r="Y670" i="25"/>
  <c r="AA670" i="25"/>
  <c r="AC670" i="25"/>
  <c r="Y671" i="25"/>
  <c r="AA671" i="25"/>
  <c r="AC671" i="25"/>
  <c r="Y672" i="25"/>
  <c r="AA672" i="25"/>
  <c r="AC672" i="25"/>
  <c r="Y673" i="25"/>
  <c r="AA673" i="25"/>
  <c r="AC673" i="25"/>
  <c r="Y674" i="25"/>
  <c r="AA674" i="25"/>
  <c r="AC674" i="25"/>
  <c r="Y675" i="25"/>
  <c r="AA675" i="25"/>
  <c r="AC675" i="25"/>
  <c r="Y676" i="25"/>
  <c r="AA676" i="25"/>
  <c r="AC676" i="25"/>
  <c r="Y677" i="25"/>
  <c r="AA677" i="25"/>
  <c r="AC677" i="25"/>
  <c r="Y678" i="25"/>
  <c r="AA678" i="25"/>
  <c r="AC678" i="25"/>
  <c r="Y679" i="25"/>
  <c r="AA679" i="25"/>
  <c r="AC679" i="25"/>
  <c r="Y680" i="25"/>
  <c r="AA680" i="25"/>
  <c r="AC680" i="25"/>
  <c r="Y681" i="25"/>
  <c r="AA681" i="25"/>
  <c r="AC681" i="25"/>
  <c r="Y682" i="25"/>
  <c r="AA682" i="25"/>
  <c r="AC682" i="25"/>
  <c r="Y683" i="25"/>
  <c r="AA683" i="25"/>
  <c r="AC683" i="25"/>
  <c r="Y684" i="25"/>
  <c r="AA684" i="25"/>
  <c r="AC684" i="25"/>
  <c r="Y685" i="25"/>
  <c r="AA685" i="25"/>
  <c r="AC685" i="25"/>
  <c r="Y686" i="25"/>
  <c r="AA686" i="25"/>
  <c r="AC686" i="25"/>
  <c r="Y687" i="25"/>
  <c r="AA687" i="25"/>
  <c r="AC687" i="25"/>
  <c r="Y688" i="25"/>
  <c r="AA688" i="25"/>
  <c r="AC688" i="25"/>
  <c r="Y689" i="25"/>
  <c r="AA689" i="25"/>
  <c r="AC689" i="25"/>
  <c r="Y690" i="25"/>
  <c r="AA690" i="25"/>
  <c r="AC690" i="25"/>
  <c r="Y691" i="25"/>
  <c r="AA691" i="25"/>
  <c r="AC691" i="25"/>
  <c r="Y692" i="25"/>
  <c r="AA692" i="25"/>
  <c r="AC692" i="25"/>
  <c r="Y693" i="25"/>
  <c r="AA693" i="25"/>
  <c r="AC693" i="25"/>
  <c r="Y694" i="25"/>
  <c r="AA694" i="25"/>
  <c r="AC694" i="25"/>
  <c r="Y695" i="25"/>
  <c r="AA695" i="25"/>
  <c r="AC695" i="25"/>
  <c r="Y696" i="25"/>
  <c r="AA696" i="25"/>
  <c r="AC696" i="25"/>
  <c r="Y697" i="25"/>
  <c r="AA697" i="25"/>
  <c r="AC697" i="25"/>
  <c r="Y698" i="25"/>
  <c r="AA698" i="25"/>
  <c r="AC698" i="25"/>
  <c r="Y699" i="25"/>
  <c r="AA699" i="25"/>
  <c r="AC699" i="25"/>
  <c r="Y700" i="25"/>
  <c r="AA700" i="25"/>
  <c r="AC700" i="25"/>
  <c r="Y701" i="25"/>
  <c r="AA701" i="25"/>
  <c r="AC701" i="25"/>
  <c r="Y702" i="25"/>
  <c r="AA702" i="25"/>
  <c r="AC702" i="25"/>
  <c r="Y703" i="25"/>
  <c r="AA703" i="25"/>
  <c r="AC703" i="25"/>
  <c r="Y704" i="25"/>
  <c r="AA704" i="25"/>
  <c r="AC704" i="25"/>
  <c r="Y705" i="25"/>
  <c r="AA705" i="25"/>
  <c r="AC705" i="25"/>
  <c r="Y706" i="25"/>
  <c r="AA706" i="25"/>
  <c r="AC706" i="25"/>
  <c r="Y707" i="25"/>
  <c r="AA707" i="25"/>
  <c r="AC707" i="25"/>
  <c r="Y708" i="25"/>
  <c r="AA708" i="25"/>
  <c r="AC708" i="25"/>
  <c r="Y709" i="25"/>
  <c r="AA709" i="25"/>
  <c r="AC709" i="25"/>
  <c r="Y710" i="25"/>
  <c r="AA710" i="25"/>
  <c r="AC710" i="25"/>
  <c r="Y711" i="25"/>
  <c r="AA711" i="25"/>
  <c r="AC711" i="25"/>
  <c r="Y712" i="25"/>
  <c r="AA712" i="25"/>
  <c r="AC712" i="25"/>
  <c r="Y713" i="25"/>
  <c r="AA713" i="25"/>
  <c r="AC713" i="25"/>
  <c r="Y714" i="25"/>
  <c r="AA714" i="25"/>
  <c r="AC714" i="25"/>
  <c r="Y715" i="25"/>
  <c r="AA715" i="25"/>
  <c r="AC715" i="25"/>
  <c r="Y716" i="25"/>
  <c r="AA716" i="25"/>
  <c r="AC716" i="25"/>
  <c r="Y717" i="25"/>
  <c r="AA717" i="25"/>
  <c r="AC717" i="25"/>
  <c r="Y718" i="25"/>
  <c r="AA718" i="25"/>
  <c r="AC718" i="25"/>
  <c r="Y719" i="25"/>
  <c r="AA719" i="25"/>
  <c r="AC719" i="25"/>
  <c r="Y720" i="25"/>
  <c r="AA720" i="25"/>
  <c r="AC720" i="25"/>
  <c r="Y721" i="25"/>
  <c r="AA721" i="25"/>
  <c r="AC721" i="25"/>
  <c r="Y722" i="25"/>
  <c r="AA722" i="25"/>
  <c r="AC722" i="25"/>
  <c r="Y723" i="25"/>
  <c r="AA723" i="25"/>
  <c r="AC723" i="25"/>
  <c r="Y724" i="25"/>
  <c r="AA724" i="25"/>
  <c r="AC724" i="25"/>
  <c r="Y725" i="25"/>
  <c r="AA725" i="25"/>
  <c r="AC725" i="25"/>
  <c r="Y726" i="25"/>
  <c r="AA726" i="25"/>
  <c r="AC726" i="25"/>
  <c r="Y727" i="25"/>
  <c r="AA727" i="25"/>
  <c r="AC727" i="25"/>
  <c r="Y728" i="25"/>
  <c r="AA728" i="25"/>
  <c r="AC728" i="25"/>
  <c r="Y729" i="25"/>
  <c r="AA729" i="25"/>
  <c r="AC729" i="25"/>
  <c r="Y730" i="25"/>
  <c r="AA730" i="25"/>
  <c r="AC730" i="25"/>
  <c r="Y731" i="25"/>
  <c r="AA731" i="25"/>
  <c r="AC731" i="25"/>
  <c r="Y732" i="25"/>
  <c r="AA732" i="25"/>
  <c r="AC732" i="25"/>
  <c r="Y733" i="25"/>
  <c r="AA733" i="25"/>
  <c r="AC733" i="25"/>
  <c r="Y734" i="25"/>
  <c r="AA734" i="25"/>
  <c r="AC734" i="25"/>
  <c r="Y735" i="25"/>
  <c r="AA735" i="25"/>
  <c r="AC735" i="25"/>
  <c r="Y736" i="25"/>
  <c r="AA736" i="25"/>
  <c r="AC736" i="25"/>
  <c r="Y737" i="25"/>
  <c r="AA737" i="25"/>
  <c r="AC737" i="25"/>
  <c r="Y738" i="25"/>
  <c r="AA738" i="25"/>
  <c r="AC738" i="25"/>
  <c r="Y739" i="25"/>
  <c r="AA739" i="25"/>
  <c r="AC739" i="25"/>
  <c r="Y740" i="25"/>
  <c r="AA740" i="25"/>
  <c r="AC740" i="25"/>
  <c r="Y741" i="25"/>
  <c r="AA741" i="25"/>
  <c r="AC741" i="25"/>
  <c r="Y742" i="25"/>
  <c r="AA742" i="25"/>
  <c r="AC742" i="25"/>
  <c r="Y743" i="25"/>
  <c r="AA743" i="25"/>
  <c r="AC743" i="25"/>
  <c r="Y744" i="25"/>
  <c r="AA744" i="25"/>
  <c r="AC744" i="25"/>
  <c r="Y745" i="25"/>
  <c r="AA745" i="25"/>
  <c r="AC745" i="25"/>
  <c r="Y746" i="25"/>
  <c r="AA746" i="25"/>
  <c r="AC746" i="25"/>
  <c r="Y747" i="25"/>
  <c r="AA747" i="25"/>
  <c r="AC747" i="25"/>
  <c r="Y748" i="25"/>
  <c r="AA748" i="25"/>
  <c r="AC748" i="25"/>
  <c r="Y749" i="25"/>
  <c r="AA749" i="25"/>
  <c r="AC749" i="25"/>
  <c r="Y750" i="25"/>
  <c r="AA750" i="25"/>
  <c r="AC750" i="25"/>
  <c r="Y751" i="25"/>
  <c r="AA751" i="25"/>
  <c r="AC751" i="25"/>
  <c r="Y752" i="25"/>
  <c r="AA752" i="25"/>
  <c r="AC752" i="25"/>
  <c r="Y753" i="25"/>
  <c r="AA753" i="25"/>
  <c r="AC753" i="25"/>
  <c r="Y754" i="25"/>
  <c r="AA754" i="25"/>
  <c r="AC754" i="25"/>
  <c r="Y755" i="25"/>
  <c r="AA755" i="25"/>
  <c r="AC755" i="25"/>
  <c r="Y756" i="25"/>
  <c r="AA756" i="25"/>
  <c r="AC756" i="25"/>
  <c r="Y757" i="25"/>
  <c r="AA757" i="25"/>
  <c r="AC757" i="25"/>
  <c r="Y758" i="25"/>
  <c r="AA758" i="25"/>
  <c r="AC758" i="25"/>
  <c r="Y759" i="25"/>
  <c r="AA759" i="25"/>
  <c r="AC759" i="25"/>
  <c r="Y760" i="25"/>
  <c r="AA760" i="25"/>
  <c r="AC760" i="25"/>
  <c r="Y761" i="25"/>
  <c r="AA761" i="25"/>
  <c r="AC761" i="25"/>
  <c r="Y762" i="25"/>
  <c r="AA762" i="25"/>
  <c r="AC762" i="25"/>
  <c r="Y763" i="25"/>
  <c r="AA763" i="25"/>
  <c r="AC763" i="25"/>
  <c r="Y764" i="25"/>
  <c r="AA764" i="25"/>
  <c r="AC764" i="25"/>
  <c r="Y765" i="25"/>
  <c r="AA765" i="25"/>
  <c r="AC765" i="25"/>
  <c r="Y766" i="25"/>
  <c r="AA766" i="25"/>
  <c r="AC766" i="25"/>
  <c r="Y767" i="25"/>
  <c r="AA767" i="25"/>
  <c r="AC767" i="25"/>
  <c r="Y768" i="25"/>
  <c r="AA768" i="25"/>
  <c r="AC768" i="25"/>
  <c r="Y769" i="25"/>
  <c r="AA769" i="25"/>
  <c r="AC769" i="25"/>
  <c r="Y770" i="25"/>
  <c r="AA770" i="25"/>
  <c r="AC770" i="25"/>
  <c r="Y771" i="25"/>
  <c r="AA771" i="25"/>
  <c r="AC771" i="25"/>
  <c r="Y772" i="25"/>
  <c r="AA772" i="25"/>
  <c r="AC772" i="25"/>
  <c r="Y773" i="25"/>
  <c r="AA773" i="25"/>
  <c r="AC773" i="25"/>
  <c r="Y774" i="25"/>
  <c r="AA774" i="25"/>
  <c r="AC774" i="25"/>
  <c r="Y775" i="25"/>
  <c r="AA775" i="25"/>
  <c r="AC775" i="25"/>
  <c r="Y776" i="25"/>
  <c r="AA776" i="25"/>
  <c r="AC776" i="25"/>
  <c r="Y777" i="25"/>
  <c r="AA777" i="25"/>
  <c r="AC777" i="25"/>
  <c r="Y778" i="25"/>
  <c r="AA778" i="25"/>
  <c r="AC778" i="25"/>
  <c r="Y779" i="25"/>
  <c r="AA779" i="25"/>
  <c r="AC779" i="25"/>
  <c r="Y780" i="25"/>
  <c r="AA780" i="25"/>
  <c r="AC780" i="25"/>
  <c r="Y781" i="25"/>
  <c r="AA781" i="25"/>
  <c r="AC781" i="25"/>
  <c r="Y782" i="25"/>
  <c r="AA782" i="25"/>
  <c r="AC782" i="25"/>
  <c r="Y783" i="25"/>
  <c r="AA783" i="25"/>
  <c r="AC783" i="25"/>
  <c r="Y784" i="25"/>
  <c r="AA784" i="25"/>
  <c r="AC784" i="25"/>
  <c r="Y785" i="25"/>
  <c r="AA785" i="25"/>
  <c r="AC785" i="25"/>
  <c r="Y786" i="25"/>
  <c r="AA786" i="25"/>
  <c r="AC786" i="25"/>
  <c r="Y787" i="25"/>
  <c r="AA787" i="25"/>
  <c r="AC787" i="25"/>
  <c r="Y788" i="25"/>
  <c r="AA788" i="25"/>
  <c r="AC788" i="25"/>
  <c r="Y789" i="25"/>
  <c r="AA789" i="25"/>
  <c r="AC789" i="25"/>
  <c r="Y790" i="25"/>
  <c r="AA790" i="25"/>
  <c r="AC790" i="25"/>
  <c r="Y791" i="25"/>
  <c r="AA791" i="25"/>
  <c r="AC791" i="25"/>
  <c r="Y792" i="25"/>
  <c r="AA792" i="25"/>
  <c r="AC792" i="25"/>
  <c r="Y793" i="25"/>
  <c r="AA793" i="25"/>
  <c r="AC793" i="25"/>
  <c r="Y794" i="25"/>
  <c r="AA794" i="25"/>
  <c r="AC794" i="25"/>
  <c r="Y795" i="25"/>
  <c r="AA795" i="25"/>
  <c r="AC795" i="25"/>
  <c r="Y796" i="25"/>
  <c r="AA796" i="25"/>
  <c r="AC796" i="25"/>
  <c r="Y797" i="25"/>
  <c r="AA797" i="25"/>
  <c r="AC797" i="25"/>
  <c r="Y798" i="25"/>
  <c r="AA798" i="25"/>
  <c r="AC798" i="25"/>
  <c r="Y799" i="25"/>
  <c r="AA799" i="25"/>
  <c r="AC799" i="25"/>
  <c r="Y800" i="25"/>
  <c r="AA800" i="25"/>
  <c r="AC800" i="25"/>
  <c r="Y801" i="25"/>
  <c r="AA801" i="25"/>
  <c r="AC801" i="25"/>
  <c r="Y802" i="25"/>
  <c r="AA802" i="25"/>
  <c r="AC802" i="25"/>
  <c r="Y803" i="25"/>
  <c r="AA803" i="25"/>
  <c r="AC803" i="25"/>
  <c r="Y804" i="25"/>
  <c r="AA804" i="25"/>
  <c r="AC804" i="25"/>
  <c r="Y805" i="25"/>
  <c r="AA805" i="25"/>
  <c r="AC805" i="25"/>
  <c r="Y806" i="25"/>
  <c r="AA806" i="25"/>
  <c r="AC806" i="25"/>
  <c r="Y807" i="25"/>
  <c r="AA807" i="25"/>
  <c r="AC807" i="25"/>
  <c r="Y808" i="25"/>
  <c r="AA808" i="25"/>
  <c r="AC808" i="25"/>
  <c r="Y809" i="25"/>
  <c r="AA809" i="25"/>
  <c r="AC809" i="25"/>
  <c r="Y810" i="25"/>
  <c r="AA810" i="25"/>
  <c r="AC810" i="25"/>
  <c r="Y811" i="25"/>
  <c r="AA811" i="25"/>
  <c r="AC811" i="25"/>
  <c r="Y812" i="25"/>
  <c r="AA812" i="25"/>
  <c r="AC812" i="25"/>
  <c r="Y813" i="25"/>
  <c r="AA813" i="25"/>
  <c r="AC813" i="25"/>
  <c r="Y814" i="25"/>
  <c r="AA814" i="25"/>
  <c r="AC814" i="25"/>
  <c r="Y815" i="25"/>
  <c r="AA815" i="25"/>
  <c r="AC815" i="25"/>
  <c r="Y816" i="25"/>
  <c r="AA816" i="25"/>
  <c r="AC816" i="25"/>
  <c r="Y817" i="25"/>
  <c r="AA817" i="25"/>
  <c r="AC817" i="25"/>
  <c r="Y818" i="25"/>
  <c r="AA818" i="25"/>
  <c r="AC818" i="25"/>
  <c r="Y819" i="25"/>
  <c r="AA819" i="25"/>
  <c r="AC819" i="25"/>
  <c r="Y820" i="25"/>
  <c r="AA820" i="25"/>
  <c r="AC820" i="25"/>
  <c r="Y821" i="25"/>
  <c r="AA821" i="25"/>
  <c r="AC821" i="25"/>
  <c r="Y822" i="25"/>
  <c r="AA822" i="25"/>
  <c r="AC822" i="25"/>
  <c r="Y823" i="25"/>
  <c r="AA823" i="25"/>
  <c r="AC823" i="25"/>
  <c r="Y824" i="25"/>
  <c r="AA824" i="25"/>
  <c r="AC824" i="25"/>
  <c r="Y825" i="25"/>
  <c r="AA825" i="25"/>
  <c r="AC825" i="25"/>
  <c r="Y826" i="25"/>
  <c r="AA826" i="25"/>
  <c r="AC826" i="25"/>
  <c r="Y827" i="25"/>
  <c r="AA827" i="25"/>
  <c r="AC827" i="25"/>
  <c r="Y828" i="25"/>
  <c r="AA828" i="25"/>
  <c r="AC828" i="25"/>
  <c r="Y829" i="25"/>
  <c r="AA829" i="25"/>
  <c r="AC829" i="25"/>
  <c r="Y830" i="25"/>
  <c r="AA830" i="25"/>
  <c r="AC830" i="25"/>
  <c r="Y831" i="25"/>
  <c r="AA831" i="25"/>
  <c r="AC831" i="25"/>
  <c r="Y832" i="25"/>
  <c r="AA832" i="25"/>
  <c r="AC832" i="25"/>
  <c r="Y833" i="25"/>
  <c r="AA833" i="25"/>
  <c r="AC833" i="25"/>
  <c r="Y834" i="25"/>
  <c r="AA834" i="25"/>
  <c r="AC834" i="25"/>
  <c r="Y835" i="25"/>
  <c r="AA835" i="25"/>
  <c r="AC835" i="25"/>
  <c r="Y836" i="25"/>
  <c r="AA836" i="25"/>
  <c r="AC836" i="25"/>
  <c r="Y837" i="25"/>
  <c r="AA837" i="25"/>
  <c r="AC837" i="25"/>
  <c r="Y838" i="25"/>
  <c r="AA838" i="25"/>
  <c r="AC838" i="25"/>
  <c r="Y839" i="25"/>
  <c r="AA839" i="25"/>
  <c r="AC839" i="25"/>
  <c r="Y840" i="25"/>
  <c r="AA840" i="25"/>
  <c r="AC840" i="25"/>
  <c r="Y841" i="25"/>
  <c r="AA841" i="25"/>
  <c r="AC841" i="25"/>
  <c r="Y842" i="25"/>
  <c r="AA842" i="25"/>
  <c r="AC842" i="25"/>
  <c r="Y843" i="25"/>
  <c r="AA843" i="25"/>
  <c r="AC843" i="25"/>
  <c r="Y844" i="25"/>
  <c r="AA844" i="25"/>
  <c r="AC844" i="25"/>
  <c r="Y845" i="25"/>
  <c r="AA845" i="25"/>
  <c r="AC845" i="25"/>
  <c r="Y846" i="25"/>
  <c r="AA846" i="25"/>
  <c r="AC846" i="25"/>
  <c r="Y847" i="25"/>
  <c r="AA847" i="25"/>
  <c r="AC847" i="25"/>
  <c r="Y848" i="25"/>
  <c r="AA848" i="25"/>
  <c r="AC848" i="25"/>
  <c r="Y849" i="25"/>
  <c r="AA849" i="25"/>
  <c r="AC849" i="25"/>
  <c r="Y850" i="25"/>
  <c r="AA850" i="25"/>
  <c r="AC850" i="25"/>
  <c r="Y851" i="25"/>
  <c r="AA851" i="25"/>
  <c r="AC851" i="25"/>
  <c r="Y852" i="25"/>
  <c r="AA852" i="25"/>
  <c r="AC852" i="25"/>
  <c r="Y853" i="25"/>
  <c r="AA853" i="25"/>
  <c r="AC853" i="25"/>
  <c r="Y854" i="25"/>
  <c r="AA854" i="25"/>
  <c r="AC854" i="25"/>
  <c r="Y855" i="25"/>
  <c r="AA855" i="25"/>
  <c r="AC855" i="25"/>
  <c r="Y856" i="25"/>
  <c r="AA856" i="25"/>
  <c r="AC856" i="25"/>
  <c r="Y857" i="25"/>
  <c r="AA857" i="25"/>
  <c r="AC857" i="25"/>
  <c r="Y858" i="25"/>
  <c r="AA858" i="25"/>
  <c r="AC858" i="25"/>
  <c r="Y859" i="25"/>
  <c r="AA859" i="25"/>
  <c r="AC859" i="25"/>
  <c r="Y860" i="25"/>
  <c r="AA860" i="25"/>
  <c r="AC860" i="25"/>
  <c r="Y861" i="25"/>
  <c r="AA861" i="25"/>
  <c r="AC861" i="25"/>
  <c r="Y862" i="25"/>
  <c r="AA862" i="25"/>
  <c r="AC862" i="25"/>
  <c r="Y863" i="25"/>
  <c r="AA863" i="25"/>
  <c r="AC863" i="25"/>
  <c r="Y864" i="25"/>
  <c r="AA864" i="25"/>
  <c r="AC864" i="25"/>
  <c r="Y865" i="25"/>
  <c r="AA865" i="25"/>
  <c r="AC865" i="25"/>
  <c r="Y866" i="25"/>
  <c r="AA866" i="25"/>
  <c r="AC866" i="25"/>
  <c r="Y867" i="25"/>
  <c r="AA867" i="25"/>
  <c r="AC867" i="25"/>
  <c r="Y868" i="25"/>
  <c r="AA868" i="25"/>
  <c r="AC868" i="25"/>
  <c r="Y869" i="25"/>
  <c r="AA869" i="25"/>
  <c r="AC869" i="25"/>
  <c r="Y870" i="25"/>
  <c r="AA870" i="25"/>
  <c r="AC870" i="25"/>
  <c r="Y871" i="25"/>
  <c r="AA871" i="25"/>
  <c r="AC871" i="25"/>
  <c r="Y872" i="25"/>
  <c r="AA872" i="25"/>
  <c r="AC872" i="25"/>
  <c r="Y873" i="25"/>
  <c r="AA873" i="25"/>
  <c r="AC873" i="25"/>
  <c r="Y874" i="25"/>
  <c r="AA874" i="25"/>
  <c r="AC874" i="25"/>
  <c r="Y875" i="25"/>
  <c r="AA875" i="25"/>
  <c r="AC875" i="25"/>
  <c r="Y876" i="25"/>
  <c r="AA876" i="25"/>
  <c r="AC876" i="25"/>
  <c r="Y877" i="25"/>
  <c r="AA877" i="25"/>
  <c r="AC877" i="25"/>
  <c r="Y878" i="25"/>
  <c r="AA878" i="25"/>
  <c r="AC878" i="25"/>
  <c r="Y879" i="25"/>
  <c r="AA879" i="25"/>
  <c r="AC879" i="25"/>
  <c r="Y880" i="25"/>
  <c r="AA880" i="25"/>
  <c r="AC880" i="25"/>
  <c r="Y881" i="25"/>
  <c r="AA881" i="25"/>
  <c r="AC881" i="25"/>
  <c r="Y882" i="25"/>
  <c r="AA882" i="25"/>
  <c r="AC882" i="25"/>
  <c r="Y883" i="25"/>
  <c r="AA883" i="25"/>
  <c r="AC883" i="25"/>
  <c r="Y884" i="25"/>
  <c r="AA884" i="25"/>
  <c r="AC884" i="25"/>
  <c r="Y885" i="25"/>
  <c r="AA885" i="25"/>
  <c r="AC885" i="25"/>
  <c r="Y886" i="25"/>
  <c r="AA886" i="25"/>
  <c r="AC886" i="25"/>
  <c r="Y887" i="25"/>
  <c r="AA887" i="25"/>
  <c r="AC887" i="25"/>
  <c r="Y888" i="25"/>
  <c r="AA888" i="25"/>
  <c r="AC888" i="25"/>
  <c r="Y889" i="25"/>
  <c r="AA889" i="25"/>
  <c r="AC889" i="25"/>
  <c r="Y890" i="25"/>
  <c r="AA890" i="25"/>
  <c r="AC890" i="25"/>
  <c r="Y891" i="25"/>
  <c r="AA891" i="25"/>
  <c r="AC891" i="25"/>
  <c r="Y892" i="25"/>
  <c r="AA892" i="25"/>
  <c r="AC892" i="25"/>
  <c r="Y893" i="25"/>
  <c r="AA893" i="25"/>
  <c r="AC893" i="25"/>
  <c r="Y894" i="25"/>
  <c r="AA894" i="25"/>
  <c r="AC894" i="25"/>
  <c r="Y895" i="25"/>
  <c r="AA895" i="25"/>
  <c r="AC895" i="25"/>
  <c r="Y896" i="25"/>
  <c r="AA896" i="25"/>
  <c r="AC896" i="25"/>
  <c r="Y897" i="25"/>
  <c r="AA897" i="25"/>
  <c r="AC897" i="25"/>
  <c r="Y898" i="25"/>
  <c r="AA898" i="25"/>
  <c r="AC898" i="25"/>
  <c r="Y899" i="25"/>
  <c r="AA899" i="25"/>
  <c r="AC899" i="25"/>
  <c r="Y900" i="25"/>
  <c r="AA900" i="25"/>
  <c r="AC900" i="25"/>
  <c r="Y901" i="25"/>
  <c r="AA901" i="25"/>
  <c r="AC901" i="25"/>
  <c r="Y902" i="25"/>
  <c r="AA902" i="25"/>
  <c r="AC902" i="25"/>
  <c r="Y903" i="25"/>
  <c r="AA903" i="25"/>
  <c r="AC903" i="25"/>
  <c r="Y904" i="25"/>
  <c r="AA904" i="25"/>
  <c r="AC904" i="25"/>
  <c r="Y905" i="25"/>
  <c r="AA905" i="25"/>
  <c r="AC905" i="25"/>
  <c r="Y906" i="25"/>
  <c r="AA906" i="25"/>
  <c r="AC906" i="25"/>
  <c r="Y907" i="25"/>
  <c r="AA907" i="25"/>
  <c r="AC907" i="25"/>
  <c r="Y908" i="25"/>
  <c r="AA908" i="25"/>
  <c r="AC908" i="25"/>
  <c r="Y909" i="25"/>
  <c r="AA909" i="25"/>
  <c r="AC909" i="25"/>
  <c r="Y910" i="25"/>
  <c r="AA910" i="25"/>
  <c r="AC910" i="25"/>
  <c r="Y911" i="25"/>
  <c r="AA911" i="25"/>
  <c r="AC911" i="25"/>
  <c r="Y912" i="25"/>
  <c r="AA912" i="25"/>
  <c r="AC912" i="25"/>
  <c r="Y913" i="25"/>
  <c r="AA913" i="25"/>
  <c r="AC913" i="25"/>
  <c r="Y914" i="25"/>
  <c r="AA914" i="25"/>
  <c r="AC914" i="25"/>
  <c r="Y915" i="25"/>
  <c r="AA915" i="25"/>
  <c r="AC915" i="25"/>
  <c r="Y916" i="25"/>
  <c r="AA916" i="25"/>
  <c r="AC916" i="25"/>
  <c r="Y917" i="25"/>
  <c r="AA917" i="25"/>
  <c r="AC917" i="25"/>
  <c r="Y918" i="25"/>
  <c r="AA918" i="25"/>
  <c r="AC918" i="25"/>
  <c r="Y919" i="25"/>
  <c r="AA919" i="25"/>
  <c r="AC919" i="25"/>
  <c r="Y920" i="25"/>
  <c r="AA920" i="25"/>
  <c r="AC920" i="25"/>
  <c r="Y921" i="25"/>
  <c r="AA921" i="25"/>
  <c r="AC921" i="25"/>
  <c r="Y922" i="25"/>
  <c r="AA922" i="25"/>
  <c r="AC922" i="25"/>
  <c r="Y923" i="25"/>
  <c r="AA923" i="25"/>
  <c r="AC923" i="25"/>
  <c r="Y924" i="25"/>
  <c r="AA924" i="25"/>
  <c r="AC924" i="25"/>
  <c r="Y925" i="25"/>
  <c r="AA925" i="25"/>
  <c r="AC925" i="25"/>
  <c r="Y926" i="25"/>
  <c r="AA926" i="25"/>
  <c r="AC926" i="25"/>
  <c r="Y927" i="25"/>
  <c r="AA927" i="25"/>
  <c r="AC927" i="25"/>
  <c r="Y928" i="25"/>
  <c r="AA928" i="25"/>
  <c r="AC928" i="25"/>
  <c r="Y929" i="25"/>
  <c r="AA929" i="25"/>
  <c r="AC929" i="25"/>
  <c r="Y930" i="25"/>
  <c r="AA930" i="25"/>
  <c r="AC930" i="25"/>
  <c r="Y931" i="25"/>
  <c r="AA931" i="25"/>
  <c r="AC931" i="25"/>
  <c r="Y932" i="25"/>
  <c r="AA932" i="25"/>
  <c r="AC932" i="25"/>
  <c r="Y933" i="25"/>
  <c r="AA933" i="25"/>
  <c r="AC933" i="25"/>
  <c r="Y934" i="25"/>
  <c r="AA934" i="25"/>
  <c r="AC934" i="25"/>
  <c r="Y935" i="25"/>
  <c r="AA935" i="25"/>
  <c r="AC935" i="25"/>
  <c r="Y936" i="25"/>
  <c r="AA936" i="25"/>
  <c r="AC936" i="25"/>
  <c r="Y937" i="25"/>
  <c r="AA937" i="25"/>
  <c r="AC937" i="25"/>
  <c r="Y938" i="25"/>
  <c r="AA938" i="25"/>
  <c r="AC938" i="25"/>
  <c r="Y939" i="25"/>
  <c r="AA939" i="25"/>
  <c r="AC939" i="25"/>
  <c r="Y940" i="25"/>
  <c r="AA940" i="25"/>
  <c r="AC940" i="25"/>
  <c r="Y941" i="25"/>
  <c r="AA941" i="25"/>
  <c r="AC941" i="25"/>
  <c r="Y942" i="25"/>
  <c r="AA942" i="25"/>
  <c r="AC942" i="25"/>
  <c r="Y943" i="25"/>
  <c r="AA943" i="25"/>
  <c r="AC943" i="25"/>
  <c r="Y944" i="25"/>
  <c r="AA944" i="25"/>
  <c r="AC944" i="25"/>
  <c r="Y945" i="25"/>
  <c r="AA945" i="25"/>
  <c r="AC945" i="25"/>
  <c r="Y946" i="25"/>
  <c r="AA946" i="25"/>
  <c r="AC946" i="25"/>
  <c r="Y947" i="25"/>
  <c r="AA947" i="25"/>
  <c r="AC947" i="25"/>
  <c r="Y948" i="25"/>
  <c r="AA948" i="25"/>
  <c r="AC948" i="25"/>
  <c r="Y949" i="25"/>
  <c r="AA949" i="25"/>
  <c r="AC949" i="25"/>
  <c r="Y950" i="25"/>
  <c r="AA950" i="25"/>
  <c r="AC950" i="25"/>
  <c r="Y951" i="25"/>
  <c r="AA951" i="25"/>
  <c r="AC951" i="25"/>
  <c r="Y952" i="25"/>
  <c r="AA952" i="25"/>
  <c r="AC952" i="25"/>
  <c r="Y953" i="25"/>
  <c r="AA953" i="25"/>
  <c r="AC953" i="25"/>
  <c r="Y954" i="25"/>
  <c r="AA954" i="25"/>
  <c r="AC954" i="25"/>
  <c r="Y955" i="25"/>
  <c r="AA955" i="25"/>
  <c r="AC955" i="25"/>
  <c r="Y956" i="25"/>
  <c r="AA956" i="25"/>
  <c r="AC956" i="25"/>
  <c r="Y957" i="25"/>
  <c r="AA957" i="25"/>
  <c r="AC957" i="25"/>
  <c r="Y958" i="25"/>
  <c r="AA958" i="25"/>
  <c r="AC958" i="25"/>
  <c r="Y959" i="25"/>
  <c r="AA959" i="25"/>
  <c r="AC959" i="25"/>
  <c r="Y960" i="25"/>
  <c r="AA960" i="25"/>
  <c r="AC960" i="25"/>
  <c r="Y961" i="25"/>
  <c r="AA961" i="25"/>
  <c r="AC961" i="25"/>
  <c r="Y962" i="25"/>
  <c r="AA962" i="25"/>
  <c r="AC962" i="25"/>
  <c r="Y963" i="25"/>
  <c r="AA963" i="25"/>
  <c r="AC963" i="25"/>
  <c r="Y964" i="25"/>
  <c r="AA964" i="25"/>
  <c r="AC964" i="25"/>
  <c r="Y965" i="25"/>
  <c r="AA965" i="25"/>
  <c r="AC965" i="25"/>
  <c r="Y966" i="25"/>
  <c r="AA966" i="25"/>
  <c r="AC966" i="25"/>
  <c r="Y967" i="25"/>
  <c r="AA967" i="25"/>
  <c r="AC967" i="25"/>
  <c r="Y968" i="25"/>
  <c r="AA968" i="25"/>
  <c r="AC968" i="25"/>
  <c r="Y969" i="25"/>
  <c r="AA969" i="25"/>
  <c r="AC969" i="25"/>
  <c r="Y970" i="25"/>
  <c r="AA970" i="25"/>
  <c r="AC970" i="25"/>
  <c r="Y971" i="25"/>
  <c r="AA971" i="25"/>
  <c r="AC971" i="25"/>
  <c r="Y972" i="25"/>
  <c r="AA972" i="25"/>
  <c r="AC972" i="25"/>
  <c r="Y973" i="25"/>
  <c r="AA973" i="25"/>
  <c r="AC973" i="25"/>
  <c r="Y974" i="25"/>
  <c r="AA974" i="25"/>
  <c r="AC974" i="25"/>
  <c r="Y975" i="25"/>
  <c r="AA975" i="25"/>
  <c r="AC975" i="25"/>
  <c r="Y976" i="25"/>
  <c r="AA976" i="25"/>
  <c r="AC976" i="25"/>
  <c r="Y977" i="25"/>
  <c r="AA977" i="25"/>
  <c r="AC977" i="25"/>
  <c r="Y978" i="25"/>
  <c r="AA978" i="25"/>
  <c r="AC978" i="25"/>
  <c r="Y979" i="25"/>
  <c r="AA979" i="25"/>
  <c r="AC979" i="25"/>
  <c r="Y980" i="25"/>
  <c r="AA980" i="25"/>
  <c r="AC980" i="25"/>
  <c r="Y981" i="25"/>
  <c r="AA981" i="25"/>
  <c r="AC981" i="25"/>
  <c r="Y982" i="25"/>
  <c r="AA982" i="25"/>
  <c r="AC982" i="25"/>
  <c r="Y983" i="25"/>
  <c r="AA983" i="25"/>
  <c r="AC983" i="25"/>
  <c r="Y984" i="25"/>
  <c r="AA984" i="25"/>
  <c r="AC984" i="25"/>
  <c r="Y985" i="25"/>
  <c r="AA985" i="25"/>
  <c r="AC985" i="25"/>
  <c r="Y986" i="25"/>
  <c r="AA986" i="25"/>
  <c r="AC986" i="25"/>
  <c r="Y987" i="25"/>
  <c r="AA987" i="25"/>
  <c r="AC987" i="25"/>
  <c r="Y988" i="25"/>
  <c r="AA988" i="25"/>
  <c r="AC988" i="25"/>
  <c r="Y989" i="25"/>
  <c r="AA989" i="25"/>
  <c r="AC989" i="25"/>
  <c r="Y990" i="25"/>
  <c r="AA990" i="25"/>
  <c r="AC990" i="25"/>
  <c r="Y991" i="25"/>
  <c r="AA991" i="25"/>
  <c r="AC991" i="25"/>
  <c r="Y992" i="25"/>
  <c r="AA992" i="25"/>
  <c r="AC992" i="25"/>
  <c r="Y993" i="25"/>
  <c r="AA993" i="25"/>
  <c r="AC993" i="25"/>
  <c r="Y994" i="25"/>
  <c r="AA994" i="25"/>
  <c r="AC994" i="25"/>
  <c r="Y995" i="25"/>
  <c r="AA995" i="25"/>
  <c r="AC995" i="25"/>
  <c r="Y996" i="25"/>
  <c r="AA996" i="25"/>
  <c r="AC996" i="25"/>
  <c r="Y997" i="25"/>
  <c r="AA997" i="25"/>
  <c r="AC997" i="25"/>
  <c r="Y998" i="25"/>
  <c r="AA998" i="25"/>
  <c r="AC998" i="25"/>
  <c r="Y999" i="25"/>
  <c r="AA999" i="25"/>
  <c r="AC999" i="25"/>
  <c r="Y1000" i="25"/>
  <c r="AA1000" i="25"/>
  <c r="AC1000" i="25"/>
  <c r="Y1001" i="25"/>
  <c r="AA1001" i="25"/>
  <c r="AC1001" i="25"/>
  <c r="Y1002" i="25"/>
  <c r="AA1002" i="25"/>
  <c r="AC1002" i="25"/>
  <c r="Y1003" i="25"/>
  <c r="AA1003" i="25"/>
  <c r="AC1003" i="25"/>
  <c r="Y1004" i="25"/>
  <c r="AA1004" i="25"/>
  <c r="AC1004" i="25"/>
  <c r="Y1005" i="25"/>
  <c r="AA1005" i="25"/>
  <c r="AC1005" i="25"/>
  <c r="Y1006" i="25"/>
  <c r="AA1006" i="25"/>
  <c r="AC1006" i="25"/>
  <c r="Y1007" i="25"/>
  <c r="AA1007" i="25"/>
  <c r="AC1007" i="25"/>
  <c r="Y1008" i="25"/>
  <c r="AA1008" i="25"/>
  <c r="AC1008" i="25"/>
  <c r="Y1009" i="25"/>
  <c r="AA1009" i="25"/>
  <c r="AC1009" i="25"/>
  <c r="Y1010" i="25"/>
  <c r="AA1010" i="25"/>
  <c r="AC1010" i="25"/>
  <c r="Y1011" i="25"/>
  <c r="AA1011" i="25"/>
  <c r="AC1011" i="25"/>
  <c r="Y1012" i="25"/>
  <c r="AA1012" i="25"/>
  <c r="AC1012" i="25"/>
  <c r="Y1013" i="25"/>
  <c r="AA1013" i="25"/>
  <c r="AC1013" i="25"/>
  <c r="Y1014" i="25"/>
  <c r="AA1014" i="25"/>
  <c r="AC1014" i="25"/>
  <c r="Y1015" i="25"/>
  <c r="AA1015" i="25"/>
  <c r="AC1015" i="25"/>
  <c r="Y1016" i="25"/>
  <c r="AA1016" i="25"/>
  <c r="AC1016" i="25"/>
  <c r="Y1017" i="25"/>
  <c r="AA1017" i="25"/>
  <c r="AC1017" i="25"/>
  <c r="Y1018" i="25"/>
  <c r="AA1018" i="25"/>
  <c r="AC1018" i="25"/>
  <c r="Y1019" i="25"/>
  <c r="AA1019" i="25"/>
  <c r="AC1019" i="25"/>
  <c r="Y1020" i="25"/>
  <c r="AA1020" i="25"/>
  <c r="AC1020" i="25"/>
  <c r="Y1021" i="25"/>
  <c r="AA1021" i="25"/>
  <c r="AC1021" i="25"/>
  <c r="Y1022" i="25"/>
  <c r="AA1022" i="25"/>
  <c r="AC1022" i="25"/>
  <c r="Y1023" i="25"/>
  <c r="AA1023" i="25"/>
  <c r="AC1023" i="25"/>
  <c r="Y1024" i="25"/>
  <c r="AA1024" i="25"/>
  <c r="AC1024" i="25"/>
  <c r="Y1025" i="25"/>
  <c r="AA1025" i="25"/>
  <c r="AC1025" i="25"/>
  <c r="Y1026" i="25"/>
  <c r="AA1026" i="25"/>
  <c r="AC1026" i="25"/>
  <c r="Y1027" i="25"/>
  <c r="AA1027" i="25"/>
  <c r="AC1027" i="25"/>
  <c r="Y1028" i="25"/>
  <c r="AA1028" i="25"/>
  <c r="AC1028" i="25"/>
  <c r="Y1029" i="25"/>
  <c r="AA1029" i="25"/>
  <c r="AC1029" i="25"/>
  <c r="Y1030" i="25"/>
  <c r="AA1030" i="25"/>
  <c r="AC1030" i="25"/>
  <c r="Y1031" i="25"/>
  <c r="AA1031" i="25"/>
  <c r="AC1031" i="25"/>
  <c r="Y1032" i="25"/>
  <c r="AA1032" i="25"/>
  <c r="AC1032" i="25"/>
  <c r="Y1033" i="25"/>
  <c r="AA1033" i="25"/>
  <c r="AC1033" i="25"/>
  <c r="Y1034" i="25"/>
  <c r="AA1034" i="25"/>
  <c r="AC1034" i="25"/>
  <c r="Y1035" i="25"/>
  <c r="AA1035" i="25"/>
  <c r="AC1035" i="25"/>
  <c r="Y1036" i="25"/>
  <c r="AA1036" i="25"/>
  <c r="AC1036" i="25"/>
  <c r="Y1037" i="25"/>
  <c r="AA1037" i="25"/>
  <c r="AC1037" i="25"/>
  <c r="Y1038" i="25"/>
  <c r="AA1038" i="25"/>
  <c r="AC1038" i="25"/>
  <c r="Y1039" i="25"/>
  <c r="AA1039" i="25"/>
  <c r="AC1039" i="25"/>
  <c r="Y1040" i="25"/>
  <c r="AA1040" i="25"/>
  <c r="AC1040" i="25"/>
  <c r="Y1041" i="25"/>
  <c r="AA1041" i="25"/>
  <c r="AC1041" i="25"/>
  <c r="Y1042" i="25"/>
  <c r="AA1042" i="25"/>
  <c r="AC1042" i="25"/>
  <c r="Y1043" i="25"/>
  <c r="AA1043" i="25"/>
  <c r="AC1043" i="25"/>
  <c r="Y1044" i="25"/>
  <c r="AA1044" i="25"/>
  <c r="AC1044" i="25"/>
  <c r="Y1045" i="25"/>
  <c r="AA1045" i="25"/>
  <c r="AC1045" i="25"/>
  <c r="Y1046" i="25"/>
  <c r="AA1046" i="25"/>
  <c r="AC1046" i="25"/>
  <c r="Y1047" i="25"/>
  <c r="AA1047" i="25"/>
  <c r="AC1047" i="25"/>
  <c r="Y1048" i="25"/>
  <c r="AA1048" i="25"/>
  <c r="AC1048" i="25"/>
  <c r="Y1049" i="25"/>
  <c r="AA1049" i="25"/>
  <c r="AC1049" i="25"/>
  <c r="Y1050" i="25"/>
  <c r="AA1050" i="25"/>
  <c r="AC1050" i="25"/>
  <c r="Y1051" i="25"/>
  <c r="AA1051" i="25"/>
  <c r="AC1051" i="25"/>
  <c r="Y1052" i="25"/>
  <c r="AA1052" i="25"/>
  <c r="AC1052" i="25"/>
  <c r="Y1053" i="25"/>
  <c r="AA1053" i="25"/>
  <c r="AC1053" i="25"/>
  <c r="Y1054" i="25"/>
  <c r="AA1054" i="25"/>
  <c r="AC1054" i="25"/>
  <c r="Y1055" i="25"/>
  <c r="AA1055" i="25"/>
  <c r="AC1055" i="25"/>
  <c r="Y1056" i="25"/>
  <c r="AA1056" i="25"/>
  <c r="AC1056" i="25"/>
  <c r="Y1057" i="25"/>
  <c r="AA1057" i="25"/>
  <c r="AC1057" i="25"/>
  <c r="Y1058" i="25"/>
  <c r="AA1058" i="25"/>
  <c r="AC1058" i="25"/>
  <c r="Y1059" i="25"/>
  <c r="AA1059" i="25"/>
  <c r="AC1059" i="25"/>
  <c r="Y1060" i="25"/>
  <c r="AA1060" i="25"/>
  <c r="AC1060" i="25"/>
  <c r="Y1061" i="25"/>
  <c r="AA1061" i="25"/>
  <c r="AC1061" i="25"/>
  <c r="Y1062" i="25"/>
  <c r="AA1062" i="25"/>
  <c r="AC1062" i="25"/>
  <c r="Y1063" i="25"/>
  <c r="AA1063" i="25"/>
  <c r="AC1063" i="25"/>
  <c r="Y1064" i="25"/>
  <c r="AA1064" i="25"/>
  <c r="AC1064" i="25"/>
  <c r="Y1065" i="25"/>
  <c r="AA1065" i="25"/>
  <c r="AC1065" i="25"/>
  <c r="Y1066" i="25"/>
  <c r="AA1066" i="25"/>
  <c r="AC1066" i="25"/>
  <c r="Y1067" i="25"/>
  <c r="AA1067" i="25"/>
  <c r="AC1067" i="25"/>
  <c r="Y1068" i="25"/>
  <c r="AA1068" i="25"/>
  <c r="AC1068" i="25"/>
  <c r="Y1069" i="25"/>
  <c r="AA1069" i="25"/>
  <c r="AC1069" i="25"/>
  <c r="Y1070" i="25"/>
  <c r="AA1070" i="25"/>
  <c r="AC1070" i="25"/>
  <c r="Y1071" i="25"/>
  <c r="AA1071" i="25"/>
  <c r="AC1071" i="25"/>
  <c r="Y1072" i="25"/>
  <c r="AA1072" i="25"/>
  <c r="AC1072" i="25"/>
  <c r="Y1073" i="25"/>
  <c r="AA1073" i="25"/>
  <c r="AC1073" i="25"/>
  <c r="Y1074" i="25"/>
  <c r="AA1074" i="25"/>
  <c r="AC1074" i="25"/>
  <c r="Y1075" i="25"/>
  <c r="AA1075" i="25"/>
  <c r="AC1075" i="25"/>
  <c r="Y1076" i="25"/>
  <c r="AA1076" i="25"/>
  <c r="AC1076" i="25"/>
  <c r="Y1077" i="25"/>
  <c r="AA1077" i="25"/>
  <c r="AC1077" i="25"/>
  <c r="Y1078" i="25"/>
  <c r="AA1078" i="25"/>
  <c r="AC1078" i="25"/>
  <c r="Y1079" i="25"/>
  <c r="AA1079" i="25"/>
  <c r="AC1079" i="25"/>
  <c r="Y1080" i="25"/>
  <c r="AA1080" i="25"/>
  <c r="AC1080" i="25"/>
  <c r="Y1081" i="25"/>
  <c r="AA1081" i="25"/>
  <c r="AC1081" i="25"/>
  <c r="Y1082" i="25"/>
  <c r="AA1082" i="25"/>
  <c r="AC1082" i="25"/>
  <c r="Y1083" i="25"/>
  <c r="AA1083" i="25"/>
  <c r="AC1083" i="25"/>
  <c r="Y1084" i="25"/>
  <c r="AA1084" i="25"/>
  <c r="AC1084" i="25"/>
  <c r="Y1085" i="25"/>
  <c r="AA1085" i="25"/>
  <c r="AC1085" i="25"/>
  <c r="Y1086" i="25"/>
  <c r="AA1086" i="25"/>
  <c r="AC1086" i="25"/>
  <c r="Y1087" i="25"/>
  <c r="AA1087" i="25"/>
  <c r="AC1087" i="25"/>
  <c r="Y1088" i="25"/>
  <c r="AA1088" i="25"/>
  <c r="AC1088" i="25"/>
  <c r="Y1089" i="25"/>
  <c r="AA1089" i="25"/>
  <c r="AC1089" i="25"/>
  <c r="Y1090" i="25"/>
  <c r="AA1090" i="25"/>
  <c r="AC1090" i="25"/>
  <c r="Y1091" i="25"/>
  <c r="AA1091" i="25"/>
  <c r="AC1091" i="25"/>
  <c r="Y1092" i="25"/>
  <c r="AA1092" i="25"/>
  <c r="AC1092" i="25"/>
  <c r="Y1093" i="25"/>
  <c r="AA1093" i="25"/>
  <c r="AC1093" i="25"/>
  <c r="Y1094" i="25"/>
  <c r="AA1094" i="25"/>
  <c r="AC1094" i="25"/>
  <c r="Y1095" i="25"/>
  <c r="AA1095" i="25"/>
  <c r="AC1095" i="25"/>
  <c r="Y1096" i="25"/>
  <c r="AA1096" i="25"/>
  <c r="AC1096" i="25"/>
  <c r="Y1097" i="25"/>
  <c r="AA1097" i="25"/>
  <c r="AC1097" i="25"/>
  <c r="Y1098" i="25"/>
  <c r="AA1098" i="25"/>
  <c r="AC1098" i="25"/>
  <c r="Y1099" i="25"/>
  <c r="AA1099" i="25"/>
  <c r="AC1099" i="25"/>
  <c r="Y1100" i="25"/>
  <c r="AA1100" i="25"/>
  <c r="AC1100" i="25"/>
  <c r="Y1101" i="25"/>
  <c r="AA1101" i="25"/>
  <c r="AC1101" i="25"/>
  <c r="Y1102" i="25"/>
  <c r="AA1102" i="25"/>
  <c r="AC1102" i="25"/>
  <c r="Y1103" i="25"/>
  <c r="AA1103" i="25"/>
  <c r="AC1103" i="25"/>
  <c r="Y1104" i="25"/>
  <c r="AA1104" i="25"/>
  <c r="AC1104" i="25"/>
  <c r="Y1105" i="25"/>
  <c r="AA1105" i="25"/>
  <c r="AC1105" i="25"/>
  <c r="Y1106" i="25"/>
  <c r="AA1106" i="25"/>
  <c r="AC1106" i="25"/>
  <c r="Y1107" i="25"/>
  <c r="AA1107" i="25"/>
  <c r="AC1107" i="25"/>
  <c r="Y1108" i="25"/>
  <c r="AA1108" i="25"/>
  <c r="AC1108" i="25"/>
  <c r="Y1109" i="25"/>
  <c r="AA1109" i="25"/>
  <c r="AC1109" i="25"/>
  <c r="Y1110" i="25"/>
  <c r="AA1110" i="25"/>
  <c r="AC1110" i="25"/>
  <c r="Y1111" i="25"/>
  <c r="AA1111" i="25"/>
  <c r="AC1111" i="25"/>
  <c r="Y1112" i="25"/>
  <c r="AA1112" i="25"/>
  <c r="AC1112" i="25"/>
  <c r="Y1113" i="25"/>
  <c r="AA1113" i="25"/>
  <c r="AC1113" i="25"/>
  <c r="Y1114" i="25"/>
  <c r="AA1114" i="25"/>
  <c r="AC1114" i="25"/>
  <c r="Y1115" i="25"/>
  <c r="AA1115" i="25"/>
  <c r="AC1115" i="25"/>
  <c r="Y1116" i="25"/>
  <c r="AA1116" i="25"/>
  <c r="AC1116" i="25"/>
  <c r="Y1117" i="25"/>
  <c r="AA1117" i="25"/>
  <c r="AC1117" i="25"/>
  <c r="Y1118" i="25"/>
  <c r="AA1118" i="25"/>
  <c r="AC1118" i="25"/>
  <c r="Y1119" i="25"/>
  <c r="AA1119" i="25"/>
  <c r="AC1119" i="25"/>
  <c r="Y1120" i="25"/>
  <c r="AA1120" i="25"/>
  <c r="AC1120" i="25"/>
  <c r="Y1121" i="25"/>
  <c r="AA1121" i="25"/>
  <c r="AC1121" i="25"/>
  <c r="Y1122" i="25"/>
  <c r="AA1122" i="25"/>
  <c r="AC1122" i="25"/>
  <c r="Y1123" i="25"/>
  <c r="AA1123" i="25"/>
  <c r="AC1123" i="25"/>
  <c r="Y1124" i="25"/>
  <c r="AA1124" i="25"/>
  <c r="AC1124" i="25"/>
  <c r="Y1125" i="25"/>
  <c r="AA1125" i="25"/>
  <c r="AC1125" i="25"/>
  <c r="Y1126" i="25"/>
  <c r="AA1126" i="25"/>
  <c r="AC1126" i="25"/>
  <c r="Y1127" i="25"/>
  <c r="AA1127" i="25"/>
  <c r="AC1127" i="25"/>
  <c r="Y1128" i="25"/>
  <c r="AA1128" i="25"/>
  <c r="AC1128" i="25"/>
  <c r="Y1129" i="25"/>
  <c r="AA1129" i="25"/>
  <c r="AC1129" i="25"/>
  <c r="Y1130" i="25"/>
  <c r="AA1130" i="25"/>
  <c r="AC1130" i="25"/>
  <c r="Y1131" i="25"/>
  <c r="AA1131" i="25"/>
  <c r="AC1131" i="25"/>
  <c r="Y1132" i="25"/>
  <c r="AA1132" i="25"/>
  <c r="AC1132" i="25"/>
  <c r="Y1133" i="25"/>
  <c r="AA1133" i="25"/>
  <c r="AC1133" i="25"/>
  <c r="Y1134" i="25"/>
  <c r="AA1134" i="25"/>
  <c r="AC1134" i="25"/>
  <c r="Y1135" i="25"/>
  <c r="AA1135" i="25"/>
  <c r="AC1135" i="25"/>
  <c r="Y1136" i="25"/>
  <c r="AA1136" i="25"/>
  <c r="AC1136" i="25"/>
  <c r="Y1137" i="25"/>
  <c r="AA1137" i="25"/>
  <c r="AC1137" i="25"/>
  <c r="Y1138" i="25"/>
  <c r="AA1138" i="25"/>
  <c r="AC1138" i="25"/>
  <c r="Y1139" i="25"/>
  <c r="AA1139" i="25"/>
  <c r="AC1139" i="25"/>
  <c r="Y1140" i="25"/>
  <c r="AA1140" i="25"/>
  <c r="AC1140" i="25"/>
  <c r="Y1141" i="25"/>
  <c r="AA1141" i="25"/>
  <c r="AC1141" i="25"/>
  <c r="Y1142" i="25"/>
  <c r="AA1142" i="25"/>
  <c r="AC1142" i="25"/>
  <c r="Y1143" i="25"/>
  <c r="AA1143" i="25"/>
  <c r="AC1143" i="25"/>
  <c r="Y1144" i="25"/>
  <c r="AA1144" i="25"/>
  <c r="AC1144" i="25"/>
  <c r="Y1145" i="25"/>
  <c r="AA1145" i="25"/>
  <c r="AC1145" i="25"/>
  <c r="Y1146" i="25"/>
  <c r="AA1146" i="25"/>
  <c r="AC1146" i="25"/>
  <c r="Y1147" i="25"/>
  <c r="AA1147" i="25"/>
  <c r="AC1147" i="25"/>
  <c r="Y1148" i="25"/>
  <c r="AA1148" i="25"/>
  <c r="AC1148" i="25"/>
  <c r="Y1149" i="25"/>
  <c r="AA1149" i="25"/>
  <c r="AC1149" i="25"/>
  <c r="Y1150" i="25"/>
  <c r="AA1150" i="25"/>
  <c r="AC1150" i="25"/>
  <c r="Y1151" i="25"/>
  <c r="AA1151" i="25"/>
  <c r="AC1151" i="25"/>
  <c r="Y1152" i="25"/>
  <c r="AA1152" i="25"/>
  <c r="AC1152" i="25"/>
  <c r="Y1153" i="25"/>
  <c r="AA1153" i="25"/>
  <c r="AC1153" i="25"/>
  <c r="Y1154" i="25"/>
  <c r="AA1154" i="25"/>
  <c r="AC1154" i="25"/>
  <c r="Y1155" i="25"/>
  <c r="AA1155" i="25"/>
  <c r="AC1155" i="25"/>
  <c r="Y1156" i="25"/>
  <c r="AA1156" i="25"/>
  <c r="AC1156" i="25"/>
  <c r="Y1157" i="25"/>
  <c r="AA1157" i="25"/>
  <c r="AC1157" i="25"/>
  <c r="Y1158" i="25"/>
  <c r="AA1158" i="25"/>
  <c r="AC1158" i="25"/>
  <c r="Y1159" i="25"/>
  <c r="AA1159" i="25"/>
  <c r="AC1159" i="25"/>
  <c r="Y1160" i="25"/>
  <c r="AA1160" i="25"/>
  <c r="AC1160" i="25"/>
  <c r="Y1161" i="25"/>
  <c r="AA1161" i="25"/>
  <c r="AC1161" i="25"/>
  <c r="Y1162" i="25"/>
  <c r="AA1162" i="25"/>
  <c r="AC1162" i="25"/>
  <c r="Y1163" i="25"/>
  <c r="AA1163" i="25"/>
  <c r="AC1163" i="25"/>
  <c r="Y1164" i="25"/>
  <c r="AA1164" i="25"/>
  <c r="AC1164" i="25"/>
  <c r="Y1165" i="25"/>
  <c r="AA1165" i="25"/>
  <c r="AC1165" i="25"/>
  <c r="Y1166" i="25"/>
  <c r="AA1166" i="25"/>
  <c r="AC1166" i="25"/>
  <c r="Y1167" i="25"/>
  <c r="AA1167" i="25"/>
  <c r="AC1167" i="25"/>
  <c r="Y1168" i="25"/>
  <c r="AA1168" i="25"/>
  <c r="AC1168" i="25"/>
  <c r="Y1169" i="25"/>
  <c r="AA1169" i="25"/>
  <c r="AC1169" i="25"/>
  <c r="Y1170" i="25"/>
  <c r="AA1170" i="25"/>
  <c r="AC1170" i="25"/>
  <c r="Y1171" i="25"/>
  <c r="AA1171" i="25"/>
  <c r="AC1171" i="25"/>
  <c r="Y1172" i="25"/>
  <c r="AA1172" i="25"/>
  <c r="AC1172" i="25"/>
  <c r="Y1173" i="25"/>
  <c r="AA1173" i="25"/>
  <c r="AC1173" i="25"/>
  <c r="Y1174" i="25"/>
  <c r="AA1174" i="25"/>
  <c r="AC1174" i="25"/>
  <c r="Y1175" i="25"/>
  <c r="AA1175" i="25"/>
  <c r="AC1175" i="25"/>
  <c r="Y1176" i="25"/>
  <c r="AA1176" i="25"/>
  <c r="AC1176" i="25"/>
  <c r="Y1177" i="25"/>
  <c r="AA1177" i="25"/>
  <c r="AC1177" i="25"/>
  <c r="Y1178" i="25"/>
  <c r="AA1178" i="25"/>
  <c r="AC1178" i="25"/>
  <c r="Y1179" i="25"/>
  <c r="AA1179" i="25"/>
  <c r="AC1179" i="25"/>
  <c r="Y1180" i="25"/>
  <c r="AA1180" i="25"/>
  <c r="AC1180" i="25"/>
  <c r="Y1181" i="25"/>
  <c r="AA1181" i="25"/>
  <c r="AC1181" i="25"/>
  <c r="Y1182" i="25"/>
  <c r="AA1182" i="25"/>
  <c r="AC1182" i="25"/>
  <c r="Y1183" i="25"/>
  <c r="AA1183" i="25"/>
  <c r="AC1183" i="25"/>
  <c r="Y1184" i="25"/>
  <c r="AA1184" i="25"/>
  <c r="AC1184" i="25"/>
  <c r="Y1185" i="25"/>
  <c r="AA1185" i="25"/>
  <c r="AC1185" i="25"/>
  <c r="Y1186" i="25"/>
  <c r="AA1186" i="25"/>
  <c r="AC1186" i="25"/>
  <c r="Y1187" i="25"/>
  <c r="AA1187" i="25"/>
  <c r="AC1187" i="25"/>
  <c r="Y1188" i="25"/>
  <c r="AA1188" i="25"/>
  <c r="AC1188" i="25"/>
  <c r="Y1189" i="25"/>
  <c r="AA1189" i="25"/>
  <c r="AC1189" i="25"/>
  <c r="Y1190" i="25"/>
  <c r="AA1190" i="25"/>
  <c r="AC1190" i="25"/>
  <c r="Y1191" i="25"/>
  <c r="AA1191" i="25"/>
  <c r="AC1191" i="25"/>
  <c r="Y1192" i="25"/>
  <c r="AA1192" i="25"/>
  <c r="AC1192" i="25"/>
  <c r="Y1193" i="25"/>
  <c r="AA1193" i="25"/>
  <c r="AC1193" i="25"/>
  <c r="Y1194" i="25"/>
  <c r="AA1194" i="25"/>
  <c r="AC1194" i="25"/>
  <c r="Y1195" i="25"/>
  <c r="AA1195" i="25"/>
  <c r="AC1195" i="25"/>
  <c r="Y1196" i="25"/>
  <c r="AA1196" i="25"/>
  <c r="AC1196" i="25"/>
  <c r="Y1197" i="25"/>
  <c r="AA1197" i="25"/>
  <c r="AC1197" i="25"/>
  <c r="Y1198" i="25"/>
  <c r="AA1198" i="25"/>
  <c r="AC1198" i="25"/>
  <c r="Y1199" i="25"/>
  <c r="AA1199" i="25"/>
  <c r="AC1199" i="25"/>
  <c r="Y1200" i="25"/>
  <c r="AA1200" i="25"/>
  <c r="AC1200" i="25"/>
  <c r="Y1201" i="25"/>
  <c r="AA1201" i="25"/>
  <c r="AC1201" i="25"/>
  <c r="Y1202" i="25"/>
  <c r="AA1202" i="25"/>
  <c r="AC1202" i="25"/>
  <c r="Y1203" i="25"/>
  <c r="AA1203" i="25"/>
  <c r="AC1203" i="25"/>
  <c r="Y1204" i="25"/>
  <c r="AA1204" i="25"/>
  <c r="AC1204" i="25"/>
  <c r="Y1205" i="25"/>
  <c r="AA1205" i="25"/>
  <c r="AC1205" i="25"/>
  <c r="Y1206" i="25"/>
  <c r="AA1206" i="25"/>
  <c r="AC1206" i="25"/>
  <c r="Y1207" i="25"/>
  <c r="AA1207" i="25"/>
  <c r="AC1207" i="25"/>
  <c r="Y1208" i="25"/>
  <c r="AA1208" i="25"/>
  <c r="AC1208" i="25"/>
  <c r="Y1209" i="25"/>
  <c r="AA1209" i="25"/>
  <c r="AC1209" i="25"/>
  <c r="Y1210" i="25"/>
  <c r="AA1210" i="25"/>
  <c r="AC1210" i="25"/>
  <c r="Y1211" i="25"/>
  <c r="AA1211" i="25"/>
  <c r="AC1211" i="25"/>
  <c r="Y1212" i="25"/>
  <c r="AA1212" i="25"/>
  <c r="AC1212" i="25"/>
  <c r="Y1213" i="25"/>
  <c r="AA1213" i="25"/>
  <c r="AC1213" i="25"/>
  <c r="Y1214" i="25"/>
  <c r="AA1214" i="25"/>
  <c r="AC1214" i="25"/>
  <c r="Y1215" i="25"/>
  <c r="AA1215" i="25"/>
  <c r="AC1215" i="25"/>
  <c r="Y1216" i="25"/>
  <c r="AA1216" i="25"/>
  <c r="AC1216" i="25"/>
  <c r="Y1217" i="25"/>
  <c r="AA1217" i="25"/>
  <c r="AC1217" i="25"/>
  <c r="Y1218" i="25"/>
  <c r="AA1218" i="25"/>
  <c r="AC1218" i="25"/>
  <c r="Y1219" i="25"/>
  <c r="AA1219" i="25"/>
  <c r="AC1219" i="25"/>
  <c r="Y1220" i="25"/>
  <c r="AA1220" i="25"/>
  <c r="AC1220" i="25"/>
  <c r="Y1221" i="25"/>
  <c r="AA1221" i="25"/>
  <c r="AC1221" i="25"/>
  <c r="Y1222" i="25"/>
  <c r="AA1222" i="25"/>
  <c r="AC1222" i="25"/>
  <c r="Y1223" i="25"/>
  <c r="AA1223" i="25"/>
  <c r="AC1223" i="25"/>
  <c r="Y1224" i="25"/>
  <c r="AA1224" i="25"/>
  <c r="AC1224" i="25"/>
  <c r="Y1225" i="25"/>
  <c r="AA1225" i="25"/>
  <c r="AC1225" i="25"/>
  <c r="Y1226" i="25"/>
  <c r="AA1226" i="25"/>
  <c r="AC1226" i="25"/>
  <c r="Y1227" i="25"/>
  <c r="AA1227" i="25"/>
  <c r="AC1227" i="25"/>
  <c r="Y1228" i="25"/>
  <c r="AA1228" i="25"/>
  <c r="AC1228" i="25"/>
  <c r="Y1229" i="25"/>
  <c r="AA1229" i="25"/>
  <c r="AC1229" i="25"/>
  <c r="Y1230" i="25"/>
  <c r="AA1230" i="25"/>
  <c r="AC1230" i="25"/>
  <c r="Y1231" i="25"/>
  <c r="AA1231" i="25"/>
  <c r="AC1231" i="25"/>
  <c r="Y1232" i="25"/>
  <c r="AA1232" i="25"/>
  <c r="AC1232" i="25"/>
  <c r="Y1233" i="25"/>
  <c r="AA1233" i="25"/>
  <c r="AC1233" i="25"/>
  <c r="Y1234" i="25"/>
  <c r="AA1234" i="25"/>
  <c r="AC1234" i="25"/>
  <c r="Y1235" i="25"/>
  <c r="AA1235" i="25"/>
  <c r="AC1235" i="25"/>
  <c r="Y1236" i="25"/>
  <c r="AA1236" i="25"/>
  <c r="AC1236" i="25"/>
  <c r="Y1237" i="25"/>
  <c r="AA1237" i="25"/>
  <c r="AC1237" i="25"/>
  <c r="Y1238" i="25"/>
  <c r="AA1238" i="25"/>
  <c r="AC1238" i="25"/>
  <c r="Y1239" i="25"/>
  <c r="AA1239" i="25"/>
  <c r="AC1239" i="25"/>
  <c r="Y1240" i="25"/>
  <c r="AA1240" i="25"/>
  <c r="AC1240" i="25"/>
  <c r="Y1241" i="25"/>
  <c r="AA1241" i="25"/>
  <c r="AC1241" i="25"/>
  <c r="Y1242" i="25"/>
  <c r="AA1242" i="25"/>
  <c r="AC1242" i="25"/>
  <c r="Y1243" i="25"/>
  <c r="AA1243" i="25"/>
  <c r="AC1243" i="25"/>
  <c r="Y1244" i="25"/>
  <c r="AA1244" i="25"/>
  <c r="AC1244" i="25"/>
  <c r="Y1245" i="25"/>
  <c r="AA1245" i="25"/>
  <c r="AC1245" i="25"/>
  <c r="Y1246" i="25"/>
  <c r="AA1246" i="25"/>
  <c r="AC1246" i="25"/>
  <c r="Y1247" i="25"/>
  <c r="AA1247" i="25"/>
  <c r="AC1247" i="25"/>
  <c r="Y1248" i="25"/>
  <c r="AA1248" i="25"/>
  <c r="AC1248" i="25"/>
  <c r="Y1249" i="25"/>
  <c r="AA1249" i="25"/>
  <c r="AC1249" i="25"/>
  <c r="Y1250" i="25"/>
  <c r="AA1250" i="25"/>
  <c r="AC1250" i="25"/>
  <c r="Y1251" i="25"/>
  <c r="AA1251" i="25"/>
  <c r="AC1251" i="25"/>
  <c r="Y1252" i="25"/>
  <c r="AA1252" i="25"/>
  <c r="AC1252" i="25"/>
  <c r="Y1253" i="25"/>
  <c r="AA1253" i="25"/>
  <c r="AC1253" i="25"/>
  <c r="Y1254" i="25"/>
  <c r="AA1254" i="25"/>
  <c r="AC1254" i="25"/>
  <c r="Y1255" i="25"/>
  <c r="AA1255" i="25"/>
  <c r="AC1255" i="25"/>
  <c r="Y1256" i="25"/>
  <c r="AA1256" i="25"/>
  <c r="AC1256" i="25"/>
  <c r="Y1257" i="25"/>
  <c r="AA1257" i="25"/>
  <c r="AC1257" i="25"/>
  <c r="Y1258" i="25"/>
  <c r="AA1258" i="25"/>
  <c r="AC1258" i="25"/>
  <c r="Y1259" i="25"/>
  <c r="AA1259" i="25"/>
  <c r="AC1259" i="25"/>
  <c r="Y1260" i="25"/>
  <c r="AA1260" i="25"/>
  <c r="AC1260" i="25"/>
  <c r="Y1261" i="25"/>
  <c r="AA1261" i="25"/>
  <c r="AC1261" i="25"/>
  <c r="Y1262" i="25"/>
  <c r="AA1262" i="25"/>
  <c r="AC1262" i="25"/>
  <c r="Y1263" i="25"/>
  <c r="AA1263" i="25"/>
  <c r="AC1263" i="25"/>
  <c r="Y1264" i="25"/>
  <c r="AA1264" i="25"/>
  <c r="AC1264" i="25"/>
  <c r="Y1265" i="25"/>
  <c r="AA1265" i="25"/>
  <c r="AC1265" i="25"/>
  <c r="Y1266" i="25"/>
  <c r="AA1266" i="25"/>
  <c r="AC1266" i="25"/>
  <c r="Y1267" i="25"/>
  <c r="AA1267" i="25"/>
  <c r="AC1267" i="25"/>
  <c r="Y1268" i="25"/>
  <c r="AA1268" i="25"/>
  <c r="AC1268" i="25"/>
  <c r="Y1269" i="25"/>
  <c r="AA1269" i="25"/>
  <c r="AC1269" i="25"/>
  <c r="Y1270" i="25"/>
  <c r="AA1270" i="25"/>
  <c r="AC1270" i="25"/>
  <c r="Y1271" i="25"/>
  <c r="AA1271" i="25"/>
  <c r="AC1271" i="25"/>
  <c r="Y1272" i="25"/>
  <c r="AA1272" i="25"/>
  <c r="AC1272" i="25"/>
  <c r="Y1273" i="25"/>
  <c r="AA1273" i="25"/>
  <c r="AC1273" i="25"/>
  <c r="Y1274" i="25"/>
  <c r="AA1274" i="25"/>
  <c r="AC1274" i="25"/>
  <c r="Y1275" i="25"/>
  <c r="AA1275" i="25"/>
  <c r="AC1275" i="25"/>
  <c r="Y1276" i="25"/>
  <c r="AA1276" i="25"/>
  <c r="AC1276" i="25"/>
  <c r="Y1277" i="25"/>
  <c r="AA1277" i="25"/>
  <c r="AC1277" i="25"/>
  <c r="Y1278" i="25"/>
  <c r="AA1278" i="25"/>
  <c r="AC1278" i="25"/>
  <c r="Y1279" i="25"/>
  <c r="AA1279" i="25"/>
  <c r="AC1279" i="25"/>
  <c r="Y1280" i="25"/>
  <c r="AA1280" i="25"/>
  <c r="AC1280" i="25"/>
  <c r="Y1281" i="25"/>
  <c r="AA1281" i="25"/>
  <c r="AC1281" i="25"/>
  <c r="Y1282" i="25"/>
  <c r="AA1282" i="25"/>
  <c r="AC1282" i="25"/>
  <c r="Y1283" i="25"/>
  <c r="AA1283" i="25"/>
  <c r="AC1283" i="25"/>
  <c r="Y1284" i="25"/>
  <c r="AA1284" i="25"/>
  <c r="AC1284" i="25"/>
  <c r="Y1285" i="25"/>
  <c r="AA1285" i="25"/>
  <c r="AC1285" i="25"/>
  <c r="Y1286" i="25"/>
  <c r="AA1286" i="25"/>
  <c r="AC1286" i="25"/>
  <c r="Y1287" i="25"/>
  <c r="AA1287" i="25"/>
  <c r="AC1287" i="25"/>
  <c r="Y1288" i="25"/>
  <c r="AA1288" i="25"/>
  <c r="AC1288" i="25"/>
  <c r="Y1289" i="25"/>
  <c r="AA1289" i="25"/>
  <c r="AC1289" i="25"/>
  <c r="Y1290" i="25"/>
  <c r="AA1290" i="25"/>
  <c r="AC1290" i="25"/>
  <c r="Y1291" i="25"/>
  <c r="AA1291" i="25"/>
  <c r="AC1291" i="25"/>
  <c r="Y1292" i="25"/>
  <c r="AA1292" i="25"/>
  <c r="AC1292" i="25"/>
  <c r="Y1293" i="25"/>
  <c r="AA1293" i="25"/>
  <c r="AC1293" i="25"/>
  <c r="Y1294" i="25"/>
  <c r="AA1294" i="25"/>
  <c r="AC1294" i="25"/>
  <c r="Y1295" i="25"/>
  <c r="AA1295" i="25"/>
  <c r="AC1295" i="25"/>
  <c r="Y1296" i="25"/>
  <c r="AA1296" i="25"/>
  <c r="AC1296" i="25"/>
  <c r="Y1297" i="25"/>
  <c r="AA1297" i="25"/>
  <c r="AC1297" i="25"/>
  <c r="Y1298" i="25"/>
  <c r="AA1298" i="25"/>
  <c r="AC1298" i="25"/>
  <c r="Y1299" i="25"/>
  <c r="AA1299" i="25"/>
  <c r="AC1299" i="25"/>
  <c r="Y1300" i="25"/>
  <c r="AA1300" i="25"/>
  <c r="AC1300" i="25"/>
  <c r="Y1301" i="25"/>
  <c r="AA1301" i="25"/>
  <c r="AC1301" i="25"/>
  <c r="Y1302" i="25"/>
  <c r="AA1302" i="25"/>
  <c r="AC1302" i="25"/>
  <c r="Y1303" i="25"/>
  <c r="AA1303" i="25"/>
  <c r="AC1303" i="25"/>
  <c r="Y1304" i="25"/>
  <c r="AA1304" i="25"/>
  <c r="AC1304" i="25"/>
  <c r="Y1305" i="25"/>
  <c r="AA1305" i="25"/>
  <c r="AC1305" i="25"/>
  <c r="Y1306" i="25"/>
  <c r="AA1306" i="25"/>
  <c r="AC1306" i="25"/>
  <c r="Y1307" i="25"/>
  <c r="AA1307" i="25"/>
  <c r="AC1307" i="25"/>
  <c r="Y1308" i="25"/>
  <c r="AA1308" i="25"/>
  <c r="AC1308" i="25"/>
  <c r="Y1309" i="25"/>
  <c r="AA1309" i="25"/>
  <c r="AC1309" i="25"/>
  <c r="Y1310" i="25"/>
  <c r="AA1310" i="25"/>
  <c r="AC1310" i="25"/>
  <c r="Y1311" i="25"/>
  <c r="AA1311" i="25"/>
  <c r="AC1311" i="25"/>
  <c r="Y1312" i="25"/>
  <c r="AA1312" i="25"/>
  <c r="AC1312" i="25"/>
  <c r="Y1313" i="25"/>
  <c r="AA1313" i="25"/>
  <c r="AC1313" i="25"/>
  <c r="Y1314" i="25"/>
  <c r="AA1314" i="25"/>
  <c r="AC1314" i="25"/>
  <c r="Y1315" i="25"/>
  <c r="AA1315" i="25"/>
  <c r="AC1315" i="25"/>
  <c r="Y1316" i="25"/>
  <c r="AA1316" i="25"/>
  <c r="AC1316" i="25"/>
  <c r="Y1317" i="25"/>
  <c r="AA1317" i="25"/>
  <c r="AC1317" i="25"/>
  <c r="Y1318" i="25"/>
  <c r="AA1318" i="25"/>
  <c r="AC1318" i="25"/>
  <c r="Y1319" i="25"/>
  <c r="AA1319" i="25"/>
  <c r="AC1319" i="25"/>
  <c r="Y1320" i="25"/>
  <c r="AA1320" i="25"/>
  <c r="AC1320" i="25"/>
  <c r="Y1321" i="25"/>
  <c r="AA1321" i="25"/>
  <c r="AC1321" i="25"/>
  <c r="Y1322" i="25"/>
  <c r="AA1322" i="25"/>
  <c r="AC1322" i="25"/>
  <c r="Y1323" i="25"/>
  <c r="AA1323" i="25"/>
  <c r="AC1323" i="25"/>
  <c r="Y1324" i="25"/>
  <c r="AA1324" i="25"/>
  <c r="AC1324" i="25"/>
  <c r="Y1325" i="25"/>
  <c r="AA1325" i="25"/>
  <c r="AC1325" i="25"/>
  <c r="Y1326" i="25"/>
  <c r="AA1326" i="25"/>
  <c r="AC1326" i="25"/>
  <c r="Y1327" i="25"/>
  <c r="AA1327" i="25"/>
  <c r="AC1327" i="25"/>
  <c r="Y1328" i="25"/>
  <c r="AA1328" i="25"/>
  <c r="AC1328" i="25"/>
  <c r="Y1329" i="25"/>
  <c r="AA1329" i="25"/>
  <c r="AC1329" i="25"/>
  <c r="Y1330" i="25"/>
  <c r="AA1330" i="25"/>
  <c r="AC1330" i="25"/>
  <c r="Y1331" i="25"/>
  <c r="AA1331" i="25"/>
  <c r="AC1331" i="25"/>
  <c r="Y1332" i="25"/>
  <c r="AA1332" i="25"/>
  <c r="AC1332" i="25"/>
  <c r="Y1333" i="25"/>
  <c r="AA1333" i="25"/>
  <c r="AC1333" i="25"/>
  <c r="Y1334" i="25"/>
  <c r="AA1334" i="25"/>
  <c r="AC1334" i="25"/>
  <c r="Y1335" i="25"/>
  <c r="AA1335" i="25"/>
  <c r="AC1335" i="25"/>
  <c r="Y1336" i="25"/>
  <c r="AA1336" i="25"/>
  <c r="AC1336" i="25"/>
  <c r="Y1337" i="25"/>
  <c r="AA1337" i="25"/>
  <c r="AC1337" i="25"/>
  <c r="Y1338" i="25"/>
  <c r="AA1338" i="25"/>
  <c r="AC1338" i="25"/>
  <c r="Y1339" i="25"/>
  <c r="AA1339" i="25"/>
  <c r="AC1339" i="25"/>
  <c r="Y1340" i="25"/>
  <c r="AA1340" i="25"/>
  <c r="AC1340" i="25"/>
  <c r="Y1341" i="25"/>
  <c r="AA1341" i="25"/>
  <c r="AC1341" i="25"/>
  <c r="Y1342" i="25"/>
  <c r="AA1342" i="25"/>
  <c r="AC1342" i="25"/>
  <c r="Y1343" i="25"/>
  <c r="AA1343" i="25"/>
  <c r="AC1343" i="25"/>
  <c r="Y1344" i="25"/>
  <c r="AA1344" i="25"/>
  <c r="AC1344" i="25"/>
  <c r="Y1345" i="25"/>
  <c r="AA1345" i="25"/>
  <c r="AC1345" i="25"/>
  <c r="Y1346" i="25"/>
  <c r="AA1346" i="25"/>
  <c r="AC1346" i="25"/>
  <c r="Y1347" i="25"/>
  <c r="AA1347" i="25"/>
  <c r="AC1347" i="25"/>
  <c r="Y1348" i="25"/>
  <c r="AA1348" i="25"/>
  <c r="AC1348" i="25"/>
  <c r="Y1349" i="25"/>
  <c r="AA1349" i="25"/>
  <c r="AC1349" i="25"/>
  <c r="Y1350" i="25"/>
  <c r="AA1350" i="25"/>
  <c r="AC1350" i="25"/>
  <c r="Y1351" i="25"/>
  <c r="AA1351" i="25"/>
  <c r="AC1351" i="25"/>
  <c r="Y1352" i="25"/>
  <c r="AA1352" i="25"/>
  <c r="AC1352" i="25"/>
  <c r="Y1353" i="25"/>
  <c r="AA1353" i="25"/>
  <c r="AC1353" i="25"/>
  <c r="Y1354" i="25"/>
  <c r="AA1354" i="25"/>
  <c r="AC1354" i="25"/>
  <c r="Y1355" i="25"/>
  <c r="AA1355" i="25"/>
  <c r="AC1355" i="25"/>
  <c r="Y1356" i="25"/>
  <c r="AA1356" i="25"/>
  <c r="AC1356" i="25"/>
  <c r="Y1357" i="25"/>
  <c r="AA1357" i="25"/>
  <c r="AC1357" i="25"/>
  <c r="Y1358" i="25"/>
  <c r="AA1358" i="25"/>
  <c r="AC1358" i="25"/>
  <c r="Y1359" i="25"/>
  <c r="AA1359" i="25"/>
  <c r="AC1359" i="25"/>
  <c r="Y1360" i="25"/>
  <c r="AA1360" i="25"/>
  <c r="AC1360" i="25"/>
  <c r="Y1361" i="25"/>
  <c r="AA1361" i="25"/>
  <c r="AC1361" i="25"/>
  <c r="Y1362" i="25"/>
  <c r="AA1362" i="25"/>
  <c r="AC1362" i="25"/>
  <c r="Y1363" i="25"/>
  <c r="AA1363" i="25"/>
  <c r="AC1363" i="25"/>
  <c r="Y1364" i="25"/>
  <c r="AA1364" i="25"/>
  <c r="AC1364" i="25"/>
  <c r="Y1365" i="25"/>
  <c r="AA1365" i="25"/>
  <c r="AC1365" i="25"/>
  <c r="Y1366" i="25"/>
  <c r="AA1366" i="25"/>
  <c r="AC1366" i="25"/>
  <c r="Y1367" i="25"/>
  <c r="AA1367" i="25"/>
  <c r="AC1367" i="25"/>
  <c r="Y1368" i="25"/>
  <c r="AA1368" i="25"/>
  <c r="AC1368" i="25"/>
  <c r="Y1369" i="25"/>
  <c r="AA1369" i="25"/>
  <c r="AC1369" i="25"/>
  <c r="Y1370" i="25"/>
  <c r="AA1370" i="25"/>
  <c r="AC1370" i="25"/>
  <c r="Y1371" i="25"/>
  <c r="AA1371" i="25"/>
  <c r="AC1371" i="25"/>
  <c r="Y1372" i="25"/>
  <c r="AA1372" i="25"/>
  <c r="AC1372" i="25"/>
  <c r="Y1373" i="25"/>
  <c r="AA1373" i="25"/>
  <c r="AC1373" i="25"/>
  <c r="Y1374" i="25"/>
  <c r="AA1374" i="25"/>
  <c r="AC1374" i="25"/>
  <c r="Y1375" i="25"/>
  <c r="AA1375" i="25"/>
  <c r="AC1375" i="25"/>
  <c r="Y1376" i="25"/>
  <c r="AA1376" i="25"/>
  <c r="AC1376" i="25"/>
  <c r="Y1377" i="25"/>
  <c r="AA1377" i="25"/>
  <c r="AC1377" i="25"/>
  <c r="Y1378" i="25"/>
  <c r="AA1378" i="25"/>
  <c r="AC1378" i="25"/>
  <c r="Y1379" i="25"/>
  <c r="AA1379" i="25"/>
  <c r="AC1379" i="25"/>
  <c r="Y1380" i="25"/>
  <c r="AA1380" i="25"/>
  <c r="AC1380" i="25"/>
  <c r="Y1381" i="25"/>
  <c r="AA1381" i="25"/>
  <c r="AC1381" i="25"/>
  <c r="Y1382" i="25"/>
  <c r="AA1382" i="25"/>
  <c r="AC1382" i="25"/>
  <c r="Y1383" i="25"/>
  <c r="AA1383" i="25"/>
  <c r="AC1383" i="25"/>
  <c r="Y1384" i="25"/>
  <c r="AA1384" i="25"/>
  <c r="AC1384" i="25"/>
  <c r="Y1385" i="25"/>
  <c r="AA1385" i="25"/>
  <c r="AC1385" i="25"/>
  <c r="Y1386" i="25"/>
  <c r="AA1386" i="25"/>
  <c r="AC1386" i="25"/>
  <c r="Y1387" i="25"/>
  <c r="AA1387" i="25"/>
  <c r="AC1387" i="25"/>
  <c r="Y1388" i="25"/>
  <c r="AA1388" i="25"/>
  <c r="AC1388" i="25"/>
  <c r="Y1389" i="25"/>
  <c r="AA1389" i="25"/>
  <c r="AC1389" i="25"/>
  <c r="Y1390" i="25"/>
  <c r="AA1390" i="25"/>
  <c r="AC1390" i="25"/>
  <c r="Y1391" i="25"/>
  <c r="AA1391" i="25"/>
  <c r="AC1391" i="25"/>
  <c r="Y1392" i="25"/>
  <c r="AA1392" i="25"/>
  <c r="AC1392" i="25"/>
  <c r="Y1393" i="25"/>
  <c r="AA1393" i="25"/>
  <c r="AC1393" i="25"/>
  <c r="Y1394" i="25"/>
  <c r="AA1394" i="25"/>
  <c r="AC1394" i="25"/>
  <c r="Y1395" i="25"/>
  <c r="AA1395" i="25"/>
  <c r="AC1395" i="25"/>
  <c r="Y1396" i="25"/>
  <c r="AA1396" i="25"/>
  <c r="AC1396" i="25"/>
  <c r="Y1397" i="25"/>
  <c r="AA1397" i="25"/>
  <c r="AC1397" i="25"/>
  <c r="Y1398" i="25"/>
  <c r="AA1398" i="25"/>
  <c r="AC1398" i="25"/>
  <c r="Y1399" i="25"/>
  <c r="AA1399" i="25"/>
  <c r="AC1399" i="25"/>
  <c r="Y1400" i="25"/>
  <c r="AA1400" i="25"/>
  <c r="AC1400" i="25"/>
  <c r="Y1401" i="25"/>
  <c r="AA1401" i="25"/>
  <c r="AC1401" i="25"/>
  <c r="Y1402" i="25"/>
  <c r="AA1402" i="25"/>
  <c r="AC1402" i="25"/>
  <c r="Y1403" i="25"/>
  <c r="AA1403" i="25"/>
  <c r="AC1403" i="25"/>
  <c r="Y1404" i="25"/>
  <c r="AA1404" i="25"/>
  <c r="AC1404" i="25"/>
  <c r="Y1405" i="25"/>
  <c r="AA1405" i="25"/>
  <c r="AC1405" i="25"/>
  <c r="Y1406" i="25"/>
  <c r="AA1406" i="25"/>
  <c r="AC1406" i="25"/>
  <c r="Y1407" i="25"/>
  <c r="AA1407" i="25"/>
  <c r="AC1407" i="25"/>
  <c r="Y1408" i="25"/>
  <c r="AA1408" i="25"/>
  <c r="AC1408" i="25"/>
  <c r="Y1409" i="25"/>
  <c r="AA1409" i="25"/>
  <c r="AC1409" i="25"/>
  <c r="Y1410" i="25"/>
  <c r="AA1410" i="25"/>
  <c r="AC1410" i="25"/>
  <c r="Y1411" i="25"/>
  <c r="AA1411" i="25"/>
  <c r="AC1411" i="25"/>
  <c r="Y1412" i="25"/>
  <c r="AA1412" i="25"/>
  <c r="AC1412" i="25"/>
  <c r="Y1413" i="25"/>
  <c r="AA1413" i="25"/>
  <c r="AC1413" i="25"/>
  <c r="Y1414" i="25"/>
  <c r="AA1414" i="25"/>
  <c r="AC1414" i="25"/>
  <c r="Y1415" i="25"/>
  <c r="AA1415" i="25"/>
  <c r="AC1415" i="25"/>
  <c r="Y1416" i="25"/>
  <c r="AA1416" i="25"/>
  <c r="AC1416" i="25"/>
  <c r="Y1417" i="25"/>
  <c r="AA1417" i="25"/>
  <c r="AC1417" i="25"/>
  <c r="Y1418" i="25"/>
  <c r="AA1418" i="25"/>
  <c r="AC1418" i="25"/>
  <c r="Y1419" i="25"/>
  <c r="AA1419" i="25"/>
  <c r="AC1419" i="25"/>
  <c r="Y1420" i="25"/>
  <c r="AA1420" i="25"/>
  <c r="AC1420" i="25"/>
  <c r="Y1421" i="25"/>
  <c r="AA1421" i="25"/>
  <c r="AC1421" i="25"/>
  <c r="Y1422" i="25"/>
  <c r="AA1422" i="25"/>
  <c r="AC1422" i="25"/>
  <c r="Y1423" i="25"/>
  <c r="AA1423" i="25"/>
  <c r="AC1423" i="25"/>
  <c r="Y1424" i="25"/>
  <c r="AA1424" i="25"/>
  <c r="AC1424" i="25"/>
  <c r="Y1425" i="25"/>
  <c r="AA1425" i="25"/>
  <c r="AC1425" i="25"/>
  <c r="Y1426" i="25"/>
  <c r="AA1426" i="25"/>
  <c r="AC1426" i="25"/>
  <c r="Y1427" i="25"/>
  <c r="AA1427" i="25"/>
  <c r="AC1427" i="25"/>
  <c r="Y1428" i="25"/>
  <c r="AA1428" i="25"/>
  <c r="AC1428" i="25"/>
  <c r="Y1429" i="25"/>
  <c r="AA1429" i="25"/>
  <c r="AC1429" i="25"/>
  <c r="Y1430" i="25"/>
  <c r="AA1430" i="25"/>
  <c r="AC1430" i="25"/>
  <c r="Y1431" i="25"/>
  <c r="AA1431" i="25"/>
  <c r="AC1431" i="25"/>
  <c r="Y1432" i="25"/>
  <c r="AA1432" i="25"/>
  <c r="AC1432" i="25"/>
  <c r="Y1433" i="25"/>
  <c r="AA1433" i="25"/>
  <c r="AC1433" i="25"/>
  <c r="Y1434" i="25"/>
  <c r="AA1434" i="25"/>
  <c r="AC1434" i="25"/>
  <c r="Y1435" i="25"/>
  <c r="AA1435" i="25"/>
  <c r="AC1435" i="25"/>
  <c r="Y1436" i="25"/>
  <c r="AA1436" i="25"/>
  <c r="AC1436" i="25"/>
  <c r="Y1437" i="25"/>
  <c r="AA1437" i="25"/>
  <c r="AC1437" i="25"/>
  <c r="Y1438" i="25"/>
  <c r="AA1438" i="25"/>
  <c r="AC1438" i="25"/>
  <c r="Y1439" i="25"/>
  <c r="AA1439" i="25"/>
  <c r="AC1439" i="25"/>
  <c r="Y1440" i="25"/>
  <c r="AA1440" i="25"/>
  <c r="AC1440" i="25"/>
  <c r="Y1441" i="25"/>
  <c r="AA1441" i="25"/>
  <c r="AC1441" i="25"/>
  <c r="Y1442" i="25"/>
  <c r="AA1442" i="25"/>
  <c r="AC1442" i="25"/>
  <c r="Y1443" i="25"/>
  <c r="AA1443" i="25"/>
  <c r="AC1443" i="25"/>
  <c r="Y1444" i="25"/>
  <c r="AA1444" i="25"/>
  <c r="AC1444" i="25"/>
  <c r="Y1445" i="25"/>
  <c r="AA1445" i="25"/>
  <c r="AC1445" i="25"/>
  <c r="Y1446" i="25"/>
  <c r="AA1446" i="25"/>
  <c r="AC1446" i="25"/>
  <c r="Y1447" i="25"/>
  <c r="AA1447" i="25"/>
  <c r="AC1447" i="25"/>
  <c r="Y1448" i="25"/>
  <c r="AA1448" i="25"/>
  <c r="AC1448" i="25"/>
  <c r="Y1449" i="25"/>
  <c r="AA1449" i="25"/>
  <c r="AC1449" i="25"/>
  <c r="Y1450" i="25"/>
  <c r="AA1450" i="25"/>
  <c r="AC1450" i="25"/>
  <c r="Y1451" i="25"/>
  <c r="AA1451" i="25"/>
  <c r="AC1451" i="25"/>
  <c r="Y1452" i="25"/>
  <c r="AA1452" i="25"/>
  <c r="AC1452" i="25"/>
  <c r="Y1453" i="25"/>
  <c r="AA1453" i="25"/>
  <c r="AC1453" i="25"/>
  <c r="Y1454" i="25"/>
  <c r="AA1454" i="25"/>
  <c r="AC1454" i="25"/>
  <c r="Y1455" i="25"/>
  <c r="AA1455" i="25"/>
  <c r="AC1455" i="25"/>
  <c r="Y1456" i="25"/>
  <c r="AA1456" i="25"/>
  <c r="AC1456" i="25"/>
  <c r="Y1457" i="25"/>
  <c r="AA1457" i="25"/>
  <c r="AC1457" i="25"/>
  <c r="Y1458" i="25"/>
  <c r="AA1458" i="25"/>
  <c r="AC1458" i="25"/>
  <c r="Y1459" i="25"/>
  <c r="AA1459" i="25"/>
  <c r="AC1459" i="25"/>
  <c r="Y1460" i="25"/>
  <c r="AA1460" i="25"/>
  <c r="AC1460" i="25"/>
  <c r="Y1461" i="25"/>
  <c r="AA1461" i="25"/>
  <c r="AC1461" i="25"/>
  <c r="Y1462" i="25"/>
  <c r="AA1462" i="25"/>
  <c r="AC1462" i="25"/>
  <c r="Y1463" i="25"/>
  <c r="AA1463" i="25"/>
  <c r="AC1463" i="25"/>
  <c r="Y1464" i="25"/>
  <c r="AA1464" i="25"/>
  <c r="AC1464" i="25"/>
  <c r="Y1465" i="25"/>
  <c r="AA1465" i="25"/>
  <c r="AC1465" i="25"/>
  <c r="Y1466" i="25"/>
  <c r="AA1466" i="25"/>
  <c r="AC1466" i="25"/>
  <c r="Y1467" i="25"/>
  <c r="AA1467" i="25"/>
  <c r="AC1467" i="25"/>
  <c r="Y1468" i="25"/>
  <c r="AA1468" i="25"/>
  <c r="AC1468" i="25"/>
  <c r="Y1469" i="25"/>
  <c r="AA1469" i="25"/>
  <c r="AC1469" i="25"/>
  <c r="Y1470" i="25"/>
  <c r="AA1470" i="25"/>
  <c r="AC1470" i="25"/>
  <c r="Y1471" i="25"/>
  <c r="AA1471" i="25"/>
  <c r="AC1471" i="25"/>
  <c r="Y1472" i="25"/>
  <c r="AA1472" i="25"/>
  <c r="AC1472" i="25"/>
  <c r="Y1473" i="25"/>
  <c r="AA1473" i="25"/>
  <c r="AC1473" i="25"/>
  <c r="Y1474" i="25"/>
  <c r="AA1474" i="25"/>
  <c r="AC1474" i="25"/>
  <c r="Y1475" i="25"/>
  <c r="AA1475" i="25"/>
  <c r="AC1475" i="25"/>
  <c r="Y1476" i="25"/>
  <c r="AA1476" i="25"/>
  <c r="AC1476" i="25"/>
  <c r="Y1477" i="25"/>
  <c r="AA1477" i="25"/>
  <c r="AC1477" i="25"/>
  <c r="Y1478" i="25"/>
  <c r="AA1478" i="25"/>
  <c r="AC1478" i="25"/>
  <c r="Y1479" i="25"/>
  <c r="AA1479" i="25"/>
  <c r="AC1479" i="25"/>
  <c r="Y1480" i="25"/>
  <c r="AA1480" i="25"/>
  <c r="AC1480" i="25"/>
  <c r="Y1481" i="25"/>
  <c r="AA1481" i="25"/>
  <c r="AC1481" i="25"/>
  <c r="Y1482" i="25"/>
  <c r="AA1482" i="25"/>
  <c r="AC1482" i="25"/>
  <c r="Y1483" i="25"/>
  <c r="AA1483" i="25"/>
  <c r="AC1483" i="25"/>
  <c r="Y1484" i="25"/>
  <c r="AA1484" i="25"/>
  <c r="AC1484" i="25"/>
  <c r="Y1485" i="25"/>
  <c r="AA1485" i="25"/>
  <c r="AC1485" i="25"/>
  <c r="Y1486" i="25"/>
  <c r="AA1486" i="25"/>
  <c r="AC1486" i="25"/>
  <c r="Y1487" i="25"/>
  <c r="AA1487" i="25"/>
  <c r="AC1487" i="25"/>
  <c r="Y1488" i="25"/>
  <c r="AA1488" i="25"/>
  <c r="AC1488" i="25"/>
  <c r="Y1489" i="25"/>
  <c r="AA1489" i="25"/>
  <c r="AC1489" i="25"/>
  <c r="Y1490" i="25"/>
  <c r="AA1490" i="25"/>
  <c r="AC1490" i="25"/>
  <c r="Y1491" i="25"/>
  <c r="AA1491" i="25"/>
  <c r="AC1491" i="25"/>
  <c r="Y1492" i="25"/>
  <c r="AA1492" i="25"/>
  <c r="AC1492" i="25"/>
  <c r="Y1493" i="25"/>
  <c r="AA1493" i="25"/>
  <c r="AC1493" i="25"/>
  <c r="Y1494" i="25"/>
  <c r="AA1494" i="25"/>
  <c r="AC1494" i="25"/>
  <c r="Y1495" i="25"/>
  <c r="AA1495" i="25"/>
  <c r="AC1495" i="25"/>
  <c r="Y1496" i="25"/>
  <c r="AA1496" i="25"/>
  <c r="AC1496" i="25"/>
  <c r="Y1497" i="25"/>
  <c r="AA1497" i="25"/>
  <c r="AC1497" i="25"/>
  <c r="Y1498" i="25"/>
  <c r="AA1498" i="25"/>
  <c r="AC1498" i="25"/>
  <c r="Y1499" i="25"/>
  <c r="AA1499" i="25"/>
  <c r="AC1499" i="25"/>
  <c r="Y1500" i="25"/>
  <c r="AA1500" i="25"/>
  <c r="AC1500" i="25"/>
  <c r="Y1501" i="25"/>
  <c r="AA1501" i="25"/>
  <c r="AC1501" i="25"/>
  <c r="Y1502" i="25"/>
  <c r="AA1502" i="25"/>
  <c r="AC1502" i="25"/>
  <c r="Y1503" i="25"/>
  <c r="AA1503" i="25"/>
  <c r="AC1503" i="25"/>
  <c r="Y1504" i="25"/>
  <c r="AA1504" i="25"/>
  <c r="AC1504" i="25"/>
  <c r="Y1505" i="25"/>
  <c r="AA1505" i="25"/>
  <c r="AC1505" i="25"/>
  <c r="Y1506" i="25"/>
  <c r="AA1506" i="25"/>
  <c r="AC1506" i="25"/>
  <c r="Y1507" i="25"/>
  <c r="AA1507" i="25"/>
  <c r="AC1507" i="25"/>
  <c r="Y1508" i="25"/>
  <c r="AA1508" i="25"/>
  <c r="AC1508" i="25"/>
  <c r="Y1509" i="25"/>
  <c r="AA1509" i="25"/>
  <c r="AC1509" i="25"/>
  <c r="Y1510" i="25"/>
  <c r="AA1510" i="25"/>
  <c r="AC1510" i="25"/>
  <c r="Y1511" i="25"/>
  <c r="AA1511" i="25"/>
  <c r="AC1511" i="25"/>
  <c r="Y1512" i="25"/>
  <c r="AA1512" i="25"/>
  <c r="AC1512" i="25"/>
  <c r="Y1513" i="25"/>
  <c r="AA1513" i="25"/>
  <c r="AC1513" i="25"/>
  <c r="Y1514" i="25"/>
  <c r="AA1514" i="25"/>
  <c r="AC1514" i="25"/>
  <c r="Y1515" i="25"/>
  <c r="AA1515" i="25"/>
  <c r="AC1515" i="25"/>
  <c r="Y1516" i="25"/>
  <c r="AA1516" i="25"/>
  <c r="AC1516" i="25"/>
  <c r="Y1517" i="25"/>
  <c r="AA1517" i="25"/>
  <c r="AC1517" i="25"/>
  <c r="Y1518" i="25"/>
  <c r="AA1518" i="25"/>
  <c r="AC1518" i="25"/>
  <c r="AC5" i="25" a="1"/>
  <c r="AC5" i="25"/>
  <c r="AH5" i="25"/>
  <c r="AJ5" i="25" a="1"/>
  <c r="AJ5" i="25"/>
  <c r="AI5" i="25" a="1"/>
  <c r="AI5" i="25"/>
  <c r="AG5" i="25" a="1"/>
  <c r="AG5" i="25"/>
  <c r="AF5" i="25" a="1"/>
  <c r="AF5" i="25"/>
  <c r="Z6" i="25"/>
  <c r="AH8" i="25"/>
  <c r="AH3" i="25"/>
  <c r="AD3" i="25" a="1"/>
  <c r="AD3" i="25"/>
  <c r="AC3" i="25" a="1"/>
  <c r="AC3" i="25"/>
  <c r="Z1" i="25"/>
  <c r="B2" i="25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<sst xmlns="http://schemas.openxmlformats.org/spreadsheetml/2006/main" count="94" uniqueCount="89">
  <si>
    <t>PYTHONPATH</t>
  </si>
  <si>
    <t>UDF Modules</t>
  </si>
  <si>
    <t>Debug UDFs</t>
  </si>
  <si>
    <t>Use UDF Server</t>
  </si>
  <si>
    <t>Instructions:</t>
  </si>
  <si>
    <t>Conda Env</t>
  </si>
  <si>
    <t>When activated, these settings override the settings in the addin (.xlwings/xlwings.conf file in the user directory) and xlwings.conf in the same directory as this Excel file.</t>
  </si>
  <si>
    <t>Conda Path</t>
  </si>
  <si>
    <t>Interpreter_Win</t>
  </si>
  <si>
    <t>Interpreter_Mac</t>
  </si>
  <si>
    <t>If you want to rely on the settings in the addin or an xlwings.conf file, you can delete this sheet.</t>
  </si>
  <si>
    <t>Rename this sheet to "xlwings.conf" to activate it.  The settings have to start in cell A1.</t>
  </si>
  <si>
    <t>If you delete a row from here, it will fall back to the first non-empty value xlwings finds in an xlwings.conf file and otherwise use the default values.</t>
  </si>
  <si>
    <t>python</t>
  </si>
  <si>
    <t>Show Console</t>
  </si>
  <si>
    <t>tickers</t>
  </si>
  <si>
    <t>headers</t>
  </si>
  <si>
    <t>currency</t>
  </si>
  <si>
    <t>USD</t>
  </si>
  <si>
    <t>EUR</t>
  </si>
  <si>
    <t>EUR_USD</t>
  </si>
  <si>
    <t>SUMMARY OUTPUT</t>
  </si>
  <si>
    <t>Regression Statistics</t>
  </si>
  <si>
    <t>Multiple R</t>
  </si>
  <si>
    <t>R Square</t>
  </si>
  <si>
    <t>Adjusted R Square</t>
  </si>
  <si>
    <t>Standard Error</t>
  </si>
  <si>
    <t>Observations</t>
  </si>
  <si>
    <t>ANOVA</t>
  </si>
  <si>
    <t>Regression</t>
  </si>
  <si>
    <t>Residual</t>
  </si>
  <si>
    <t>Total</t>
  </si>
  <si>
    <t>Intercept</t>
  </si>
  <si>
    <t>df</t>
  </si>
  <si>
    <t>SS</t>
  </si>
  <si>
    <t>MS</t>
  </si>
  <si>
    <t>F</t>
  </si>
  <si>
    <t>Significance F</t>
  </si>
  <si>
    <t>Coefficients</t>
  </si>
  <si>
    <t>t Stat</t>
  </si>
  <si>
    <t>P-value</t>
  </si>
  <si>
    <t>Lower 95%</t>
  </si>
  <si>
    <t>Upper 95%</t>
  </si>
  <si>
    <t>Lower 95.0%</t>
  </si>
  <si>
    <t>Upper 95.0%</t>
  </si>
  <si>
    <t>TTF_M1_forecast</t>
  </si>
  <si>
    <t>returns</t>
  </si>
  <si>
    <t>days</t>
  </si>
  <si>
    <t>bullish</t>
  </si>
  <si>
    <t>bearish</t>
  </si>
  <si>
    <t>bullish returns</t>
  </si>
  <si>
    <t>bearish returns</t>
  </si>
  <si>
    <t>t_stat</t>
  </si>
  <si>
    <t>Brent_M24_CLOSE</t>
  </si>
  <si>
    <t>Henry_Hub_M24_CLOSE</t>
  </si>
  <si>
    <t>start</t>
  </si>
  <si>
    <t>ENDEX_M24_CLOSE</t>
  </si>
  <si>
    <t>FVG</t>
  </si>
  <si>
    <t>MVA FVG</t>
  </si>
  <si>
    <t>TTF_M1</t>
  </si>
  <si>
    <t>Brent_M1</t>
  </si>
  <si>
    <t>JKM_M1</t>
  </si>
  <si>
    <t>TFMBMc12</t>
  </si>
  <si>
    <t>LCOc12</t>
  </si>
  <si>
    <t>JKMc12</t>
  </si>
  <si>
    <t>EUR1YV=</t>
  </si>
  <si>
    <t>mean</t>
  </si>
  <si>
    <t>EDXENLBMc12</t>
  </si>
  <si>
    <t>NGc12</t>
  </si>
  <si>
    <t>ENDEX_M1</t>
  </si>
  <si>
    <t>Henry Hub M1</t>
  </si>
  <si>
    <t/>
  </si>
  <si>
    <t>Date</t>
  </si>
  <si>
    <t>TTF_M1_CLOSE</t>
  </si>
  <si>
    <t>Brent_M1_CLOSE</t>
  </si>
  <si>
    <t>ENDEX_M1_CLOSE</t>
  </si>
  <si>
    <t>Henry Hub M1_CLOSE</t>
  </si>
  <si>
    <t>JKM_M1_CLOSE</t>
  </si>
  <si>
    <t>Month_1</t>
  </si>
  <si>
    <t>Month_2</t>
  </si>
  <si>
    <t>Month_3</t>
  </si>
  <si>
    <t>Month_4</t>
  </si>
  <si>
    <t>Month_5</t>
  </si>
  <si>
    <t>Month_6</t>
  </si>
  <si>
    <t>Month_7</t>
  </si>
  <si>
    <t>Month_8</t>
  </si>
  <si>
    <t>Month_9</t>
  </si>
  <si>
    <t>Month_10</t>
  </si>
  <si>
    <t>Month_11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</si>
</sst>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0.000"/>
    <numFmt numFmtId="165" formatCode="0.0000%"/>
    <numFmt numFmtId="166" formatCode="0.0%"/>
    <numFmt numFmtId="167" formatCode="0.000%"/>
  </numFmts>
  <fonts count="6" x14ac:knownFonts="1"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rgb="FFFF0000"/>
      <name val="Calibri"/>
      <family val="2"/>
      <scheme val="minor"/>
    </font>
    <font>
      <sz val="12"/>
      <color theme="1"/>
      <name val="Calibri"/>
      <family val="2"/>
      <scheme val="minor"/>
    </font>
    <font>
      <i/>
      <sz val="12"/>
      <color theme="1"/>
      <name val="Calibri"/>
      <family val="2"/>
      <scheme val="minor"/>
    </font>
    <font>
      <b/>
      <sz val="12"/>
      <color rgb="FFFF0000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92D050"/>
        <bgColor indexed="64"/>
      </patternFill>
    </fill>
  </fills>
  <borders count="3">
    <border>
      <left/>
      <right/>
      <top/>
      <bottom/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</borders>
  <cellStyleXfs count="2">
    <xf numFmtId="0" fontId="0" fillId="0" borderId="0"/>
    <xf numFmtId="9" fontId="3" fillId="0" borderId="0" applyFont="0" applyFill="0" applyBorder="0" applyAlignment="0" applyProtection="0"/>
  </cellStyleXfs>
  <cellXfs count="40">
    <xf numFmtId="0" fontId="0" fillId="0" borderId="0" xfId="0"/>
    <xf numFmtId="0" fontId="0" fillId="0" borderId="0" xfId="0" applyAlignment="1">
      <alignment vertical="center"/>
    </xf>
    <xf numFmtId="0" fontId="1" fillId="0" borderId="0" xfId="0" applyFont="1" applyAlignment="1">
      <alignment vertical="center"/>
    </xf>
    <xf numFmtId="14" fontId="0" fillId="0" borderId="0" xfId="0" applyNumberFormat="1"/>
    <xf numFmtId="0" fontId="0" fillId="0" borderId="0" xfId="0" applyBorder="1"/>
    <xf numFmtId="0" fontId="0" fillId="0" borderId="1" xfId="0" applyBorder="1"/>
    <xf numFmtId="0" fontId="0" fillId="2" borderId="0" xfId="0" applyFill="1"/>
    <xf numFmtId="0" fontId="0" fillId="0" borderId="0" xfId="0" applyAlignment="1">
      <alignment horizontal="center"/>
    </xf>
    <xf numFmtId="0" fontId="2" fillId="0" borderId="0" xfId="0" applyFont="1" applyAlignment="1">
      <alignment horizontal="center"/>
    </xf>
    <xf numFmtId="2" fontId="2" fillId="0" borderId="0" xfId="0" applyNumberFormat="1" applyFont="1" applyAlignment="1">
      <alignment horizontal="center"/>
    </xf>
    <xf numFmtId="0" fontId="0" fillId="2" borderId="0" xfId="0" applyFill="1" applyAlignment="1">
      <alignment horizontal="center"/>
    </xf>
    <xf numFmtId="14" fontId="1" fillId="0" borderId="0" xfId="0" applyNumberFormat="1" applyFont="1" applyAlignment="1">
      <alignment horizontal="center"/>
    </xf>
    <xf numFmtId="0" fontId="0" fillId="0" borderId="0" xfId="0" applyFill="1" applyBorder="1" applyAlignment="1"/>
    <xf numFmtId="2" fontId="0" fillId="0" borderId="0" xfId="0" applyNumberFormat="1"/>
    <xf numFmtId="0" fontId="2" fillId="0" borderId="0" xfId="0" applyFont="1"/>
    <xf numFmtId="2" fontId="0" fillId="0" borderId="0" xfId="0" applyNumberFormat="1" applyAlignment="1">
      <alignment horizontal="center"/>
    </xf>
    <xf numFmtId="0" fontId="5" fillId="0" borderId="0" xfId="0" applyFont="1"/>
    <xf numFmtId="10" fontId="2" fillId="0" borderId="0" xfId="1" applyNumberFormat="1" applyFont="1"/>
    <xf numFmtId="0" fontId="2" fillId="2" borderId="0" xfId="0" applyFont="1" applyFill="1"/>
    <xf numFmtId="9" fontId="0" fillId="2" borderId="0" xfId="1" applyFont="1" applyFill="1"/>
    <xf numFmtId="0" fontId="4" fillId="0" borderId="2" xfId="0" applyFont="1" applyBorder="1" applyAlignment="1">
      <alignment horizontal="centerContinuous"/>
    </xf>
    <xf numFmtId="0" fontId="4" fillId="0" borderId="2" xfId="0" applyFont="1" applyBorder="1" applyAlignment="1">
      <alignment horizontal="center"/>
    </xf>
    <xf numFmtId="165" fontId="0" fillId="0" borderId="0" xfId="1" applyNumberFormat="1" applyFont="1"/>
    <xf numFmtId="10" fontId="0" fillId="0" borderId="0" xfId="1" applyNumberFormat="1" applyFont="1"/>
    <xf numFmtId="9" fontId="0" fillId="0" borderId="0" xfId="1" applyFont="1"/>
    <xf numFmtId="0" fontId="4" fillId="0" borderId="0" xfId="0" applyFont="1" applyBorder="1" applyAlignment="1">
      <alignment horizontal="center"/>
    </xf>
    <xf numFmtId="164" fontId="0" fillId="0" borderId="0" xfId="0" applyNumberFormat="1" applyBorder="1"/>
    <xf numFmtId="0" fontId="0" fillId="0" borderId="0" xfId="0" quotePrefix="1"/>
    <xf numFmtId="2" fontId="0" fillId="0" borderId="0" xfId="0" applyNumberFormat="1" applyBorder="1"/>
    <xf numFmtId="2" fontId="2" fillId="0" borderId="0" xfId="0" applyNumberFormat="1" applyFont="1"/>
    <xf numFmtId="0" fontId="0" fillId="3" borderId="0" xfId="0" applyFill="1" applyAlignment="1">
      <alignment horizontal="center"/>
    </xf>
    <xf numFmtId="0" fontId="2" fillId="2" borderId="0" xfId="0" applyFont="1" applyFill="1" applyAlignment="1">
      <alignment horizontal="center"/>
    </xf>
    <xf numFmtId="9" fontId="0" fillId="0" borderId="0" xfId="0" applyNumberFormat="1" applyAlignment="1">
      <alignment horizontal="center"/>
    </xf>
    <xf numFmtId="166" fontId="0" fillId="0" borderId="0" xfId="1" applyNumberFormat="1" applyFont="1" applyAlignment="1">
      <alignment horizontal="center"/>
    </xf>
    <xf numFmtId="10" fontId="0" fillId="0" borderId="0" xfId="0" applyNumberFormat="1" applyAlignment="1">
      <alignment horizontal="center"/>
    </xf>
    <xf numFmtId="167" fontId="0" fillId="0" borderId="0" xfId="1" applyNumberFormat="1" applyFont="1" applyAlignment="1">
      <alignment horizontal="center"/>
    </xf>
    <xf numFmtId="14" fontId="0" fillId="2" borderId="0" xfId="0" applyNumberFormat="1" applyFill="1"/>
    <xf numFmtId="0" fontId="0" fillId="2" borderId="0" xfId="0" applyFont="1" applyFill="1" applyAlignment="1">
      <alignment horizontal="center"/>
    </xf>
    <xf numFmtId="2" fontId="0" fillId="2" borderId="0" xfId="0" applyNumberFormat="1" applyFill="1" applyAlignment="1">
      <alignment horizontal="center"/>
    </xf>
    <xf numFmtId="2" fontId="2" fillId="2" borderId="0" xfId="0" applyNumberFormat="1" applyFont="1" applyFill="1"/>
  </cellXfs>
  <cellStyles count="2">
    <cellStyle name="Normal" xfId="0" builtinId="0"/>
    <cellStyle name="Percent" xfId="1" builtinId="5"/>
  </cellStyles>
  <dxfs count="0"/>
  <tableStyles count="0" defaultTableStyle="TableStyleMedium9" defaultPivotStyle="PivotStyleMedium4"/>
  <colors>
    <mruColors>
      <color rgb="FFCCFF99"/>
      <color rgb="FFFF7C8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lang="en-US" sz="1200" b="0" i="0" u="none" strike="noStrike" kern="1200" spc="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areaChart>
        <c:grouping val="percentStacked"/>
        <c:varyColors val="0"/>
        <c:ser>
          <c:idx val="3"/>
          <c:order val="5"/>
          <c:tx>
            <c:strRef>
              <c:f>'M12'!$AA$6</c:f>
              <c:strCache>
                <c:ptCount val="1"/>
                <c:pt idx="0">
                  <c:v>bullish</c:v>
                </c:pt>
              </c:strCache>
            </c:strRef>
          </c:tx>
          <c:spPr>
            <a:solidFill>
              <a:srgbClr val="CCFF99"/>
            </a:solidFill>
            <a:ln>
              <a:noFill/>
            </a:ln>
            <a:effectLst/>
          </c:spPr>
          <c:val>
            <c:numRef>
              <c:f>'M12'!$AA$7:$AA$1621</c:f>
              <c:numCache>
                <c:formatCode>General</c:formatCode>
                <c:ptCount val="161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1</c:v>
                </c:pt>
                <c:pt idx="500">
                  <c:v>1</c:v>
                </c:pt>
                <c:pt idx="501">
                  <c:v>1</c:v>
                </c:pt>
                <c:pt idx="502">
                  <c:v>1</c:v>
                </c:pt>
                <c:pt idx="503">
                  <c:v>1</c:v>
                </c:pt>
                <c:pt idx="504">
                  <c:v>1</c:v>
                </c:pt>
                <c:pt idx="505">
                  <c:v>1</c:v>
                </c:pt>
                <c:pt idx="506">
                  <c:v>1</c:v>
                </c:pt>
                <c:pt idx="507">
                  <c:v>1</c:v>
                </c:pt>
                <c:pt idx="508">
                  <c:v>1</c:v>
                </c:pt>
                <c:pt idx="509">
                  <c:v>1</c:v>
                </c:pt>
                <c:pt idx="510">
                  <c:v>1</c:v>
                </c:pt>
                <c:pt idx="511">
                  <c:v>1</c:v>
                </c:pt>
                <c:pt idx="512">
                  <c:v>1</c:v>
                </c:pt>
                <c:pt idx="513">
                  <c:v>1</c:v>
                </c:pt>
                <c:pt idx="514">
                  <c:v>1</c:v>
                </c:pt>
                <c:pt idx="515">
                  <c:v>1</c:v>
                </c:pt>
                <c:pt idx="516">
                  <c:v>1</c:v>
                </c:pt>
                <c:pt idx="517">
                  <c:v>1</c:v>
                </c:pt>
                <c:pt idx="518">
                  <c:v>1</c:v>
                </c:pt>
                <c:pt idx="519">
                  <c:v>1</c:v>
                </c:pt>
                <c:pt idx="520">
                  <c:v>1</c:v>
                </c:pt>
                <c:pt idx="521">
                  <c:v>1</c:v>
                </c:pt>
                <c:pt idx="522">
                  <c:v>1</c:v>
                </c:pt>
                <c:pt idx="523">
                  <c:v>1</c:v>
                </c:pt>
                <c:pt idx="524">
                  <c:v>1</c:v>
                </c:pt>
                <c:pt idx="525">
                  <c:v>1</c:v>
                </c:pt>
                <c:pt idx="526">
                  <c:v>1</c:v>
                </c:pt>
                <c:pt idx="527">
                  <c:v>1</c:v>
                </c:pt>
                <c:pt idx="528">
                  <c:v>1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1</c:v>
                </c:pt>
                <c:pt idx="554">
                  <c:v>1</c:v>
                </c:pt>
                <c:pt idx="555">
                  <c:v>1</c:v>
                </c:pt>
                <c:pt idx="556">
                  <c:v>1</c:v>
                </c:pt>
                <c:pt idx="557">
                  <c:v>1</c:v>
                </c:pt>
                <c:pt idx="558">
                  <c:v>1</c:v>
                </c:pt>
                <c:pt idx="559">
                  <c:v>1</c:v>
                </c:pt>
                <c:pt idx="560">
                  <c:v>1</c:v>
                </c:pt>
                <c:pt idx="561">
                  <c:v>1</c:v>
                </c:pt>
                <c:pt idx="562">
                  <c:v>1</c:v>
                </c:pt>
                <c:pt idx="563">
                  <c:v>1</c:v>
                </c:pt>
                <c:pt idx="564">
                  <c:v>1</c:v>
                </c:pt>
                <c:pt idx="565">
                  <c:v>1</c:v>
                </c:pt>
                <c:pt idx="566">
                  <c:v>1</c:v>
                </c:pt>
                <c:pt idx="567">
                  <c:v>1</c:v>
                </c:pt>
                <c:pt idx="568">
                  <c:v>1</c:v>
                </c:pt>
                <c:pt idx="569">
                  <c:v>1</c:v>
                </c:pt>
                <c:pt idx="570">
                  <c:v>1</c:v>
                </c:pt>
                <c:pt idx="571">
                  <c:v>1</c:v>
                </c:pt>
                <c:pt idx="572">
                  <c:v>1</c:v>
                </c:pt>
                <c:pt idx="573">
                  <c:v>1</c:v>
                </c:pt>
                <c:pt idx="574">
                  <c:v>1</c:v>
                </c:pt>
                <c:pt idx="575">
                  <c:v>1</c:v>
                </c:pt>
                <c:pt idx="576">
                  <c:v>1</c:v>
                </c:pt>
                <c:pt idx="577">
                  <c:v>1</c:v>
                </c:pt>
                <c:pt idx="578">
                  <c:v>1</c:v>
                </c:pt>
                <c:pt idx="579">
                  <c:v>1</c:v>
                </c:pt>
                <c:pt idx="580">
                  <c:v>1</c:v>
                </c:pt>
                <c:pt idx="581">
                  <c:v>1</c:v>
                </c:pt>
                <c:pt idx="582">
                  <c:v>1</c:v>
                </c:pt>
                <c:pt idx="583">
                  <c:v>1</c:v>
                </c:pt>
                <c:pt idx="584">
                  <c:v>1</c:v>
                </c:pt>
                <c:pt idx="585">
                  <c:v>1</c:v>
                </c:pt>
                <c:pt idx="586">
                  <c:v>1</c:v>
                </c:pt>
                <c:pt idx="587">
                  <c:v>1</c:v>
                </c:pt>
                <c:pt idx="588">
                  <c:v>1</c:v>
                </c:pt>
                <c:pt idx="589">
                  <c:v>1</c:v>
                </c:pt>
                <c:pt idx="590">
                  <c:v>1</c:v>
                </c:pt>
                <c:pt idx="591">
                  <c:v>1</c:v>
                </c:pt>
                <c:pt idx="592">
                  <c:v>1</c:v>
                </c:pt>
                <c:pt idx="593">
                  <c:v>1</c:v>
                </c:pt>
                <c:pt idx="594">
                  <c:v>1</c:v>
                </c:pt>
                <c:pt idx="595">
                  <c:v>1</c:v>
                </c:pt>
                <c:pt idx="596">
                  <c:v>1</c:v>
                </c:pt>
                <c:pt idx="597">
                  <c:v>1</c:v>
                </c:pt>
                <c:pt idx="598">
                  <c:v>1</c:v>
                </c:pt>
                <c:pt idx="599">
                  <c:v>1</c:v>
                </c:pt>
                <c:pt idx="600">
                  <c:v>1</c:v>
                </c:pt>
                <c:pt idx="601">
                  <c:v>1</c:v>
                </c:pt>
                <c:pt idx="602">
                  <c:v>1</c:v>
                </c:pt>
                <c:pt idx="603">
                  <c:v>1</c:v>
                </c:pt>
                <c:pt idx="604">
                  <c:v>1</c:v>
                </c:pt>
                <c:pt idx="605">
                  <c:v>1</c:v>
                </c:pt>
                <c:pt idx="606">
                  <c:v>1</c:v>
                </c:pt>
                <c:pt idx="607">
                  <c:v>1</c:v>
                </c:pt>
                <c:pt idx="608">
                  <c:v>1</c:v>
                </c:pt>
                <c:pt idx="609">
                  <c:v>1</c:v>
                </c:pt>
                <c:pt idx="610">
                  <c:v>1</c:v>
                </c:pt>
                <c:pt idx="611">
                  <c:v>1</c:v>
                </c:pt>
                <c:pt idx="612">
                  <c:v>1</c:v>
                </c:pt>
                <c:pt idx="613">
                  <c:v>1</c:v>
                </c:pt>
                <c:pt idx="614">
                  <c:v>1</c:v>
                </c:pt>
                <c:pt idx="615">
                  <c:v>1</c:v>
                </c:pt>
                <c:pt idx="616">
                  <c:v>1</c:v>
                </c:pt>
                <c:pt idx="617">
                  <c:v>1</c:v>
                </c:pt>
                <c:pt idx="618">
                  <c:v>1</c:v>
                </c:pt>
                <c:pt idx="619">
                  <c:v>1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1</c:v>
                </c:pt>
                <c:pt idx="646">
                  <c:v>1</c:v>
                </c:pt>
                <c:pt idx="647">
                  <c:v>1</c:v>
                </c:pt>
                <c:pt idx="648">
                  <c:v>1</c:v>
                </c:pt>
                <c:pt idx="649">
                  <c:v>1</c:v>
                </c:pt>
                <c:pt idx="650">
                  <c:v>1</c:v>
                </c:pt>
                <c:pt idx="651">
                  <c:v>1</c:v>
                </c:pt>
                <c:pt idx="652">
                  <c:v>1</c:v>
                </c:pt>
                <c:pt idx="653">
                  <c:v>1</c:v>
                </c:pt>
                <c:pt idx="654">
                  <c:v>1</c:v>
                </c:pt>
                <c:pt idx="655">
                  <c:v>1</c:v>
                </c:pt>
                <c:pt idx="656">
                  <c:v>1</c:v>
                </c:pt>
                <c:pt idx="657">
                  <c:v>1</c:v>
                </c:pt>
                <c:pt idx="658">
                  <c:v>1</c:v>
                </c:pt>
                <c:pt idx="659">
                  <c:v>1</c:v>
                </c:pt>
                <c:pt idx="660">
                  <c:v>1</c:v>
                </c:pt>
                <c:pt idx="661">
                  <c:v>1</c:v>
                </c:pt>
                <c:pt idx="662">
                  <c:v>1</c:v>
                </c:pt>
                <c:pt idx="663">
                  <c:v>1</c:v>
                </c:pt>
                <c:pt idx="664">
                  <c:v>1</c:v>
                </c:pt>
                <c:pt idx="665">
                  <c:v>1</c:v>
                </c:pt>
                <c:pt idx="666">
                  <c:v>1</c:v>
                </c:pt>
                <c:pt idx="667">
                  <c:v>1</c:v>
                </c:pt>
                <c:pt idx="668">
                  <c:v>1</c:v>
                </c:pt>
                <c:pt idx="669">
                  <c:v>1</c:v>
                </c:pt>
                <c:pt idx="670">
                  <c:v>1</c:v>
                </c:pt>
                <c:pt idx="671">
                  <c:v>1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1</c:v>
                </c:pt>
                <c:pt idx="721">
                  <c:v>1</c:v>
                </c:pt>
                <c:pt idx="722">
                  <c:v>1</c:v>
                </c:pt>
                <c:pt idx="723">
                  <c:v>1</c:v>
                </c:pt>
                <c:pt idx="724">
                  <c:v>1</c:v>
                </c:pt>
                <c:pt idx="725">
                  <c:v>1</c:v>
                </c:pt>
                <c:pt idx="726">
                  <c:v>1</c:v>
                </c:pt>
                <c:pt idx="727">
                  <c:v>1</c:v>
                </c:pt>
                <c:pt idx="728">
                  <c:v>1</c:v>
                </c:pt>
                <c:pt idx="729">
                  <c:v>1</c:v>
                </c:pt>
                <c:pt idx="730">
                  <c:v>1</c:v>
                </c:pt>
                <c:pt idx="731">
                  <c:v>1</c:v>
                </c:pt>
                <c:pt idx="732">
                  <c:v>1</c:v>
                </c:pt>
                <c:pt idx="733">
                  <c:v>1</c:v>
                </c:pt>
                <c:pt idx="734">
                  <c:v>1</c:v>
                </c:pt>
                <c:pt idx="735">
                  <c:v>1</c:v>
                </c:pt>
                <c:pt idx="736">
                  <c:v>1</c:v>
                </c:pt>
                <c:pt idx="737">
                  <c:v>1</c:v>
                </c:pt>
                <c:pt idx="738">
                  <c:v>1</c:v>
                </c:pt>
                <c:pt idx="739">
                  <c:v>1</c:v>
                </c:pt>
                <c:pt idx="740">
                  <c:v>1</c:v>
                </c:pt>
                <c:pt idx="741">
                  <c:v>1</c:v>
                </c:pt>
                <c:pt idx="742">
                  <c:v>1</c:v>
                </c:pt>
                <c:pt idx="743">
                  <c:v>1</c:v>
                </c:pt>
                <c:pt idx="744">
                  <c:v>1</c:v>
                </c:pt>
                <c:pt idx="745">
                  <c:v>1</c:v>
                </c:pt>
                <c:pt idx="746">
                  <c:v>1</c:v>
                </c:pt>
                <c:pt idx="747">
                  <c:v>1</c:v>
                </c:pt>
                <c:pt idx="748">
                  <c:v>1</c:v>
                </c:pt>
                <c:pt idx="749">
                  <c:v>1</c:v>
                </c:pt>
                <c:pt idx="750">
                  <c:v>1</c:v>
                </c:pt>
                <c:pt idx="751">
                  <c:v>1</c:v>
                </c:pt>
                <c:pt idx="752">
                  <c:v>1</c:v>
                </c:pt>
                <c:pt idx="753">
                  <c:v>1</c:v>
                </c:pt>
                <c:pt idx="754">
                  <c:v>1</c:v>
                </c:pt>
                <c:pt idx="755">
                  <c:v>1</c:v>
                </c:pt>
                <c:pt idx="756">
                  <c:v>1</c:v>
                </c:pt>
                <c:pt idx="757">
                  <c:v>1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1</c:v>
                </c:pt>
                <c:pt idx="762">
                  <c:v>1</c:v>
                </c:pt>
                <c:pt idx="763">
                  <c:v>1</c:v>
                </c:pt>
                <c:pt idx="764">
                  <c:v>1</c:v>
                </c:pt>
                <c:pt idx="765">
                  <c:v>1</c:v>
                </c:pt>
                <c:pt idx="766">
                  <c:v>1</c:v>
                </c:pt>
                <c:pt idx="767">
                  <c:v>1</c:v>
                </c:pt>
                <c:pt idx="768">
                  <c:v>1</c:v>
                </c:pt>
                <c:pt idx="769">
                  <c:v>1</c:v>
                </c:pt>
                <c:pt idx="770">
                  <c:v>1</c:v>
                </c:pt>
                <c:pt idx="771">
                  <c:v>1</c:v>
                </c:pt>
                <c:pt idx="772">
                  <c:v>1</c:v>
                </c:pt>
                <c:pt idx="773">
                  <c:v>1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>
                  <c:v>0</c:v>
                </c:pt>
                <c:pt idx="778">
                  <c:v>0</c:v>
                </c:pt>
                <c:pt idx="779">
                  <c:v>0</c:v>
                </c:pt>
                <c:pt idx="780">
                  <c:v>0</c:v>
                </c:pt>
                <c:pt idx="781">
                  <c:v>0</c:v>
                </c:pt>
                <c:pt idx="782">
                  <c:v>0</c:v>
                </c:pt>
                <c:pt idx="783">
                  <c:v>0</c:v>
                </c:pt>
                <c:pt idx="784">
                  <c:v>0</c:v>
                </c:pt>
                <c:pt idx="785">
                  <c:v>0</c:v>
                </c:pt>
                <c:pt idx="786">
                  <c:v>0</c:v>
                </c:pt>
                <c:pt idx="787">
                  <c:v>0</c:v>
                </c:pt>
                <c:pt idx="788">
                  <c:v>0</c:v>
                </c:pt>
                <c:pt idx="789">
                  <c:v>0</c:v>
                </c:pt>
                <c:pt idx="790">
                  <c:v>0</c:v>
                </c:pt>
                <c:pt idx="791">
                  <c:v>0</c:v>
                </c:pt>
                <c:pt idx="792">
                  <c:v>0</c:v>
                </c:pt>
                <c:pt idx="793">
                  <c:v>0</c:v>
                </c:pt>
                <c:pt idx="794">
                  <c:v>0</c:v>
                </c:pt>
                <c:pt idx="795">
                  <c:v>0</c:v>
                </c:pt>
                <c:pt idx="796">
                  <c:v>0</c:v>
                </c:pt>
                <c:pt idx="797">
                  <c:v>0</c:v>
                </c:pt>
                <c:pt idx="798">
                  <c:v>0</c:v>
                </c:pt>
                <c:pt idx="799">
                  <c:v>0</c:v>
                </c:pt>
                <c:pt idx="800">
                  <c:v>0</c:v>
                </c:pt>
                <c:pt idx="801">
                  <c:v>0</c:v>
                </c:pt>
                <c:pt idx="802">
                  <c:v>0</c:v>
                </c:pt>
                <c:pt idx="803">
                  <c:v>0</c:v>
                </c:pt>
                <c:pt idx="804">
                  <c:v>0</c:v>
                </c:pt>
                <c:pt idx="805">
                  <c:v>0</c:v>
                </c:pt>
                <c:pt idx="806">
                  <c:v>0</c:v>
                </c:pt>
                <c:pt idx="807">
                  <c:v>0</c:v>
                </c:pt>
                <c:pt idx="808">
                  <c:v>0</c:v>
                </c:pt>
                <c:pt idx="809">
                  <c:v>0</c:v>
                </c:pt>
                <c:pt idx="810">
                  <c:v>0</c:v>
                </c:pt>
                <c:pt idx="811">
                  <c:v>0</c:v>
                </c:pt>
                <c:pt idx="812">
                  <c:v>0</c:v>
                </c:pt>
                <c:pt idx="813">
                  <c:v>0</c:v>
                </c:pt>
                <c:pt idx="814">
                  <c:v>0</c:v>
                </c:pt>
                <c:pt idx="815">
                  <c:v>0</c:v>
                </c:pt>
                <c:pt idx="816">
                  <c:v>0</c:v>
                </c:pt>
                <c:pt idx="817">
                  <c:v>0</c:v>
                </c:pt>
                <c:pt idx="818">
                  <c:v>0</c:v>
                </c:pt>
                <c:pt idx="819">
                  <c:v>0</c:v>
                </c:pt>
                <c:pt idx="820">
                  <c:v>0</c:v>
                </c:pt>
                <c:pt idx="821">
                  <c:v>0</c:v>
                </c:pt>
                <c:pt idx="822">
                  <c:v>0</c:v>
                </c:pt>
                <c:pt idx="823">
                  <c:v>0</c:v>
                </c:pt>
                <c:pt idx="824">
                  <c:v>0</c:v>
                </c:pt>
                <c:pt idx="825">
                  <c:v>0</c:v>
                </c:pt>
                <c:pt idx="826">
                  <c:v>0</c:v>
                </c:pt>
                <c:pt idx="827">
                  <c:v>0</c:v>
                </c:pt>
                <c:pt idx="828">
                  <c:v>0</c:v>
                </c:pt>
                <c:pt idx="829">
                  <c:v>0</c:v>
                </c:pt>
                <c:pt idx="830">
                  <c:v>0</c:v>
                </c:pt>
                <c:pt idx="831">
                  <c:v>0</c:v>
                </c:pt>
                <c:pt idx="832">
                  <c:v>0</c:v>
                </c:pt>
                <c:pt idx="833">
                  <c:v>0</c:v>
                </c:pt>
                <c:pt idx="834">
                  <c:v>0</c:v>
                </c:pt>
                <c:pt idx="835">
                  <c:v>0</c:v>
                </c:pt>
                <c:pt idx="836">
                  <c:v>0</c:v>
                </c:pt>
                <c:pt idx="837">
                  <c:v>0</c:v>
                </c:pt>
                <c:pt idx="838">
                  <c:v>0</c:v>
                </c:pt>
                <c:pt idx="839">
                  <c:v>0</c:v>
                </c:pt>
                <c:pt idx="840">
                  <c:v>0</c:v>
                </c:pt>
                <c:pt idx="841">
                  <c:v>0</c:v>
                </c:pt>
                <c:pt idx="842">
                  <c:v>0</c:v>
                </c:pt>
                <c:pt idx="843">
                  <c:v>0</c:v>
                </c:pt>
                <c:pt idx="844">
                  <c:v>0</c:v>
                </c:pt>
                <c:pt idx="845">
                  <c:v>0</c:v>
                </c:pt>
                <c:pt idx="846">
                  <c:v>0</c:v>
                </c:pt>
                <c:pt idx="847">
                  <c:v>0</c:v>
                </c:pt>
                <c:pt idx="848">
                  <c:v>1</c:v>
                </c:pt>
                <c:pt idx="849">
                  <c:v>1</c:v>
                </c:pt>
                <c:pt idx="850">
                  <c:v>1</c:v>
                </c:pt>
                <c:pt idx="851">
                  <c:v>1</c:v>
                </c:pt>
                <c:pt idx="852">
                  <c:v>1</c:v>
                </c:pt>
                <c:pt idx="853">
                  <c:v>1</c:v>
                </c:pt>
                <c:pt idx="854">
                  <c:v>1</c:v>
                </c:pt>
                <c:pt idx="855">
                  <c:v>1</c:v>
                </c:pt>
                <c:pt idx="856">
                  <c:v>1</c:v>
                </c:pt>
                <c:pt idx="857">
                  <c:v>1</c:v>
                </c:pt>
                <c:pt idx="858">
                  <c:v>1</c:v>
                </c:pt>
                <c:pt idx="859">
                  <c:v>1</c:v>
                </c:pt>
                <c:pt idx="860">
                  <c:v>1</c:v>
                </c:pt>
                <c:pt idx="861">
                  <c:v>1</c:v>
                </c:pt>
                <c:pt idx="862">
                  <c:v>1</c:v>
                </c:pt>
                <c:pt idx="863">
                  <c:v>1</c:v>
                </c:pt>
                <c:pt idx="864">
                  <c:v>1</c:v>
                </c:pt>
                <c:pt idx="865">
                  <c:v>1</c:v>
                </c:pt>
                <c:pt idx="866">
                  <c:v>1</c:v>
                </c:pt>
                <c:pt idx="867">
                  <c:v>1</c:v>
                </c:pt>
                <c:pt idx="868">
                  <c:v>0</c:v>
                </c:pt>
                <c:pt idx="869">
                  <c:v>0</c:v>
                </c:pt>
                <c:pt idx="870">
                  <c:v>0</c:v>
                </c:pt>
                <c:pt idx="871">
                  <c:v>1</c:v>
                </c:pt>
                <c:pt idx="872">
                  <c:v>1</c:v>
                </c:pt>
                <c:pt idx="873">
                  <c:v>1</c:v>
                </c:pt>
                <c:pt idx="874">
                  <c:v>1</c:v>
                </c:pt>
                <c:pt idx="875">
                  <c:v>1</c:v>
                </c:pt>
                <c:pt idx="876">
                  <c:v>1</c:v>
                </c:pt>
                <c:pt idx="877">
                  <c:v>1</c:v>
                </c:pt>
                <c:pt idx="878">
                  <c:v>1</c:v>
                </c:pt>
                <c:pt idx="879">
                  <c:v>1</c:v>
                </c:pt>
                <c:pt idx="880">
                  <c:v>1</c:v>
                </c:pt>
                <c:pt idx="881">
                  <c:v>1</c:v>
                </c:pt>
                <c:pt idx="882">
                  <c:v>0</c:v>
                </c:pt>
                <c:pt idx="883">
                  <c:v>0</c:v>
                </c:pt>
                <c:pt idx="884">
                  <c:v>0</c:v>
                </c:pt>
                <c:pt idx="885">
                  <c:v>0</c:v>
                </c:pt>
                <c:pt idx="886">
                  <c:v>0</c:v>
                </c:pt>
                <c:pt idx="887">
                  <c:v>0</c:v>
                </c:pt>
                <c:pt idx="888">
                  <c:v>0</c:v>
                </c:pt>
                <c:pt idx="889">
                  <c:v>0</c:v>
                </c:pt>
                <c:pt idx="890">
                  <c:v>0</c:v>
                </c:pt>
                <c:pt idx="891">
                  <c:v>0</c:v>
                </c:pt>
                <c:pt idx="892">
                  <c:v>0</c:v>
                </c:pt>
                <c:pt idx="893">
                  <c:v>0</c:v>
                </c:pt>
                <c:pt idx="894">
                  <c:v>0</c:v>
                </c:pt>
                <c:pt idx="895">
                  <c:v>0</c:v>
                </c:pt>
                <c:pt idx="896">
                  <c:v>0</c:v>
                </c:pt>
                <c:pt idx="897">
                  <c:v>1</c:v>
                </c:pt>
                <c:pt idx="898">
                  <c:v>1</c:v>
                </c:pt>
                <c:pt idx="899">
                  <c:v>1</c:v>
                </c:pt>
                <c:pt idx="900">
                  <c:v>0</c:v>
                </c:pt>
                <c:pt idx="901">
                  <c:v>0</c:v>
                </c:pt>
                <c:pt idx="902">
                  <c:v>1</c:v>
                </c:pt>
                <c:pt idx="903">
                  <c:v>1</c:v>
                </c:pt>
                <c:pt idx="904">
                  <c:v>1</c:v>
                </c:pt>
                <c:pt idx="905">
                  <c:v>1</c:v>
                </c:pt>
                <c:pt idx="906">
                  <c:v>1</c:v>
                </c:pt>
                <c:pt idx="907">
                  <c:v>0</c:v>
                </c:pt>
                <c:pt idx="908">
                  <c:v>0</c:v>
                </c:pt>
                <c:pt idx="909">
                  <c:v>0</c:v>
                </c:pt>
                <c:pt idx="910">
                  <c:v>0</c:v>
                </c:pt>
                <c:pt idx="911">
                  <c:v>0</c:v>
                </c:pt>
                <c:pt idx="912">
                  <c:v>0</c:v>
                </c:pt>
                <c:pt idx="913">
                  <c:v>0</c:v>
                </c:pt>
                <c:pt idx="914">
                  <c:v>1</c:v>
                </c:pt>
                <c:pt idx="915">
                  <c:v>1</c:v>
                </c:pt>
                <c:pt idx="916">
                  <c:v>1</c:v>
                </c:pt>
                <c:pt idx="917">
                  <c:v>1</c:v>
                </c:pt>
                <c:pt idx="918">
                  <c:v>1</c:v>
                </c:pt>
                <c:pt idx="919">
                  <c:v>1</c:v>
                </c:pt>
                <c:pt idx="920">
                  <c:v>1</c:v>
                </c:pt>
                <c:pt idx="921">
                  <c:v>1</c:v>
                </c:pt>
                <c:pt idx="922">
                  <c:v>1</c:v>
                </c:pt>
                <c:pt idx="923">
                  <c:v>1</c:v>
                </c:pt>
                <c:pt idx="924">
                  <c:v>1</c:v>
                </c:pt>
                <c:pt idx="925">
                  <c:v>1</c:v>
                </c:pt>
                <c:pt idx="926">
                  <c:v>1</c:v>
                </c:pt>
                <c:pt idx="927">
                  <c:v>1</c:v>
                </c:pt>
                <c:pt idx="928">
                  <c:v>1</c:v>
                </c:pt>
                <c:pt idx="929">
                  <c:v>1</c:v>
                </c:pt>
                <c:pt idx="930">
                  <c:v>0</c:v>
                </c:pt>
                <c:pt idx="931">
                  <c:v>0</c:v>
                </c:pt>
                <c:pt idx="932">
                  <c:v>0</c:v>
                </c:pt>
                <c:pt idx="933">
                  <c:v>0</c:v>
                </c:pt>
                <c:pt idx="934">
                  <c:v>0</c:v>
                </c:pt>
                <c:pt idx="935">
                  <c:v>0</c:v>
                </c:pt>
                <c:pt idx="936">
                  <c:v>0</c:v>
                </c:pt>
                <c:pt idx="937">
                  <c:v>0</c:v>
                </c:pt>
                <c:pt idx="938">
                  <c:v>0</c:v>
                </c:pt>
                <c:pt idx="939">
                  <c:v>0</c:v>
                </c:pt>
                <c:pt idx="940">
                  <c:v>0</c:v>
                </c:pt>
                <c:pt idx="941">
                  <c:v>0</c:v>
                </c:pt>
                <c:pt idx="942">
                  <c:v>0</c:v>
                </c:pt>
                <c:pt idx="943">
                  <c:v>0</c:v>
                </c:pt>
                <c:pt idx="944">
                  <c:v>0</c:v>
                </c:pt>
                <c:pt idx="945">
                  <c:v>0</c:v>
                </c:pt>
                <c:pt idx="946">
                  <c:v>0</c:v>
                </c:pt>
                <c:pt idx="947">
                  <c:v>0</c:v>
                </c:pt>
                <c:pt idx="948">
                  <c:v>0</c:v>
                </c:pt>
                <c:pt idx="949">
                  <c:v>0</c:v>
                </c:pt>
                <c:pt idx="950">
                  <c:v>0</c:v>
                </c:pt>
                <c:pt idx="951">
                  <c:v>0</c:v>
                </c:pt>
                <c:pt idx="952">
                  <c:v>0</c:v>
                </c:pt>
                <c:pt idx="953">
                  <c:v>0</c:v>
                </c:pt>
                <c:pt idx="954">
                  <c:v>0</c:v>
                </c:pt>
                <c:pt idx="955">
                  <c:v>0</c:v>
                </c:pt>
                <c:pt idx="956">
                  <c:v>0</c:v>
                </c:pt>
                <c:pt idx="957">
                  <c:v>0</c:v>
                </c:pt>
                <c:pt idx="958">
                  <c:v>0</c:v>
                </c:pt>
                <c:pt idx="959">
                  <c:v>0</c:v>
                </c:pt>
                <c:pt idx="960">
                  <c:v>0</c:v>
                </c:pt>
                <c:pt idx="961">
                  <c:v>0</c:v>
                </c:pt>
                <c:pt idx="962">
                  <c:v>0</c:v>
                </c:pt>
                <c:pt idx="963">
                  <c:v>0</c:v>
                </c:pt>
                <c:pt idx="964">
                  <c:v>0</c:v>
                </c:pt>
                <c:pt idx="965">
                  <c:v>0</c:v>
                </c:pt>
                <c:pt idx="966">
                  <c:v>0</c:v>
                </c:pt>
                <c:pt idx="967">
                  <c:v>0</c:v>
                </c:pt>
                <c:pt idx="968">
                  <c:v>0</c:v>
                </c:pt>
                <c:pt idx="969">
                  <c:v>0</c:v>
                </c:pt>
                <c:pt idx="970">
                  <c:v>0</c:v>
                </c:pt>
                <c:pt idx="971">
                  <c:v>0</c:v>
                </c:pt>
                <c:pt idx="972">
                  <c:v>0</c:v>
                </c:pt>
                <c:pt idx="973">
                  <c:v>0</c:v>
                </c:pt>
                <c:pt idx="974">
                  <c:v>0</c:v>
                </c:pt>
                <c:pt idx="975">
                  <c:v>0</c:v>
                </c:pt>
                <c:pt idx="976">
                  <c:v>0</c:v>
                </c:pt>
                <c:pt idx="977">
                  <c:v>0</c:v>
                </c:pt>
                <c:pt idx="978">
                  <c:v>0</c:v>
                </c:pt>
                <c:pt idx="979">
                  <c:v>0</c:v>
                </c:pt>
                <c:pt idx="980">
                  <c:v>0</c:v>
                </c:pt>
                <c:pt idx="981">
                  <c:v>0</c:v>
                </c:pt>
                <c:pt idx="982">
                  <c:v>0</c:v>
                </c:pt>
                <c:pt idx="983">
                  <c:v>0</c:v>
                </c:pt>
                <c:pt idx="984">
                  <c:v>0</c:v>
                </c:pt>
                <c:pt idx="985">
                  <c:v>0</c:v>
                </c:pt>
                <c:pt idx="986">
                  <c:v>0</c:v>
                </c:pt>
                <c:pt idx="987">
                  <c:v>0</c:v>
                </c:pt>
                <c:pt idx="988">
                  <c:v>0</c:v>
                </c:pt>
                <c:pt idx="989">
                  <c:v>0</c:v>
                </c:pt>
                <c:pt idx="990">
                  <c:v>0</c:v>
                </c:pt>
                <c:pt idx="991">
                  <c:v>0</c:v>
                </c:pt>
                <c:pt idx="992">
                  <c:v>0</c:v>
                </c:pt>
                <c:pt idx="993">
                  <c:v>0</c:v>
                </c:pt>
                <c:pt idx="994">
                  <c:v>0</c:v>
                </c:pt>
                <c:pt idx="995">
                  <c:v>0</c:v>
                </c:pt>
                <c:pt idx="996">
                  <c:v>0</c:v>
                </c:pt>
                <c:pt idx="997">
                  <c:v>0</c:v>
                </c:pt>
                <c:pt idx="998">
                  <c:v>0</c:v>
                </c:pt>
                <c:pt idx="999">
                  <c:v>0</c:v>
                </c:pt>
                <c:pt idx="1000">
                  <c:v>0</c:v>
                </c:pt>
                <c:pt idx="1001">
                  <c:v>0</c:v>
                </c:pt>
                <c:pt idx="1002">
                  <c:v>0</c:v>
                </c:pt>
                <c:pt idx="1003">
                  <c:v>0</c:v>
                </c:pt>
                <c:pt idx="1004">
                  <c:v>0</c:v>
                </c:pt>
                <c:pt idx="1005">
                  <c:v>0</c:v>
                </c:pt>
                <c:pt idx="1006">
                  <c:v>0</c:v>
                </c:pt>
                <c:pt idx="1007">
                  <c:v>0</c:v>
                </c:pt>
                <c:pt idx="1008">
                  <c:v>0</c:v>
                </c:pt>
                <c:pt idx="1009">
                  <c:v>0</c:v>
                </c:pt>
                <c:pt idx="1010">
                  <c:v>0</c:v>
                </c:pt>
                <c:pt idx="1011">
                  <c:v>0</c:v>
                </c:pt>
                <c:pt idx="1012">
                  <c:v>0</c:v>
                </c:pt>
                <c:pt idx="1013">
                  <c:v>0</c:v>
                </c:pt>
                <c:pt idx="1014">
                  <c:v>0</c:v>
                </c:pt>
                <c:pt idx="1015">
                  <c:v>0</c:v>
                </c:pt>
                <c:pt idx="1016">
                  <c:v>0</c:v>
                </c:pt>
                <c:pt idx="1017">
                  <c:v>0</c:v>
                </c:pt>
                <c:pt idx="1018">
                  <c:v>0</c:v>
                </c:pt>
                <c:pt idx="1019">
                  <c:v>0</c:v>
                </c:pt>
                <c:pt idx="1020">
                  <c:v>0</c:v>
                </c:pt>
                <c:pt idx="1021">
                  <c:v>0</c:v>
                </c:pt>
                <c:pt idx="1022">
                  <c:v>0</c:v>
                </c:pt>
                <c:pt idx="1023">
                  <c:v>0</c:v>
                </c:pt>
                <c:pt idx="1024">
                  <c:v>0</c:v>
                </c:pt>
                <c:pt idx="1025">
                  <c:v>0</c:v>
                </c:pt>
                <c:pt idx="1026">
                  <c:v>0</c:v>
                </c:pt>
                <c:pt idx="1027">
                  <c:v>0</c:v>
                </c:pt>
                <c:pt idx="1028">
                  <c:v>0</c:v>
                </c:pt>
                <c:pt idx="1029">
                  <c:v>0</c:v>
                </c:pt>
                <c:pt idx="1030">
                  <c:v>0</c:v>
                </c:pt>
                <c:pt idx="1031">
                  <c:v>0</c:v>
                </c:pt>
                <c:pt idx="1032">
                  <c:v>0</c:v>
                </c:pt>
                <c:pt idx="1033">
                  <c:v>0</c:v>
                </c:pt>
                <c:pt idx="1034">
                  <c:v>0</c:v>
                </c:pt>
                <c:pt idx="1035">
                  <c:v>0</c:v>
                </c:pt>
                <c:pt idx="1036">
                  <c:v>0</c:v>
                </c:pt>
                <c:pt idx="1037">
                  <c:v>0</c:v>
                </c:pt>
                <c:pt idx="1038">
                  <c:v>0</c:v>
                </c:pt>
                <c:pt idx="1039">
                  <c:v>1</c:v>
                </c:pt>
                <c:pt idx="1040">
                  <c:v>1</c:v>
                </c:pt>
                <c:pt idx="1041">
                  <c:v>1</c:v>
                </c:pt>
                <c:pt idx="1042">
                  <c:v>1</c:v>
                </c:pt>
                <c:pt idx="1043">
                  <c:v>1</c:v>
                </c:pt>
                <c:pt idx="1044">
                  <c:v>1</c:v>
                </c:pt>
                <c:pt idx="1045">
                  <c:v>1</c:v>
                </c:pt>
                <c:pt idx="1046">
                  <c:v>1</c:v>
                </c:pt>
                <c:pt idx="1047">
                  <c:v>1</c:v>
                </c:pt>
                <c:pt idx="1048">
                  <c:v>1</c:v>
                </c:pt>
                <c:pt idx="1049">
                  <c:v>1</c:v>
                </c:pt>
                <c:pt idx="1050">
                  <c:v>1</c:v>
                </c:pt>
                <c:pt idx="1051">
                  <c:v>1</c:v>
                </c:pt>
                <c:pt idx="1052">
                  <c:v>1</c:v>
                </c:pt>
                <c:pt idx="1053">
                  <c:v>1</c:v>
                </c:pt>
                <c:pt idx="1054">
                  <c:v>1</c:v>
                </c:pt>
                <c:pt idx="1055">
                  <c:v>0</c:v>
                </c:pt>
                <c:pt idx="1056">
                  <c:v>0</c:v>
                </c:pt>
                <c:pt idx="1057">
                  <c:v>0</c:v>
                </c:pt>
                <c:pt idx="1058">
                  <c:v>0</c:v>
                </c:pt>
                <c:pt idx="1059">
                  <c:v>0</c:v>
                </c:pt>
                <c:pt idx="1060">
                  <c:v>0</c:v>
                </c:pt>
                <c:pt idx="1061">
                  <c:v>0</c:v>
                </c:pt>
                <c:pt idx="1062">
                  <c:v>0</c:v>
                </c:pt>
                <c:pt idx="1063">
                  <c:v>0</c:v>
                </c:pt>
                <c:pt idx="1064">
                  <c:v>1</c:v>
                </c:pt>
                <c:pt idx="1065">
                  <c:v>1</c:v>
                </c:pt>
                <c:pt idx="1066">
                  <c:v>0</c:v>
                </c:pt>
                <c:pt idx="1067">
                  <c:v>0</c:v>
                </c:pt>
                <c:pt idx="1068">
                  <c:v>0</c:v>
                </c:pt>
                <c:pt idx="1069">
                  <c:v>0</c:v>
                </c:pt>
                <c:pt idx="1070">
                  <c:v>0</c:v>
                </c:pt>
                <c:pt idx="1071">
                  <c:v>0</c:v>
                </c:pt>
                <c:pt idx="1072">
                  <c:v>0</c:v>
                </c:pt>
                <c:pt idx="1073">
                  <c:v>0</c:v>
                </c:pt>
                <c:pt idx="1074">
                  <c:v>0</c:v>
                </c:pt>
                <c:pt idx="1075">
                  <c:v>0</c:v>
                </c:pt>
                <c:pt idx="1076">
                  <c:v>0</c:v>
                </c:pt>
                <c:pt idx="1077">
                  <c:v>0</c:v>
                </c:pt>
                <c:pt idx="1078">
                  <c:v>0</c:v>
                </c:pt>
                <c:pt idx="1079">
                  <c:v>0</c:v>
                </c:pt>
                <c:pt idx="1080">
                  <c:v>0</c:v>
                </c:pt>
                <c:pt idx="1081">
                  <c:v>0</c:v>
                </c:pt>
                <c:pt idx="1082">
                  <c:v>1</c:v>
                </c:pt>
                <c:pt idx="1083">
                  <c:v>1</c:v>
                </c:pt>
                <c:pt idx="1084">
                  <c:v>1</c:v>
                </c:pt>
                <c:pt idx="1085">
                  <c:v>1</c:v>
                </c:pt>
                <c:pt idx="1086">
                  <c:v>1</c:v>
                </c:pt>
                <c:pt idx="1087">
                  <c:v>1</c:v>
                </c:pt>
                <c:pt idx="1088">
                  <c:v>1</c:v>
                </c:pt>
                <c:pt idx="1089">
                  <c:v>1</c:v>
                </c:pt>
                <c:pt idx="1090">
                  <c:v>1</c:v>
                </c:pt>
                <c:pt idx="1091">
                  <c:v>1</c:v>
                </c:pt>
                <c:pt idx="1092">
                  <c:v>1</c:v>
                </c:pt>
                <c:pt idx="1093">
                  <c:v>1</c:v>
                </c:pt>
                <c:pt idx="1094">
                  <c:v>1</c:v>
                </c:pt>
                <c:pt idx="1095">
                  <c:v>1</c:v>
                </c:pt>
                <c:pt idx="1096">
                  <c:v>0</c:v>
                </c:pt>
                <c:pt idx="1097">
                  <c:v>0</c:v>
                </c:pt>
                <c:pt idx="1098">
                  <c:v>0</c:v>
                </c:pt>
                <c:pt idx="1099">
                  <c:v>0</c:v>
                </c:pt>
                <c:pt idx="1100">
                  <c:v>0</c:v>
                </c:pt>
                <c:pt idx="1101">
                  <c:v>0</c:v>
                </c:pt>
                <c:pt idx="1102">
                  <c:v>0</c:v>
                </c:pt>
                <c:pt idx="1103">
                  <c:v>0</c:v>
                </c:pt>
                <c:pt idx="1104">
                  <c:v>1</c:v>
                </c:pt>
                <c:pt idx="1105">
                  <c:v>1</c:v>
                </c:pt>
                <c:pt idx="1106">
                  <c:v>1</c:v>
                </c:pt>
                <c:pt idx="1107">
                  <c:v>1</c:v>
                </c:pt>
                <c:pt idx="1108">
                  <c:v>1</c:v>
                </c:pt>
                <c:pt idx="1109">
                  <c:v>1</c:v>
                </c:pt>
                <c:pt idx="1110">
                  <c:v>1</c:v>
                </c:pt>
                <c:pt idx="1111">
                  <c:v>1</c:v>
                </c:pt>
                <c:pt idx="1112">
                  <c:v>1</c:v>
                </c:pt>
                <c:pt idx="1113">
                  <c:v>1</c:v>
                </c:pt>
                <c:pt idx="1114">
                  <c:v>1</c:v>
                </c:pt>
                <c:pt idx="1115">
                  <c:v>1</c:v>
                </c:pt>
                <c:pt idx="1116">
                  <c:v>1</c:v>
                </c:pt>
                <c:pt idx="1117">
                  <c:v>1</c:v>
                </c:pt>
                <c:pt idx="1118">
                  <c:v>1</c:v>
                </c:pt>
                <c:pt idx="1119">
                  <c:v>1</c:v>
                </c:pt>
                <c:pt idx="1120">
                  <c:v>1</c:v>
                </c:pt>
                <c:pt idx="1121">
                  <c:v>1</c:v>
                </c:pt>
                <c:pt idx="1122">
                  <c:v>1</c:v>
                </c:pt>
                <c:pt idx="1123">
                  <c:v>1</c:v>
                </c:pt>
                <c:pt idx="1124">
                  <c:v>1</c:v>
                </c:pt>
                <c:pt idx="1125">
                  <c:v>1</c:v>
                </c:pt>
                <c:pt idx="1126">
                  <c:v>1</c:v>
                </c:pt>
                <c:pt idx="1127">
                  <c:v>1</c:v>
                </c:pt>
                <c:pt idx="1128">
                  <c:v>1</c:v>
                </c:pt>
                <c:pt idx="1129">
                  <c:v>1</c:v>
                </c:pt>
                <c:pt idx="1130">
                  <c:v>1</c:v>
                </c:pt>
                <c:pt idx="1131">
                  <c:v>1</c:v>
                </c:pt>
                <c:pt idx="1132">
                  <c:v>1</c:v>
                </c:pt>
                <c:pt idx="1133">
                  <c:v>1</c:v>
                </c:pt>
                <c:pt idx="1134">
                  <c:v>1</c:v>
                </c:pt>
                <c:pt idx="1135">
                  <c:v>1</c:v>
                </c:pt>
                <c:pt idx="1136">
                  <c:v>1</c:v>
                </c:pt>
                <c:pt idx="1137">
                  <c:v>1</c:v>
                </c:pt>
                <c:pt idx="1138">
                  <c:v>1</c:v>
                </c:pt>
                <c:pt idx="1139">
                  <c:v>1</c:v>
                </c:pt>
                <c:pt idx="1140">
                  <c:v>1</c:v>
                </c:pt>
                <c:pt idx="1141">
                  <c:v>1</c:v>
                </c:pt>
                <c:pt idx="1142">
                  <c:v>0</c:v>
                </c:pt>
                <c:pt idx="1143">
                  <c:v>0</c:v>
                </c:pt>
                <c:pt idx="1144">
                  <c:v>0</c:v>
                </c:pt>
                <c:pt idx="1145">
                  <c:v>0</c:v>
                </c:pt>
                <c:pt idx="1146">
                  <c:v>0</c:v>
                </c:pt>
                <c:pt idx="1147">
                  <c:v>0</c:v>
                </c:pt>
                <c:pt idx="1148">
                  <c:v>0</c:v>
                </c:pt>
                <c:pt idx="1149">
                  <c:v>0</c:v>
                </c:pt>
                <c:pt idx="1150">
                  <c:v>1</c:v>
                </c:pt>
                <c:pt idx="1151">
                  <c:v>1</c:v>
                </c:pt>
                <c:pt idx="1152">
                  <c:v>1</c:v>
                </c:pt>
                <c:pt idx="1153">
                  <c:v>1</c:v>
                </c:pt>
                <c:pt idx="1154">
                  <c:v>1</c:v>
                </c:pt>
                <c:pt idx="1155">
                  <c:v>1</c:v>
                </c:pt>
                <c:pt idx="1156">
                  <c:v>1</c:v>
                </c:pt>
                <c:pt idx="1157">
                  <c:v>1</c:v>
                </c:pt>
                <c:pt idx="1158">
                  <c:v>1</c:v>
                </c:pt>
                <c:pt idx="1159">
                  <c:v>1</c:v>
                </c:pt>
                <c:pt idx="1160">
                  <c:v>1</c:v>
                </c:pt>
                <c:pt idx="1161">
                  <c:v>1</c:v>
                </c:pt>
                <c:pt idx="1162">
                  <c:v>1</c:v>
                </c:pt>
                <c:pt idx="1163">
                  <c:v>1</c:v>
                </c:pt>
                <c:pt idx="1164">
                  <c:v>1</c:v>
                </c:pt>
                <c:pt idx="1165">
                  <c:v>1</c:v>
                </c:pt>
                <c:pt idx="1166">
                  <c:v>0</c:v>
                </c:pt>
                <c:pt idx="1167">
                  <c:v>0</c:v>
                </c:pt>
                <c:pt idx="1168">
                  <c:v>0</c:v>
                </c:pt>
                <c:pt idx="1169">
                  <c:v>0</c:v>
                </c:pt>
                <c:pt idx="1170">
                  <c:v>0</c:v>
                </c:pt>
                <c:pt idx="1171">
                  <c:v>1</c:v>
                </c:pt>
                <c:pt idx="1172">
                  <c:v>1</c:v>
                </c:pt>
                <c:pt idx="1173">
                  <c:v>1</c:v>
                </c:pt>
                <c:pt idx="1174">
                  <c:v>1</c:v>
                </c:pt>
                <c:pt idx="1175">
                  <c:v>1</c:v>
                </c:pt>
                <c:pt idx="1176">
                  <c:v>1</c:v>
                </c:pt>
                <c:pt idx="1177">
                  <c:v>1</c:v>
                </c:pt>
                <c:pt idx="1178">
                  <c:v>1</c:v>
                </c:pt>
                <c:pt idx="1179">
                  <c:v>1</c:v>
                </c:pt>
                <c:pt idx="1180">
                  <c:v>1</c:v>
                </c:pt>
                <c:pt idx="1181">
                  <c:v>1</c:v>
                </c:pt>
                <c:pt idx="1182">
                  <c:v>1</c:v>
                </c:pt>
                <c:pt idx="1183">
                  <c:v>1</c:v>
                </c:pt>
                <c:pt idx="1184">
                  <c:v>1</c:v>
                </c:pt>
                <c:pt idx="1185">
                  <c:v>1</c:v>
                </c:pt>
                <c:pt idx="1186">
                  <c:v>1</c:v>
                </c:pt>
                <c:pt idx="1187">
                  <c:v>1</c:v>
                </c:pt>
                <c:pt idx="1188">
                  <c:v>1</c:v>
                </c:pt>
                <c:pt idx="1189">
                  <c:v>1</c:v>
                </c:pt>
                <c:pt idx="1190">
                  <c:v>0</c:v>
                </c:pt>
                <c:pt idx="1191">
                  <c:v>1</c:v>
                </c:pt>
                <c:pt idx="1192">
                  <c:v>1</c:v>
                </c:pt>
                <c:pt idx="1193">
                  <c:v>0</c:v>
                </c:pt>
                <c:pt idx="1194">
                  <c:v>0</c:v>
                </c:pt>
                <c:pt idx="1195">
                  <c:v>0</c:v>
                </c:pt>
                <c:pt idx="1196">
                  <c:v>0</c:v>
                </c:pt>
                <c:pt idx="1197">
                  <c:v>0</c:v>
                </c:pt>
                <c:pt idx="1198">
                  <c:v>0</c:v>
                </c:pt>
                <c:pt idx="1199">
                  <c:v>1</c:v>
                </c:pt>
                <c:pt idx="1200">
                  <c:v>0</c:v>
                </c:pt>
                <c:pt idx="1201">
                  <c:v>0</c:v>
                </c:pt>
                <c:pt idx="1202">
                  <c:v>0</c:v>
                </c:pt>
                <c:pt idx="1203">
                  <c:v>0</c:v>
                </c:pt>
                <c:pt idx="1204">
                  <c:v>0</c:v>
                </c:pt>
                <c:pt idx="1205">
                  <c:v>0</c:v>
                </c:pt>
                <c:pt idx="1206">
                  <c:v>0</c:v>
                </c:pt>
                <c:pt idx="1207">
                  <c:v>0</c:v>
                </c:pt>
                <c:pt idx="1208">
                  <c:v>0</c:v>
                </c:pt>
                <c:pt idx="1209">
                  <c:v>0</c:v>
                </c:pt>
                <c:pt idx="1210">
                  <c:v>0</c:v>
                </c:pt>
                <c:pt idx="1211">
                  <c:v>0</c:v>
                </c:pt>
                <c:pt idx="1212">
                  <c:v>0</c:v>
                </c:pt>
                <c:pt idx="1213">
                  <c:v>0</c:v>
                </c:pt>
                <c:pt idx="1214">
                  <c:v>0</c:v>
                </c:pt>
                <c:pt idx="1215">
                  <c:v>0</c:v>
                </c:pt>
                <c:pt idx="1216">
                  <c:v>0</c:v>
                </c:pt>
                <c:pt idx="1217">
                  <c:v>0</c:v>
                </c:pt>
                <c:pt idx="1218">
                  <c:v>0</c:v>
                </c:pt>
                <c:pt idx="1219">
                  <c:v>0</c:v>
                </c:pt>
                <c:pt idx="1220">
                  <c:v>0</c:v>
                </c:pt>
                <c:pt idx="1221">
                  <c:v>0</c:v>
                </c:pt>
                <c:pt idx="1222">
                  <c:v>0</c:v>
                </c:pt>
                <c:pt idx="1223">
                  <c:v>0</c:v>
                </c:pt>
                <c:pt idx="1224">
                  <c:v>0</c:v>
                </c:pt>
                <c:pt idx="1225">
                  <c:v>0</c:v>
                </c:pt>
                <c:pt idx="1226">
                  <c:v>0</c:v>
                </c:pt>
                <c:pt idx="1227">
                  <c:v>0</c:v>
                </c:pt>
                <c:pt idx="1228">
                  <c:v>0</c:v>
                </c:pt>
                <c:pt idx="1229">
                  <c:v>0</c:v>
                </c:pt>
                <c:pt idx="1230">
                  <c:v>0</c:v>
                </c:pt>
                <c:pt idx="1231">
                  <c:v>0</c:v>
                </c:pt>
                <c:pt idx="1232">
                  <c:v>0</c:v>
                </c:pt>
                <c:pt idx="1233">
                  <c:v>0</c:v>
                </c:pt>
                <c:pt idx="1234">
                  <c:v>1</c:v>
                </c:pt>
                <c:pt idx="1235">
                  <c:v>1</c:v>
                </c:pt>
                <c:pt idx="1236">
                  <c:v>1</c:v>
                </c:pt>
                <c:pt idx="1237">
                  <c:v>1</c:v>
                </c:pt>
                <c:pt idx="1238">
                  <c:v>1</c:v>
                </c:pt>
                <c:pt idx="1239">
                  <c:v>1</c:v>
                </c:pt>
                <c:pt idx="1240">
                  <c:v>1</c:v>
                </c:pt>
                <c:pt idx="1241">
                  <c:v>1</c:v>
                </c:pt>
                <c:pt idx="1242">
                  <c:v>1</c:v>
                </c:pt>
                <c:pt idx="1243">
                  <c:v>1</c:v>
                </c:pt>
                <c:pt idx="1244">
                  <c:v>1</c:v>
                </c:pt>
                <c:pt idx="1245">
                  <c:v>1</c:v>
                </c:pt>
                <c:pt idx="1246">
                  <c:v>1</c:v>
                </c:pt>
                <c:pt idx="1247">
                  <c:v>1</c:v>
                </c:pt>
                <c:pt idx="1248">
                  <c:v>1</c:v>
                </c:pt>
                <c:pt idx="1249">
                  <c:v>1</c:v>
                </c:pt>
                <c:pt idx="1250">
                  <c:v>0</c:v>
                </c:pt>
                <c:pt idx="1251">
                  <c:v>0</c:v>
                </c:pt>
                <c:pt idx="1252">
                  <c:v>0</c:v>
                </c:pt>
                <c:pt idx="1253">
                  <c:v>0</c:v>
                </c:pt>
                <c:pt idx="1254">
                  <c:v>0</c:v>
                </c:pt>
                <c:pt idx="1255">
                  <c:v>0</c:v>
                </c:pt>
                <c:pt idx="1256">
                  <c:v>1</c:v>
                </c:pt>
                <c:pt idx="1257">
                  <c:v>1</c:v>
                </c:pt>
                <c:pt idx="1258">
                  <c:v>1</c:v>
                </c:pt>
                <c:pt idx="1259">
                  <c:v>1</c:v>
                </c:pt>
                <c:pt idx="1260">
                  <c:v>1</c:v>
                </c:pt>
                <c:pt idx="1261">
                  <c:v>1</c:v>
                </c:pt>
                <c:pt idx="1262">
                  <c:v>1</c:v>
                </c:pt>
                <c:pt idx="1263">
                  <c:v>1</c:v>
                </c:pt>
                <c:pt idx="1264">
                  <c:v>1</c:v>
                </c:pt>
                <c:pt idx="1265">
                  <c:v>0</c:v>
                </c:pt>
                <c:pt idx="1266">
                  <c:v>0</c:v>
                </c:pt>
                <c:pt idx="1267">
                  <c:v>0</c:v>
                </c:pt>
                <c:pt idx="1268">
                  <c:v>0</c:v>
                </c:pt>
                <c:pt idx="1269">
                  <c:v>0</c:v>
                </c:pt>
                <c:pt idx="1270">
                  <c:v>0</c:v>
                </c:pt>
                <c:pt idx="1271">
                  <c:v>0</c:v>
                </c:pt>
                <c:pt idx="1272">
                  <c:v>0</c:v>
                </c:pt>
                <c:pt idx="1273">
                  <c:v>0</c:v>
                </c:pt>
                <c:pt idx="1274">
                  <c:v>0</c:v>
                </c:pt>
                <c:pt idx="1275">
                  <c:v>0</c:v>
                </c:pt>
                <c:pt idx="1276">
                  <c:v>0</c:v>
                </c:pt>
                <c:pt idx="1277">
                  <c:v>0</c:v>
                </c:pt>
                <c:pt idx="1278">
                  <c:v>0</c:v>
                </c:pt>
                <c:pt idx="1279">
                  <c:v>0</c:v>
                </c:pt>
                <c:pt idx="1280">
                  <c:v>0</c:v>
                </c:pt>
                <c:pt idx="1281">
                  <c:v>0</c:v>
                </c:pt>
                <c:pt idx="1282">
                  <c:v>0</c:v>
                </c:pt>
                <c:pt idx="1283">
                  <c:v>1</c:v>
                </c:pt>
                <c:pt idx="1284">
                  <c:v>1</c:v>
                </c:pt>
                <c:pt idx="1285">
                  <c:v>1</c:v>
                </c:pt>
                <c:pt idx="1286">
                  <c:v>0</c:v>
                </c:pt>
                <c:pt idx="1287">
                  <c:v>0</c:v>
                </c:pt>
                <c:pt idx="1288">
                  <c:v>0</c:v>
                </c:pt>
                <c:pt idx="1289">
                  <c:v>0</c:v>
                </c:pt>
                <c:pt idx="1290">
                  <c:v>0</c:v>
                </c:pt>
                <c:pt idx="1291">
                  <c:v>0</c:v>
                </c:pt>
                <c:pt idx="1292">
                  <c:v>0</c:v>
                </c:pt>
                <c:pt idx="1293">
                  <c:v>0</c:v>
                </c:pt>
                <c:pt idx="1294">
                  <c:v>0</c:v>
                </c:pt>
                <c:pt idx="1295">
                  <c:v>0</c:v>
                </c:pt>
                <c:pt idx="1296">
                  <c:v>0</c:v>
                </c:pt>
                <c:pt idx="1297">
                  <c:v>0</c:v>
                </c:pt>
                <c:pt idx="1298">
                  <c:v>0</c:v>
                </c:pt>
                <c:pt idx="1299">
                  <c:v>0</c:v>
                </c:pt>
                <c:pt idx="1300">
                  <c:v>0</c:v>
                </c:pt>
                <c:pt idx="1301">
                  <c:v>0</c:v>
                </c:pt>
                <c:pt idx="1302">
                  <c:v>0</c:v>
                </c:pt>
                <c:pt idx="1303">
                  <c:v>0</c:v>
                </c:pt>
                <c:pt idx="1304">
                  <c:v>0</c:v>
                </c:pt>
                <c:pt idx="1305">
                  <c:v>0</c:v>
                </c:pt>
                <c:pt idx="1306">
                  <c:v>0</c:v>
                </c:pt>
                <c:pt idx="1307">
                  <c:v>0</c:v>
                </c:pt>
                <c:pt idx="1308">
                  <c:v>0</c:v>
                </c:pt>
                <c:pt idx="1309">
                  <c:v>0</c:v>
                </c:pt>
                <c:pt idx="1310">
                  <c:v>0</c:v>
                </c:pt>
                <c:pt idx="1311">
                  <c:v>0</c:v>
                </c:pt>
                <c:pt idx="1312">
                  <c:v>0</c:v>
                </c:pt>
                <c:pt idx="1313">
                  <c:v>0</c:v>
                </c:pt>
                <c:pt idx="1314">
                  <c:v>0</c:v>
                </c:pt>
                <c:pt idx="1315">
                  <c:v>0</c:v>
                </c:pt>
                <c:pt idx="1316">
                  <c:v>0</c:v>
                </c:pt>
                <c:pt idx="1317">
                  <c:v>0</c:v>
                </c:pt>
                <c:pt idx="1318">
                  <c:v>0</c:v>
                </c:pt>
                <c:pt idx="1319">
                  <c:v>0</c:v>
                </c:pt>
                <c:pt idx="1320">
                  <c:v>0</c:v>
                </c:pt>
                <c:pt idx="1321">
                  <c:v>0</c:v>
                </c:pt>
                <c:pt idx="1322">
                  <c:v>0</c:v>
                </c:pt>
                <c:pt idx="1323">
                  <c:v>0</c:v>
                </c:pt>
                <c:pt idx="1324">
                  <c:v>0</c:v>
                </c:pt>
                <c:pt idx="1325">
                  <c:v>0</c:v>
                </c:pt>
                <c:pt idx="1326">
                  <c:v>0</c:v>
                </c:pt>
                <c:pt idx="1327">
                  <c:v>1</c:v>
                </c:pt>
                <c:pt idx="1328">
                  <c:v>1</c:v>
                </c:pt>
                <c:pt idx="1329">
                  <c:v>1</c:v>
                </c:pt>
                <c:pt idx="1330">
                  <c:v>1</c:v>
                </c:pt>
                <c:pt idx="1331">
                  <c:v>0</c:v>
                </c:pt>
                <c:pt idx="1332">
                  <c:v>0</c:v>
                </c:pt>
                <c:pt idx="1333">
                  <c:v>0</c:v>
                </c:pt>
                <c:pt idx="1334">
                  <c:v>0</c:v>
                </c:pt>
                <c:pt idx="1335">
                  <c:v>0</c:v>
                </c:pt>
                <c:pt idx="1336">
                  <c:v>0</c:v>
                </c:pt>
                <c:pt idx="1337">
                  <c:v>0</c:v>
                </c:pt>
                <c:pt idx="1338">
                  <c:v>0</c:v>
                </c:pt>
                <c:pt idx="1339">
                  <c:v>0</c:v>
                </c:pt>
                <c:pt idx="1340">
                  <c:v>1</c:v>
                </c:pt>
                <c:pt idx="1341">
                  <c:v>1</c:v>
                </c:pt>
                <c:pt idx="1342">
                  <c:v>1</c:v>
                </c:pt>
                <c:pt idx="1343">
                  <c:v>1</c:v>
                </c:pt>
                <c:pt idx="1344">
                  <c:v>1</c:v>
                </c:pt>
                <c:pt idx="1345">
                  <c:v>1</c:v>
                </c:pt>
                <c:pt idx="1346">
                  <c:v>1</c:v>
                </c:pt>
                <c:pt idx="1347">
                  <c:v>1</c:v>
                </c:pt>
                <c:pt idx="1348">
                  <c:v>1</c:v>
                </c:pt>
                <c:pt idx="1349">
                  <c:v>1</c:v>
                </c:pt>
                <c:pt idx="1350">
                  <c:v>1</c:v>
                </c:pt>
                <c:pt idx="1351">
                  <c:v>1</c:v>
                </c:pt>
                <c:pt idx="1352">
                  <c:v>1</c:v>
                </c:pt>
                <c:pt idx="1353">
                  <c:v>1</c:v>
                </c:pt>
                <c:pt idx="1354">
                  <c:v>1</c:v>
                </c:pt>
                <c:pt idx="1355">
                  <c:v>1</c:v>
                </c:pt>
                <c:pt idx="1356">
                  <c:v>1</c:v>
                </c:pt>
                <c:pt idx="1357">
                  <c:v>1</c:v>
                </c:pt>
                <c:pt idx="1358">
                  <c:v>1</c:v>
                </c:pt>
                <c:pt idx="1359">
                  <c:v>1</c:v>
                </c:pt>
                <c:pt idx="1360">
                  <c:v>1</c:v>
                </c:pt>
                <c:pt idx="1361">
                  <c:v>1</c:v>
                </c:pt>
                <c:pt idx="1362">
                  <c:v>1</c:v>
                </c:pt>
                <c:pt idx="1363">
                  <c:v>1</c:v>
                </c:pt>
                <c:pt idx="1364">
                  <c:v>1</c:v>
                </c:pt>
                <c:pt idx="1365">
                  <c:v>1</c:v>
                </c:pt>
                <c:pt idx="1366">
                  <c:v>1</c:v>
                </c:pt>
                <c:pt idx="1367">
                  <c:v>1</c:v>
                </c:pt>
                <c:pt idx="1368">
                  <c:v>1</c:v>
                </c:pt>
                <c:pt idx="1369">
                  <c:v>1</c:v>
                </c:pt>
                <c:pt idx="1370">
                  <c:v>1</c:v>
                </c:pt>
                <c:pt idx="1371">
                  <c:v>1</c:v>
                </c:pt>
                <c:pt idx="1372">
                  <c:v>1</c:v>
                </c:pt>
                <c:pt idx="1373">
                  <c:v>1</c:v>
                </c:pt>
                <c:pt idx="1374">
                  <c:v>1</c:v>
                </c:pt>
                <c:pt idx="1375">
                  <c:v>1</c:v>
                </c:pt>
                <c:pt idx="1376">
                  <c:v>1</c:v>
                </c:pt>
                <c:pt idx="1377">
                  <c:v>1</c:v>
                </c:pt>
                <c:pt idx="1378">
                  <c:v>1</c:v>
                </c:pt>
                <c:pt idx="1379">
                  <c:v>1</c:v>
                </c:pt>
                <c:pt idx="1380">
                  <c:v>1</c:v>
                </c:pt>
                <c:pt idx="1381">
                  <c:v>1</c:v>
                </c:pt>
                <c:pt idx="1382">
                  <c:v>1</c:v>
                </c:pt>
                <c:pt idx="1383">
                  <c:v>1</c:v>
                </c:pt>
                <c:pt idx="1384">
                  <c:v>1</c:v>
                </c:pt>
                <c:pt idx="1385">
                  <c:v>1</c:v>
                </c:pt>
                <c:pt idx="1386">
                  <c:v>1</c:v>
                </c:pt>
                <c:pt idx="1387">
                  <c:v>1</c:v>
                </c:pt>
                <c:pt idx="1388">
                  <c:v>1</c:v>
                </c:pt>
                <c:pt idx="1389">
                  <c:v>1</c:v>
                </c:pt>
                <c:pt idx="1390">
                  <c:v>1</c:v>
                </c:pt>
                <c:pt idx="1391">
                  <c:v>1</c:v>
                </c:pt>
                <c:pt idx="1392">
                  <c:v>1</c:v>
                </c:pt>
                <c:pt idx="1393">
                  <c:v>1</c:v>
                </c:pt>
                <c:pt idx="1394">
                  <c:v>1</c:v>
                </c:pt>
                <c:pt idx="1395">
                  <c:v>1</c:v>
                </c:pt>
                <c:pt idx="1396">
                  <c:v>1</c:v>
                </c:pt>
                <c:pt idx="1397">
                  <c:v>1</c:v>
                </c:pt>
                <c:pt idx="1398">
                  <c:v>1</c:v>
                </c:pt>
                <c:pt idx="1399">
                  <c:v>1</c:v>
                </c:pt>
                <c:pt idx="1400">
                  <c:v>1</c:v>
                </c:pt>
                <c:pt idx="1401">
                  <c:v>1</c:v>
                </c:pt>
                <c:pt idx="1402">
                  <c:v>1</c:v>
                </c:pt>
                <c:pt idx="1403">
                  <c:v>1</c:v>
                </c:pt>
                <c:pt idx="1404">
                  <c:v>1</c:v>
                </c:pt>
                <c:pt idx="1405">
                  <c:v>1</c:v>
                </c:pt>
                <c:pt idx="1406">
                  <c:v>1</c:v>
                </c:pt>
                <c:pt idx="1407">
                  <c:v>1</c:v>
                </c:pt>
                <c:pt idx="1408">
                  <c:v>1</c:v>
                </c:pt>
                <c:pt idx="1409">
                  <c:v>1</c:v>
                </c:pt>
                <c:pt idx="1410">
                  <c:v>1</c:v>
                </c:pt>
                <c:pt idx="1411">
                  <c:v>1</c:v>
                </c:pt>
                <c:pt idx="1412">
                  <c:v>1</c:v>
                </c:pt>
                <c:pt idx="1413">
                  <c:v>1</c:v>
                </c:pt>
                <c:pt idx="1414">
                  <c:v>1</c:v>
                </c:pt>
                <c:pt idx="1415">
                  <c:v>1</c:v>
                </c:pt>
                <c:pt idx="1416">
                  <c:v>1</c:v>
                </c:pt>
                <c:pt idx="1417">
                  <c:v>1</c:v>
                </c:pt>
                <c:pt idx="1418">
                  <c:v>1</c:v>
                </c:pt>
                <c:pt idx="1419">
                  <c:v>1</c:v>
                </c:pt>
                <c:pt idx="1420">
                  <c:v>1</c:v>
                </c:pt>
                <c:pt idx="1421">
                  <c:v>1</c:v>
                </c:pt>
                <c:pt idx="1422">
                  <c:v>0</c:v>
                </c:pt>
                <c:pt idx="1423">
                  <c:v>0</c:v>
                </c:pt>
                <c:pt idx="1424">
                  <c:v>0</c:v>
                </c:pt>
                <c:pt idx="1425">
                  <c:v>0</c:v>
                </c:pt>
                <c:pt idx="1426">
                  <c:v>0</c:v>
                </c:pt>
                <c:pt idx="1427">
                  <c:v>1</c:v>
                </c:pt>
                <c:pt idx="1428">
                  <c:v>1</c:v>
                </c:pt>
                <c:pt idx="1429">
                  <c:v>1</c:v>
                </c:pt>
                <c:pt idx="1430">
                  <c:v>1</c:v>
                </c:pt>
                <c:pt idx="1431">
                  <c:v>1</c:v>
                </c:pt>
                <c:pt idx="1432">
                  <c:v>1</c:v>
                </c:pt>
                <c:pt idx="1433">
                  <c:v>1</c:v>
                </c:pt>
                <c:pt idx="1434">
                  <c:v>1</c:v>
                </c:pt>
                <c:pt idx="1435">
                  <c:v>1</c:v>
                </c:pt>
                <c:pt idx="1436">
                  <c:v>1</c:v>
                </c:pt>
                <c:pt idx="1437">
                  <c:v>1</c:v>
                </c:pt>
                <c:pt idx="1438">
                  <c:v>1</c:v>
                </c:pt>
                <c:pt idx="1439">
                  <c:v>1</c:v>
                </c:pt>
                <c:pt idx="1440">
                  <c:v>1</c:v>
                </c:pt>
                <c:pt idx="1441">
                  <c:v>1</c:v>
                </c:pt>
                <c:pt idx="1442">
                  <c:v>1</c:v>
                </c:pt>
                <c:pt idx="1443">
                  <c:v>1</c:v>
                </c:pt>
                <c:pt idx="1444">
                  <c:v>1</c:v>
                </c:pt>
                <c:pt idx="1445">
                  <c:v>1</c:v>
                </c:pt>
                <c:pt idx="1446">
                  <c:v>1</c:v>
                </c:pt>
                <c:pt idx="1447">
                  <c:v>1</c:v>
                </c:pt>
                <c:pt idx="1448">
                  <c:v>1</c:v>
                </c:pt>
                <c:pt idx="1449">
                  <c:v>1</c:v>
                </c:pt>
                <c:pt idx="1450">
                  <c:v>1</c:v>
                </c:pt>
                <c:pt idx="1451">
                  <c:v>1</c:v>
                </c:pt>
                <c:pt idx="1452">
                  <c:v>1</c:v>
                </c:pt>
                <c:pt idx="1453">
                  <c:v>1</c:v>
                </c:pt>
                <c:pt idx="1454">
                  <c:v>1</c:v>
                </c:pt>
                <c:pt idx="1455">
                  <c:v>1</c:v>
                </c:pt>
                <c:pt idx="1456">
                  <c:v>1</c:v>
                </c:pt>
                <c:pt idx="1457">
                  <c:v>1</c:v>
                </c:pt>
                <c:pt idx="1458">
                  <c:v>1</c:v>
                </c:pt>
                <c:pt idx="1459">
                  <c:v>1</c:v>
                </c:pt>
                <c:pt idx="1460">
                  <c:v>1</c:v>
                </c:pt>
                <c:pt idx="1461">
                  <c:v>1</c:v>
                </c:pt>
                <c:pt idx="1462">
                  <c:v>1</c:v>
                </c:pt>
                <c:pt idx="1463">
                  <c:v>1</c:v>
                </c:pt>
                <c:pt idx="1464">
                  <c:v>1</c:v>
                </c:pt>
                <c:pt idx="1465">
                  <c:v>1</c:v>
                </c:pt>
                <c:pt idx="1466">
                  <c:v>1</c:v>
                </c:pt>
                <c:pt idx="1467">
                  <c:v>1</c:v>
                </c:pt>
                <c:pt idx="1468">
                  <c:v>0</c:v>
                </c:pt>
                <c:pt idx="1469">
                  <c:v>0</c:v>
                </c:pt>
                <c:pt idx="1470">
                  <c:v>0</c:v>
                </c:pt>
                <c:pt idx="1471">
                  <c:v>0</c:v>
                </c:pt>
                <c:pt idx="1472">
                  <c:v>0</c:v>
                </c:pt>
                <c:pt idx="1473">
                  <c:v>0</c:v>
                </c:pt>
                <c:pt idx="1474">
                  <c:v>0</c:v>
                </c:pt>
                <c:pt idx="1475">
                  <c:v>0</c:v>
                </c:pt>
                <c:pt idx="1476">
                  <c:v>0</c:v>
                </c:pt>
                <c:pt idx="1477">
                  <c:v>0</c:v>
                </c:pt>
                <c:pt idx="1478">
                  <c:v>0</c:v>
                </c:pt>
                <c:pt idx="1479">
                  <c:v>0</c:v>
                </c:pt>
                <c:pt idx="1480">
                  <c:v>0</c:v>
                </c:pt>
                <c:pt idx="1481">
                  <c:v>0</c:v>
                </c:pt>
                <c:pt idx="1482">
                  <c:v>0</c:v>
                </c:pt>
                <c:pt idx="1483">
                  <c:v>0</c:v>
                </c:pt>
                <c:pt idx="1484">
                  <c:v>0</c:v>
                </c:pt>
                <c:pt idx="1485">
                  <c:v>0</c:v>
                </c:pt>
                <c:pt idx="1486">
                  <c:v>0</c:v>
                </c:pt>
                <c:pt idx="1487">
                  <c:v>0</c:v>
                </c:pt>
                <c:pt idx="1488">
                  <c:v>0</c:v>
                </c:pt>
                <c:pt idx="1489">
                  <c:v>0</c:v>
                </c:pt>
                <c:pt idx="1490">
                  <c:v>1</c:v>
                </c:pt>
                <c:pt idx="1491">
                  <c:v>1</c:v>
                </c:pt>
                <c:pt idx="1492">
                  <c:v>1</c:v>
                </c:pt>
                <c:pt idx="1493">
                  <c:v>1</c:v>
                </c:pt>
                <c:pt idx="1494">
                  <c:v>1</c:v>
                </c:pt>
                <c:pt idx="1495">
                  <c:v>1</c:v>
                </c:pt>
                <c:pt idx="1496">
                  <c:v>1</c:v>
                </c:pt>
                <c:pt idx="1497">
                  <c:v>1</c:v>
                </c:pt>
                <c:pt idx="1498">
                  <c:v>1</c:v>
                </c:pt>
                <c:pt idx="1499">
                  <c:v>1</c:v>
                </c:pt>
                <c:pt idx="1500">
                  <c:v>1</c:v>
                </c:pt>
                <c:pt idx="1501">
                  <c:v>1</c:v>
                </c:pt>
                <c:pt idx="1502">
                  <c:v>1</c:v>
                </c:pt>
                <c:pt idx="1503">
                  <c:v>1</c:v>
                </c:pt>
                <c:pt idx="1504">
                  <c:v>1</c:v>
                </c:pt>
                <c:pt idx="1505">
                  <c:v>1</c:v>
                </c:pt>
                <c:pt idx="1506">
                  <c:v>1</c:v>
                </c:pt>
                <c:pt idx="1507">
                  <c:v>1</c:v>
                </c:pt>
                <c:pt idx="1508">
                  <c:v>1</c:v>
                </c:pt>
                <c:pt idx="1509">
                  <c:v>1</c:v>
                </c:pt>
                <c:pt idx="1510">
                  <c:v>1</c:v>
                </c:pt>
                <c:pt idx="1511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4EB-42CD-AD23-1403467BE27D}"/>
            </c:ext>
          </c:extLst>
        </c:ser>
        <c:ser>
          <c:idx val="4"/>
          <c:order val="6"/>
          <c:tx>
            <c:strRef>
              <c:f>'M12'!$AB$6</c:f>
              <c:strCache>
                <c:ptCount val="1"/>
                <c:pt idx="0">
                  <c:v>bearish</c:v>
                </c:pt>
              </c:strCache>
            </c:strRef>
          </c:tx>
          <c:spPr>
            <a:solidFill>
              <a:srgbClr val="FF7C80"/>
            </a:solidFill>
            <a:ln>
              <a:noFill/>
            </a:ln>
            <a:effectLst/>
          </c:spPr>
          <c:val>
            <c:numRef>
              <c:f>'M12'!$AB$7:$AB$1621</c:f>
              <c:numCache>
                <c:formatCode>General</c:formatCode>
                <c:ptCount val="161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1</c:v>
                </c:pt>
                <c:pt idx="530">
                  <c:v>1</c:v>
                </c:pt>
                <c:pt idx="531">
                  <c:v>1</c:v>
                </c:pt>
                <c:pt idx="532">
                  <c:v>1</c:v>
                </c:pt>
                <c:pt idx="533">
                  <c:v>1</c:v>
                </c:pt>
                <c:pt idx="534">
                  <c:v>1</c:v>
                </c:pt>
                <c:pt idx="535">
                  <c:v>1</c:v>
                </c:pt>
                <c:pt idx="536">
                  <c:v>1</c:v>
                </c:pt>
                <c:pt idx="537">
                  <c:v>1</c:v>
                </c:pt>
                <c:pt idx="538">
                  <c:v>1</c:v>
                </c:pt>
                <c:pt idx="539">
                  <c:v>1</c:v>
                </c:pt>
                <c:pt idx="540">
                  <c:v>1</c:v>
                </c:pt>
                <c:pt idx="541">
                  <c:v>1</c:v>
                </c:pt>
                <c:pt idx="542">
                  <c:v>1</c:v>
                </c:pt>
                <c:pt idx="543">
                  <c:v>1</c:v>
                </c:pt>
                <c:pt idx="544">
                  <c:v>1</c:v>
                </c:pt>
                <c:pt idx="545">
                  <c:v>1</c:v>
                </c:pt>
                <c:pt idx="546">
                  <c:v>1</c:v>
                </c:pt>
                <c:pt idx="547">
                  <c:v>1</c:v>
                </c:pt>
                <c:pt idx="548">
                  <c:v>1</c:v>
                </c:pt>
                <c:pt idx="549">
                  <c:v>1</c:v>
                </c:pt>
                <c:pt idx="550">
                  <c:v>1</c:v>
                </c:pt>
                <c:pt idx="551">
                  <c:v>1</c:v>
                </c:pt>
                <c:pt idx="552">
                  <c:v>1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1</c:v>
                </c:pt>
                <c:pt idx="621">
                  <c:v>1</c:v>
                </c:pt>
                <c:pt idx="622">
                  <c:v>1</c:v>
                </c:pt>
                <c:pt idx="623">
                  <c:v>1</c:v>
                </c:pt>
                <c:pt idx="624">
                  <c:v>1</c:v>
                </c:pt>
                <c:pt idx="625">
                  <c:v>1</c:v>
                </c:pt>
                <c:pt idx="626">
                  <c:v>1</c:v>
                </c:pt>
                <c:pt idx="627">
                  <c:v>1</c:v>
                </c:pt>
                <c:pt idx="628">
                  <c:v>1</c:v>
                </c:pt>
                <c:pt idx="629">
                  <c:v>1</c:v>
                </c:pt>
                <c:pt idx="630">
                  <c:v>1</c:v>
                </c:pt>
                <c:pt idx="631">
                  <c:v>1</c:v>
                </c:pt>
                <c:pt idx="632">
                  <c:v>1</c:v>
                </c:pt>
                <c:pt idx="633">
                  <c:v>1</c:v>
                </c:pt>
                <c:pt idx="634">
                  <c:v>1</c:v>
                </c:pt>
                <c:pt idx="635">
                  <c:v>1</c:v>
                </c:pt>
                <c:pt idx="636">
                  <c:v>1</c:v>
                </c:pt>
                <c:pt idx="637">
                  <c:v>1</c:v>
                </c:pt>
                <c:pt idx="638">
                  <c:v>1</c:v>
                </c:pt>
                <c:pt idx="639">
                  <c:v>1</c:v>
                </c:pt>
                <c:pt idx="640">
                  <c:v>1</c:v>
                </c:pt>
                <c:pt idx="641">
                  <c:v>1</c:v>
                </c:pt>
                <c:pt idx="642">
                  <c:v>1</c:v>
                </c:pt>
                <c:pt idx="643">
                  <c:v>1</c:v>
                </c:pt>
                <c:pt idx="644">
                  <c:v>1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1</c:v>
                </c:pt>
                <c:pt idx="673">
                  <c:v>1</c:v>
                </c:pt>
                <c:pt idx="674">
                  <c:v>1</c:v>
                </c:pt>
                <c:pt idx="675">
                  <c:v>1</c:v>
                </c:pt>
                <c:pt idx="676">
                  <c:v>1</c:v>
                </c:pt>
                <c:pt idx="677">
                  <c:v>1</c:v>
                </c:pt>
                <c:pt idx="678">
                  <c:v>1</c:v>
                </c:pt>
                <c:pt idx="679">
                  <c:v>1</c:v>
                </c:pt>
                <c:pt idx="680">
                  <c:v>1</c:v>
                </c:pt>
                <c:pt idx="681">
                  <c:v>1</c:v>
                </c:pt>
                <c:pt idx="682">
                  <c:v>1</c:v>
                </c:pt>
                <c:pt idx="683">
                  <c:v>1</c:v>
                </c:pt>
                <c:pt idx="684">
                  <c:v>1</c:v>
                </c:pt>
                <c:pt idx="685">
                  <c:v>1</c:v>
                </c:pt>
                <c:pt idx="686">
                  <c:v>1</c:v>
                </c:pt>
                <c:pt idx="687">
                  <c:v>1</c:v>
                </c:pt>
                <c:pt idx="688">
                  <c:v>1</c:v>
                </c:pt>
                <c:pt idx="689">
                  <c:v>1</c:v>
                </c:pt>
                <c:pt idx="690">
                  <c:v>1</c:v>
                </c:pt>
                <c:pt idx="691">
                  <c:v>1</c:v>
                </c:pt>
                <c:pt idx="692">
                  <c:v>1</c:v>
                </c:pt>
                <c:pt idx="693">
                  <c:v>1</c:v>
                </c:pt>
                <c:pt idx="694">
                  <c:v>1</c:v>
                </c:pt>
                <c:pt idx="695">
                  <c:v>1</c:v>
                </c:pt>
                <c:pt idx="696">
                  <c:v>1</c:v>
                </c:pt>
                <c:pt idx="697">
                  <c:v>1</c:v>
                </c:pt>
                <c:pt idx="698">
                  <c:v>1</c:v>
                </c:pt>
                <c:pt idx="699">
                  <c:v>1</c:v>
                </c:pt>
                <c:pt idx="700">
                  <c:v>1</c:v>
                </c:pt>
                <c:pt idx="701">
                  <c:v>1</c:v>
                </c:pt>
                <c:pt idx="702">
                  <c:v>1</c:v>
                </c:pt>
                <c:pt idx="703">
                  <c:v>1</c:v>
                </c:pt>
                <c:pt idx="704">
                  <c:v>1</c:v>
                </c:pt>
                <c:pt idx="705">
                  <c:v>1</c:v>
                </c:pt>
                <c:pt idx="706">
                  <c:v>1</c:v>
                </c:pt>
                <c:pt idx="707">
                  <c:v>1</c:v>
                </c:pt>
                <c:pt idx="708">
                  <c:v>1</c:v>
                </c:pt>
                <c:pt idx="709">
                  <c:v>1</c:v>
                </c:pt>
                <c:pt idx="710">
                  <c:v>1</c:v>
                </c:pt>
                <c:pt idx="711">
                  <c:v>1</c:v>
                </c:pt>
                <c:pt idx="712">
                  <c:v>1</c:v>
                </c:pt>
                <c:pt idx="713">
                  <c:v>1</c:v>
                </c:pt>
                <c:pt idx="714">
                  <c:v>1</c:v>
                </c:pt>
                <c:pt idx="715">
                  <c:v>1</c:v>
                </c:pt>
                <c:pt idx="716">
                  <c:v>1</c:v>
                </c:pt>
                <c:pt idx="717">
                  <c:v>1</c:v>
                </c:pt>
                <c:pt idx="718">
                  <c:v>1</c:v>
                </c:pt>
                <c:pt idx="719">
                  <c:v>1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1</c:v>
                </c:pt>
                <c:pt idx="759">
                  <c:v>1</c:v>
                </c:pt>
                <c:pt idx="760">
                  <c:v>1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0</c:v>
                </c:pt>
                <c:pt idx="772">
                  <c:v>0</c:v>
                </c:pt>
                <c:pt idx="773">
                  <c:v>0</c:v>
                </c:pt>
                <c:pt idx="774">
                  <c:v>1</c:v>
                </c:pt>
                <c:pt idx="775">
                  <c:v>1</c:v>
                </c:pt>
                <c:pt idx="776">
                  <c:v>1</c:v>
                </c:pt>
                <c:pt idx="777">
                  <c:v>1</c:v>
                </c:pt>
                <c:pt idx="778">
                  <c:v>1</c:v>
                </c:pt>
                <c:pt idx="779">
                  <c:v>1</c:v>
                </c:pt>
                <c:pt idx="780">
                  <c:v>1</c:v>
                </c:pt>
                <c:pt idx="781">
                  <c:v>1</c:v>
                </c:pt>
                <c:pt idx="782">
                  <c:v>1</c:v>
                </c:pt>
                <c:pt idx="783">
                  <c:v>1</c:v>
                </c:pt>
                <c:pt idx="784">
                  <c:v>1</c:v>
                </c:pt>
                <c:pt idx="785">
                  <c:v>1</c:v>
                </c:pt>
                <c:pt idx="786">
                  <c:v>1</c:v>
                </c:pt>
                <c:pt idx="787">
                  <c:v>1</c:v>
                </c:pt>
                <c:pt idx="788">
                  <c:v>1</c:v>
                </c:pt>
                <c:pt idx="789">
                  <c:v>1</c:v>
                </c:pt>
                <c:pt idx="790">
                  <c:v>1</c:v>
                </c:pt>
                <c:pt idx="791">
                  <c:v>1</c:v>
                </c:pt>
                <c:pt idx="792">
                  <c:v>1</c:v>
                </c:pt>
                <c:pt idx="793">
                  <c:v>1</c:v>
                </c:pt>
                <c:pt idx="794">
                  <c:v>1</c:v>
                </c:pt>
                <c:pt idx="795">
                  <c:v>1</c:v>
                </c:pt>
                <c:pt idx="796">
                  <c:v>1</c:v>
                </c:pt>
                <c:pt idx="797">
                  <c:v>1</c:v>
                </c:pt>
                <c:pt idx="798">
                  <c:v>1</c:v>
                </c:pt>
                <c:pt idx="799">
                  <c:v>1</c:v>
                </c:pt>
                <c:pt idx="800">
                  <c:v>1</c:v>
                </c:pt>
                <c:pt idx="801">
                  <c:v>1</c:v>
                </c:pt>
                <c:pt idx="802">
                  <c:v>1</c:v>
                </c:pt>
                <c:pt idx="803">
                  <c:v>1</c:v>
                </c:pt>
                <c:pt idx="804">
                  <c:v>1</c:v>
                </c:pt>
                <c:pt idx="805">
                  <c:v>1</c:v>
                </c:pt>
                <c:pt idx="806">
                  <c:v>1</c:v>
                </c:pt>
                <c:pt idx="807">
                  <c:v>1</c:v>
                </c:pt>
                <c:pt idx="808">
                  <c:v>1</c:v>
                </c:pt>
                <c:pt idx="809">
                  <c:v>1</c:v>
                </c:pt>
                <c:pt idx="810">
                  <c:v>1</c:v>
                </c:pt>
                <c:pt idx="811">
                  <c:v>1</c:v>
                </c:pt>
                <c:pt idx="812">
                  <c:v>1</c:v>
                </c:pt>
                <c:pt idx="813">
                  <c:v>1</c:v>
                </c:pt>
                <c:pt idx="814">
                  <c:v>1</c:v>
                </c:pt>
                <c:pt idx="815">
                  <c:v>1</c:v>
                </c:pt>
                <c:pt idx="816">
                  <c:v>1</c:v>
                </c:pt>
                <c:pt idx="817">
                  <c:v>1</c:v>
                </c:pt>
                <c:pt idx="818">
                  <c:v>1</c:v>
                </c:pt>
                <c:pt idx="819">
                  <c:v>1</c:v>
                </c:pt>
                <c:pt idx="820">
                  <c:v>1</c:v>
                </c:pt>
                <c:pt idx="821">
                  <c:v>1</c:v>
                </c:pt>
                <c:pt idx="822">
                  <c:v>1</c:v>
                </c:pt>
                <c:pt idx="823">
                  <c:v>1</c:v>
                </c:pt>
                <c:pt idx="824">
                  <c:v>1</c:v>
                </c:pt>
                <c:pt idx="825">
                  <c:v>1</c:v>
                </c:pt>
                <c:pt idx="826">
                  <c:v>1</c:v>
                </c:pt>
                <c:pt idx="827">
                  <c:v>1</c:v>
                </c:pt>
                <c:pt idx="828">
                  <c:v>1</c:v>
                </c:pt>
                <c:pt idx="829">
                  <c:v>1</c:v>
                </c:pt>
                <c:pt idx="830">
                  <c:v>1</c:v>
                </c:pt>
                <c:pt idx="831">
                  <c:v>1</c:v>
                </c:pt>
                <c:pt idx="832">
                  <c:v>1</c:v>
                </c:pt>
                <c:pt idx="833">
                  <c:v>1</c:v>
                </c:pt>
                <c:pt idx="834">
                  <c:v>1</c:v>
                </c:pt>
                <c:pt idx="835">
                  <c:v>1</c:v>
                </c:pt>
                <c:pt idx="836">
                  <c:v>1</c:v>
                </c:pt>
                <c:pt idx="837">
                  <c:v>1</c:v>
                </c:pt>
                <c:pt idx="838">
                  <c:v>1</c:v>
                </c:pt>
                <c:pt idx="839">
                  <c:v>1</c:v>
                </c:pt>
                <c:pt idx="840">
                  <c:v>1</c:v>
                </c:pt>
                <c:pt idx="841">
                  <c:v>1</c:v>
                </c:pt>
                <c:pt idx="842">
                  <c:v>1</c:v>
                </c:pt>
                <c:pt idx="843">
                  <c:v>1</c:v>
                </c:pt>
                <c:pt idx="844">
                  <c:v>1</c:v>
                </c:pt>
                <c:pt idx="845">
                  <c:v>1</c:v>
                </c:pt>
                <c:pt idx="846">
                  <c:v>1</c:v>
                </c:pt>
                <c:pt idx="847">
                  <c:v>1</c:v>
                </c:pt>
                <c:pt idx="848">
                  <c:v>0</c:v>
                </c:pt>
                <c:pt idx="849">
                  <c:v>0</c:v>
                </c:pt>
                <c:pt idx="850">
                  <c:v>0</c:v>
                </c:pt>
                <c:pt idx="851">
                  <c:v>0</c:v>
                </c:pt>
                <c:pt idx="852">
                  <c:v>0</c:v>
                </c:pt>
                <c:pt idx="853">
                  <c:v>0</c:v>
                </c:pt>
                <c:pt idx="854">
                  <c:v>0</c:v>
                </c:pt>
                <c:pt idx="855">
                  <c:v>0</c:v>
                </c:pt>
                <c:pt idx="856">
                  <c:v>0</c:v>
                </c:pt>
                <c:pt idx="857">
                  <c:v>0</c:v>
                </c:pt>
                <c:pt idx="858">
                  <c:v>0</c:v>
                </c:pt>
                <c:pt idx="859">
                  <c:v>0</c:v>
                </c:pt>
                <c:pt idx="860">
                  <c:v>0</c:v>
                </c:pt>
                <c:pt idx="861">
                  <c:v>0</c:v>
                </c:pt>
                <c:pt idx="862">
                  <c:v>0</c:v>
                </c:pt>
                <c:pt idx="863">
                  <c:v>0</c:v>
                </c:pt>
                <c:pt idx="864">
                  <c:v>0</c:v>
                </c:pt>
                <c:pt idx="865">
                  <c:v>0</c:v>
                </c:pt>
                <c:pt idx="866">
                  <c:v>0</c:v>
                </c:pt>
                <c:pt idx="867">
                  <c:v>0</c:v>
                </c:pt>
                <c:pt idx="868">
                  <c:v>1</c:v>
                </c:pt>
                <c:pt idx="869">
                  <c:v>1</c:v>
                </c:pt>
                <c:pt idx="870">
                  <c:v>1</c:v>
                </c:pt>
                <c:pt idx="871">
                  <c:v>0</c:v>
                </c:pt>
                <c:pt idx="872">
                  <c:v>0</c:v>
                </c:pt>
                <c:pt idx="873">
                  <c:v>0</c:v>
                </c:pt>
                <c:pt idx="874">
                  <c:v>0</c:v>
                </c:pt>
                <c:pt idx="875">
                  <c:v>0</c:v>
                </c:pt>
                <c:pt idx="876">
                  <c:v>0</c:v>
                </c:pt>
                <c:pt idx="877">
                  <c:v>0</c:v>
                </c:pt>
                <c:pt idx="878">
                  <c:v>0</c:v>
                </c:pt>
                <c:pt idx="879">
                  <c:v>0</c:v>
                </c:pt>
                <c:pt idx="880">
                  <c:v>0</c:v>
                </c:pt>
                <c:pt idx="881">
                  <c:v>0</c:v>
                </c:pt>
                <c:pt idx="882">
                  <c:v>1</c:v>
                </c:pt>
                <c:pt idx="883">
                  <c:v>1</c:v>
                </c:pt>
                <c:pt idx="884">
                  <c:v>1</c:v>
                </c:pt>
                <c:pt idx="885">
                  <c:v>1</c:v>
                </c:pt>
                <c:pt idx="886">
                  <c:v>1</c:v>
                </c:pt>
                <c:pt idx="887">
                  <c:v>1</c:v>
                </c:pt>
                <c:pt idx="888">
                  <c:v>1</c:v>
                </c:pt>
                <c:pt idx="889">
                  <c:v>1</c:v>
                </c:pt>
                <c:pt idx="890">
                  <c:v>1</c:v>
                </c:pt>
                <c:pt idx="891">
                  <c:v>1</c:v>
                </c:pt>
                <c:pt idx="892">
                  <c:v>1</c:v>
                </c:pt>
                <c:pt idx="893">
                  <c:v>1</c:v>
                </c:pt>
                <c:pt idx="894">
                  <c:v>1</c:v>
                </c:pt>
                <c:pt idx="895">
                  <c:v>1</c:v>
                </c:pt>
                <c:pt idx="896">
                  <c:v>1</c:v>
                </c:pt>
                <c:pt idx="897">
                  <c:v>0</c:v>
                </c:pt>
                <c:pt idx="898">
                  <c:v>0</c:v>
                </c:pt>
                <c:pt idx="899">
                  <c:v>0</c:v>
                </c:pt>
                <c:pt idx="900">
                  <c:v>1</c:v>
                </c:pt>
                <c:pt idx="901">
                  <c:v>1</c:v>
                </c:pt>
                <c:pt idx="902">
                  <c:v>0</c:v>
                </c:pt>
                <c:pt idx="903">
                  <c:v>0</c:v>
                </c:pt>
                <c:pt idx="904">
                  <c:v>0</c:v>
                </c:pt>
                <c:pt idx="905">
                  <c:v>0</c:v>
                </c:pt>
                <c:pt idx="906">
                  <c:v>0</c:v>
                </c:pt>
                <c:pt idx="907">
                  <c:v>1</c:v>
                </c:pt>
                <c:pt idx="908">
                  <c:v>1</c:v>
                </c:pt>
                <c:pt idx="909">
                  <c:v>1</c:v>
                </c:pt>
                <c:pt idx="910">
                  <c:v>1</c:v>
                </c:pt>
                <c:pt idx="911">
                  <c:v>1</c:v>
                </c:pt>
                <c:pt idx="912">
                  <c:v>1</c:v>
                </c:pt>
                <c:pt idx="913">
                  <c:v>1</c:v>
                </c:pt>
                <c:pt idx="914">
                  <c:v>0</c:v>
                </c:pt>
                <c:pt idx="915">
                  <c:v>0</c:v>
                </c:pt>
                <c:pt idx="916">
                  <c:v>0</c:v>
                </c:pt>
                <c:pt idx="917">
                  <c:v>0</c:v>
                </c:pt>
                <c:pt idx="918">
                  <c:v>0</c:v>
                </c:pt>
                <c:pt idx="919">
                  <c:v>0</c:v>
                </c:pt>
                <c:pt idx="920">
                  <c:v>0</c:v>
                </c:pt>
                <c:pt idx="921">
                  <c:v>0</c:v>
                </c:pt>
                <c:pt idx="922">
                  <c:v>0</c:v>
                </c:pt>
                <c:pt idx="923">
                  <c:v>0</c:v>
                </c:pt>
                <c:pt idx="924">
                  <c:v>0</c:v>
                </c:pt>
                <c:pt idx="925">
                  <c:v>0</c:v>
                </c:pt>
                <c:pt idx="926">
                  <c:v>0</c:v>
                </c:pt>
                <c:pt idx="927">
                  <c:v>0</c:v>
                </c:pt>
                <c:pt idx="928">
                  <c:v>0</c:v>
                </c:pt>
                <c:pt idx="929">
                  <c:v>0</c:v>
                </c:pt>
                <c:pt idx="930">
                  <c:v>1</c:v>
                </c:pt>
                <c:pt idx="931">
                  <c:v>1</c:v>
                </c:pt>
                <c:pt idx="932">
                  <c:v>1</c:v>
                </c:pt>
                <c:pt idx="933">
                  <c:v>1</c:v>
                </c:pt>
                <c:pt idx="934">
                  <c:v>1</c:v>
                </c:pt>
                <c:pt idx="935">
                  <c:v>1</c:v>
                </c:pt>
                <c:pt idx="936">
                  <c:v>1</c:v>
                </c:pt>
                <c:pt idx="937">
                  <c:v>1</c:v>
                </c:pt>
                <c:pt idx="938">
                  <c:v>1</c:v>
                </c:pt>
                <c:pt idx="939">
                  <c:v>1</c:v>
                </c:pt>
                <c:pt idx="940">
                  <c:v>1</c:v>
                </c:pt>
                <c:pt idx="941">
                  <c:v>1</c:v>
                </c:pt>
                <c:pt idx="942">
                  <c:v>1</c:v>
                </c:pt>
                <c:pt idx="943">
                  <c:v>1</c:v>
                </c:pt>
                <c:pt idx="944">
                  <c:v>1</c:v>
                </c:pt>
                <c:pt idx="945">
                  <c:v>1</c:v>
                </c:pt>
                <c:pt idx="946">
                  <c:v>1</c:v>
                </c:pt>
                <c:pt idx="947">
                  <c:v>1</c:v>
                </c:pt>
                <c:pt idx="948">
                  <c:v>1</c:v>
                </c:pt>
                <c:pt idx="949">
                  <c:v>1</c:v>
                </c:pt>
                <c:pt idx="950">
                  <c:v>1</c:v>
                </c:pt>
                <c:pt idx="951">
                  <c:v>1</c:v>
                </c:pt>
                <c:pt idx="952">
                  <c:v>1</c:v>
                </c:pt>
                <c:pt idx="953">
                  <c:v>1</c:v>
                </c:pt>
                <c:pt idx="954">
                  <c:v>1</c:v>
                </c:pt>
                <c:pt idx="955">
                  <c:v>1</c:v>
                </c:pt>
                <c:pt idx="956">
                  <c:v>1</c:v>
                </c:pt>
                <c:pt idx="957">
                  <c:v>1</c:v>
                </c:pt>
                <c:pt idx="958">
                  <c:v>1</c:v>
                </c:pt>
                <c:pt idx="959">
                  <c:v>1</c:v>
                </c:pt>
                <c:pt idx="960">
                  <c:v>1</c:v>
                </c:pt>
                <c:pt idx="961">
                  <c:v>1</c:v>
                </c:pt>
                <c:pt idx="962">
                  <c:v>1</c:v>
                </c:pt>
                <c:pt idx="963">
                  <c:v>1</c:v>
                </c:pt>
                <c:pt idx="964">
                  <c:v>1</c:v>
                </c:pt>
                <c:pt idx="965">
                  <c:v>1</c:v>
                </c:pt>
                <c:pt idx="966">
                  <c:v>1</c:v>
                </c:pt>
                <c:pt idx="967">
                  <c:v>1</c:v>
                </c:pt>
                <c:pt idx="968">
                  <c:v>1</c:v>
                </c:pt>
                <c:pt idx="969">
                  <c:v>1</c:v>
                </c:pt>
                <c:pt idx="970">
                  <c:v>1</c:v>
                </c:pt>
                <c:pt idx="971">
                  <c:v>1</c:v>
                </c:pt>
                <c:pt idx="972">
                  <c:v>1</c:v>
                </c:pt>
                <c:pt idx="973">
                  <c:v>1</c:v>
                </c:pt>
                <c:pt idx="974">
                  <c:v>1</c:v>
                </c:pt>
                <c:pt idx="975">
                  <c:v>1</c:v>
                </c:pt>
                <c:pt idx="976">
                  <c:v>1</c:v>
                </c:pt>
                <c:pt idx="977">
                  <c:v>1</c:v>
                </c:pt>
                <c:pt idx="978">
                  <c:v>1</c:v>
                </c:pt>
                <c:pt idx="979">
                  <c:v>1</c:v>
                </c:pt>
                <c:pt idx="980">
                  <c:v>1</c:v>
                </c:pt>
                <c:pt idx="981">
                  <c:v>1</c:v>
                </c:pt>
                <c:pt idx="982">
                  <c:v>1</c:v>
                </c:pt>
                <c:pt idx="983">
                  <c:v>1</c:v>
                </c:pt>
                <c:pt idx="984">
                  <c:v>1</c:v>
                </c:pt>
                <c:pt idx="985">
                  <c:v>1</c:v>
                </c:pt>
                <c:pt idx="986">
                  <c:v>1</c:v>
                </c:pt>
                <c:pt idx="987">
                  <c:v>1</c:v>
                </c:pt>
                <c:pt idx="988">
                  <c:v>1</c:v>
                </c:pt>
                <c:pt idx="989">
                  <c:v>1</c:v>
                </c:pt>
                <c:pt idx="990">
                  <c:v>1</c:v>
                </c:pt>
                <c:pt idx="991">
                  <c:v>1</c:v>
                </c:pt>
                <c:pt idx="992">
                  <c:v>1</c:v>
                </c:pt>
                <c:pt idx="993">
                  <c:v>1</c:v>
                </c:pt>
                <c:pt idx="994">
                  <c:v>1</c:v>
                </c:pt>
                <c:pt idx="995">
                  <c:v>1</c:v>
                </c:pt>
                <c:pt idx="996">
                  <c:v>1</c:v>
                </c:pt>
                <c:pt idx="997">
                  <c:v>1</c:v>
                </c:pt>
                <c:pt idx="998">
                  <c:v>1</c:v>
                </c:pt>
                <c:pt idx="999">
                  <c:v>1</c:v>
                </c:pt>
                <c:pt idx="1000">
                  <c:v>1</c:v>
                </c:pt>
                <c:pt idx="1001">
                  <c:v>1</c:v>
                </c:pt>
                <c:pt idx="1002">
                  <c:v>1</c:v>
                </c:pt>
                <c:pt idx="1003">
                  <c:v>1</c:v>
                </c:pt>
                <c:pt idx="1004">
                  <c:v>1</c:v>
                </c:pt>
                <c:pt idx="1005">
                  <c:v>1</c:v>
                </c:pt>
                <c:pt idx="1006">
                  <c:v>1</c:v>
                </c:pt>
                <c:pt idx="1007">
                  <c:v>1</c:v>
                </c:pt>
                <c:pt idx="1008">
                  <c:v>1</c:v>
                </c:pt>
                <c:pt idx="1009">
                  <c:v>1</c:v>
                </c:pt>
                <c:pt idx="1010">
                  <c:v>1</c:v>
                </c:pt>
                <c:pt idx="1011">
                  <c:v>1</c:v>
                </c:pt>
                <c:pt idx="1012">
                  <c:v>1</c:v>
                </c:pt>
                <c:pt idx="1013">
                  <c:v>1</c:v>
                </c:pt>
                <c:pt idx="1014">
                  <c:v>1</c:v>
                </c:pt>
                <c:pt idx="1015">
                  <c:v>1</c:v>
                </c:pt>
                <c:pt idx="1016">
                  <c:v>1</c:v>
                </c:pt>
                <c:pt idx="1017">
                  <c:v>1</c:v>
                </c:pt>
                <c:pt idx="1018">
                  <c:v>1</c:v>
                </c:pt>
                <c:pt idx="1019">
                  <c:v>1</c:v>
                </c:pt>
                <c:pt idx="1020">
                  <c:v>1</c:v>
                </c:pt>
                <c:pt idx="1021">
                  <c:v>1</c:v>
                </c:pt>
                <c:pt idx="1022">
                  <c:v>1</c:v>
                </c:pt>
                <c:pt idx="1023">
                  <c:v>1</c:v>
                </c:pt>
                <c:pt idx="1024">
                  <c:v>1</c:v>
                </c:pt>
                <c:pt idx="1025">
                  <c:v>1</c:v>
                </c:pt>
                <c:pt idx="1026">
                  <c:v>1</c:v>
                </c:pt>
                <c:pt idx="1027">
                  <c:v>1</c:v>
                </c:pt>
                <c:pt idx="1028">
                  <c:v>1</c:v>
                </c:pt>
                <c:pt idx="1029">
                  <c:v>1</c:v>
                </c:pt>
                <c:pt idx="1030">
                  <c:v>1</c:v>
                </c:pt>
                <c:pt idx="1031">
                  <c:v>1</c:v>
                </c:pt>
                <c:pt idx="1032">
                  <c:v>1</c:v>
                </c:pt>
                <c:pt idx="1033">
                  <c:v>1</c:v>
                </c:pt>
                <c:pt idx="1034">
                  <c:v>1</c:v>
                </c:pt>
                <c:pt idx="1035">
                  <c:v>1</c:v>
                </c:pt>
                <c:pt idx="1036">
                  <c:v>1</c:v>
                </c:pt>
                <c:pt idx="1037">
                  <c:v>1</c:v>
                </c:pt>
                <c:pt idx="1038">
                  <c:v>1</c:v>
                </c:pt>
                <c:pt idx="1039">
                  <c:v>0</c:v>
                </c:pt>
                <c:pt idx="1040">
                  <c:v>0</c:v>
                </c:pt>
                <c:pt idx="1041">
                  <c:v>0</c:v>
                </c:pt>
                <c:pt idx="1042">
                  <c:v>0</c:v>
                </c:pt>
                <c:pt idx="1043">
                  <c:v>0</c:v>
                </c:pt>
                <c:pt idx="1044">
                  <c:v>0</c:v>
                </c:pt>
                <c:pt idx="1045">
                  <c:v>0</c:v>
                </c:pt>
                <c:pt idx="1046">
                  <c:v>0</c:v>
                </c:pt>
                <c:pt idx="1047">
                  <c:v>0</c:v>
                </c:pt>
                <c:pt idx="1048">
                  <c:v>0</c:v>
                </c:pt>
                <c:pt idx="1049">
                  <c:v>0</c:v>
                </c:pt>
                <c:pt idx="1050">
                  <c:v>0</c:v>
                </c:pt>
                <c:pt idx="1051">
                  <c:v>0</c:v>
                </c:pt>
                <c:pt idx="1052">
                  <c:v>0</c:v>
                </c:pt>
                <c:pt idx="1053">
                  <c:v>0</c:v>
                </c:pt>
                <c:pt idx="1054">
                  <c:v>0</c:v>
                </c:pt>
                <c:pt idx="1055">
                  <c:v>1</c:v>
                </c:pt>
                <c:pt idx="1056">
                  <c:v>1</c:v>
                </c:pt>
                <c:pt idx="1057">
                  <c:v>1</c:v>
                </c:pt>
                <c:pt idx="1058">
                  <c:v>1</c:v>
                </c:pt>
                <c:pt idx="1059">
                  <c:v>1</c:v>
                </c:pt>
                <c:pt idx="1060">
                  <c:v>1</c:v>
                </c:pt>
                <c:pt idx="1061">
                  <c:v>1</c:v>
                </c:pt>
                <c:pt idx="1062">
                  <c:v>1</c:v>
                </c:pt>
                <c:pt idx="1063">
                  <c:v>1</c:v>
                </c:pt>
                <c:pt idx="1064">
                  <c:v>0</c:v>
                </c:pt>
                <c:pt idx="1065">
                  <c:v>0</c:v>
                </c:pt>
                <c:pt idx="1066">
                  <c:v>1</c:v>
                </c:pt>
                <c:pt idx="1067">
                  <c:v>1</c:v>
                </c:pt>
                <c:pt idx="1068">
                  <c:v>1</c:v>
                </c:pt>
                <c:pt idx="1069">
                  <c:v>1</c:v>
                </c:pt>
                <c:pt idx="1070">
                  <c:v>1</c:v>
                </c:pt>
                <c:pt idx="1071">
                  <c:v>1</c:v>
                </c:pt>
                <c:pt idx="1072">
                  <c:v>1</c:v>
                </c:pt>
                <c:pt idx="1073">
                  <c:v>1</c:v>
                </c:pt>
                <c:pt idx="1074">
                  <c:v>1</c:v>
                </c:pt>
                <c:pt idx="1075">
                  <c:v>1</c:v>
                </c:pt>
                <c:pt idx="1076">
                  <c:v>1</c:v>
                </c:pt>
                <c:pt idx="1077">
                  <c:v>1</c:v>
                </c:pt>
                <c:pt idx="1078">
                  <c:v>1</c:v>
                </c:pt>
                <c:pt idx="1079">
                  <c:v>1</c:v>
                </c:pt>
                <c:pt idx="1080">
                  <c:v>1</c:v>
                </c:pt>
                <c:pt idx="1081">
                  <c:v>1</c:v>
                </c:pt>
                <c:pt idx="1082">
                  <c:v>0</c:v>
                </c:pt>
                <c:pt idx="1083">
                  <c:v>0</c:v>
                </c:pt>
                <c:pt idx="1084">
                  <c:v>0</c:v>
                </c:pt>
                <c:pt idx="1085">
                  <c:v>0</c:v>
                </c:pt>
                <c:pt idx="1086">
                  <c:v>0</c:v>
                </c:pt>
                <c:pt idx="1087">
                  <c:v>0</c:v>
                </c:pt>
                <c:pt idx="1088">
                  <c:v>0</c:v>
                </c:pt>
                <c:pt idx="1089">
                  <c:v>0</c:v>
                </c:pt>
                <c:pt idx="1090">
                  <c:v>0</c:v>
                </c:pt>
                <c:pt idx="1091">
                  <c:v>0</c:v>
                </c:pt>
                <c:pt idx="1092">
                  <c:v>0</c:v>
                </c:pt>
                <c:pt idx="1093">
                  <c:v>0</c:v>
                </c:pt>
                <c:pt idx="1094">
                  <c:v>0</c:v>
                </c:pt>
                <c:pt idx="1095">
                  <c:v>0</c:v>
                </c:pt>
                <c:pt idx="1096">
                  <c:v>1</c:v>
                </c:pt>
                <c:pt idx="1097">
                  <c:v>1</c:v>
                </c:pt>
                <c:pt idx="1098">
                  <c:v>1</c:v>
                </c:pt>
                <c:pt idx="1099">
                  <c:v>1</c:v>
                </c:pt>
                <c:pt idx="1100">
                  <c:v>1</c:v>
                </c:pt>
                <c:pt idx="1101">
                  <c:v>1</c:v>
                </c:pt>
                <c:pt idx="1102">
                  <c:v>1</c:v>
                </c:pt>
                <c:pt idx="1103">
                  <c:v>1</c:v>
                </c:pt>
                <c:pt idx="1104">
                  <c:v>0</c:v>
                </c:pt>
                <c:pt idx="1105">
                  <c:v>0</c:v>
                </c:pt>
                <c:pt idx="1106">
                  <c:v>0</c:v>
                </c:pt>
                <c:pt idx="1107">
                  <c:v>0</c:v>
                </c:pt>
                <c:pt idx="1108">
                  <c:v>0</c:v>
                </c:pt>
                <c:pt idx="1109">
                  <c:v>0</c:v>
                </c:pt>
                <c:pt idx="1110">
                  <c:v>0</c:v>
                </c:pt>
                <c:pt idx="1111">
                  <c:v>0</c:v>
                </c:pt>
                <c:pt idx="1112">
                  <c:v>0</c:v>
                </c:pt>
                <c:pt idx="1113">
                  <c:v>0</c:v>
                </c:pt>
                <c:pt idx="1114">
                  <c:v>0</c:v>
                </c:pt>
                <c:pt idx="1115">
                  <c:v>0</c:v>
                </c:pt>
                <c:pt idx="1116">
                  <c:v>0</c:v>
                </c:pt>
                <c:pt idx="1117">
                  <c:v>0</c:v>
                </c:pt>
                <c:pt idx="1118">
                  <c:v>0</c:v>
                </c:pt>
                <c:pt idx="1119">
                  <c:v>0</c:v>
                </c:pt>
                <c:pt idx="1120">
                  <c:v>0</c:v>
                </c:pt>
                <c:pt idx="1121">
                  <c:v>0</c:v>
                </c:pt>
                <c:pt idx="1122">
                  <c:v>0</c:v>
                </c:pt>
                <c:pt idx="1123">
                  <c:v>0</c:v>
                </c:pt>
                <c:pt idx="1124">
                  <c:v>0</c:v>
                </c:pt>
                <c:pt idx="1125">
                  <c:v>0</c:v>
                </c:pt>
                <c:pt idx="1126">
                  <c:v>0</c:v>
                </c:pt>
                <c:pt idx="1127">
                  <c:v>0</c:v>
                </c:pt>
                <c:pt idx="1128">
                  <c:v>0</c:v>
                </c:pt>
                <c:pt idx="1129">
                  <c:v>0</c:v>
                </c:pt>
                <c:pt idx="1130">
                  <c:v>0</c:v>
                </c:pt>
                <c:pt idx="1131">
                  <c:v>0</c:v>
                </c:pt>
                <c:pt idx="1132">
                  <c:v>0</c:v>
                </c:pt>
                <c:pt idx="1133">
                  <c:v>0</c:v>
                </c:pt>
                <c:pt idx="1134">
                  <c:v>0</c:v>
                </c:pt>
                <c:pt idx="1135">
                  <c:v>0</c:v>
                </c:pt>
                <c:pt idx="1136">
                  <c:v>0</c:v>
                </c:pt>
                <c:pt idx="1137">
                  <c:v>0</c:v>
                </c:pt>
                <c:pt idx="1138">
                  <c:v>0</c:v>
                </c:pt>
                <c:pt idx="1139">
                  <c:v>0</c:v>
                </c:pt>
                <c:pt idx="1140">
                  <c:v>0</c:v>
                </c:pt>
                <c:pt idx="1141">
                  <c:v>0</c:v>
                </c:pt>
                <c:pt idx="1142">
                  <c:v>1</c:v>
                </c:pt>
                <c:pt idx="1143">
                  <c:v>1</c:v>
                </c:pt>
                <c:pt idx="1144">
                  <c:v>1</c:v>
                </c:pt>
                <c:pt idx="1145">
                  <c:v>1</c:v>
                </c:pt>
                <c:pt idx="1146">
                  <c:v>1</c:v>
                </c:pt>
                <c:pt idx="1147">
                  <c:v>1</c:v>
                </c:pt>
                <c:pt idx="1148">
                  <c:v>1</c:v>
                </c:pt>
                <c:pt idx="1149">
                  <c:v>1</c:v>
                </c:pt>
                <c:pt idx="1150">
                  <c:v>0</c:v>
                </c:pt>
                <c:pt idx="1151">
                  <c:v>0</c:v>
                </c:pt>
                <c:pt idx="1152">
                  <c:v>0</c:v>
                </c:pt>
                <c:pt idx="1153">
                  <c:v>0</c:v>
                </c:pt>
                <c:pt idx="1154">
                  <c:v>0</c:v>
                </c:pt>
                <c:pt idx="1155">
                  <c:v>0</c:v>
                </c:pt>
                <c:pt idx="1156">
                  <c:v>0</c:v>
                </c:pt>
                <c:pt idx="1157">
                  <c:v>0</c:v>
                </c:pt>
                <c:pt idx="1158">
                  <c:v>0</c:v>
                </c:pt>
                <c:pt idx="1159">
                  <c:v>0</c:v>
                </c:pt>
                <c:pt idx="1160">
                  <c:v>0</c:v>
                </c:pt>
                <c:pt idx="1161">
                  <c:v>0</c:v>
                </c:pt>
                <c:pt idx="1162">
                  <c:v>0</c:v>
                </c:pt>
                <c:pt idx="1163">
                  <c:v>0</c:v>
                </c:pt>
                <c:pt idx="1164">
                  <c:v>0</c:v>
                </c:pt>
                <c:pt idx="1165">
                  <c:v>0</c:v>
                </c:pt>
                <c:pt idx="1166">
                  <c:v>1</c:v>
                </c:pt>
                <c:pt idx="1167">
                  <c:v>1</c:v>
                </c:pt>
                <c:pt idx="1168">
                  <c:v>1</c:v>
                </c:pt>
                <c:pt idx="1169">
                  <c:v>1</c:v>
                </c:pt>
                <c:pt idx="1170">
                  <c:v>1</c:v>
                </c:pt>
                <c:pt idx="1171">
                  <c:v>0</c:v>
                </c:pt>
                <c:pt idx="1172">
                  <c:v>0</c:v>
                </c:pt>
                <c:pt idx="1173">
                  <c:v>0</c:v>
                </c:pt>
                <c:pt idx="1174">
                  <c:v>0</c:v>
                </c:pt>
                <c:pt idx="1175">
                  <c:v>0</c:v>
                </c:pt>
                <c:pt idx="1176">
                  <c:v>0</c:v>
                </c:pt>
                <c:pt idx="1177">
                  <c:v>0</c:v>
                </c:pt>
                <c:pt idx="1178">
                  <c:v>0</c:v>
                </c:pt>
                <c:pt idx="1179">
                  <c:v>0</c:v>
                </c:pt>
                <c:pt idx="1180">
                  <c:v>0</c:v>
                </c:pt>
                <c:pt idx="1181">
                  <c:v>0</c:v>
                </c:pt>
                <c:pt idx="1182">
                  <c:v>0</c:v>
                </c:pt>
                <c:pt idx="1183">
                  <c:v>0</c:v>
                </c:pt>
                <c:pt idx="1184">
                  <c:v>0</c:v>
                </c:pt>
                <c:pt idx="1185">
                  <c:v>0</c:v>
                </c:pt>
                <c:pt idx="1186">
                  <c:v>0</c:v>
                </c:pt>
                <c:pt idx="1187">
                  <c:v>0</c:v>
                </c:pt>
                <c:pt idx="1188">
                  <c:v>0</c:v>
                </c:pt>
                <c:pt idx="1189">
                  <c:v>0</c:v>
                </c:pt>
                <c:pt idx="1190">
                  <c:v>1</c:v>
                </c:pt>
                <c:pt idx="1191">
                  <c:v>0</c:v>
                </c:pt>
                <c:pt idx="1192">
                  <c:v>0</c:v>
                </c:pt>
                <c:pt idx="1193">
                  <c:v>1</c:v>
                </c:pt>
                <c:pt idx="1194">
                  <c:v>1</c:v>
                </c:pt>
                <c:pt idx="1195">
                  <c:v>1</c:v>
                </c:pt>
                <c:pt idx="1196">
                  <c:v>1</c:v>
                </c:pt>
                <c:pt idx="1197">
                  <c:v>1</c:v>
                </c:pt>
                <c:pt idx="1198">
                  <c:v>1</c:v>
                </c:pt>
                <c:pt idx="1199">
                  <c:v>0</c:v>
                </c:pt>
                <c:pt idx="1200">
                  <c:v>1</c:v>
                </c:pt>
                <c:pt idx="1201">
                  <c:v>1</c:v>
                </c:pt>
                <c:pt idx="1202">
                  <c:v>1</c:v>
                </c:pt>
                <c:pt idx="1203">
                  <c:v>1</c:v>
                </c:pt>
                <c:pt idx="1204">
                  <c:v>1</c:v>
                </c:pt>
                <c:pt idx="1205">
                  <c:v>1</c:v>
                </c:pt>
                <c:pt idx="1206">
                  <c:v>1</c:v>
                </c:pt>
                <c:pt idx="1207">
                  <c:v>1</c:v>
                </c:pt>
                <c:pt idx="1208">
                  <c:v>1</c:v>
                </c:pt>
                <c:pt idx="1209">
                  <c:v>1</c:v>
                </c:pt>
                <c:pt idx="1210">
                  <c:v>1</c:v>
                </c:pt>
                <c:pt idx="1211">
                  <c:v>1</c:v>
                </c:pt>
                <c:pt idx="1212">
                  <c:v>1</c:v>
                </c:pt>
                <c:pt idx="1213">
                  <c:v>1</c:v>
                </c:pt>
                <c:pt idx="1214">
                  <c:v>1</c:v>
                </c:pt>
                <c:pt idx="1215">
                  <c:v>1</c:v>
                </c:pt>
                <c:pt idx="1216">
                  <c:v>1</c:v>
                </c:pt>
                <c:pt idx="1217">
                  <c:v>1</c:v>
                </c:pt>
                <c:pt idx="1218">
                  <c:v>1</c:v>
                </c:pt>
                <c:pt idx="1219">
                  <c:v>1</c:v>
                </c:pt>
                <c:pt idx="1220">
                  <c:v>1</c:v>
                </c:pt>
                <c:pt idx="1221">
                  <c:v>1</c:v>
                </c:pt>
                <c:pt idx="1222">
                  <c:v>1</c:v>
                </c:pt>
                <c:pt idx="1223">
                  <c:v>1</c:v>
                </c:pt>
                <c:pt idx="1224">
                  <c:v>1</c:v>
                </c:pt>
                <c:pt idx="1225">
                  <c:v>1</c:v>
                </c:pt>
                <c:pt idx="1226">
                  <c:v>1</c:v>
                </c:pt>
                <c:pt idx="1227">
                  <c:v>1</c:v>
                </c:pt>
                <c:pt idx="1228">
                  <c:v>1</c:v>
                </c:pt>
                <c:pt idx="1229">
                  <c:v>1</c:v>
                </c:pt>
                <c:pt idx="1230">
                  <c:v>1</c:v>
                </c:pt>
                <c:pt idx="1231">
                  <c:v>1</c:v>
                </c:pt>
                <c:pt idx="1232">
                  <c:v>1</c:v>
                </c:pt>
                <c:pt idx="1233">
                  <c:v>1</c:v>
                </c:pt>
                <c:pt idx="1234">
                  <c:v>0</c:v>
                </c:pt>
                <c:pt idx="1235">
                  <c:v>0</c:v>
                </c:pt>
                <c:pt idx="1236">
                  <c:v>0</c:v>
                </c:pt>
                <c:pt idx="1237">
                  <c:v>0</c:v>
                </c:pt>
                <c:pt idx="1238">
                  <c:v>0</c:v>
                </c:pt>
                <c:pt idx="1239">
                  <c:v>0</c:v>
                </c:pt>
                <c:pt idx="1240">
                  <c:v>0</c:v>
                </c:pt>
                <c:pt idx="1241">
                  <c:v>0</c:v>
                </c:pt>
                <c:pt idx="1242">
                  <c:v>0</c:v>
                </c:pt>
                <c:pt idx="1243">
                  <c:v>0</c:v>
                </c:pt>
                <c:pt idx="1244">
                  <c:v>0</c:v>
                </c:pt>
                <c:pt idx="1245">
                  <c:v>0</c:v>
                </c:pt>
                <c:pt idx="1246">
                  <c:v>0</c:v>
                </c:pt>
                <c:pt idx="1247">
                  <c:v>0</c:v>
                </c:pt>
                <c:pt idx="1248">
                  <c:v>0</c:v>
                </c:pt>
                <c:pt idx="1249">
                  <c:v>0</c:v>
                </c:pt>
                <c:pt idx="1250">
                  <c:v>1</c:v>
                </c:pt>
                <c:pt idx="1251">
                  <c:v>1</c:v>
                </c:pt>
                <c:pt idx="1252">
                  <c:v>1</c:v>
                </c:pt>
                <c:pt idx="1253">
                  <c:v>1</c:v>
                </c:pt>
                <c:pt idx="1254">
                  <c:v>1</c:v>
                </c:pt>
                <c:pt idx="1255">
                  <c:v>1</c:v>
                </c:pt>
                <c:pt idx="1256">
                  <c:v>0</c:v>
                </c:pt>
                <c:pt idx="1257">
                  <c:v>0</c:v>
                </c:pt>
                <c:pt idx="1258">
                  <c:v>0</c:v>
                </c:pt>
                <c:pt idx="1259">
                  <c:v>0</c:v>
                </c:pt>
                <c:pt idx="1260">
                  <c:v>0</c:v>
                </c:pt>
                <c:pt idx="1261">
                  <c:v>0</c:v>
                </c:pt>
                <c:pt idx="1262">
                  <c:v>0</c:v>
                </c:pt>
                <c:pt idx="1263">
                  <c:v>0</c:v>
                </c:pt>
                <c:pt idx="1264">
                  <c:v>0</c:v>
                </c:pt>
                <c:pt idx="1265">
                  <c:v>1</c:v>
                </c:pt>
                <c:pt idx="1266">
                  <c:v>1</c:v>
                </c:pt>
                <c:pt idx="1267">
                  <c:v>1</c:v>
                </c:pt>
                <c:pt idx="1268">
                  <c:v>1</c:v>
                </c:pt>
                <c:pt idx="1269">
                  <c:v>1</c:v>
                </c:pt>
                <c:pt idx="1270">
                  <c:v>1</c:v>
                </c:pt>
                <c:pt idx="1271">
                  <c:v>1</c:v>
                </c:pt>
                <c:pt idx="1272">
                  <c:v>1</c:v>
                </c:pt>
                <c:pt idx="1273">
                  <c:v>1</c:v>
                </c:pt>
                <c:pt idx="1274">
                  <c:v>1</c:v>
                </c:pt>
                <c:pt idx="1275">
                  <c:v>1</c:v>
                </c:pt>
                <c:pt idx="1276">
                  <c:v>1</c:v>
                </c:pt>
                <c:pt idx="1277">
                  <c:v>1</c:v>
                </c:pt>
                <c:pt idx="1278">
                  <c:v>1</c:v>
                </c:pt>
                <c:pt idx="1279">
                  <c:v>1</c:v>
                </c:pt>
                <c:pt idx="1280">
                  <c:v>1</c:v>
                </c:pt>
                <c:pt idx="1281">
                  <c:v>1</c:v>
                </c:pt>
                <c:pt idx="1282">
                  <c:v>1</c:v>
                </c:pt>
                <c:pt idx="1283">
                  <c:v>0</c:v>
                </c:pt>
                <c:pt idx="1284">
                  <c:v>0</c:v>
                </c:pt>
                <c:pt idx="1285">
                  <c:v>0</c:v>
                </c:pt>
                <c:pt idx="1286">
                  <c:v>1</c:v>
                </c:pt>
                <c:pt idx="1287">
                  <c:v>1</c:v>
                </c:pt>
                <c:pt idx="1288">
                  <c:v>1</c:v>
                </c:pt>
                <c:pt idx="1289">
                  <c:v>1</c:v>
                </c:pt>
                <c:pt idx="1290">
                  <c:v>1</c:v>
                </c:pt>
                <c:pt idx="1291">
                  <c:v>1</c:v>
                </c:pt>
                <c:pt idx="1292">
                  <c:v>1</c:v>
                </c:pt>
                <c:pt idx="1293">
                  <c:v>1</c:v>
                </c:pt>
                <c:pt idx="1294">
                  <c:v>1</c:v>
                </c:pt>
                <c:pt idx="1295">
                  <c:v>1</c:v>
                </c:pt>
                <c:pt idx="1296">
                  <c:v>1</c:v>
                </c:pt>
                <c:pt idx="1297">
                  <c:v>1</c:v>
                </c:pt>
                <c:pt idx="1298">
                  <c:v>1</c:v>
                </c:pt>
                <c:pt idx="1299">
                  <c:v>1</c:v>
                </c:pt>
                <c:pt idx="1300">
                  <c:v>1</c:v>
                </c:pt>
                <c:pt idx="1301">
                  <c:v>1</c:v>
                </c:pt>
                <c:pt idx="1302">
                  <c:v>1</c:v>
                </c:pt>
                <c:pt idx="1303">
                  <c:v>1</c:v>
                </c:pt>
                <c:pt idx="1304">
                  <c:v>1</c:v>
                </c:pt>
                <c:pt idx="1305">
                  <c:v>1</c:v>
                </c:pt>
                <c:pt idx="1306">
                  <c:v>1</c:v>
                </c:pt>
                <c:pt idx="1307">
                  <c:v>1</c:v>
                </c:pt>
                <c:pt idx="1308">
                  <c:v>1</c:v>
                </c:pt>
                <c:pt idx="1309">
                  <c:v>1</c:v>
                </c:pt>
                <c:pt idx="1310">
                  <c:v>1</c:v>
                </c:pt>
                <c:pt idx="1311">
                  <c:v>1</c:v>
                </c:pt>
                <c:pt idx="1312">
                  <c:v>1</c:v>
                </c:pt>
                <c:pt idx="1313">
                  <c:v>1</c:v>
                </c:pt>
                <c:pt idx="1314">
                  <c:v>1</c:v>
                </c:pt>
                <c:pt idx="1315">
                  <c:v>1</c:v>
                </c:pt>
                <c:pt idx="1316">
                  <c:v>1</c:v>
                </c:pt>
                <c:pt idx="1317">
                  <c:v>1</c:v>
                </c:pt>
                <c:pt idx="1318">
                  <c:v>1</c:v>
                </c:pt>
                <c:pt idx="1319">
                  <c:v>1</c:v>
                </c:pt>
                <c:pt idx="1320">
                  <c:v>1</c:v>
                </c:pt>
                <c:pt idx="1321">
                  <c:v>1</c:v>
                </c:pt>
                <c:pt idx="1322">
                  <c:v>1</c:v>
                </c:pt>
                <c:pt idx="1323">
                  <c:v>1</c:v>
                </c:pt>
                <c:pt idx="1324">
                  <c:v>1</c:v>
                </c:pt>
                <c:pt idx="1325">
                  <c:v>1</c:v>
                </c:pt>
                <c:pt idx="1326">
                  <c:v>1</c:v>
                </c:pt>
                <c:pt idx="1327">
                  <c:v>0</c:v>
                </c:pt>
                <c:pt idx="1328">
                  <c:v>0</c:v>
                </c:pt>
                <c:pt idx="1329">
                  <c:v>0</c:v>
                </c:pt>
                <c:pt idx="1330">
                  <c:v>0</c:v>
                </c:pt>
                <c:pt idx="1331">
                  <c:v>1</c:v>
                </c:pt>
                <c:pt idx="1332">
                  <c:v>1</c:v>
                </c:pt>
                <c:pt idx="1333">
                  <c:v>1</c:v>
                </c:pt>
                <c:pt idx="1334">
                  <c:v>1</c:v>
                </c:pt>
                <c:pt idx="1335">
                  <c:v>1</c:v>
                </c:pt>
                <c:pt idx="1336">
                  <c:v>1</c:v>
                </c:pt>
                <c:pt idx="1337">
                  <c:v>1</c:v>
                </c:pt>
                <c:pt idx="1338">
                  <c:v>1</c:v>
                </c:pt>
                <c:pt idx="1339">
                  <c:v>1</c:v>
                </c:pt>
                <c:pt idx="1340">
                  <c:v>0</c:v>
                </c:pt>
                <c:pt idx="1341">
                  <c:v>0</c:v>
                </c:pt>
                <c:pt idx="1342">
                  <c:v>0</c:v>
                </c:pt>
                <c:pt idx="1343">
                  <c:v>0</c:v>
                </c:pt>
                <c:pt idx="1344">
                  <c:v>0</c:v>
                </c:pt>
                <c:pt idx="1345">
                  <c:v>0</c:v>
                </c:pt>
                <c:pt idx="1346">
                  <c:v>0</c:v>
                </c:pt>
                <c:pt idx="1347">
                  <c:v>0</c:v>
                </c:pt>
                <c:pt idx="1348">
                  <c:v>0</c:v>
                </c:pt>
                <c:pt idx="1349">
                  <c:v>0</c:v>
                </c:pt>
                <c:pt idx="1350">
                  <c:v>0</c:v>
                </c:pt>
                <c:pt idx="1351">
                  <c:v>0</c:v>
                </c:pt>
                <c:pt idx="1352">
                  <c:v>0</c:v>
                </c:pt>
                <c:pt idx="1353">
                  <c:v>0</c:v>
                </c:pt>
                <c:pt idx="1354">
                  <c:v>0</c:v>
                </c:pt>
                <c:pt idx="1355">
                  <c:v>0</c:v>
                </c:pt>
                <c:pt idx="1356">
                  <c:v>0</c:v>
                </c:pt>
                <c:pt idx="1357">
                  <c:v>0</c:v>
                </c:pt>
                <c:pt idx="1358">
                  <c:v>0</c:v>
                </c:pt>
                <c:pt idx="1359">
                  <c:v>0</c:v>
                </c:pt>
                <c:pt idx="1360">
                  <c:v>0</c:v>
                </c:pt>
                <c:pt idx="1361">
                  <c:v>0</c:v>
                </c:pt>
                <c:pt idx="1362">
                  <c:v>0</c:v>
                </c:pt>
                <c:pt idx="1363">
                  <c:v>0</c:v>
                </c:pt>
                <c:pt idx="1364">
                  <c:v>0</c:v>
                </c:pt>
                <c:pt idx="1365">
                  <c:v>0</c:v>
                </c:pt>
                <c:pt idx="1366">
                  <c:v>0</c:v>
                </c:pt>
                <c:pt idx="1367">
                  <c:v>0</c:v>
                </c:pt>
                <c:pt idx="1368">
                  <c:v>0</c:v>
                </c:pt>
                <c:pt idx="1369">
                  <c:v>0</c:v>
                </c:pt>
                <c:pt idx="1370">
                  <c:v>0</c:v>
                </c:pt>
                <c:pt idx="1371">
                  <c:v>0</c:v>
                </c:pt>
                <c:pt idx="1372">
                  <c:v>0</c:v>
                </c:pt>
                <c:pt idx="1373">
                  <c:v>0</c:v>
                </c:pt>
                <c:pt idx="1374">
                  <c:v>0</c:v>
                </c:pt>
                <c:pt idx="1375">
                  <c:v>0</c:v>
                </c:pt>
                <c:pt idx="1376">
                  <c:v>0</c:v>
                </c:pt>
                <c:pt idx="1377">
                  <c:v>0</c:v>
                </c:pt>
                <c:pt idx="1378">
                  <c:v>0</c:v>
                </c:pt>
                <c:pt idx="1379">
                  <c:v>0</c:v>
                </c:pt>
                <c:pt idx="1380">
                  <c:v>0</c:v>
                </c:pt>
                <c:pt idx="1381">
                  <c:v>0</c:v>
                </c:pt>
                <c:pt idx="1382">
                  <c:v>0</c:v>
                </c:pt>
                <c:pt idx="1383">
                  <c:v>0</c:v>
                </c:pt>
                <c:pt idx="1384">
                  <c:v>0</c:v>
                </c:pt>
                <c:pt idx="1385">
                  <c:v>0</c:v>
                </c:pt>
                <c:pt idx="1386">
                  <c:v>0</c:v>
                </c:pt>
                <c:pt idx="1387">
                  <c:v>0</c:v>
                </c:pt>
                <c:pt idx="1388">
                  <c:v>0</c:v>
                </c:pt>
                <c:pt idx="1389">
                  <c:v>0</c:v>
                </c:pt>
                <c:pt idx="1390">
                  <c:v>0</c:v>
                </c:pt>
                <c:pt idx="1391">
                  <c:v>0</c:v>
                </c:pt>
                <c:pt idx="1392">
                  <c:v>0</c:v>
                </c:pt>
                <c:pt idx="1393">
                  <c:v>0</c:v>
                </c:pt>
                <c:pt idx="1394">
                  <c:v>0</c:v>
                </c:pt>
                <c:pt idx="1395">
                  <c:v>0</c:v>
                </c:pt>
                <c:pt idx="1396">
                  <c:v>0</c:v>
                </c:pt>
                <c:pt idx="1397">
                  <c:v>0</c:v>
                </c:pt>
                <c:pt idx="1398">
                  <c:v>0</c:v>
                </c:pt>
                <c:pt idx="1399">
                  <c:v>0</c:v>
                </c:pt>
                <c:pt idx="1400">
                  <c:v>0</c:v>
                </c:pt>
                <c:pt idx="1401">
                  <c:v>0</c:v>
                </c:pt>
                <c:pt idx="1402">
                  <c:v>0</c:v>
                </c:pt>
                <c:pt idx="1403">
                  <c:v>0</c:v>
                </c:pt>
                <c:pt idx="1404">
                  <c:v>0</c:v>
                </c:pt>
                <c:pt idx="1405">
                  <c:v>0</c:v>
                </c:pt>
                <c:pt idx="1406">
                  <c:v>0</c:v>
                </c:pt>
                <c:pt idx="1407">
                  <c:v>0</c:v>
                </c:pt>
                <c:pt idx="1408">
                  <c:v>0</c:v>
                </c:pt>
                <c:pt idx="1409">
                  <c:v>0</c:v>
                </c:pt>
                <c:pt idx="1410">
                  <c:v>0</c:v>
                </c:pt>
                <c:pt idx="1411">
                  <c:v>0</c:v>
                </c:pt>
                <c:pt idx="1412">
                  <c:v>0</c:v>
                </c:pt>
                <c:pt idx="1413">
                  <c:v>0</c:v>
                </c:pt>
                <c:pt idx="1414">
                  <c:v>0</c:v>
                </c:pt>
                <c:pt idx="1415">
                  <c:v>0</c:v>
                </c:pt>
                <c:pt idx="1416">
                  <c:v>0</c:v>
                </c:pt>
                <c:pt idx="1417">
                  <c:v>0</c:v>
                </c:pt>
                <c:pt idx="1418">
                  <c:v>0</c:v>
                </c:pt>
                <c:pt idx="1419">
                  <c:v>0</c:v>
                </c:pt>
                <c:pt idx="1420">
                  <c:v>0</c:v>
                </c:pt>
                <c:pt idx="1421">
                  <c:v>0</c:v>
                </c:pt>
                <c:pt idx="1422">
                  <c:v>1</c:v>
                </c:pt>
                <c:pt idx="1423">
                  <c:v>1</c:v>
                </c:pt>
                <c:pt idx="1424">
                  <c:v>1</c:v>
                </c:pt>
                <c:pt idx="1425">
                  <c:v>1</c:v>
                </c:pt>
                <c:pt idx="1426">
                  <c:v>1</c:v>
                </c:pt>
                <c:pt idx="1427">
                  <c:v>0</c:v>
                </c:pt>
                <c:pt idx="1428">
                  <c:v>0</c:v>
                </c:pt>
                <c:pt idx="1429">
                  <c:v>0</c:v>
                </c:pt>
                <c:pt idx="1430">
                  <c:v>0</c:v>
                </c:pt>
                <c:pt idx="1431">
                  <c:v>0</c:v>
                </c:pt>
                <c:pt idx="1432">
                  <c:v>0</c:v>
                </c:pt>
                <c:pt idx="1433">
                  <c:v>0</c:v>
                </c:pt>
                <c:pt idx="1434">
                  <c:v>0</c:v>
                </c:pt>
                <c:pt idx="1435">
                  <c:v>0</c:v>
                </c:pt>
                <c:pt idx="1436">
                  <c:v>0</c:v>
                </c:pt>
                <c:pt idx="1437">
                  <c:v>0</c:v>
                </c:pt>
                <c:pt idx="1438">
                  <c:v>0</c:v>
                </c:pt>
                <c:pt idx="1439">
                  <c:v>0</c:v>
                </c:pt>
                <c:pt idx="1440">
                  <c:v>0</c:v>
                </c:pt>
                <c:pt idx="1441">
                  <c:v>0</c:v>
                </c:pt>
                <c:pt idx="1442">
                  <c:v>0</c:v>
                </c:pt>
                <c:pt idx="1443">
                  <c:v>0</c:v>
                </c:pt>
                <c:pt idx="1444">
                  <c:v>0</c:v>
                </c:pt>
                <c:pt idx="1445">
                  <c:v>0</c:v>
                </c:pt>
                <c:pt idx="1446">
                  <c:v>0</c:v>
                </c:pt>
                <c:pt idx="1447">
                  <c:v>0</c:v>
                </c:pt>
                <c:pt idx="1448">
                  <c:v>0</c:v>
                </c:pt>
                <c:pt idx="1449">
                  <c:v>0</c:v>
                </c:pt>
                <c:pt idx="1450">
                  <c:v>0</c:v>
                </c:pt>
                <c:pt idx="1451">
                  <c:v>0</c:v>
                </c:pt>
                <c:pt idx="1452">
                  <c:v>0</c:v>
                </c:pt>
                <c:pt idx="1453">
                  <c:v>0</c:v>
                </c:pt>
                <c:pt idx="1454">
                  <c:v>0</c:v>
                </c:pt>
                <c:pt idx="1455">
                  <c:v>0</c:v>
                </c:pt>
                <c:pt idx="1456">
                  <c:v>0</c:v>
                </c:pt>
                <c:pt idx="1457">
                  <c:v>0</c:v>
                </c:pt>
                <c:pt idx="1458">
                  <c:v>0</c:v>
                </c:pt>
                <c:pt idx="1459">
                  <c:v>0</c:v>
                </c:pt>
                <c:pt idx="1460">
                  <c:v>0</c:v>
                </c:pt>
                <c:pt idx="1461">
                  <c:v>0</c:v>
                </c:pt>
                <c:pt idx="1462">
                  <c:v>0</c:v>
                </c:pt>
                <c:pt idx="1463">
                  <c:v>0</c:v>
                </c:pt>
                <c:pt idx="1464">
                  <c:v>0</c:v>
                </c:pt>
                <c:pt idx="1465">
                  <c:v>0</c:v>
                </c:pt>
                <c:pt idx="1466">
                  <c:v>0</c:v>
                </c:pt>
                <c:pt idx="1467">
                  <c:v>0</c:v>
                </c:pt>
                <c:pt idx="1468">
                  <c:v>1</c:v>
                </c:pt>
                <c:pt idx="1469">
                  <c:v>1</c:v>
                </c:pt>
                <c:pt idx="1470">
                  <c:v>1</c:v>
                </c:pt>
                <c:pt idx="1471">
                  <c:v>1</c:v>
                </c:pt>
                <c:pt idx="1472">
                  <c:v>1</c:v>
                </c:pt>
                <c:pt idx="1473">
                  <c:v>1</c:v>
                </c:pt>
                <c:pt idx="1474">
                  <c:v>1</c:v>
                </c:pt>
                <c:pt idx="1475">
                  <c:v>1</c:v>
                </c:pt>
                <c:pt idx="1476">
                  <c:v>1</c:v>
                </c:pt>
                <c:pt idx="1477">
                  <c:v>1</c:v>
                </c:pt>
                <c:pt idx="1478">
                  <c:v>1</c:v>
                </c:pt>
                <c:pt idx="1479">
                  <c:v>1</c:v>
                </c:pt>
                <c:pt idx="1480">
                  <c:v>1</c:v>
                </c:pt>
                <c:pt idx="1481">
                  <c:v>1</c:v>
                </c:pt>
                <c:pt idx="1482">
                  <c:v>1</c:v>
                </c:pt>
                <c:pt idx="1483">
                  <c:v>1</c:v>
                </c:pt>
                <c:pt idx="1484">
                  <c:v>1</c:v>
                </c:pt>
                <c:pt idx="1485">
                  <c:v>1</c:v>
                </c:pt>
                <c:pt idx="1486">
                  <c:v>1</c:v>
                </c:pt>
                <c:pt idx="1487">
                  <c:v>1</c:v>
                </c:pt>
                <c:pt idx="1488">
                  <c:v>1</c:v>
                </c:pt>
                <c:pt idx="1489">
                  <c:v>1</c:v>
                </c:pt>
                <c:pt idx="1490">
                  <c:v>0</c:v>
                </c:pt>
                <c:pt idx="1491">
                  <c:v>0</c:v>
                </c:pt>
                <c:pt idx="1492">
                  <c:v>0</c:v>
                </c:pt>
                <c:pt idx="1493">
                  <c:v>0</c:v>
                </c:pt>
                <c:pt idx="1494">
                  <c:v>0</c:v>
                </c:pt>
                <c:pt idx="1495">
                  <c:v>0</c:v>
                </c:pt>
                <c:pt idx="1496">
                  <c:v>0</c:v>
                </c:pt>
                <c:pt idx="1497">
                  <c:v>0</c:v>
                </c:pt>
                <c:pt idx="1498">
                  <c:v>0</c:v>
                </c:pt>
                <c:pt idx="1499">
                  <c:v>0</c:v>
                </c:pt>
                <c:pt idx="1500">
                  <c:v>0</c:v>
                </c:pt>
                <c:pt idx="1501">
                  <c:v>0</c:v>
                </c:pt>
                <c:pt idx="1502">
                  <c:v>0</c:v>
                </c:pt>
                <c:pt idx="1503">
                  <c:v>0</c:v>
                </c:pt>
                <c:pt idx="1504">
                  <c:v>0</c:v>
                </c:pt>
                <c:pt idx="1505">
                  <c:v>0</c:v>
                </c:pt>
                <c:pt idx="1506">
                  <c:v>0</c:v>
                </c:pt>
                <c:pt idx="1507">
                  <c:v>0</c:v>
                </c:pt>
                <c:pt idx="1508">
                  <c:v>0</c:v>
                </c:pt>
                <c:pt idx="1509">
                  <c:v>0</c:v>
                </c:pt>
                <c:pt idx="1510">
                  <c:v>0</c:v>
                </c:pt>
                <c:pt idx="15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4EB-42CD-AD23-1403467BE27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34952808"/>
        <c:axId val="2134953792"/>
      </c:areaChart>
      <c:barChart>
        <c:barDir val="col"/>
        <c:grouping val="clustered"/>
        <c:varyColors val="0"/>
        <c:ser>
          <c:idx val="2"/>
          <c:order val="2"/>
          <c:tx>
            <c:strRef>
              <c:f>'M12'!$V$6</c:f>
              <c:strCache>
                <c:ptCount val="1"/>
                <c:pt idx="0">
                  <c:v>FVG</c:v>
                </c:pt>
              </c:strCache>
            </c:strRef>
          </c:tx>
          <c:spPr>
            <a:solidFill>
              <a:schemeClr val="bg1">
                <a:lumMod val="50000"/>
              </a:schemeClr>
            </a:solidFill>
            <a:ln>
              <a:noFill/>
            </a:ln>
            <a:effectLst/>
          </c:spPr>
          <c:invertIfNegative val="0"/>
          <c:val>
            <c:numRef>
              <c:f>'M12'!$V$7:$V$1621</c:f>
              <c:numCache>
                <c:formatCode>0.00</c:formatCode>
                <c:ptCount val="161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-0.41587985581898246</c:v>
                </c:pt>
                <c:pt idx="500">
                  <c:v>-0.31283058749278747</c:v>
                </c:pt>
                <c:pt idx="501">
                  <c:v>-0.2441019853829135</c:v>
                </c:pt>
                <c:pt idx="502">
                  <c:v>-0.17679571991730225</c:v>
                </c:pt>
                <c:pt idx="503">
                  <c:v>-0.1325117760062553</c:v>
                </c:pt>
                <c:pt idx="504">
                  <c:v>-0.19661468995254128</c:v>
                </c:pt>
                <c:pt idx="505">
                  <c:v>-0.15244876227432524</c:v>
                </c:pt>
                <c:pt idx="506">
                  <c:v>-0.24435425373830677</c:v>
                </c:pt>
                <c:pt idx="507">
                  <c:v>-0.16813209336971024</c:v>
                </c:pt>
                <c:pt idx="508">
                  <c:v>-0.23521594941556279</c:v>
                </c:pt>
                <c:pt idx="509">
                  <c:v>-0.21813121743221464</c:v>
                </c:pt>
                <c:pt idx="510">
                  <c:v>-6.6705372998468127E-2</c:v>
                </c:pt>
                <c:pt idx="511">
                  <c:v>-7.2056801499807421E-2</c:v>
                </c:pt>
                <c:pt idx="512">
                  <c:v>-4.5756076545736712E-2</c:v>
                </c:pt>
                <c:pt idx="513">
                  <c:v>-3.9820362180860047E-2</c:v>
                </c:pt>
                <c:pt idx="514">
                  <c:v>-5.8489612528800916E-2</c:v>
                </c:pt>
                <c:pt idx="515">
                  <c:v>3.1123766195872982E-4</c:v>
                </c:pt>
                <c:pt idx="516">
                  <c:v>7.7741419792939359E-3</c:v>
                </c:pt>
                <c:pt idx="517">
                  <c:v>-6.1873169724438015E-2</c:v>
                </c:pt>
                <c:pt idx="518">
                  <c:v>0.31202827600241578</c:v>
                </c:pt>
                <c:pt idx="519">
                  <c:v>0.18762098496322333</c:v>
                </c:pt>
                <c:pt idx="520">
                  <c:v>0.22535837864536978</c:v>
                </c:pt>
                <c:pt idx="521">
                  <c:v>0.2476820556090038</c:v>
                </c:pt>
                <c:pt idx="522">
                  <c:v>0.38237264205443167</c:v>
                </c:pt>
                <c:pt idx="523">
                  <c:v>0.2489630521194528</c:v>
                </c:pt>
                <c:pt idx="524">
                  <c:v>0.14243346857843531</c:v>
                </c:pt>
                <c:pt idx="525">
                  <c:v>0.32069359943347497</c:v>
                </c:pt>
                <c:pt idx="526">
                  <c:v>0.23563388835648225</c:v>
                </c:pt>
                <c:pt idx="527">
                  <c:v>0.15486901417584198</c:v>
                </c:pt>
                <c:pt idx="528">
                  <c:v>4.2437215145311402E-2</c:v>
                </c:pt>
                <c:pt idx="529">
                  <c:v>5.0944257482544497E-2</c:v>
                </c:pt>
                <c:pt idx="530">
                  <c:v>-0.11241462918261469</c:v>
                </c:pt>
                <c:pt idx="531">
                  <c:v>-8.4764522195532654E-2</c:v>
                </c:pt>
                <c:pt idx="532">
                  <c:v>-8.9555749621511582E-2</c:v>
                </c:pt>
                <c:pt idx="533">
                  <c:v>-0.14185055373176914</c:v>
                </c:pt>
                <c:pt idx="534">
                  <c:v>-0.12366292653437716</c:v>
                </c:pt>
                <c:pt idx="535">
                  <c:v>-0.15190861201869654</c:v>
                </c:pt>
                <c:pt idx="536">
                  <c:v>-0.14843038729298463</c:v>
                </c:pt>
                <c:pt idx="537">
                  <c:v>-0.15743146873614999</c:v>
                </c:pt>
                <c:pt idx="538">
                  <c:v>-0.19278743140062082</c:v>
                </c:pt>
                <c:pt idx="539">
                  <c:v>-0.14399335192391782</c:v>
                </c:pt>
                <c:pt idx="540">
                  <c:v>-0.25847952836290311</c:v>
                </c:pt>
                <c:pt idx="541">
                  <c:v>0.1478683735370957</c:v>
                </c:pt>
                <c:pt idx="542">
                  <c:v>0.22351417034136711</c:v>
                </c:pt>
                <c:pt idx="543">
                  <c:v>0.18171811469585042</c:v>
                </c:pt>
                <c:pt idx="544">
                  <c:v>5.0270533402217543E-2</c:v>
                </c:pt>
                <c:pt idx="545">
                  <c:v>0.10173880478020259</c:v>
                </c:pt>
                <c:pt idx="546">
                  <c:v>0.11997140645975857</c:v>
                </c:pt>
                <c:pt idx="547">
                  <c:v>7.2413614881145394E-2</c:v>
                </c:pt>
                <c:pt idx="548">
                  <c:v>5.779986995050157E-2</c:v>
                </c:pt>
                <c:pt idx="549">
                  <c:v>-2.0198135098529191E-2</c:v>
                </c:pt>
                <c:pt idx="550">
                  <c:v>-0.10284432637014618</c:v>
                </c:pt>
                <c:pt idx="551">
                  <c:v>-0.19450617093265021</c:v>
                </c:pt>
                <c:pt idx="552">
                  <c:v>-0.12789799218318032</c:v>
                </c:pt>
                <c:pt idx="553">
                  <c:v>-0.10204753475989969</c:v>
                </c:pt>
                <c:pt idx="554">
                  <c:v>-0.10207386257574913</c:v>
                </c:pt>
                <c:pt idx="555">
                  <c:v>-8.5213970941158568E-2</c:v>
                </c:pt>
                <c:pt idx="556">
                  <c:v>-6.4928112088508128E-2</c:v>
                </c:pt>
                <c:pt idx="557">
                  <c:v>-4.9587091438167974E-2</c:v>
                </c:pt>
                <c:pt idx="558">
                  <c:v>-0.13326226790879847</c:v>
                </c:pt>
                <c:pt idx="559">
                  <c:v>-6.8815452141286926E-2</c:v>
                </c:pt>
                <c:pt idx="560">
                  <c:v>-5.4003060379397505E-2</c:v>
                </c:pt>
                <c:pt idx="561">
                  <c:v>-0.40637098968052032</c:v>
                </c:pt>
                <c:pt idx="562">
                  <c:v>-8.5517981411194599E-2</c:v>
                </c:pt>
                <c:pt idx="563">
                  <c:v>-0.11987224903355043</c:v>
                </c:pt>
                <c:pt idx="564">
                  <c:v>-0.15892509485363226</c:v>
                </c:pt>
                <c:pt idx="565">
                  <c:v>-0.14528296881038716</c:v>
                </c:pt>
                <c:pt idx="566">
                  <c:v>-0.15880429873808932</c:v>
                </c:pt>
                <c:pt idx="567">
                  <c:v>-0.11310753862416234</c:v>
                </c:pt>
                <c:pt idx="568">
                  <c:v>-0.20779770257940644</c:v>
                </c:pt>
                <c:pt idx="569">
                  <c:v>-0.25000923301212463</c:v>
                </c:pt>
                <c:pt idx="570">
                  <c:v>-0.2433690278379057</c:v>
                </c:pt>
                <c:pt idx="571">
                  <c:v>-0.13842935958794844</c:v>
                </c:pt>
                <c:pt idx="572">
                  <c:v>-3.7870644545023091E-2</c:v>
                </c:pt>
                <c:pt idx="573">
                  <c:v>-0.17046249341356279</c:v>
                </c:pt>
                <c:pt idx="574">
                  <c:v>-0.11246926791519607</c:v>
                </c:pt>
                <c:pt idx="575">
                  <c:v>-1.3537613698747841E-2</c:v>
                </c:pt>
                <c:pt idx="576">
                  <c:v>-8.4748780190333384E-2</c:v>
                </c:pt>
                <c:pt idx="577">
                  <c:v>-5.015616167298953E-3</c:v>
                </c:pt>
                <c:pt idx="578">
                  <c:v>-2.3057083880702378E-2</c:v>
                </c:pt>
                <c:pt idx="579">
                  <c:v>5.3721500881054096E-2</c:v>
                </c:pt>
                <c:pt idx="580">
                  <c:v>2.5577009350564062E-2</c:v>
                </c:pt>
                <c:pt idx="581">
                  <c:v>-2.0725182916672691E-2</c:v>
                </c:pt>
                <c:pt idx="582">
                  <c:v>-4.4647701561286501E-2</c:v>
                </c:pt>
                <c:pt idx="583">
                  <c:v>7.3490923719645163E-2</c:v>
                </c:pt>
                <c:pt idx="584">
                  <c:v>0.21185533449697747</c:v>
                </c:pt>
                <c:pt idx="585">
                  <c:v>-0.36264038953718836</c:v>
                </c:pt>
                <c:pt idx="586">
                  <c:v>-0.39459418931307033</c:v>
                </c:pt>
                <c:pt idx="587">
                  <c:v>-0.35371723885359246</c:v>
                </c:pt>
                <c:pt idx="588">
                  <c:v>-0.32132704592733874</c:v>
                </c:pt>
                <c:pt idx="589">
                  <c:v>-0.35157383737968079</c:v>
                </c:pt>
                <c:pt idx="590">
                  <c:v>-0.30558378164922889</c:v>
                </c:pt>
                <c:pt idx="591">
                  <c:v>-0.363542283111012</c:v>
                </c:pt>
                <c:pt idx="592">
                  <c:v>-0.27551250079802392</c:v>
                </c:pt>
                <c:pt idx="593">
                  <c:v>-0.1362397034548761</c:v>
                </c:pt>
                <c:pt idx="594">
                  <c:v>4.4928473578078332E-3</c:v>
                </c:pt>
                <c:pt idx="595">
                  <c:v>7.2376530637693337E-3</c:v>
                </c:pt>
                <c:pt idx="596">
                  <c:v>5.8065182845284502E-2</c:v>
                </c:pt>
                <c:pt idx="597">
                  <c:v>3.105844196210944E-2</c:v>
                </c:pt>
                <c:pt idx="598">
                  <c:v>4.8967522724421231E-2</c:v>
                </c:pt>
                <c:pt idx="599">
                  <c:v>-2.4286629511248992E-2</c:v>
                </c:pt>
                <c:pt idx="600">
                  <c:v>5.2889062311106128E-2</c:v>
                </c:pt>
                <c:pt idx="601">
                  <c:v>-7.1405988432279133E-2</c:v>
                </c:pt>
                <c:pt idx="602">
                  <c:v>-4.4574460601641136E-2</c:v>
                </c:pt>
                <c:pt idx="603">
                  <c:v>-2.5832914984203703E-2</c:v>
                </c:pt>
                <c:pt idx="604">
                  <c:v>4.5689189757050774E-2</c:v>
                </c:pt>
                <c:pt idx="605">
                  <c:v>4.3650349255754249E-2</c:v>
                </c:pt>
                <c:pt idx="606">
                  <c:v>-0.21060368125948825</c:v>
                </c:pt>
                <c:pt idx="607">
                  <c:v>-0.20107726558878627</c:v>
                </c:pt>
                <c:pt idx="608">
                  <c:v>-5.1570170439635743E-2</c:v>
                </c:pt>
                <c:pt idx="609">
                  <c:v>-2.0245625548993965E-2</c:v>
                </c:pt>
                <c:pt idx="610">
                  <c:v>1.7418781231989013E-2</c:v>
                </c:pt>
                <c:pt idx="611">
                  <c:v>-1.5633812075056323E-2</c:v>
                </c:pt>
                <c:pt idx="612">
                  <c:v>-1.1457412746901333E-2</c:v>
                </c:pt>
                <c:pt idx="613">
                  <c:v>-1.3142913538559467E-2</c:v>
                </c:pt>
                <c:pt idx="614">
                  <c:v>-1.8988379675256961E-2</c:v>
                </c:pt>
                <c:pt idx="615">
                  <c:v>3.0026069832895075E-2</c:v>
                </c:pt>
                <c:pt idx="616">
                  <c:v>0.35038771499771915</c:v>
                </c:pt>
                <c:pt idx="617">
                  <c:v>0.31282878197513309</c:v>
                </c:pt>
                <c:pt idx="618">
                  <c:v>0.24707274890100339</c:v>
                </c:pt>
                <c:pt idx="619">
                  <c:v>0.28847702292709848</c:v>
                </c:pt>
                <c:pt idx="620">
                  <c:v>0.27960304827940002</c:v>
                </c:pt>
                <c:pt idx="621">
                  <c:v>0.24640336019856071</c:v>
                </c:pt>
                <c:pt idx="622">
                  <c:v>0.29513188660314643</c:v>
                </c:pt>
                <c:pt idx="623">
                  <c:v>0.18758190192848467</c:v>
                </c:pt>
                <c:pt idx="624">
                  <c:v>0.15752280395945489</c:v>
                </c:pt>
                <c:pt idx="625">
                  <c:v>0.16743278240977327</c:v>
                </c:pt>
                <c:pt idx="626">
                  <c:v>0.12434381022033686</c:v>
                </c:pt>
                <c:pt idx="627">
                  <c:v>1.8796594706205427E-2</c:v>
                </c:pt>
                <c:pt idx="628">
                  <c:v>0.15518267545737985</c:v>
                </c:pt>
                <c:pt idx="629">
                  <c:v>0.2265224756644052</c:v>
                </c:pt>
                <c:pt idx="630">
                  <c:v>0.23890738234677389</c:v>
                </c:pt>
                <c:pt idx="631">
                  <c:v>0.13443384600714947</c:v>
                </c:pt>
                <c:pt idx="632">
                  <c:v>-6.9720333315478777E-2</c:v>
                </c:pt>
                <c:pt idx="633">
                  <c:v>-9.0551188084410761E-2</c:v>
                </c:pt>
                <c:pt idx="634">
                  <c:v>-0.21426396379523238</c:v>
                </c:pt>
                <c:pt idx="635">
                  <c:v>-0.33063714552341095</c:v>
                </c:pt>
                <c:pt idx="636">
                  <c:v>-0.3859596450101086</c:v>
                </c:pt>
                <c:pt idx="637">
                  <c:v>-0.30502603375942394</c:v>
                </c:pt>
                <c:pt idx="638">
                  <c:v>-0.21252070620439778</c:v>
                </c:pt>
                <c:pt idx="639">
                  <c:v>-0.30295739647552</c:v>
                </c:pt>
                <c:pt idx="640">
                  <c:v>-0.16714295045474004</c:v>
                </c:pt>
                <c:pt idx="641">
                  <c:v>-0.30299742875502456</c:v>
                </c:pt>
                <c:pt idx="642">
                  <c:v>-0.32778551464721284</c:v>
                </c:pt>
                <c:pt idx="643">
                  <c:v>-0.30558550913508664</c:v>
                </c:pt>
                <c:pt idx="644">
                  <c:v>-0.30398885777572771</c:v>
                </c:pt>
                <c:pt idx="645">
                  <c:v>-0.32132035605836329</c:v>
                </c:pt>
                <c:pt idx="646">
                  <c:v>-0.117550089916304</c:v>
                </c:pt>
                <c:pt idx="647">
                  <c:v>5.1118373725872912E-2</c:v>
                </c:pt>
                <c:pt idx="648">
                  <c:v>-3.8694658414170524E-2</c:v>
                </c:pt>
                <c:pt idx="649">
                  <c:v>-0.22241431979184045</c:v>
                </c:pt>
                <c:pt idx="650">
                  <c:v>-1.6544443975332612E-2</c:v>
                </c:pt>
                <c:pt idx="651">
                  <c:v>2.6542280688075959E-2</c:v>
                </c:pt>
                <c:pt idx="652">
                  <c:v>1.3339545038396405E-2</c:v>
                </c:pt>
                <c:pt idx="653">
                  <c:v>3.6520950959223697E-2</c:v>
                </c:pt>
                <c:pt idx="654">
                  <c:v>0.11044692881717766</c:v>
                </c:pt>
                <c:pt idx="655">
                  <c:v>0.22319348875156031</c:v>
                </c:pt>
                <c:pt idx="656">
                  <c:v>1.0426046215712192E-2</c:v>
                </c:pt>
                <c:pt idx="657">
                  <c:v>-5.4118352926362912E-2</c:v>
                </c:pt>
                <c:pt idx="658">
                  <c:v>7.1274460445023058E-2</c:v>
                </c:pt>
                <c:pt idx="659">
                  <c:v>-0.13478654048747751</c:v>
                </c:pt>
                <c:pt idx="660">
                  <c:v>-1.0240581012128658E-3</c:v>
                </c:pt>
                <c:pt idx="661">
                  <c:v>0.14094938301595406</c:v>
                </c:pt>
                <c:pt idx="662">
                  <c:v>7.8433381183113271E-2</c:v>
                </c:pt>
                <c:pt idx="663">
                  <c:v>3.0496589480077718E-2</c:v>
                </c:pt>
                <c:pt idx="664">
                  <c:v>8.2276050804155787E-2</c:v>
                </c:pt>
                <c:pt idx="665">
                  <c:v>0.1416104255330517</c:v>
                </c:pt>
                <c:pt idx="666">
                  <c:v>0.28497538445729109</c:v>
                </c:pt>
                <c:pt idx="667">
                  <c:v>0.1610403372279583</c:v>
                </c:pt>
                <c:pt idx="668">
                  <c:v>-0.24670391836996775</c:v>
                </c:pt>
                <c:pt idx="669">
                  <c:v>0.43982687876911686</c:v>
                </c:pt>
                <c:pt idx="670">
                  <c:v>0.15687577185403545</c:v>
                </c:pt>
                <c:pt idx="671">
                  <c:v>9.1938776452260562E-3</c:v>
                </c:pt>
                <c:pt idx="672">
                  <c:v>1.6035119148722687E-2</c:v>
                </c:pt>
                <c:pt idx="673">
                  <c:v>-2.2485375146208408E-2</c:v>
                </c:pt>
                <c:pt idx="674">
                  <c:v>-3.662623172926871E-3</c:v>
                </c:pt>
                <c:pt idx="675">
                  <c:v>-0.24276999346911077</c:v>
                </c:pt>
                <c:pt idx="676">
                  <c:v>-5.2895132424166658E-2</c:v>
                </c:pt>
                <c:pt idx="677">
                  <c:v>-0.13376469505342636</c:v>
                </c:pt>
                <c:pt idx="678">
                  <c:v>-4.1638279421806201E-2</c:v>
                </c:pt>
                <c:pt idx="679">
                  <c:v>-4.2515513330974919E-2</c:v>
                </c:pt>
                <c:pt idx="680">
                  <c:v>6.4186327005747001E-2</c:v>
                </c:pt>
                <c:pt idx="681">
                  <c:v>7.785589828595274E-2</c:v>
                </c:pt>
                <c:pt idx="682">
                  <c:v>6.3395649688187339E-2</c:v>
                </c:pt>
                <c:pt idx="683">
                  <c:v>1.267060646244822E-2</c:v>
                </c:pt>
                <c:pt idx="684">
                  <c:v>0.11964187516881286</c:v>
                </c:pt>
                <c:pt idx="685">
                  <c:v>0.1849109394066788</c:v>
                </c:pt>
                <c:pt idx="686">
                  <c:v>0.26774228427185287</c:v>
                </c:pt>
                <c:pt idx="687">
                  <c:v>0.36302663259445178</c:v>
                </c:pt>
                <c:pt idx="688">
                  <c:v>0.37796366744052246</c:v>
                </c:pt>
                <c:pt idx="689">
                  <c:v>0.30116760542648469</c:v>
                </c:pt>
                <c:pt idx="690">
                  <c:v>0.27006731537441508</c:v>
                </c:pt>
                <c:pt idx="691">
                  <c:v>0.84240646858271151</c:v>
                </c:pt>
                <c:pt idx="692">
                  <c:v>0.33816729426475722</c:v>
                </c:pt>
                <c:pt idx="693">
                  <c:v>0.34223781179045509</c:v>
                </c:pt>
                <c:pt idx="694">
                  <c:v>0.12212184975927998</c:v>
                </c:pt>
                <c:pt idx="695">
                  <c:v>1.6061278784301081E-2</c:v>
                </c:pt>
                <c:pt idx="696">
                  <c:v>8.7083953600525232E-3</c:v>
                </c:pt>
                <c:pt idx="697">
                  <c:v>-9.3174729345365859E-2</c:v>
                </c:pt>
                <c:pt idx="698">
                  <c:v>-0.10447853528817175</c:v>
                </c:pt>
                <c:pt idx="699">
                  <c:v>-0.10959871609312888</c:v>
                </c:pt>
                <c:pt idx="700">
                  <c:v>-0.15604781921438149</c:v>
                </c:pt>
                <c:pt idx="701">
                  <c:v>-0.13089301901397432</c:v>
                </c:pt>
                <c:pt idx="702">
                  <c:v>-0.18666762353422484</c:v>
                </c:pt>
                <c:pt idx="703">
                  <c:v>-0.28461605199779594</c:v>
                </c:pt>
                <c:pt idx="704">
                  <c:v>-0.28059635957589901</c:v>
                </c:pt>
                <c:pt idx="705">
                  <c:v>-0.2863256453376406</c:v>
                </c:pt>
                <c:pt idx="706">
                  <c:v>-0.17000288271178654</c:v>
                </c:pt>
                <c:pt idx="707">
                  <c:v>-0.12625512922517901</c:v>
                </c:pt>
                <c:pt idx="708">
                  <c:v>4.5259964506026984E-3</c:v>
                </c:pt>
                <c:pt idx="709">
                  <c:v>1.7046852798928813E-2</c:v>
                </c:pt>
                <c:pt idx="710">
                  <c:v>7.1824946489621788E-2</c:v>
                </c:pt>
                <c:pt idx="711">
                  <c:v>0.56650955408645243</c:v>
                </c:pt>
                <c:pt idx="712">
                  <c:v>0.12284135834591325</c:v>
                </c:pt>
                <c:pt idx="713">
                  <c:v>0.120986234735107</c:v>
                </c:pt>
                <c:pt idx="714">
                  <c:v>8.8409939526704617E-3</c:v>
                </c:pt>
                <c:pt idx="715">
                  <c:v>-1.8457494903558969E-2</c:v>
                </c:pt>
                <c:pt idx="716">
                  <c:v>-0.13173524954770899</c:v>
                </c:pt>
                <c:pt idx="717">
                  <c:v>-0.10732762250868422</c:v>
                </c:pt>
                <c:pt idx="718">
                  <c:v>-0.20856104955013932</c:v>
                </c:pt>
                <c:pt idx="719">
                  <c:v>-0.17309478547639412</c:v>
                </c:pt>
                <c:pt idx="720">
                  <c:v>-3.29188117199537E-2</c:v>
                </c:pt>
                <c:pt idx="721">
                  <c:v>-0.11239165049467548</c:v>
                </c:pt>
                <c:pt idx="722">
                  <c:v>-0.34212873470094396</c:v>
                </c:pt>
                <c:pt idx="723">
                  <c:v>-0.36251665921521686</c:v>
                </c:pt>
                <c:pt idx="724">
                  <c:v>-0.291289178844925</c:v>
                </c:pt>
                <c:pt idx="725">
                  <c:v>-0.26024769272425696</c:v>
                </c:pt>
                <c:pt idx="726">
                  <c:v>-0.26401822349375459</c:v>
                </c:pt>
                <c:pt idx="727">
                  <c:v>-0.10034589744183064</c:v>
                </c:pt>
                <c:pt idx="728">
                  <c:v>-0.16585116920244114</c:v>
                </c:pt>
                <c:pt idx="729">
                  <c:v>-0.23252651642675903</c:v>
                </c:pt>
                <c:pt idx="730">
                  <c:v>-0.29541412917437437</c:v>
                </c:pt>
                <c:pt idx="731">
                  <c:v>0.1001465778768081</c:v>
                </c:pt>
                <c:pt idx="732">
                  <c:v>0.51487020623744095</c:v>
                </c:pt>
                <c:pt idx="733">
                  <c:v>0.2256344438631534</c:v>
                </c:pt>
                <c:pt idx="734">
                  <c:v>0.21609526992833075</c:v>
                </c:pt>
                <c:pt idx="735">
                  <c:v>7.7146044537977382E-2</c:v>
                </c:pt>
                <c:pt idx="736">
                  <c:v>2.0681051194125361E-2</c:v>
                </c:pt>
                <c:pt idx="737">
                  <c:v>2.1299388245304751E-2</c:v>
                </c:pt>
                <c:pt idx="738">
                  <c:v>-0.14995076053732131</c:v>
                </c:pt>
                <c:pt idx="739">
                  <c:v>-6.4779088338314139E-2</c:v>
                </c:pt>
                <c:pt idx="740">
                  <c:v>-0.12534831031108806</c:v>
                </c:pt>
                <c:pt idx="741">
                  <c:v>-8.1679992221523112E-2</c:v>
                </c:pt>
                <c:pt idx="742">
                  <c:v>-1.6289652130564714E-2</c:v>
                </c:pt>
                <c:pt idx="743">
                  <c:v>-7.0540300970913072E-2</c:v>
                </c:pt>
                <c:pt idx="744">
                  <c:v>-0.19018276074810936</c:v>
                </c:pt>
                <c:pt idx="745">
                  <c:v>-0.17414073176874073</c:v>
                </c:pt>
                <c:pt idx="746">
                  <c:v>-0.12725978281613504</c:v>
                </c:pt>
                <c:pt idx="747">
                  <c:v>-0.11537938095111805</c:v>
                </c:pt>
                <c:pt idx="748">
                  <c:v>-0.12691993529258627</c:v>
                </c:pt>
                <c:pt idx="749">
                  <c:v>-0.24262747584088495</c:v>
                </c:pt>
                <c:pt idx="750">
                  <c:v>-0.35007232335477378</c:v>
                </c:pt>
                <c:pt idx="751">
                  <c:v>-3.6419620992996782E-3</c:v>
                </c:pt>
                <c:pt idx="752">
                  <c:v>0.66020414946331496</c:v>
                </c:pt>
                <c:pt idx="753">
                  <c:v>0.33042255534132631</c:v>
                </c:pt>
                <c:pt idx="754">
                  <c:v>0.15088740330011796</c:v>
                </c:pt>
                <c:pt idx="755">
                  <c:v>-1.2166904688385993E-2</c:v>
                </c:pt>
                <c:pt idx="756">
                  <c:v>-1.3211102941731445E-2</c:v>
                </c:pt>
                <c:pt idx="757">
                  <c:v>6.7720195043955211E-2</c:v>
                </c:pt>
                <c:pt idx="758">
                  <c:v>1.8393147103297092E-2</c:v>
                </c:pt>
                <c:pt idx="759">
                  <c:v>-6.3057381182427763E-2</c:v>
                </c:pt>
                <c:pt idx="760">
                  <c:v>-0.24420204852113492</c:v>
                </c:pt>
                <c:pt idx="761">
                  <c:v>-0.24041115361790211</c:v>
                </c:pt>
                <c:pt idx="762">
                  <c:v>-0.1711933760421207</c:v>
                </c:pt>
                <c:pt idx="763">
                  <c:v>-7.0269816971867183E-2</c:v>
                </c:pt>
                <c:pt idx="764">
                  <c:v>-0.28571069665315152</c:v>
                </c:pt>
                <c:pt idx="765">
                  <c:v>-0.13464800454292924</c:v>
                </c:pt>
                <c:pt idx="766">
                  <c:v>-0.18841933520934129</c:v>
                </c:pt>
                <c:pt idx="767">
                  <c:v>-0.19873304047510709</c:v>
                </c:pt>
                <c:pt idx="768">
                  <c:v>-1.8671468500104371E-3</c:v>
                </c:pt>
                <c:pt idx="769">
                  <c:v>1.0328390376288299E-2</c:v>
                </c:pt>
                <c:pt idx="770">
                  <c:v>0.34674714965004871</c:v>
                </c:pt>
                <c:pt idx="771">
                  <c:v>0.33212682718781883</c:v>
                </c:pt>
                <c:pt idx="772">
                  <c:v>0.34607571627838563</c:v>
                </c:pt>
                <c:pt idx="773">
                  <c:v>0.37550726618018326</c:v>
                </c:pt>
                <c:pt idx="774">
                  <c:v>0.63155974533797354</c:v>
                </c:pt>
                <c:pt idx="775">
                  <c:v>0.73326533935744975</c:v>
                </c:pt>
                <c:pt idx="776">
                  <c:v>0.3664161016622699</c:v>
                </c:pt>
                <c:pt idx="777">
                  <c:v>0.26876453151244012</c:v>
                </c:pt>
                <c:pt idx="778">
                  <c:v>0.10812027209742259</c:v>
                </c:pt>
                <c:pt idx="779">
                  <c:v>2.1368208215814533E-2</c:v>
                </c:pt>
                <c:pt idx="780">
                  <c:v>4.8403828131985738E-2</c:v>
                </c:pt>
                <c:pt idx="781">
                  <c:v>-3.5652260080177078E-2</c:v>
                </c:pt>
                <c:pt idx="782">
                  <c:v>-1.3872803915239706E-2</c:v>
                </c:pt>
                <c:pt idx="783">
                  <c:v>-0.1137131222244242</c:v>
                </c:pt>
                <c:pt idx="784">
                  <c:v>2.1143247251542041E-2</c:v>
                </c:pt>
                <c:pt idx="785">
                  <c:v>0.12220849845490483</c:v>
                </c:pt>
                <c:pt idx="786">
                  <c:v>-2.8937745202110343E-2</c:v>
                </c:pt>
                <c:pt idx="787">
                  <c:v>6.9554079349889109E-2</c:v>
                </c:pt>
                <c:pt idx="788">
                  <c:v>-3.7245756455792089E-2</c:v>
                </c:pt>
                <c:pt idx="789">
                  <c:v>-0.24259364689808427</c:v>
                </c:pt>
                <c:pt idx="790">
                  <c:v>-0.16752119003980726</c:v>
                </c:pt>
                <c:pt idx="791">
                  <c:v>-0.3703134017553471</c:v>
                </c:pt>
                <c:pt idx="792">
                  <c:v>-6.9953895437853797E-2</c:v>
                </c:pt>
                <c:pt idx="793">
                  <c:v>-8.586424805685855E-2</c:v>
                </c:pt>
                <c:pt idx="794">
                  <c:v>-6.3057093312355872E-2</c:v>
                </c:pt>
                <c:pt idx="795">
                  <c:v>-0.26158981052386066</c:v>
                </c:pt>
                <c:pt idx="796">
                  <c:v>0.4914389709681346</c:v>
                </c:pt>
                <c:pt idx="797">
                  <c:v>0.31564465679245712</c:v>
                </c:pt>
                <c:pt idx="798">
                  <c:v>0.24546021466357637</c:v>
                </c:pt>
                <c:pt idx="799">
                  <c:v>7.5281048012853624E-2</c:v>
                </c:pt>
                <c:pt idx="800">
                  <c:v>0.10418659874667546</c:v>
                </c:pt>
                <c:pt idx="801">
                  <c:v>-1.0837464669449792E-2</c:v>
                </c:pt>
                <c:pt idx="802">
                  <c:v>8.1826543496765547E-2</c:v>
                </c:pt>
                <c:pt idx="803">
                  <c:v>-3.8853670645763172E-2</c:v>
                </c:pt>
                <c:pt idx="804">
                  <c:v>0.19116665897768714</c:v>
                </c:pt>
                <c:pt idx="805">
                  <c:v>-9.50096614857876E-2</c:v>
                </c:pt>
                <c:pt idx="806">
                  <c:v>8.9996313120970561E-2</c:v>
                </c:pt>
                <c:pt idx="807">
                  <c:v>3.2722739740358775E-2</c:v>
                </c:pt>
                <c:pt idx="808">
                  <c:v>-1.8406584920084512E-2</c:v>
                </c:pt>
                <c:pt idx="809">
                  <c:v>0.1195177686230291</c:v>
                </c:pt>
                <c:pt idx="810">
                  <c:v>0.12002092883034299</c:v>
                </c:pt>
                <c:pt idx="811">
                  <c:v>0.12324952078966422</c:v>
                </c:pt>
                <c:pt idx="812">
                  <c:v>8.2274823047020051E-2</c:v>
                </c:pt>
                <c:pt idx="813">
                  <c:v>0.1842540548330095</c:v>
                </c:pt>
                <c:pt idx="814">
                  <c:v>0.12620638943919593</c:v>
                </c:pt>
                <c:pt idx="815">
                  <c:v>0.11363108866139893</c:v>
                </c:pt>
                <c:pt idx="816">
                  <c:v>-9.4056591664122169E-2</c:v>
                </c:pt>
                <c:pt idx="817">
                  <c:v>-8.4231915995514606E-2</c:v>
                </c:pt>
                <c:pt idx="818">
                  <c:v>1.0125540418454264</c:v>
                </c:pt>
                <c:pt idx="819">
                  <c:v>0.45265819529538953</c:v>
                </c:pt>
                <c:pt idx="820">
                  <c:v>0.17056489282424225</c:v>
                </c:pt>
                <c:pt idx="821">
                  <c:v>8.8675168849021491E-2</c:v>
                </c:pt>
                <c:pt idx="822">
                  <c:v>-1.5902383765453942E-2</c:v>
                </c:pt>
                <c:pt idx="823">
                  <c:v>-5.7922592626330038E-2</c:v>
                </c:pt>
                <c:pt idx="824">
                  <c:v>-7.3805690881136865E-2</c:v>
                </c:pt>
                <c:pt idx="825">
                  <c:v>-9.4543444004431265E-3</c:v>
                </c:pt>
                <c:pt idx="826">
                  <c:v>-0.16982730733029205</c:v>
                </c:pt>
                <c:pt idx="827">
                  <c:v>-0.11262022050096543</c:v>
                </c:pt>
                <c:pt idx="828">
                  <c:v>-7.805742838416152E-2</c:v>
                </c:pt>
                <c:pt idx="829">
                  <c:v>-6.3221656292398176E-3</c:v>
                </c:pt>
                <c:pt idx="830">
                  <c:v>-3.8122442089476127E-2</c:v>
                </c:pt>
                <c:pt idx="831">
                  <c:v>-0.15244528602149265</c:v>
                </c:pt>
                <c:pt idx="832">
                  <c:v>-7.1016216087090189E-2</c:v>
                </c:pt>
                <c:pt idx="833">
                  <c:v>5.8678814470932039E-2</c:v>
                </c:pt>
                <c:pt idx="834">
                  <c:v>3.7649028149542296E-3</c:v>
                </c:pt>
                <c:pt idx="835">
                  <c:v>0.14858517558630746</c:v>
                </c:pt>
                <c:pt idx="836">
                  <c:v>-0.23420166916721152</c:v>
                </c:pt>
                <c:pt idx="837">
                  <c:v>-0.31340148277730906</c:v>
                </c:pt>
                <c:pt idx="838">
                  <c:v>-0.47508360244424042</c:v>
                </c:pt>
                <c:pt idx="839">
                  <c:v>-5.6354744154281544E-2</c:v>
                </c:pt>
                <c:pt idx="840">
                  <c:v>5.7707940010846226E-2</c:v>
                </c:pt>
                <c:pt idx="841">
                  <c:v>0.44442490919661415</c:v>
                </c:pt>
                <c:pt idx="842">
                  <c:v>2.9802481178228035E-2</c:v>
                </c:pt>
                <c:pt idx="843">
                  <c:v>-1.4375914782001953E-2</c:v>
                </c:pt>
                <c:pt idx="844">
                  <c:v>-2.8757213052266195E-4</c:v>
                </c:pt>
                <c:pt idx="845">
                  <c:v>0.11063614710542335</c:v>
                </c:pt>
                <c:pt idx="846">
                  <c:v>-0.25367223851217346</c:v>
                </c:pt>
                <c:pt idx="847">
                  <c:v>7.7084507601372643E-2</c:v>
                </c:pt>
                <c:pt idx="848">
                  <c:v>0.40353074582037607</c:v>
                </c:pt>
                <c:pt idx="849">
                  <c:v>-0.13255102207966507</c:v>
                </c:pt>
                <c:pt idx="850">
                  <c:v>-0.32838290498934919</c:v>
                </c:pt>
                <c:pt idx="851">
                  <c:v>-0.30051085796708676</c:v>
                </c:pt>
                <c:pt idx="852">
                  <c:v>-0.28223614077147285</c:v>
                </c:pt>
                <c:pt idx="853">
                  <c:v>-0.47127444920649264</c:v>
                </c:pt>
                <c:pt idx="854">
                  <c:v>-5.2186608202940299E-2</c:v>
                </c:pt>
                <c:pt idx="855">
                  <c:v>-0.24028094375915021</c:v>
                </c:pt>
                <c:pt idx="856">
                  <c:v>-0.10406912320921347</c:v>
                </c:pt>
                <c:pt idx="857">
                  <c:v>-0.22577201816578363</c:v>
                </c:pt>
                <c:pt idx="858">
                  <c:v>-0.28930696964293645</c:v>
                </c:pt>
                <c:pt idx="859">
                  <c:v>0.36542894978265661</c:v>
                </c:pt>
                <c:pt idx="860">
                  <c:v>0.50908097297989041</c:v>
                </c:pt>
                <c:pt idx="861">
                  <c:v>0.38189857854522424</c:v>
                </c:pt>
                <c:pt idx="862">
                  <c:v>0.37040218202289932</c:v>
                </c:pt>
                <c:pt idx="863">
                  <c:v>8.4594172768473808E-2</c:v>
                </c:pt>
                <c:pt idx="864">
                  <c:v>-0.16966357909690855</c:v>
                </c:pt>
                <c:pt idx="865">
                  <c:v>-0.15426756067384817</c:v>
                </c:pt>
                <c:pt idx="866">
                  <c:v>0.15646918654265995</c:v>
                </c:pt>
                <c:pt idx="867">
                  <c:v>0.21910057494501034</c:v>
                </c:pt>
                <c:pt idx="868">
                  <c:v>9.0858344298674787E-2</c:v>
                </c:pt>
                <c:pt idx="869">
                  <c:v>-2.2322209668762749E-2</c:v>
                </c:pt>
                <c:pt idx="870">
                  <c:v>-0.19238420322080252</c:v>
                </c:pt>
                <c:pt idx="871">
                  <c:v>-0.20169779896949347</c:v>
                </c:pt>
                <c:pt idx="872">
                  <c:v>1.8919342067179823E-2</c:v>
                </c:pt>
                <c:pt idx="873">
                  <c:v>4.9780407212433264E-2</c:v>
                </c:pt>
                <c:pt idx="874">
                  <c:v>-2.3490585237424977E-2</c:v>
                </c:pt>
                <c:pt idx="875">
                  <c:v>-0.19953597877339213</c:v>
                </c:pt>
                <c:pt idx="876">
                  <c:v>-0.10743323210019939</c:v>
                </c:pt>
                <c:pt idx="877">
                  <c:v>-0.15294937844759104</c:v>
                </c:pt>
                <c:pt idx="878">
                  <c:v>0.25580905067537874</c:v>
                </c:pt>
                <c:pt idx="879">
                  <c:v>0.10951837216511384</c:v>
                </c:pt>
                <c:pt idx="880">
                  <c:v>0.19424574299022646</c:v>
                </c:pt>
                <c:pt idx="881">
                  <c:v>2.553054073694061E-2</c:v>
                </c:pt>
                <c:pt idx="882">
                  <c:v>-7.1453971227051216E-3</c:v>
                </c:pt>
                <c:pt idx="883">
                  <c:v>-0.13390955314853192</c:v>
                </c:pt>
                <c:pt idx="884">
                  <c:v>0.42932369126904346</c:v>
                </c:pt>
                <c:pt idx="885">
                  <c:v>7.770410509247605E-2</c:v>
                </c:pt>
                <c:pt idx="886">
                  <c:v>0.15767671463409894</c:v>
                </c:pt>
                <c:pt idx="887">
                  <c:v>0.10110247630667635</c:v>
                </c:pt>
                <c:pt idx="888">
                  <c:v>7.2483454417390458E-2</c:v>
                </c:pt>
                <c:pt idx="889">
                  <c:v>0.21440600745441296</c:v>
                </c:pt>
                <c:pt idx="890">
                  <c:v>9.5992337634557501E-2</c:v>
                </c:pt>
                <c:pt idx="891">
                  <c:v>-0.10811589579356373</c:v>
                </c:pt>
                <c:pt idx="892">
                  <c:v>-0.2802170337246308</c:v>
                </c:pt>
                <c:pt idx="893">
                  <c:v>-0.1247995067582508</c:v>
                </c:pt>
                <c:pt idx="894">
                  <c:v>-0.23563007824819637</c:v>
                </c:pt>
                <c:pt idx="895">
                  <c:v>-9.4852277549837938E-2</c:v>
                </c:pt>
                <c:pt idx="896">
                  <c:v>-2.3257884850024668E-2</c:v>
                </c:pt>
                <c:pt idx="897">
                  <c:v>-6.3812034029444131E-2</c:v>
                </c:pt>
                <c:pt idx="898">
                  <c:v>6.7149977214824519E-2</c:v>
                </c:pt>
                <c:pt idx="899">
                  <c:v>-5.1087608321463751E-2</c:v>
                </c:pt>
                <c:pt idx="900">
                  <c:v>-2.1396925530993594E-2</c:v>
                </c:pt>
                <c:pt idx="901">
                  <c:v>-0.15879988693351632</c:v>
                </c:pt>
                <c:pt idx="902">
                  <c:v>-0.17986952059597794</c:v>
                </c:pt>
                <c:pt idx="903">
                  <c:v>-0.12442059580803999</c:v>
                </c:pt>
                <c:pt idx="904">
                  <c:v>-0.11839244516679326</c:v>
                </c:pt>
                <c:pt idx="905">
                  <c:v>-0.18421165938191297</c:v>
                </c:pt>
                <c:pt idx="906">
                  <c:v>0.20877395354776529</c:v>
                </c:pt>
                <c:pt idx="907">
                  <c:v>0.15775782882079259</c:v>
                </c:pt>
                <c:pt idx="908">
                  <c:v>0.20904092381980877</c:v>
                </c:pt>
                <c:pt idx="909">
                  <c:v>0.31098698316521456</c:v>
                </c:pt>
                <c:pt idx="910">
                  <c:v>0.12167083725144989</c:v>
                </c:pt>
                <c:pt idx="911">
                  <c:v>-6.3031330911301753E-2</c:v>
                </c:pt>
                <c:pt idx="912">
                  <c:v>-8.5133700315873861E-2</c:v>
                </c:pt>
                <c:pt idx="913">
                  <c:v>-0.1098278178174068</c:v>
                </c:pt>
                <c:pt idx="914">
                  <c:v>-9.6896336822618778E-2</c:v>
                </c:pt>
                <c:pt idx="915">
                  <c:v>-0.15166983020161307</c:v>
                </c:pt>
                <c:pt idx="916">
                  <c:v>-0.14810977146024329</c:v>
                </c:pt>
                <c:pt idx="917">
                  <c:v>-0.15870906042307786</c:v>
                </c:pt>
                <c:pt idx="918">
                  <c:v>-0.19377133870862018</c:v>
                </c:pt>
                <c:pt idx="919">
                  <c:v>-0.2866813868800373</c:v>
                </c:pt>
                <c:pt idx="920">
                  <c:v>-0.13032851021002467</c:v>
                </c:pt>
                <c:pt idx="921">
                  <c:v>-4.3555501194737722E-2</c:v>
                </c:pt>
                <c:pt idx="922">
                  <c:v>0.15700053121923907</c:v>
                </c:pt>
                <c:pt idx="923">
                  <c:v>0.17674798649014811</c:v>
                </c:pt>
                <c:pt idx="924">
                  <c:v>-4.6624226685923142E-2</c:v>
                </c:pt>
                <c:pt idx="925">
                  <c:v>0.45466758875807456</c:v>
                </c:pt>
                <c:pt idx="926">
                  <c:v>0.26331440399383788</c:v>
                </c:pt>
                <c:pt idx="927">
                  <c:v>3.1361571944777733E-2</c:v>
                </c:pt>
                <c:pt idx="928">
                  <c:v>5.5886435885187935E-2</c:v>
                </c:pt>
                <c:pt idx="929">
                  <c:v>4.3772425365555478E-2</c:v>
                </c:pt>
                <c:pt idx="930">
                  <c:v>0.13871336259654343</c:v>
                </c:pt>
                <c:pt idx="931">
                  <c:v>0.1049597307093284</c:v>
                </c:pt>
                <c:pt idx="932">
                  <c:v>2.3573166728275696E-2</c:v>
                </c:pt>
                <c:pt idx="933">
                  <c:v>3.5862390790080023E-2</c:v>
                </c:pt>
                <c:pt idx="934">
                  <c:v>1.88918786887603E-2</c:v>
                </c:pt>
                <c:pt idx="935">
                  <c:v>3.8337352922005463E-2</c:v>
                </c:pt>
                <c:pt idx="936">
                  <c:v>-0.12594565085512577</c:v>
                </c:pt>
                <c:pt idx="937">
                  <c:v>1.1925550300276644E-2</c:v>
                </c:pt>
                <c:pt idx="938">
                  <c:v>6.4663772450709311E-2</c:v>
                </c:pt>
                <c:pt idx="939">
                  <c:v>0.12566398175785709</c:v>
                </c:pt>
                <c:pt idx="940">
                  <c:v>2.4138914406837131E-3</c:v>
                </c:pt>
                <c:pt idx="941">
                  <c:v>0.15640830849207243</c:v>
                </c:pt>
                <c:pt idx="942">
                  <c:v>3.2290294149579291E-2</c:v>
                </c:pt>
                <c:pt idx="943">
                  <c:v>-2.6788862182784978E-3</c:v>
                </c:pt>
                <c:pt idx="944">
                  <c:v>-1.2955591658772025E-3</c:v>
                </c:pt>
                <c:pt idx="945">
                  <c:v>7.4013988892867588E-2</c:v>
                </c:pt>
                <c:pt idx="946">
                  <c:v>6.8033318125974351E-2</c:v>
                </c:pt>
                <c:pt idx="947">
                  <c:v>0.44345977743502374</c:v>
                </c:pt>
                <c:pt idx="948">
                  <c:v>0.21516859250955911</c:v>
                </c:pt>
                <c:pt idx="949">
                  <c:v>0.29133052780247093</c:v>
                </c:pt>
                <c:pt idx="950">
                  <c:v>0.33363425983965067</c:v>
                </c:pt>
                <c:pt idx="951">
                  <c:v>0.21427548339487384</c:v>
                </c:pt>
                <c:pt idx="952">
                  <c:v>0.22455459742546807</c:v>
                </c:pt>
                <c:pt idx="953">
                  <c:v>0.13827678270049648</c:v>
                </c:pt>
                <c:pt idx="954">
                  <c:v>0.15347474311536793</c:v>
                </c:pt>
                <c:pt idx="955">
                  <c:v>6.0242897099213044E-3</c:v>
                </c:pt>
                <c:pt idx="956">
                  <c:v>9.1981947882528781E-2</c:v>
                </c:pt>
                <c:pt idx="957">
                  <c:v>2.4553213076643987E-2</c:v>
                </c:pt>
                <c:pt idx="958">
                  <c:v>0.1311726413736887</c:v>
                </c:pt>
                <c:pt idx="959">
                  <c:v>-4.9096915754557213E-2</c:v>
                </c:pt>
                <c:pt idx="960">
                  <c:v>-7.8583581259864088E-2</c:v>
                </c:pt>
                <c:pt idx="961">
                  <c:v>-5.4603590756117759E-2</c:v>
                </c:pt>
                <c:pt idx="962">
                  <c:v>-7.835577528235188E-3</c:v>
                </c:pt>
                <c:pt idx="963">
                  <c:v>-0.11809495631243207</c:v>
                </c:pt>
                <c:pt idx="964">
                  <c:v>-2.8553342171818569E-2</c:v>
                </c:pt>
                <c:pt idx="965">
                  <c:v>-9.3172538484759537E-2</c:v>
                </c:pt>
                <c:pt idx="966">
                  <c:v>-3.9306836391590799E-2</c:v>
                </c:pt>
                <c:pt idx="967">
                  <c:v>0.76097469741991863</c:v>
                </c:pt>
                <c:pt idx="968">
                  <c:v>0.67242514702863898</c:v>
                </c:pt>
                <c:pt idx="969">
                  <c:v>0.63013912535785077</c:v>
                </c:pt>
                <c:pt idx="970">
                  <c:v>0.59508972440388586</c:v>
                </c:pt>
                <c:pt idx="971">
                  <c:v>0.55838178980071418</c:v>
                </c:pt>
                <c:pt idx="972">
                  <c:v>0.55104192424315934</c:v>
                </c:pt>
                <c:pt idx="973">
                  <c:v>0.59016996762147822</c:v>
                </c:pt>
                <c:pt idx="974">
                  <c:v>0.59344233799551793</c:v>
                </c:pt>
                <c:pt idx="975">
                  <c:v>0.50385319588120658</c:v>
                </c:pt>
                <c:pt idx="976">
                  <c:v>0.52724260694449099</c:v>
                </c:pt>
                <c:pt idx="977">
                  <c:v>0.54605476262590713</c:v>
                </c:pt>
                <c:pt idx="978">
                  <c:v>0.25142808900410241</c:v>
                </c:pt>
                <c:pt idx="979">
                  <c:v>0.16552230138752111</c:v>
                </c:pt>
                <c:pt idx="980">
                  <c:v>-0.13190429830116823</c:v>
                </c:pt>
                <c:pt idx="981">
                  <c:v>-3.6977798002705509E-2</c:v>
                </c:pt>
                <c:pt idx="982">
                  <c:v>-0.2340593936858002</c:v>
                </c:pt>
                <c:pt idx="983">
                  <c:v>-0.14114012018608646</c:v>
                </c:pt>
                <c:pt idx="984">
                  <c:v>-8.5336973396469951E-2</c:v>
                </c:pt>
                <c:pt idx="985">
                  <c:v>-0.20484985702543734</c:v>
                </c:pt>
                <c:pt idx="986">
                  <c:v>-8.7482375258270073E-2</c:v>
                </c:pt>
                <c:pt idx="987">
                  <c:v>-7.4850561798034398E-2</c:v>
                </c:pt>
                <c:pt idx="988">
                  <c:v>0.86524311500288575</c:v>
                </c:pt>
                <c:pt idx="989">
                  <c:v>0.67767264933367899</c:v>
                </c:pt>
                <c:pt idx="990">
                  <c:v>0.4860062891186675</c:v>
                </c:pt>
                <c:pt idx="991">
                  <c:v>0.20603715635992237</c:v>
                </c:pt>
                <c:pt idx="992">
                  <c:v>-3.9818582384202328E-3</c:v>
                </c:pt>
                <c:pt idx="993">
                  <c:v>4.4795285140186603E-2</c:v>
                </c:pt>
                <c:pt idx="994">
                  <c:v>-0.25964804917621737</c:v>
                </c:pt>
                <c:pt idx="995">
                  <c:v>2.8648129547791834E-2</c:v>
                </c:pt>
                <c:pt idx="996">
                  <c:v>-3.501171402309583E-2</c:v>
                </c:pt>
                <c:pt idx="997">
                  <c:v>-1.9600403960145618E-2</c:v>
                </c:pt>
                <c:pt idx="998">
                  <c:v>0.1087307982464869</c:v>
                </c:pt>
                <c:pt idx="999">
                  <c:v>-1.223570555822906E-2</c:v>
                </c:pt>
                <c:pt idx="1000">
                  <c:v>-6.6062395615070213E-2</c:v>
                </c:pt>
                <c:pt idx="1001">
                  <c:v>1.1936997781016978E-2</c:v>
                </c:pt>
                <c:pt idx="1002">
                  <c:v>-9.9939276796675025E-2</c:v>
                </c:pt>
                <c:pt idx="1003">
                  <c:v>-7.6491744326139699E-2</c:v>
                </c:pt>
                <c:pt idx="1004">
                  <c:v>-0.20123334802534942</c:v>
                </c:pt>
                <c:pt idx="1005">
                  <c:v>-0.19633935603370545</c:v>
                </c:pt>
                <c:pt idx="1006">
                  <c:v>-0.13802273900870832</c:v>
                </c:pt>
                <c:pt idx="1007">
                  <c:v>7.1465759853420741E-2</c:v>
                </c:pt>
                <c:pt idx="1008">
                  <c:v>0.96006225179442395</c:v>
                </c:pt>
                <c:pt idx="1009">
                  <c:v>0.72404253667785867</c:v>
                </c:pt>
                <c:pt idx="1010">
                  <c:v>0.38054039119081784</c:v>
                </c:pt>
                <c:pt idx="1011">
                  <c:v>0.3679175065451894</c:v>
                </c:pt>
                <c:pt idx="1012">
                  <c:v>0.26485673554592637</c:v>
                </c:pt>
                <c:pt idx="1013">
                  <c:v>0.26380980222846073</c:v>
                </c:pt>
                <c:pt idx="1014">
                  <c:v>0.2674174010257544</c:v>
                </c:pt>
                <c:pt idx="1015">
                  <c:v>0.26086888764656302</c:v>
                </c:pt>
                <c:pt idx="1016">
                  <c:v>0.1212333399932477</c:v>
                </c:pt>
                <c:pt idx="1017">
                  <c:v>-5.7448748680906991E-2</c:v>
                </c:pt>
                <c:pt idx="1018">
                  <c:v>-0.10371888478396429</c:v>
                </c:pt>
                <c:pt idx="1019">
                  <c:v>-3.7505973948408267E-2</c:v>
                </c:pt>
                <c:pt idx="1020">
                  <c:v>-0.14088194708740098</c:v>
                </c:pt>
                <c:pt idx="1021">
                  <c:v>-0.1506692423785656</c:v>
                </c:pt>
                <c:pt idx="1022">
                  <c:v>-0.21702180111187097</c:v>
                </c:pt>
                <c:pt idx="1023">
                  <c:v>-0.14853111703957111</c:v>
                </c:pt>
                <c:pt idx="1024">
                  <c:v>-0.18853832887917221</c:v>
                </c:pt>
                <c:pt idx="1025">
                  <c:v>-0.19015318635957823</c:v>
                </c:pt>
                <c:pt idx="1026">
                  <c:v>-7.5441684371688966E-2</c:v>
                </c:pt>
                <c:pt idx="1027">
                  <c:v>-0.30470462875594917</c:v>
                </c:pt>
                <c:pt idx="1028">
                  <c:v>-0.27120042408385769</c:v>
                </c:pt>
                <c:pt idx="1029">
                  <c:v>-0.33139914233070655</c:v>
                </c:pt>
                <c:pt idx="1030">
                  <c:v>-0.33405005201908233</c:v>
                </c:pt>
                <c:pt idx="1031">
                  <c:v>0.26171048111413886</c:v>
                </c:pt>
                <c:pt idx="1032">
                  <c:v>0.17470890121530092</c:v>
                </c:pt>
                <c:pt idx="1033">
                  <c:v>8.0563449929114572E-2</c:v>
                </c:pt>
                <c:pt idx="1034">
                  <c:v>8.2088093444249388E-2</c:v>
                </c:pt>
                <c:pt idx="1035">
                  <c:v>-7.3491021392084077E-2</c:v>
                </c:pt>
                <c:pt idx="1036">
                  <c:v>-0.11657120060640902</c:v>
                </c:pt>
                <c:pt idx="1037">
                  <c:v>6.2645320563315288E-2</c:v>
                </c:pt>
                <c:pt idx="1038">
                  <c:v>-6.1938577683728901E-2</c:v>
                </c:pt>
                <c:pt idx="1039">
                  <c:v>-4.2721937415480804E-2</c:v>
                </c:pt>
                <c:pt idx="1040">
                  <c:v>-2.034430560949918E-2</c:v>
                </c:pt>
                <c:pt idx="1041">
                  <c:v>-9.9963090360223328E-2</c:v>
                </c:pt>
                <c:pt idx="1042">
                  <c:v>3.7032507912799328E-2</c:v>
                </c:pt>
                <c:pt idx="1043">
                  <c:v>-2.9284787240265953E-2</c:v>
                </c:pt>
                <c:pt idx="1044">
                  <c:v>-7.0655831542151937E-2</c:v>
                </c:pt>
                <c:pt idx="1045">
                  <c:v>-0.18167037758793003</c:v>
                </c:pt>
                <c:pt idx="1046">
                  <c:v>-9.9477277250288765E-2</c:v>
                </c:pt>
                <c:pt idx="1047">
                  <c:v>-3.4570478825238338E-2</c:v>
                </c:pt>
                <c:pt idx="1048">
                  <c:v>-3.763965696207805E-2</c:v>
                </c:pt>
                <c:pt idx="1049">
                  <c:v>7.6726155935846752E-3</c:v>
                </c:pt>
                <c:pt idx="1050">
                  <c:v>0.21432591096347786</c:v>
                </c:pt>
                <c:pt idx="1051">
                  <c:v>0.58945813764141586</c:v>
                </c:pt>
                <c:pt idx="1052">
                  <c:v>0.45766344951964211</c:v>
                </c:pt>
                <c:pt idx="1053">
                  <c:v>0.24279457930783122</c:v>
                </c:pt>
                <c:pt idx="1054">
                  <c:v>9.8596930015510065E-2</c:v>
                </c:pt>
                <c:pt idx="1055">
                  <c:v>1.6882253411915737E-2</c:v>
                </c:pt>
                <c:pt idx="1056">
                  <c:v>-4.9353437959138713E-2</c:v>
                </c:pt>
                <c:pt idx="1057">
                  <c:v>-7.7177300027642781E-2</c:v>
                </c:pt>
                <c:pt idx="1058">
                  <c:v>-0.11342970737300329</c:v>
                </c:pt>
                <c:pt idx="1059">
                  <c:v>-0.22212297031344597</c:v>
                </c:pt>
                <c:pt idx="1060">
                  <c:v>-0.26092872765308717</c:v>
                </c:pt>
                <c:pt idx="1061">
                  <c:v>-8.7668863791006801E-2</c:v>
                </c:pt>
                <c:pt idx="1062">
                  <c:v>-5.1799609069847152E-2</c:v>
                </c:pt>
                <c:pt idx="1063">
                  <c:v>-5.4499976574090336E-2</c:v>
                </c:pt>
                <c:pt idx="1064">
                  <c:v>-6.0752907520275068E-2</c:v>
                </c:pt>
                <c:pt idx="1065">
                  <c:v>-1.0709667486492602E-2</c:v>
                </c:pt>
                <c:pt idx="1066">
                  <c:v>4.4406778345341236E-2</c:v>
                </c:pt>
                <c:pt idx="1067">
                  <c:v>-1.2918594062061306E-3</c:v>
                </c:pt>
                <c:pt idx="1068">
                  <c:v>-4.7851902891760112E-3</c:v>
                </c:pt>
                <c:pt idx="1069">
                  <c:v>-4.7157160402459875E-2</c:v>
                </c:pt>
                <c:pt idx="1070">
                  <c:v>0.15788970257956536</c:v>
                </c:pt>
                <c:pt idx="1071">
                  <c:v>0.19869596641453757</c:v>
                </c:pt>
                <c:pt idx="1072">
                  <c:v>9.0694937997342517E-2</c:v>
                </c:pt>
                <c:pt idx="1073">
                  <c:v>-0.2950061270063431</c:v>
                </c:pt>
                <c:pt idx="1074">
                  <c:v>0.44225946106346925</c:v>
                </c:pt>
                <c:pt idx="1075">
                  <c:v>0.3453733496789293</c:v>
                </c:pt>
                <c:pt idx="1076">
                  <c:v>0.13950159853872113</c:v>
                </c:pt>
                <c:pt idx="1077">
                  <c:v>3.278675577534873E-2</c:v>
                </c:pt>
                <c:pt idx="1078">
                  <c:v>-2.349849036480478E-2</c:v>
                </c:pt>
                <c:pt idx="1079">
                  <c:v>-5.8507387883106832E-2</c:v>
                </c:pt>
                <c:pt idx="1080">
                  <c:v>-0.14232806078951432</c:v>
                </c:pt>
                <c:pt idx="1081">
                  <c:v>-0.11057278475023802</c:v>
                </c:pt>
                <c:pt idx="1082">
                  <c:v>-0.13839758704748872</c:v>
                </c:pt>
                <c:pt idx="1083">
                  <c:v>-0.15316217686171263</c:v>
                </c:pt>
                <c:pt idx="1084">
                  <c:v>-0.13702961645997647</c:v>
                </c:pt>
                <c:pt idx="1085">
                  <c:v>-5.2176452313266841E-2</c:v>
                </c:pt>
                <c:pt idx="1086">
                  <c:v>1.1909882658114102E-2</c:v>
                </c:pt>
                <c:pt idx="1087">
                  <c:v>2.6954677811444006E-2</c:v>
                </c:pt>
                <c:pt idx="1088">
                  <c:v>-4.2621166727351056E-2</c:v>
                </c:pt>
                <c:pt idx="1089">
                  <c:v>-0.11501304511023314</c:v>
                </c:pt>
                <c:pt idx="1090">
                  <c:v>-0.18212703622856696</c:v>
                </c:pt>
                <c:pt idx="1091">
                  <c:v>-7.2312045201142983E-2</c:v>
                </c:pt>
                <c:pt idx="1092">
                  <c:v>-5.7591692607308564E-2</c:v>
                </c:pt>
                <c:pt idx="1093">
                  <c:v>-4.2295385976345967E-2</c:v>
                </c:pt>
                <c:pt idx="1094">
                  <c:v>-0.14618362259593898</c:v>
                </c:pt>
                <c:pt idx="1095">
                  <c:v>4.7605767377234764E-2</c:v>
                </c:pt>
                <c:pt idx="1096">
                  <c:v>0.78826196381189773</c:v>
                </c:pt>
                <c:pt idx="1097">
                  <c:v>0.33927751646329352</c:v>
                </c:pt>
                <c:pt idx="1098">
                  <c:v>0.22464955983088264</c:v>
                </c:pt>
                <c:pt idx="1099">
                  <c:v>6.86201717749646E-3</c:v>
                </c:pt>
                <c:pt idx="1100">
                  <c:v>-1.638816660622977E-2</c:v>
                </c:pt>
                <c:pt idx="1101">
                  <c:v>-0.1109636995350507</c:v>
                </c:pt>
                <c:pt idx="1102">
                  <c:v>-0.17159955438392993</c:v>
                </c:pt>
                <c:pt idx="1103">
                  <c:v>-0.25071761984875929</c:v>
                </c:pt>
                <c:pt idx="1104">
                  <c:v>-0.39049458339959531</c:v>
                </c:pt>
                <c:pt idx="1105">
                  <c:v>-0.12929105379787209</c:v>
                </c:pt>
                <c:pt idx="1106">
                  <c:v>-8.1271235557644816E-2</c:v>
                </c:pt>
                <c:pt idx="1107">
                  <c:v>-2.150895574698275E-3</c:v>
                </c:pt>
                <c:pt idx="1108">
                  <c:v>-0.11728644205837591</c:v>
                </c:pt>
                <c:pt idx="1109">
                  <c:v>-0.10427011094146521</c:v>
                </c:pt>
                <c:pt idx="1110">
                  <c:v>-0.1852880650388099</c:v>
                </c:pt>
                <c:pt idx="1111">
                  <c:v>-0.25079269204143895</c:v>
                </c:pt>
                <c:pt idx="1112">
                  <c:v>-0.25211968742857283</c:v>
                </c:pt>
                <c:pt idx="1113">
                  <c:v>-0.26204354014430842</c:v>
                </c:pt>
                <c:pt idx="1114">
                  <c:v>-0.2940217987499617</c:v>
                </c:pt>
                <c:pt idx="1115">
                  <c:v>-0.29342726397967556</c:v>
                </c:pt>
                <c:pt idx="1116">
                  <c:v>-0.18784806722508551</c:v>
                </c:pt>
                <c:pt idx="1117">
                  <c:v>0.29907400314642407</c:v>
                </c:pt>
                <c:pt idx="1118">
                  <c:v>0.32560844288951624</c:v>
                </c:pt>
                <c:pt idx="1119">
                  <c:v>0.18973148083742153</c:v>
                </c:pt>
                <c:pt idx="1120">
                  <c:v>0.20801690470358913</c:v>
                </c:pt>
                <c:pt idx="1121">
                  <c:v>0.15704327821952468</c:v>
                </c:pt>
                <c:pt idx="1122">
                  <c:v>0.10039709403139974</c:v>
                </c:pt>
                <c:pt idx="1123">
                  <c:v>6.056016909113715E-2</c:v>
                </c:pt>
                <c:pt idx="1124">
                  <c:v>-7.4701390712334503E-2</c:v>
                </c:pt>
                <c:pt idx="1125">
                  <c:v>-6.2753462522739278E-2</c:v>
                </c:pt>
                <c:pt idx="1126">
                  <c:v>-2.0579919419627224E-2</c:v>
                </c:pt>
                <c:pt idx="1127">
                  <c:v>-3.431286863880334E-2</c:v>
                </c:pt>
                <c:pt idx="1128">
                  <c:v>3.764955808836179E-2</c:v>
                </c:pt>
                <c:pt idx="1129">
                  <c:v>1.7233747688301104E-2</c:v>
                </c:pt>
                <c:pt idx="1130">
                  <c:v>1.3152130107935145E-3</c:v>
                </c:pt>
                <c:pt idx="1131">
                  <c:v>0.11451761747927269</c:v>
                </c:pt>
                <c:pt idx="1132">
                  <c:v>-1.3122176630458671E-2</c:v>
                </c:pt>
                <c:pt idx="1133">
                  <c:v>-3.7636032120958895E-2</c:v>
                </c:pt>
                <c:pt idx="1134">
                  <c:v>-0.10348451946354453</c:v>
                </c:pt>
                <c:pt idx="1135">
                  <c:v>-1.0439641151695378E-2</c:v>
                </c:pt>
                <c:pt idx="1136">
                  <c:v>-3.68952700701487E-2</c:v>
                </c:pt>
                <c:pt idx="1137">
                  <c:v>-5.944011154119222E-2</c:v>
                </c:pt>
                <c:pt idx="1138">
                  <c:v>-1.4706852360413469E-2</c:v>
                </c:pt>
                <c:pt idx="1139">
                  <c:v>-0.57794762079899642</c:v>
                </c:pt>
                <c:pt idx="1140">
                  <c:v>0.32672199449174077</c:v>
                </c:pt>
                <c:pt idx="1141">
                  <c:v>0.17960285099219958</c:v>
                </c:pt>
                <c:pt idx="1142">
                  <c:v>0.10578297364766487</c:v>
                </c:pt>
                <c:pt idx="1143">
                  <c:v>0.12698622931834</c:v>
                </c:pt>
                <c:pt idx="1144">
                  <c:v>2.9045800434413627E-2</c:v>
                </c:pt>
                <c:pt idx="1145">
                  <c:v>1.3076515502378094E-2</c:v>
                </c:pt>
                <c:pt idx="1146">
                  <c:v>2.8275028406671288E-4</c:v>
                </c:pt>
                <c:pt idx="1147">
                  <c:v>-1.5353369931059735E-2</c:v>
                </c:pt>
                <c:pt idx="1148">
                  <c:v>-3.4852919400882865E-2</c:v>
                </c:pt>
                <c:pt idx="1149">
                  <c:v>-3.826874625544463E-2</c:v>
                </c:pt>
                <c:pt idx="1150">
                  <c:v>-0.14178824886837127</c:v>
                </c:pt>
                <c:pt idx="1151">
                  <c:v>5.3745610637980834E-2</c:v>
                </c:pt>
                <c:pt idx="1152">
                  <c:v>4.5794311480598981E-2</c:v>
                </c:pt>
                <c:pt idx="1153">
                  <c:v>-6.3526374300159949E-2</c:v>
                </c:pt>
                <c:pt idx="1154">
                  <c:v>6.7059953637183534E-3</c:v>
                </c:pt>
                <c:pt idx="1155">
                  <c:v>-0.12364316144140763</c:v>
                </c:pt>
                <c:pt idx="1156">
                  <c:v>-0.17149946492820359</c:v>
                </c:pt>
                <c:pt idx="1157">
                  <c:v>-0.14503594808665221</c:v>
                </c:pt>
                <c:pt idx="1158">
                  <c:v>-0.12791580090200885</c:v>
                </c:pt>
                <c:pt idx="1159">
                  <c:v>-6.2289209281224944E-2</c:v>
                </c:pt>
                <c:pt idx="1160">
                  <c:v>-0.1741291753397296</c:v>
                </c:pt>
                <c:pt idx="1161">
                  <c:v>0.44273338528726625</c:v>
                </c:pt>
                <c:pt idx="1162">
                  <c:v>0.19676599511772064</c:v>
                </c:pt>
                <c:pt idx="1163">
                  <c:v>4.8722973975374478E-2</c:v>
                </c:pt>
                <c:pt idx="1164">
                  <c:v>0.15583562569711459</c:v>
                </c:pt>
                <c:pt idx="1165">
                  <c:v>4.7239029819256872E-2</c:v>
                </c:pt>
                <c:pt idx="1166">
                  <c:v>3.904521496095098E-2</c:v>
                </c:pt>
                <c:pt idx="1167">
                  <c:v>-8.91926717769147E-2</c:v>
                </c:pt>
                <c:pt idx="1168">
                  <c:v>1.2282786598639683E-2</c:v>
                </c:pt>
                <c:pt idx="1169">
                  <c:v>-0.14417246074791024</c:v>
                </c:pt>
                <c:pt idx="1170">
                  <c:v>-0.1336681364197353</c:v>
                </c:pt>
                <c:pt idx="1171">
                  <c:v>-7.5289735043046813E-2</c:v>
                </c:pt>
                <c:pt idx="1172">
                  <c:v>-0.16409801185991368</c:v>
                </c:pt>
                <c:pt idx="1173">
                  <c:v>-0.21750437124492233</c:v>
                </c:pt>
                <c:pt idx="1174">
                  <c:v>-0.3558425610772446</c:v>
                </c:pt>
                <c:pt idx="1175">
                  <c:v>-0.29859081926613845</c:v>
                </c:pt>
                <c:pt idx="1176">
                  <c:v>-0.24614458415672541</c:v>
                </c:pt>
                <c:pt idx="1177">
                  <c:v>-0.13055828539902692</c:v>
                </c:pt>
                <c:pt idx="1178">
                  <c:v>-0.10122933523491517</c:v>
                </c:pt>
                <c:pt idx="1179">
                  <c:v>-0.16687321007050337</c:v>
                </c:pt>
                <c:pt idx="1180">
                  <c:v>-6.5325055683553401E-2</c:v>
                </c:pt>
                <c:pt idx="1181">
                  <c:v>0.65635886699360091</c:v>
                </c:pt>
                <c:pt idx="1182">
                  <c:v>0.17928333916243624</c:v>
                </c:pt>
                <c:pt idx="1183">
                  <c:v>0.19085294881666132</c:v>
                </c:pt>
                <c:pt idx="1184">
                  <c:v>0.16910104777752683</c:v>
                </c:pt>
                <c:pt idx="1185">
                  <c:v>3.6902552977430891E-2</c:v>
                </c:pt>
                <c:pt idx="1186">
                  <c:v>3.6679537187746913E-2</c:v>
                </c:pt>
                <c:pt idx="1187">
                  <c:v>3.0567042617325346E-2</c:v>
                </c:pt>
                <c:pt idx="1188">
                  <c:v>-1.7004537621307991E-2</c:v>
                </c:pt>
                <c:pt idx="1189">
                  <c:v>4.0100493797460723E-2</c:v>
                </c:pt>
                <c:pt idx="1190">
                  <c:v>6.9522440970257171E-2</c:v>
                </c:pt>
                <c:pt idx="1191">
                  <c:v>0.10185148030299018</c:v>
                </c:pt>
                <c:pt idx="1192">
                  <c:v>0.25956742589403514</c:v>
                </c:pt>
                <c:pt idx="1193">
                  <c:v>0.44766943593608577</c:v>
                </c:pt>
                <c:pt idx="1194">
                  <c:v>0.13339725577437744</c:v>
                </c:pt>
                <c:pt idx="1195">
                  <c:v>0.17202635193455462</c:v>
                </c:pt>
                <c:pt idx="1196">
                  <c:v>-3.5301887789604525E-2</c:v>
                </c:pt>
                <c:pt idx="1197">
                  <c:v>-0.1476431486925649</c:v>
                </c:pt>
                <c:pt idx="1198">
                  <c:v>-0.20140543649020537</c:v>
                </c:pt>
                <c:pt idx="1199">
                  <c:v>-0.21854118443153148</c:v>
                </c:pt>
                <c:pt idx="1200">
                  <c:v>-3.5137862509633022E-2</c:v>
                </c:pt>
                <c:pt idx="1201">
                  <c:v>6.3412319122770011E-2</c:v>
                </c:pt>
                <c:pt idx="1202">
                  <c:v>1.9003048824444146E-2</c:v>
                </c:pt>
                <c:pt idx="1203">
                  <c:v>0.87115827254905409</c:v>
                </c:pt>
                <c:pt idx="1204">
                  <c:v>0.43932221492665779</c:v>
                </c:pt>
                <c:pt idx="1205">
                  <c:v>0.27793785411705696</c:v>
                </c:pt>
                <c:pt idx="1206">
                  <c:v>0.13023465598595885</c:v>
                </c:pt>
                <c:pt idx="1207">
                  <c:v>9.1557780533749966E-2</c:v>
                </c:pt>
                <c:pt idx="1208">
                  <c:v>0.13721292565770504</c:v>
                </c:pt>
                <c:pt idx="1209">
                  <c:v>0.18383639681568198</c:v>
                </c:pt>
                <c:pt idx="1210">
                  <c:v>0.12556820935574464</c:v>
                </c:pt>
                <c:pt idx="1211">
                  <c:v>-9.2324512155761429E-2</c:v>
                </c:pt>
                <c:pt idx="1212">
                  <c:v>-0.16176643455367778</c:v>
                </c:pt>
                <c:pt idx="1213">
                  <c:v>-0.36953834470909497</c:v>
                </c:pt>
                <c:pt idx="1214">
                  <c:v>-0.37169035708890874</c:v>
                </c:pt>
                <c:pt idx="1215">
                  <c:v>-0.21695075178833068</c:v>
                </c:pt>
                <c:pt idx="1216">
                  <c:v>-0.15517812881975024</c:v>
                </c:pt>
                <c:pt idx="1217">
                  <c:v>-0.15913940020967332</c:v>
                </c:pt>
                <c:pt idx="1218">
                  <c:v>-2.4294604606442061E-2</c:v>
                </c:pt>
                <c:pt idx="1219">
                  <c:v>-1.3590800734897712E-2</c:v>
                </c:pt>
                <c:pt idx="1220">
                  <c:v>-0.22257565905830612</c:v>
                </c:pt>
                <c:pt idx="1221">
                  <c:v>-0.17671054657388474</c:v>
                </c:pt>
                <c:pt idx="1222">
                  <c:v>-0.22226760092316677</c:v>
                </c:pt>
                <c:pt idx="1223">
                  <c:v>0.43671526693633123</c:v>
                </c:pt>
                <c:pt idx="1224">
                  <c:v>0.21022355827322459</c:v>
                </c:pt>
                <c:pt idx="1225">
                  <c:v>0.2430974358461091</c:v>
                </c:pt>
                <c:pt idx="1226">
                  <c:v>0.18859109920591521</c:v>
                </c:pt>
                <c:pt idx="1227">
                  <c:v>0.2969104370695459</c:v>
                </c:pt>
                <c:pt idx="1228">
                  <c:v>0.32332337993704252</c:v>
                </c:pt>
                <c:pt idx="1229">
                  <c:v>0.18182375690965635</c:v>
                </c:pt>
                <c:pt idx="1230">
                  <c:v>6.9936236642170968E-2</c:v>
                </c:pt>
                <c:pt idx="1231">
                  <c:v>7.0314224405901182E-2</c:v>
                </c:pt>
                <c:pt idx="1232">
                  <c:v>-7.9993366813610134E-2</c:v>
                </c:pt>
                <c:pt idx="1233">
                  <c:v>-0.56836032718534568</c:v>
                </c:pt>
                <c:pt idx="1234">
                  <c:v>-0.45517581197936696</c:v>
                </c:pt>
                <c:pt idx="1235">
                  <c:v>-0.5275109164965972</c:v>
                </c:pt>
                <c:pt idx="1236">
                  <c:v>-0.4362186316082739</c:v>
                </c:pt>
                <c:pt idx="1237">
                  <c:v>-0.21953001110383896</c:v>
                </c:pt>
                <c:pt idx="1238">
                  <c:v>-0.12801918752476693</c:v>
                </c:pt>
                <c:pt idx="1239">
                  <c:v>-0.19946188975772206</c:v>
                </c:pt>
                <c:pt idx="1240">
                  <c:v>-0.23465848610075257</c:v>
                </c:pt>
                <c:pt idx="1241">
                  <c:v>-0.17782736552327183</c:v>
                </c:pt>
                <c:pt idx="1242">
                  <c:v>-0.18181232654202217</c:v>
                </c:pt>
                <c:pt idx="1243">
                  <c:v>-0.12407090755986205</c:v>
                </c:pt>
                <c:pt idx="1244">
                  <c:v>-0.32284506378361399</c:v>
                </c:pt>
                <c:pt idx="1245">
                  <c:v>0.78707637848495438</c:v>
                </c:pt>
                <c:pt idx="1246">
                  <c:v>0.40667989012435957</c:v>
                </c:pt>
                <c:pt idx="1247">
                  <c:v>0.22495721406523472</c:v>
                </c:pt>
                <c:pt idx="1248">
                  <c:v>0.21649134914878276</c:v>
                </c:pt>
                <c:pt idx="1249">
                  <c:v>0.35263703018678072</c:v>
                </c:pt>
                <c:pt idx="1250">
                  <c:v>0.23407932929233111</c:v>
                </c:pt>
                <c:pt idx="1251">
                  <c:v>8.8939736193164975E-2</c:v>
                </c:pt>
                <c:pt idx="1252">
                  <c:v>9.7120079744521526E-2</c:v>
                </c:pt>
                <c:pt idx="1253">
                  <c:v>0.17858984087009278</c:v>
                </c:pt>
                <c:pt idx="1254">
                  <c:v>0.17196295750284296</c:v>
                </c:pt>
                <c:pt idx="1255">
                  <c:v>7.27985028439182E-3</c:v>
                </c:pt>
                <c:pt idx="1256">
                  <c:v>-0.1168106051002793</c:v>
                </c:pt>
                <c:pt idx="1257">
                  <c:v>-0.1661198009789171</c:v>
                </c:pt>
                <c:pt idx="1258">
                  <c:v>6.0652860049821289E-2</c:v>
                </c:pt>
                <c:pt idx="1259">
                  <c:v>-4.0750869489551533E-2</c:v>
                </c:pt>
                <c:pt idx="1260">
                  <c:v>-3.1428546516964584E-2</c:v>
                </c:pt>
                <c:pt idx="1261">
                  <c:v>-3.6108811405616503E-2</c:v>
                </c:pt>
                <c:pt idx="1262">
                  <c:v>4.8213291996930252E-3</c:v>
                </c:pt>
                <c:pt idx="1263">
                  <c:v>-2.7562925507405023E-2</c:v>
                </c:pt>
                <c:pt idx="1264">
                  <c:v>-2.6211186490345817E-3</c:v>
                </c:pt>
                <c:pt idx="1265">
                  <c:v>0.594390215947455</c:v>
                </c:pt>
                <c:pt idx="1266">
                  <c:v>0.28340522901478371</c:v>
                </c:pt>
                <c:pt idx="1267">
                  <c:v>0.1643335488682216</c:v>
                </c:pt>
                <c:pt idx="1268">
                  <c:v>8.0608922846638009E-2</c:v>
                </c:pt>
                <c:pt idx="1269">
                  <c:v>-4.2667050803153472E-2</c:v>
                </c:pt>
                <c:pt idx="1270">
                  <c:v>1.7216403035080319E-2</c:v>
                </c:pt>
                <c:pt idx="1271">
                  <c:v>-4.6696974167885319E-2</c:v>
                </c:pt>
                <c:pt idx="1272">
                  <c:v>-2.0703908801968485E-2</c:v>
                </c:pt>
                <c:pt idx="1273">
                  <c:v>-1.0764842613966596E-2</c:v>
                </c:pt>
                <c:pt idx="1274">
                  <c:v>-0.11812435117828102</c:v>
                </c:pt>
                <c:pt idx="1275">
                  <c:v>-9.703855698894337E-2</c:v>
                </c:pt>
                <c:pt idx="1276">
                  <c:v>-0.12743720358502686</c:v>
                </c:pt>
                <c:pt idx="1277">
                  <c:v>-0.14114478422458543</c:v>
                </c:pt>
                <c:pt idx="1278">
                  <c:v>-0.13571526386848709</c:v>
                </c:pt>
                <c:pt idx="1279">
                  <c:v>-2.402422595201914E-2</c:v>
                </c:pt>
                <c:pt idx="1280">
                  <c:v>-8.2018120428899444E-3</c:v>
                </c:pt>
                <c:pt idx="1281">
                  <c:v>-0.15238713953660876</c:v>
                </c:pt>
                <c:pt idx="1282">
                  <c:v>-7.4019496564391662E-2</c:v>
                </c:pt>
                <c:pt idx="1283">
                  <c:v>-3.7170377180578695E-2</c:v>
                </c:pt>
                <c:pt idx="1284">
                  <c:v>-2.7988347028275129E-2</c:v>
                </c:pt>
                <c:pt idx="1285">
                  <c:v>4.0968605519777768E-2</c:v>
                </c:pt>
                <c:pt idx="1286">
                  <c:v>0.62837335426962371</c:v>
                </c:pt>
                <c:pt idx="1287">
                  <c:v>0.3423914233796741</c:v>
                </c:pt>
                <c:pt idx="1288">
                  <c:v>0.26111861368471323</c:v>
                </c:pt>
                <c:pt idx="1289">
                  <c:v>0.12632263258546672</c:v>
                </c:pt>
                <c:pt idx="1290">
                  <c:v>7.7081286325911158E-2</c:v>
                </c:pt>
                <c:pt idx="1291">
                  <c:v>0.12668310999636123</c:v>
                </c:pt>
                <c:pt idx="1292">
                  <c:v>6.3841424910908273E-2</c:v>
                </c:pt>
                <c:pt idx="1293">
                  <c:v>1.7700601839159669E-2</c:v>
                </c:pt>
                <c:pt idx="1294">
                  <c:v>4.579082220839803E-3</c:v>
                </c:pt>
                <c:pt idx="1295">
                  <c:v>2.7319854258864851E-3</c:v>
                </c:pt>
                <c:pt idx="1296">
                  <c:v>-3.0295368156409763E-2</c:v>
                </c:pt>
                <c:pt idx="1297">
                  <c:v>5.189179323905968E-2</c:v>
                </c:pt>
                <c:pt idx="1298">
                  <c:v>1.0694794807716068E-2</c:v>
                </c:pt>
                <c:pt idx="1299">
                  <c:v>8.1422519443550279E-3</c:v>
                </c:pt>
                <c:pt idx="1300">
                  <c:v>-3.5562238352095488E-2</c:v>
                </c:pt>
                <c:pt idx="1301">
                  <c:v>-6.8738260938627116E-2</c:v>
                </c:pt>
                <c:pt idx="1302">
                  <c:v>-8.2518885813589904E-2</c:v>
                </c:pt>
                <c:pt idx="1303">
                  <c:v>-3.7660390015664236E-2</c:v>
                </c:pt>
                <c:pt idx="1304">
                  <c:v>-3.8332474247753323E-2</c:v>
                </c:pt>
                <c:pt idx="1305">
                  <c:v>-5.6192411094479144E-2</c:v>
                </c:pt>
                <c:pt idx="1306">
                  <c:v>-0.10094040458126896</c:v>
                </c:pt>
                <c:pt idx="1307">
                  <c:v>3.5579144193238488E-3</c:v>
                </c:pt>
                <c:pt idx="1308">
                  <c:v>0.41185625798702419</c:v>
                </c:pt>
                <c:pt idx="1309">
                  <c:v>0.19309023748229093</c:v>
                </c:pt>
                <c:pt idx="1310">
                  <c:v>6.3290394716753795E-2</c:v>
                </c:pt>
                <c:pt idx="1311">
                  <c:v>5.3744409488676093E-2</c:v>
                </c:pt>
                <c:pt idx="1312">
                  <c:v>0.10871518198413455</c:v>
                </c:pt>
                <c:pt idx="1313">
                  <c:v>-1.9407585414219497E-2</c:v>
                </c:pt>
                <c:pt idx="1314">
                  <c:v>-4.8113117041572728E-3</c:v>
                </c:pt>
                <c:pt idx="1315">
                  <c:v>-3.7223446596761578E-2</c:v>
                </c:pt>
                <c:pt idx="1316">
                  <c:v>4.2528794501550671E-3</c:v>
                </c:pt>
                <c:pt idx="1317">
                  <c:v>-2.5283139461975024E-2</c:v>
                </c:pt>
                <c:pt idx="1318">
                  <c:v>-2.6347737895100254E-2</c:v>
                </c:pt>
                <c:pt idx="1319">
                  <c:v>-1.1956566480167519E-2</c:v>
                </c:pt>
                <c:pt idx="1320">
                  <c:v>-6.8748763762130016E-2</c:v>
                </c:pt>
                <c:pt idx="1321">
                  <c:v>-4.4464515981706088E-2</c:v>
                </c:pt>
                <c:pt idx="1322">
                  <c:v>-6.960736588906169E-2</c:v>
                </c:pt>
                <c:pt idx="1323">
                  <c:v>-1.2596020622662518E-2</c:v>
                </c:pt>
                <c:pt idx="1324">
                  <c:v>-2.0045641050470575E-2</c:v>
                </c:pt>
                <c:pt idx="1325">
                  <c:v>-5.8241457188359824E-2</c:v>
                </c:pt>
                <c:pt idx="1326">
                  <c:v>-5.4634400025935781E-2</c:v>
                </c:pt>
                <c:pt idx="1327">
                  <c:v>-0.11228199772584313</c:v>
                </c:pt>
                <c:pt idx="1328">
                  <c:v>-1.6223598291182917E-2</c:v>
                </c:pt>
                <c:pt idx="1329">
                  <c:v>-5.1682667994387366E-2</c:v>
                </c:pt>
                <c:pt idx="1330">
                  <c:v>-9.4553245280465159E-2</c:v>
                </c:pt>
                <c:pt idx="1331">
                  <c:v>0.35168135981558768</c:v>
                </c:pt>
                <c:pt idx="1332">
                  <c:v>0.15510747820063742</c:v>
                </c:pt>
                <c:pt idx="1333">
                  <c:v>6.114667766422488E-2</c:v>
                </c:pt>
                <c:pt idx="1334">
                  <c:v>4.0813173027612559E-2</c:v>
                </c:pt>
                <c:pt idx="1335">
                  <c:v>7.1781647318722164E-2</c:v>
                </c:pt>
                <c:pt idx="1336">
                  <c:v>4.3186113512902358E-2</c:v>
                </c:pt>
                <c:pt idx="1337">
                  <c:v>5.269072214905357E-3</c:v>
                </c:pt>
                <c:pt idx="1338">
                  <c:v>-1.8597363826112101E-2</c:v>
                </c:pt>
                <c:pt idx="1339">
                  <c:v>-8.2945599625608102E-2</c:v>
                </c:pt>
                <c:pt idx="1340">
                  <c:v>-0.15063105326457393</c:v>
                </c:pt>
                <c:pt idx="1341">
                  <c:v>-7.9538148246026896E-2</c:v>
                </c:pt>
                <c:pt idx="1342">
                  <c:v>-8.2754136265937306E-2</c:v>
                </c:pt>
                <c:pt idx="1343">
                  <c:v>-8.4453932648506314E-2</c:v>
                </c:pt>
                <c:pt idx="1344">
                  <c:v>-0.11851910189931902</c:v>
                </c:pt>
                <c:pt idx="1345">
                  <c:v>-6.9440159603296303E-2</c:v>
                </c:pt>
                <c:pt idx="1346">
                  <c:v>-0.12097868915128185</c:v>
                </c:pt>
                <c:pt idx="1347">
                  <c:v>-0.11408025002776101</c:v>
                </c:pt>
                <c:pt idx="1348">
                  <c:v>-0.14269167320797693</c:v>
                </c:pt>
                <c:pt idx="1349">
                  <c:v>-7.5164311349240398E-2</c:v>
                </c:pt>
                <c:pt idx="1350">
                  <c:v>-0.34530311967503052</c:v>
                </c:pt>
                <c:pt idx="1351">
                  <c:v>-0.2795468122522084</c:v>
                </c:pt>
                <c:pt idx="1352">
                  <c:v>0.12037233712340925</c:v>
                </c:pt>
                <c:pt idx="1353">
                  <c:v>0.11189777844898816</c:v>
                </c:pt>
                <c:pt idx="1354">
                  <c:v>9.1457066689887373E-2</c:v>
                </c:pt>
                <c:pt idx="1355">
                  <c:v>4.3380460550415501E-2</c:v>
                </c:pt>
                <c:pt idx="1356">
                  <c:v>0.10313588509810118</c:v>
                </c:pt>
                <c:pt idx="1357">
                  <c:v>3.698030291075316E-2</c:v>
                </c:pt>
                <c:pt idx="1358">
                  <c:v>3.1236302215536527E-2</c:v>
                </c:pt>
                <c:pt idx="1359">
                  <c:v>4.2589573130692449E-3</c:v>
                </c:pt>
                <c:pt idx="1360">
                  <c:v>-5.672390838903385E-2</c:v>
                </c:pt>
                <c:pt idx="1361">
                  <c:v>-5.3227524467891474E-3</c:v>
                </c:pt>
                <c:pt idx="1362">
                  <c:v>-1.3947244768958145E-4</c:v>
                </c:pt>
                <c:pt idx="1363">
                  <c:v>-5.5057877748568684E-2</c:v>
                </c:pt>
                <c:pt idx="1364">
                  <c:v>-5.1125532970353049E-2</c:v>
                </c:pt>
                <c:pt idx="1365">
                  <c:v>-0.13978365034439427</c:v>
                </c:pt>
                <c:pt idx="1366">
                  <c:v>-9.0279522658432976E-2</c:v>
                </c:pt>
                <c:pt idx="1367">
                  <c:v>-0.12323521023470962</c:v>
                </c:pt>
                <c:pt idx="1368">
                  <c:v>-0.12899678754246996</c:v>
                </c:pt>
                <c:pt idx="1369">
                  <c:v>-0.12902258608801315</c:v>
                </c:pt>
                <c:pt idx="1370">
                  <c:v>-0.15275026791383489</c:v>
                </c:pt>
                <c:pt idx="1371">
                  <c:v>-0.22728286115993629</c:v>
                </c:pt>
                <c:pt idx="1372">
                  <c:v>-0.16028497505743994</c:v>
                </c:pt>
                <c:pt idx="1373">
                  <c:v>-0.13323132588545897</c:v>
                </c:pt>
                <c:pt idx="1374">
                  <c:v>3.2560771286977513E-2</c:v>
                </c:pt>
                <c:pt idx="1375">
                  <c:v>-2.634642591499381E-2</c:v>
                </c:pt>
                <c:pt idx="1376">
                  <c:v>-1.9562711320306708E-2</c:v>
                </c:pt>
                <c:pt idx="1377">
                  <c:v>-7.6060975102982015E-2</c:v>
                </c:pt>
                <c:pt idx="1378">
                  <c:v>-0.12175219770590162</c:v>
                </c:pt>
                <c:pt idx="1379">
                  <c:v>-0.17625369652895032</c:v>
                </c:pt>
                <c:pt idx="1380">
                  <c:v>-0.19722566284928594</c:v>
                </c:pt>
                <c:pt idx="1381">
                  <c:v>-0.17888166838988806</c:v>
                </c:pt>
                <c:pt idx="1382">
                  <c:v>-0.13477730756381257</c:v>
                </c:pt>
                <c:pt idx="1383">
                  <c:v>-0.20505471946215503</c:v>
                </c:pt>
                <c:pt idx="1384">
                  <c:v>-0.21510306388937461</c:v>
                </c:pt>
                <c:pt idx="1385">
                  <c:v>-6.9253991243070634E-2</c:v>
                </c:pt>
                <c:pt idx="1386">
                  <c:v>-0.11050683702318488</c:v>
                </c:pt>
                <c:pt idx="1387">
                  <c:v>-9.8403109358761912E-2</c:v>
                </c:pt>
                <c:pt idx="1388">
                  <c:v>-9.9542748138088277E-2</c:v>
                </c:pt>
                <c:pt idx="1389">
                  <c:v>-0.18466787654227707</c:v>
                </c:pt>
                <c:pt idx="1390">
                  <c:v>-0.16778394785436629</c:v>
                </c:pt>
                <c:pt idx="1391">
                  <c:v>-7.7510158374213517E-2</c:v>
                </c:pt>
                <c:pt idx="1392">
                  <c:v>-0.16800829194902617</c:v>
                </c:pt>
                <c:pt idx="1393">
                  <c:v>-5.8707185557627717E-2</c:v>
                </c:pt>
                <c:pt idx="1394">
                  <c:v>-1.4195208026084385E-2</c:v>
                </c:pt>
                <c:pt idx="1395">
                  <c:v>-0.43870207195421318</c:v>
                </c:pt>
                <c:pt idx="1396">
                  <c:v>4.6753810051414268E-2</c:v>
                </c:pt>
                <c:pt idx="1397">
                  <c:v>-4.417869204625241E-2</c:v>
                </c:pt>
                <c:pt idx="1398">
                  <c:v>-8.1658417670713301E-2</c:v>
                </c:pt>
                <c:pt idx="1399">
                  <c:v>-0.10416006282847701</c:v>
                </c:pt>
                <c:pt idx="1400">
                  <c:v>-6.713208591496983E-2</c:v>
                </c:pt>
                <c:pt idx="1401">
                  <c:v>-8.9473351336739504E-2</c:v>
                </c:pt>
                <c:pt idx="1402">
                  <c:v>-8.0720520535073725E-2</c:v>
                </c:pt>
                <c:pt idx="1403">
                  <c:v>-2.8298265830320801E-2</c:v>
                </c:pt>
                <c:pt idx="1404">
                  <c:v>-5.6125172828255243E-2</c:v>
                </c:pt>
                <c:pt idx="1405">
                  <c:v>-6.3361374183654839E-2</c:v>
                </c:pt>
                <c:pt idx="1406">
                  <c:v>9.3254629966605496E-2</c:v>
                </c:pt>
                <c:pt idx="1407">
                  <c:v>9.5176585748209641E-2</c:v>
                </c:pt>
                <c:pt idx="1408">
                  <c:v>0.12114472930106346</c:v>
                </c:pt>
                <c:pt idx="1409">
                  <c:v>0.15072784350049584</c:v>
                </c:pt>
                <c:pt idx="1410">
                  <c:v>3.2592378320094595E-2</c:v>
                </c:pt>
                <c:pt idx="1411">
                  <c:v>7.2090140891378773E-4</c:v>
                </c:pt>
                <c:pt idx="1412">
                  <c:v>-3.3044580615721131E-2</c:v>
                </c:pt>
                <c:pt idx="1413">
                  <c:v>-2.8698000948401914E-2</c:v>
                </c:pt>
                <c:pt idx="1414">
                  <c:v>1.321316154107921E-2</c:v>
                </c:pt>
                <c:pt idx="1415">
                  <c:v>-1.2335037929302461E-2</c:v>
                </c:pt>
                <c:pt idx="1416">
                  <c:v>-6.077459305814692E-2</c:v>
                </c:pt>
                <c:pt idx="1417">
                  <c:v>0.29106209303099262</c:v>
                </c:pt>
                <c:pt idx="1418">
                  <c:v>0.19143382406060439</c:v>
                </c:pt>
                <c:pt idx="1419">
                  <c:v>0.1556950118713939</c:v>
                </c:pt>
                <c:pt idx="1420">
                  <c:v>4.5015421176385795E-2</c:v>
                </c:pt>
                <c:pt idx="1421">
                  <c:v>6.7940297552949946E-2</c:v>
                </c:pt>
                <c:pt idx="1422">
                  <c:v>-1.1158505693805276E-2</c:v>
                </c:pt>
                <c:pt idx="1423">
                  <c:v>1.1715135676898969E-2</c:v>
                </c:pt>
                <c:pt idx="1424">
                  <c:v>-8.3244289315808295E-2</c:v>
                </c:pt>
                <c:pt idx="1425">
                  <c:v>-0.14853646616740934</c:v>
                </c:pt>
                <c:pt idx="1426">
                  <c:v>-0.16266983493527687</c:v>
                </c:pt>
                <c:pt idx="1427">
                  <c:v>-0.33022017678287074</c:v>
                </c:pt>
                <c:pt idx="1428">
                  <c:v>-8.3518973823536014E-2</c:v>
                </c:pt>
                <c:pt idx="1429">
                  <c:v>-3.2696792656751628E-2</c:v>
                </c:pt>
                <c:pt idx="1430">
                  <c:v>-0.12098771098548911</c:v>
                </c:pt>
                <c:pt idx="1431">
                  <c:v>-0.24026425852919653</c:v>
                </c:pt>
                <c:pt idx="1432">
                  <c:v>-0.28255172378408444</c:v>
                </c:pt>
                <c:pt idx="1433">
                  <c:v>-0.30243909753344034</c:v>
                </c:pt>
                <c:pt idx="1434">
                  <c:v>-0.29831331162222963</c:v>
                </c:pt>
                <c:pt idx="1435">
                  <c:v>-0.6001805771180666</c:v>
                </c:pt>
                <c:pt idx="1436">
                  <c:v>-0.30654734428025421</c:v>
                </c:pt>
                <c:pt idx="1437">
                  <c:v>-0.25009723849433474</c:v>
                </c:pt>
                <c:pt idx="1438">
                  <c:v>-0.31695024595048205</c:v>
                </c:pt>
                <c:pt idx="1439">
                  <c:v>-0.15357231562334528</c:v>
                </c:pt>
                <c:pt idx="1440">
                  <c:v>-1.4162257564236391E-2</c:v>
                </c:pt>
                <c:pt idx="1441">
                  <c:v>4.9308372805822565E-2</c:v>
                </c:pt>
                <c:pt idx="1442">
                  <c:v>-0.12196986411948885</c:v>
                </c:pt>
                <c:pt idx="1443">
                  <c:v>-0.12527423302845886</c:v>
                </c:pt>
                <c:pt idx="1444">
                  <c:v>-0.13199971102024977</c:v>
                </c:pt>
                <c:pt idx="1445">
                  <c:v>-0.23299060136992766</c:v>
                </c:pt>
                <c:pt idx="1446">
                  <c:v>-5.5407308335128302E-2</c:v>
                </c:pt>
                <c:pt idx="1447">
                  <c:v>-2.7944264758813286E-2</c:v>
                </c:pt>
                <c:pt idx="1448">
                  <c:v>9.9669357538798131E-2</c:v>
                </c:pt>
                <c:pt idx="1449">
                  <c:v>0.18005012068062554</c:v>
                </c:pt>
                <c:pt idx="1450">
                  <c:v>-0.12881626555710435</c:v>
                </c:pt>
                <c:pt idx="1451">
                  <c:v>-2.7718743972883431E-2</c:v>
                </c:pt>
                <c:pt idx="1452">
                  <c:v>-2.2286545230623567E-2</c:v>
                </c:pt>
                <c:pt idx="1453">
                  <c:v>-0.12041157412920667</c:v>
                </c:pt>
                <c:pt idx="1454">
                  <c:v>5.621178048147879E-2</c:v>
                </c:pt>
                <c:pt idx="1455">
                  <c:v>-1.1616316271345184E-2</c:v>
                </c:pt>
                <c:pt idx="1456">
                  <c:v>-6.4819335113960097E-2</c:v>
                </c:pt>
                <c:pt idx="1457">
                  <c:v>-9.1465454523107947E-2</c:v>
                </c:pt>
                <c:pt idx="1458">
                  <c:v>-0.12396014854923365</c:v>
                </c:pt>
                <c:pt idx="1459">
                  <c:v>0.20003914590534366</c:v>
                </c:pt>
                <c:pt idx="1460">
                  <c:v>0.20438324304947031</c:v>
                </c:pt>
                <c:pt idx="1461">
                  <c:v>0.19382893133161483</c:v>
                </c:pt>
                <c:pt idx="1462">
                  <c:v>0.1304489488587004</c:v>
                </c:pt>
                <c:pt idx="1463">
                  <c:v>8.0710230046292075E-2</c:v>
                </c:pt>
                <c:pt idx="1464">
                  <c:v>-9.8765899177517102E-2</c:v>
                </c:pt>
                <c:pt idx="1465">
                  <c:v>7.25756000156208E-3</c:v>
                </c:pt>
                <c:pt idx="1466">
                  <c:v>8.1836094570908458E-2</c:v>
                </c:pt>
                <c:pt idx="1467">
                  <c:v>0.17441656973817565</c:v>
                </c:pt>
                <c:pt idx="1468">
                  <c:v>0.11852327420681119</c:v>
                </c:pt>
                <c:pt idx="1469">
                  <c:v>0.25436471433345598</c:v>
                </c:pt>
                <c:pt idx="1470">
                  <c:v>2.5686306993192298E-2</c:v>
                </c:pt>
                <c:pt idx="1471">
                  <c:v>2.9503531584272435E-2</c:v>
                </c:pt>
                <c:pt idx="1472">
                  <c:v>-0.16230522583119922</c:v>
                </c:pt>
                <c:pt idx="1473">
                  <c:v>-6.088713851830807E-2</c:v>
                </c:pt>
                <c:pt idx="1474">
                  <c:v>-3.9898873009929003E-2</c:v>
                </c:pt>
                <c:pt idx="1475">
                  <c:v>-8.5422731725306011E-2</c:v>
                </c:pt>
                <c:pt idx="1476">
                  <c:v>-9.3084423922030091E-2</c:v>
                </c:pt>
                <c:pt idx="1477">
                  <c:v>-6.2001587717987805E-2</c:v>
                </c:pt>
                <c:pt idx="1478">
                  <c:v>-6.8631027747985573E-2</c:v>
                </c:pt>
                <c:pt idx="1479">
                  <c:v>8.1807332824672674E-2</c:v>
                </c:pt>
                <c:pt idx="1480">
                  <c:v>7.8076502607336895E-2</c:v>
                </c:pt>
                <c:pt idx="1481">
                  <c:v>0.113518862933214</c:v>
                </c:pt>
                <c:pt idx="1482">
                  <c:v>8.6939118634638213E-2</c:v>
                </c:pt>
                <c:pt idx="1483">
                  <c:v>-4.0703411502022613E-2</c:v>
                </c:pt>
                <c:pt idx="1484">
                  <c:v>-3.1335945288264666E-2</c:v>
                </c:pt>
                <c:pt idx="1485">
                  <c:v>-4.5904474598326139E-2</c:v>
                </c:pt>
                <c:pt idx="1486">
                  <c:v>-0.11809281435338814</c:v>
                </c:pt>
                <c:pt idx="1487">
                  <c:v>-0.18556957021069942</c:v>
                </c:pt>
                <c:pt idx="1488">
                  <c:v>-0.20719688321277818</c:v>
                </c:pt>
                <c:pt idx="1489">
                  <c:v>-0.1181218153863095</c:v>
                </c:pt>
                <c:pt idx="1490">
                  <c:v>-0.64502622672887444</c:v>
                </c:pt>
                <c:pt idx="1491">
                  <c:v>-0.54286021340473334</c:v>
                </c:pt>
                <c:pt idx="1492">
                  <c:v>-0.33982551420116569</c:v>
                </c:pt>
                <c:pt idx="1493">
                  <c:v>-0.22044667275080809</c:v>
                </c:pt>
                <c:pt idx="1494">
                  <c:v>-0.18183816884166681</c:v>
                </c:pt>
                <c:pt idx="1495">
                  <c:v>-0.22062295739634186</c:v>
                </c:pt>
                <c:pt idx="1496">
                  <c:v>-0.2438707962011768</c:v>
                </c:pt>
                <c:pt idx="1497">
                  <c:v>-0.13038159594025034</c:v>
                </c:pt>
                <c:pt idx="1498">
                  <c:v>-7.1857402959004002E-2</c:v>
                </c:pt>
                <c:pt idx="1499">
                  <c:v>-8.1703052614219951E-2</c:v>
                </c:pt>
                <c:pt idx="1500">
                  <c:v>-0.12497306530390295</c:v>
                </c:pt>
                <c:pt idx="1501">
                  <c:v>5.2605653634838712E-2</c:v>
                </c:pt>
                <c:pt idx="1502">
                  <c:v>-0.18559993602860692</c:v>
                </c:pt>
                <c:pt idx="1503">
                  <c:v>-1.2487262871627935E-2</c:v>
                </c:pt>
                <c:pt idx="1504">
                  <c:v>3.6334481084087544E-2</c:v>
                </c:pt>
                <c:pt idx="1505">
                  <c:v>9.2900676746402344E-2</c:v>
                </c:pt>
                <c:pt idx="1506">
                  <c:v>6.405936276149049E-2</c:v>
                </c:pt>
                <c:pt idx="1507">
                  <c:v>5.0894873040565614E-2</c:v>
                </c:pt>
                <c:pt idx="1508">
                  <c:v>4.9418765877143667E-2</c:v>
                </c:pt>
                <c:pt idx="1509">
                  <c:v>-1.0941700382337327E-2</c:v>
                </c:pt>
                <c:pt idx="1510">
                  <c:v>-3.7569195258470467E-2</c:v>
                </c:pt>
                <c:pt idx="1511">
                  <c:v>-1.0962176968160264E-2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C4EB-42CD-AD23-1403467BE27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613658000"/>
        <c:axId val="1613658328"/>
      </c:barChart>
      <c:lineChart>
        <c:grouping val="standard"/>
        <c:varyColors val="0"/>
        <c:ser>
          <c:idx val="0"/>
          <c:order val="0"/>
          <c:tx>
            <c:strRef>
              <c:f>'M12'!$E$6</c:f>
              <c:strCache>
                <c:ptCount val="1"/>
                <c:pt idx="0">
                  <c:v>TTF_M1_CLOSE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'M12'!$D$7:$D$2132</c:f>
              <c:numCache>
                <c:formatCode>m/d/yyyy</c:formatCode>
                <c:ptCount val="2126"/>
                <c:pt idx="0">
                  <c:v>42151</c:v>
                </c:pt>
                <c:pt idx="1">
                  <c:v>42152</c:v>
                </c:pt>
                <c:pt idx="2">
                  <c:v>42153</c:v>
                </c:pt>
                <c:pt idx="3">
                  <c:v>42156</c:v>
                </c:pt>
                <c:pt idx="4">
                  <c:v>42157</c:v>
                </c:pt>
                <c:pt idx="5">
                  <c:v>42158</c:v>
                </c:pt>
                <c:pt idx="6">
                  <c:v>42159</c:v>
                </c:pt>
                <c:pt idx="7">
                  <c:v>42160</c:v>
                </c:pt>
                <c:pt idx="8">
                  <c:v>42163</c:v>
                </c:pt>
                <c:pt idx="9">
                  <c:v>42164</c:v>
                </c:pt>
                <c:pt idx="10">
                  <c:v>42165</c:v>
                </c:pt>
                <c:pt idx="11">
                  <c:v>42166</c:v>
                </c:pt>
                <c:pt idx="12">
                  <c:v>42167</c:v>
                </c:pt>
                <c:pt idx="13">
                  <c:v>42170</c:v>
                </c:pt>
                <c:pt idx="14">
                  <c:v>42171</c:v>
                </c:pt>
                <c:pt idx="15">
                  <c:v>42172</c:v>
                </c:pt>
                <c:pt idx="16">
                  <c:v>42173</c:v>
                </c:pt>
                <c:pt idx="17">
                  <c:v>42174</c:v>
                </c:pt>
                <c:pt idx="18">
                  <c:v>42177</c:v>
                </c:pt>
                <c:pt idx="19">
                  <c:v>42178</c:v>
                </c:pt>
                <c:pt idx="20">
                  <c:v>42179</c:v>
                </c:pt>
                <c:pt idx="21">
                  <c:v>42180</c:v>
                </c:pt>
                <c:pt idx="22">
                  <c:v>42181</c:v>
                </c:pt>
                <c:pt idx="23">
                  <c:v>42184</c:v>
                </c:pt>
                <c:pt idx="24">
                  <c:v>42185</c:v>
                </c:pt>
                <c:pt idx="25">
                  <c:v>42186</c:v>
                </c:pt>
                <c:pt idx="26">
                  <c:v>42187</c:v>
                </c:pt>
                <c:pt idx="27">
                  <c:v>42188</c:v>
                </c:pt>
                <c:pt idx="28">
                  <c:v>42191</c:v>
                </c:pt>
                <c:pt idx="29">
                  <c:v>42192</c:v>
                </c:pt>
                <c:pt idx="30">
                  <c:v>42193</c:v>
                </c:pt>
                <c:pt idx="31">
                  <c:v>42194</c:v>
                </c:pt>
                <c:pt idx="32">
                  <c:v>42195</c:v>
                </c:pt>
                <c:pt idx="33">
                  <c:v>42198</c:v>
                </c:pt>
                <c:pt idx="34">
                  <c:v>42199</c:v>
                </c:pt>
                <c:pt idx="35">
                  <c:v>42200</c:v>
                </c:pt>
                <c:pt idx="36">
                  <c:v>42201</c:v>
                </c:pt>
                <c:pt idx="37">
                  <c:v>42202</c:v>
                </c:pt>
                <c:pt idx="38">
                  <c:v>42205</c:v>
                </c:pt>
                <c:pt idx="39">
                  <c:v>42206</c:v>
                </c:pt>
                <c:pt idx="40">
                  <c:v>42207</c:v>
                </c:pt>
                <c:pt idx="41">
                  <c:v>42208</c:v>
                </c:pt>
                <c:pt idx="42">
                  <c:v>42209</c:v>
                </c:pt>
                <c:pt idx="43">
                  <c:v>42212</c:v>
                </c:pt>
                <c:pt idx="44">
                  <c:v>42213</c:v>
                </c:pt>
                <c:pt idx="45">
                  <c:v>42214</c:v>
                </c:pt>
                <c:pt idx="46">
                  <c:v>42215</c:v>
                </c:pt>
                <c:pt idx="47">
                  <c:v>42216</c:v>
                </c:pt>
                <c:pt idx="48">
                  <c:v>42219</c:v>
                </c:pt>
                <c:pt idx="49">
                  <c:v>42220</c:v>
                </c:pt>
                <c:pt idx="50">
                  <c:v>42221</c:v>
                </c:pt>
                <c:pt idx="51">
                  <c:v>42222</c:v>
                </c:pt>
                <c:pt idx="52">
                  <c:v>42223</c:v>
                </c:pt>
                <c:pt idx="53">
                  <c:v>42226</c:v>
                </c:pt>
                <c:pt idx="54">
                  <c:v>42227</c:v>
                </c:pt>
                <c:pt idx="55">
                  <c:v>42228</c:v>
                </c:pt>
                <c:pt idx="56">
                  <c:v>42229</c:v>
                </c:pt>
                <c:pt idx="57">
                  <c:v>42230</c:v>
                </c:pt>
                <c:pt idx="58">
                  <c:v>42233</c:v>
                </c:pt>
                <c:pt idx="59">
                  <c:v>42234</c:v>
                </c:pt>
                <c:pt idx="60">
                  <c:v>42235</c:v>
                </c:pt>
                <c:pt idx="61">
                  <c:v>42236</c:v>
                </c:pt>
                <c:pt idx="62">
                  <c:v>42237</c:v>
                </c:pt>
                <c:pt idx="63">
                  <c:v>42240</c:v>
                </c:pt>
                <c:pt idx="64">
                  <c:v>42241</c:v>
                </c:pt>
                <c:pt idx="65">
                  <c:v>42242</c:v>
                </c:pt>
                <c:pt idx="66">
                  <c:v>42243</c:v>
                </c:pt>
                <c:pt idx="67">
                  <c:v>42244</c:v>
                </c:pt>
                <c:pt idx="68">
                  <c:v>42247</c:v>
                </c:pt>
                <c:pt idx="69">
                  <c:v>42248</c:v>
                </c:pt>
                <c:pt idx="70">
                  <c:v>42249</c:v>
                </c:pt>
                <c:pt idx="71">
                  <c:v>42250</c:v>
                </c:pt>
                <c:pt idx="72">
                  <c:v>42251</c:v>
                </c:pt>
                <c:pt idx="73">
                  <c:v>42254</c:v>
                </c:pt>
                <c:pt idx="74">
                  <c:v>42255</c:v>
                </c:pt>
                <c:pt idx="75">
                  <c:v>42256</c:v>
                </c:pt>
                <c:pt idx="76">
                  <c:v>42257</c:v>
                </c:pt>
                <c:pt idx="77">
                  <c:v>42258</c:v>
                </c:pt>
                <c:pt idx="78">
                  <c:v>42261</c:v>
                </c:pt>
                <c:pt idx="79">
                  <c:v>42262</c:v>
                </c:pt>
                <c:pt idx="80">
                  <c:v>42263</c:v>
                </c:pt>
                <c:pt idx="81">
                  <c:v>42264</c:v>
                </c:pt>
                <c:pt idx="82">
                  <c:v>42265</c:v>
                </c:pt>
                <c:pt idx="83">
                  <c:v>42268</c:v>
                </c:pt>
                <c:pt idx="84">
                  <c:v>42269</c:v>
                </c:pt>
                <c:pt idx="85">
                  <c:v>42270</c:v>
                </c:pt>
                <c:pt idx="86">
                  <c:v>42271</c:v>
                </c:pt>
                <c:pt idx="87">
                  <c:v>42272</c:v>
                </c:pt>
                <c:pt idx="88">
                  <c:v>42275</c:v>
                </c:pt>
                <c:pt idx="89">
                  <c:v>42276</c:v>
                </c:pt>
                <c:pt idx="90">
                  <c:v>42277</c:v>
                </c:pt>
                <c:pt idx="91">
                  <c:v>42278</c:v>
                </c:pt>
                <c:pt idx="92">
                  <c:v>42279</c:v>
                </c:pt>
                <c:pt idx="93">
                  <c:v>42282</c:v>
                </c:pt>
                <c:pt idx="94">
                  <c:v>42283</c:v>
                </c:pt>
                <c:pt idx="95">
                  <c:v>42284</c:v>
                </c:pt>
                <c:pt idx="96">
                  <c:v>42285</c:v>
                </c:pt>
                <c:pt idx="97">
                  <c:v>42286</c:v>
                </c:pt>
                <c:pt idx="98">
                  <c:v>42289</c:v>
                </c:pt>
                <c:pt idx="99">
                  <c:v>42290</c:v>
                </c:pt>
                <c:pt idx="100">
                  <c:v>42291</c:v>
                </c:pt>
                <c:pt idx="101">
                  <c:v>42292</c:v>
                </c:pt>
                <c:pt idx="102">
                  <c:v>42293</c:v>
                </c:pt>
                <c:pt idx="103">
                  <c:v>42296</c:v>
                </c:pt>
                <c:pt idx="104">
                  <c:v>42297</c:v>
                </c:pt>
                <c:pt idx="105">
                  <c:v>42298</c:v>
                </c:pt>
                <c:pt idx="106">
                  <c:v>42299</c:v>
                </c:pt>
                <c:pt idx="107">
                  <c:v>42300</c:v>
                </c:pt>
                <c:pt idx="108">
                  <c:v>42303</c:v>
                </c:pt>
                <c:pt idx="109">
                  <c:v>42304</c:v>
                </c:pt>
                <c:pt idx="110">
                  <c:v>42305</c:v>
                </c:pt>
                <c:pt idx="111">
                  <c:v>42306</c:v>
                </c:pt>
                <c:pt idx="112">
                  <c:v>42307</c:v>
                </c:pt>
                <c:pt idx="113">
                  <c:v>42310</c:v>
                </c:pt>
                <c:pt idx="114">
                  <c:v>42311</c:v>
                </c:pt>
                <c:pt idx="115">
                  <c:v>42312</c:v>
                </c:pt>
                <c:pt idx="116">
                  <c:v>42313</c:v>
                </c:pt>
                <c:pt idx="117">
                  <c:v>42314</c:v>
                </c:pt>
                <c:pt idx="118">
                  <c:v>42317</c:v>
                </c:pt>
                <c:pt idx="119">
                  <c:v>42318</c:v>
                </c:pt>
                <c:pt idx="120">
                  <c:v>42319</c:v>
                </c:pt>
                <c:pt idx="121">
                  <c:v>42320</c:v>
                </c:pt>
                <c:pt idx="122">
                  <c:v>42321</c:v>
                </c:pt>
                <c:pt idx="123">
                  <c:v>42324</c:v>
                </c:pt>
                <c:pt idx="124">
                  <c:v>42325</c:v>
                </c:pt>
                <c:pt idx="125">
                  <c:v>42326</c:v>
                </c:pt>
                <c:pt idx="126">
                  <c:v>42327</c:v>
                </c:pt>
                <c:pt idx="127">
                  <c:v>42328</c:v>
                </c:pt>
                <c:pt idx="128">
                  <c:v>42331</c:v>
                </c:pt>
                <c:pt idx="129">
                  <c:v>42332</c:v>
                </c:pt>
                <c:pt idx="130">
                  <c:v>42333</c:v>
                </c:pt>
                <c:pt idx="131">
                  <c:v>42334</c:v>
                </c:pt>
                <c:pt idx="132">
                  <c:v>42335</c:v>
                </c:pt>
                <c:pt idx="133">
                  <c:v>42338</c:v>
                </c:pt>
                <c:pt idx="134">
                  <c:v>42339</c:v>
                </c:pt>
                <c:pt idx="135">
                  <c:v>42340</c:v>
                </c:pt>
                <c:pt idx="136">
                  <c:v>42341</c:v>
                </c:pt>
                <c:pt idx="137">
                  <c:v>42342</c:v>
                </c:pt>
                <c:pt idx="138">
                  <c:v>42345</c:v>
                </c:pt>
                <c:pt idx="139">
                  <c:v>42346</c:v>
                </c:pt>
                <c:pt idx="140">
                  <c:v>42347</c:v>
                </c:pt>
                <c:pt idx="141">
                  <c:v>42348</c:v>
                </c:pt>
                <c:pt idx="142">
                  <c:v>42349</c:v>
                </c:pt>
                <c:pt idx="143">
                  <c:v>42352</c:v>
                </c:pt>
                <c:pt idx="144">
                  <c:v>42353</c:v>
                </c:pt>
                <c:pt idx="145">
                  <c:v>42354</c:v>
                </c:pt>
                <c:pt idx="146">
                  <c:v>42355</c:v>
                </c:pt>
                <c:pt idx="147">
                  <c:v>42356</c:v>
                </c:pt>
                <c:pt idx="148">
                  <c:v>42359</c:v>
                </c:pt>
                <c:pt idx="149">
                  <c:v>42360</c:v>
                </c:pt>
                <c:pt idx="150">
                  <c:v>42361</c:v>
                </c:pt>
                <c:pt idx="151">
                  <c:v>42362</c:v>
                </c:pt>
                <c:pt idx="152">
                  <c:v>42366</c:v>
                </c:pt>
                <c:pt idx="153">
                  <c:v>42367</c:v>
                </c:pt>
                <c:pt idx="154">
                  <c:v>42368</c:v>
                </c:pt>
                <c:pt idx="155">
                  <c:v>42369</c:v>
                </c:pt>
                <c:pt idx="156">
                  <c:v>42373</c:v>
                </c:pt>
                <c:pt idx="157">
                  <c:v>42374</c:v>
                </c:pt>
                <c:pt idx="158">
                  <c:v>42375</c:v>
                </c:pt>
                <c:pt idx="159">
                  <c:v>42376</c:v>
                </c:pt>
                <c:pt idx="160">
                  <c:v>42377</c:v>
                </c:pt>
                <c:pt idx="161">
                  <c:v>42380</c:v>
                </c:pt>
                <c:pt idx="162">
                  <c:v>42381</c:v>
                </c:pt>
                <c:pt idx="163">
                  <c:v>42382</c:v>
                </c:pt>
                <c:pt idx="164">
                  <c:v>42383</c:v>
                </c:pt>
                <c:pt idx="165">
                  <c:v>42384</c:v>
                </c:pt>
                <c:pt idx="166">
                  <c:v>42387</c:v>
                </c:pt>
                <c:pt idx="167">
                  <c:v>42388</c:v>
                </c:pt>
                <c:pt idx="168">
                  <c:v>42389</c:v>
                </c:pt>
                <c:pt idx="169">
                  <c:v>42390</c:v>
                </c:pt>
                <c:pt idx="170">
                  <c:v>42391</c:v>
                </c:pt>
                <c:pt idx="171">
                  <c:v>42394</c:v>
                </c:pt>
                <c:pt idx="172">
                  <c:v>42395</c:v>
                </c:pt>
                <c:pt idx="173">
                  <c:v>42396</c:v>
                </c:pt>
                <c:pt idx="174">
                  <c:v>42397</c:v>
                </c:pt>
                <c:pt idx="175">
                  <c:v>42398</c:v>
                </c:pt>
                <c:pt idx="176">
                  <c:v>42401</c:v>
                </c:pt>
                <c:pt idx="177">
                  <c:v>42402</c:v>
                </c:pt>
                <c:pt idx="178">
                  <c:v>42403</c:v>
                </c:pt>
                <c:pt idx="179">
                  <c:v>42404</c:v>
                </c:pt>
                <c:pt idx="180">
                  <c:v>42405</c:v>
                </c:pt>
                <c:pt idx="181">
                  <c:v>42408</c:v>
                </c:pt>
                <c:pt idx="182">
                  <c:v>42409</c:v>
                </c:pt>
                <c:pt idx="183">
                  <c:v>42410</c:v>
                </c:pt>
                <c:pt idx="184">
                  <c:v>42411</c:v>
                </c:pt>
                <c:pt idx="185">
                  <c:v>42412</c:v>
                </c:pt>
                <c:pt idx="186">
                  <c:v>42415</c:v>
                </c:pt>
                <c:pt idx="187">
                  <c:v>42416</c:v>
                </c:pt>
                <c:pt idx="188">
                  <c:v>42417</c:v>
                </c:pt>
                <c:pt idx="189">
                  <c:v>42418</c:v>
                </c:pt>
                <c:pt idx="190">
                  <c:v>42419</c:v>
                </c:pt>
                <c:pt idx="191">
                  <c:v>42422</c:v>
                </c:pt>
                <c:pt idx="192">
                  <c:v>42423</c:v>
                </c:pt>
                <c:pt idx="193">
                  <c:v>42424</c:v>
                </c:pt>
                <c:pt idx="194">
                  <c:v>42425</c:v>
                </c:pt>
                <c:pt idx="195">
                  <c:v>42426</c:v>
                </c:pt>
                <c:pt idx="196">
                  <c:v>42429</c:v>
                </c:pt>
                <c:pt idx="197">
                  <c:v>42430</c:v>
                </c:pt>
                <c:pt idx="198">
                  <c:v>42431</c:v>
                </c:pt>
                <c:pt idx="199">
                  <c:v>42432</c:v>
                </c:pt>
                <c:pt idx="200">
                  <c:v>42433</c:v>
                </c:pt>
                <c:pt idx="201">
                  <c:v>42436</c:v>
                </c:pt>
                <c:pt idx="202">
                  <c:v>42437</c:v>
                </c:pt>
                <c:pt idx="203">
                  <c:v>42438</c:v>
                </c:pt>
                <c:pt idx="204">
                  <c:v>42439</c:v>
                </c:pt>
                <c:pt idx="205">
                  <c:v>42440</c:v>
                </c:pt>
                <c:pt idx="206">
                  <c:v>42443</c:v>
                </c:pt>
                <c:pt idx="207">
                  <c:v>42444</c:v>
                </c:pt>
                <c:pt idx="208">
                  <c:v>42445</c:v>
                </c:pt>
                <c:pt idx="209">
                  <c:v>42446</c:v>
                </c:pt>
                <c:pt idx="210">
                  <c:v>42447</c:v>
                </c:pt>
                <c:pt idx="211">
                  <c:v>42450</c:v>
                </c:pt>
                <c:pt idx="212">
                  <c:v>42451</c:v>
                </c:pt>
                <c:pt idx="213">
                  <c:v>42452</c:v>
                </c:pt>
                <c:pt idx="214">
                  <c:v>42453</c:v>
                </c:pt>
                <c:pt idx="215">
                  <c:v>42458</c:v>
                </c:pt>
                <c:pt idx="216">
                  <c:v>42459</c:v>
                </c:pt>
                <c:pt idx="217">
                  <c:v>42460</c:v>
                </c:pt>
                <c:pt idx="218">
                  <c:v>42461</c:v>
                </c:pt>
                <c:pt idx="219">
                  <c:v>42464</c:v>
                </c:pt>
                <c:pt idx="220">
                  <c:v>42465</c:v>
                </c:pt>
                <c:pt idx="221">
                  <c:v>42466</c:v>
                </c:pt>
                <c:pt idx="222">
                  <c:v>42467</c:v>
                </c:pt>
                <c:pt idx="223">
                  <c:v>42468</c:v>
                </c:pt>
                <c:pt idx="224">
                  <c:v>42471</c:v>
                </c:pt>
                <c:pt idx="225">
                  <c:v>42472</c:v>
                </c:pt>
                <c:pt idx="226">
                  <c:v>42473</c:v>
                </c:pt>
                <c:pt idx="227">
                  <c:v>42474</c:v>
                </c:pt>
                <c:pt idx="228">
                  <c:v>42475</c:v>
                </c:pt>
                <c:pt idx="229">
                  <c:v>42478</c:v>
                </c:pt>
                <c:pt idx="230">
                  <c:v>42479</c:v>
                </c:pt>
                <c:pt idx="231">
                  <c:v>42480</c:v>
                </c:pt>
                <c:pt idx="232">
                  <c:v>42481</c:v>
                </c:pt>
                <c:pt idx="233">
                  <c:v>42482</c:v>
                </c:pt>
                <c:pt idx="234">
                  <c:v>42485</c:v>
                </c:pt>
                <c:pt idx="235">
                  <c:v>42486</c:v>
                </c:pt>
                <c:pt idx="236">
                  <c:v>42487</c:v>
                </c:pt>
                <c:pt idx="237">
                  <c:v>42488</c:v>
                </c:pt>
                <c:pt idx="238">
                  <c:v>42489</c:v>
                </c:pt>
                <c:pt idx="239">
                  <c:v>42492</c:v>
                </c:pt>
                <c:pt idx="240">
                  <c:v>42493</c:v>
                </c:pt>
                <c:pt idx="241">
                  <c:v>42494</c:v>
                </c:pt>
                <c:pt idx="242">
                  <c:v>42495</c:v>
                </c:pt>
                <c:pt idx="243">
                  <c:v>42496</c:v>
                </c:pt>
                <c:pt idx="244">
                  <c:v>42499</c:v>
                </c:pt>
                <c:pt idx="245">
                  <c:v>42500</c:v>
                </c:pt>
                <c:pt idx="246">
                  <c:v>42501</c:v>
                </c:pt>
                <c:pt idx="247">
                  <c:v>42502</c:v>
                </c:pt>
                <c:pt idx="248">
                  <c:v>42503</c:v>
                </c:pt>
                <c:pt idx="249">
                  <c:v>42506</c:v>
                </c:pt>
                <c:pt idx="250">
                  <c:v>42507</c:v>
                </c:pt>
                <c:pt idx="251">
                  <c:v>42508</c:v>
                </c:pt>
                <c:pt idx="252">
                  <c:v>42509</c:v>
                </c:pt>
                <c:pt idx="253">
                  <c:v>42510</c:v>
                </c:pt>
                <c:pt idx="254">
                  <c:v>42513</c:v>
                </c:pt>
                <c:pt idx="255">
                  <c:v>42514</c:v>
                </c:pt>
                <c:pt idx="256">
                  <c:v>42515</c:v>
                </c:pt>
                <c:pt idx="257">
                  <c:v>42516</c:v>
                </c:pt>
                <c:pt idx="258">
                  <c:v>42517</c:v>
                </c:pt>
                <c:pt idx="259">
                  <c:v>42520</c:v>
                </c:pt>
                <c:pt idx="260">
                  <c:v>42521</c:v>
                </c:pt>
                <c:pt idx="261">
                  <c:v>42522</c:v>
                </c:pt>
                <c:pt idx="262">
                  <c:v>42523</c:v>
                </c:pt>
                <c:pt idx="263">
                  <c:v>42524</c:v>
                </c:pt>
                <c:pt idx="264">
                  <c:v>42527</c:v>
                </c:pt>
                <c:pt idx="265">
                  <c:v>42528</c:v>
                </c:pt>
                <c:pt idx="266">
                  <c:v>42529</c:v>
                </c:pt>
                <c:pt idx="267">
                  <c:v>42530</c:v>
                </c:pt>
                <c:pt idx="268">
                  <c:v>42531</c:v>
                </c:pt>
                <c:pt idx="269">
                  <c:v>42534</c:v>
                </c:pt>
                <c:pt idx="270">
                  <c:v>42535</c:v>
                </c:pt>
                <c:pt idx="271">
                  <c:v>42536</c:v>
                </c:pt>
                <c:pt idx="272">
                  <c:v>42537</c:v>
                </c:pt>
                <c:pt idx="273">
                  <c:v>42538</c:v>
                </c:pt>
                <c:pt idx="274">
                  <c:v>42541</c:v>
                </c:pt>
                <c:pt idx="275">
                  <c:v>42542</c:v>
                </c:pt>
                <c:pt idx="276">
                  <c:v>42543</c:v>
                </c:pt>
                <c:pt idx="277">
                  <c:v>42544</c:v>
                </c:pt>
                <c:pt idx="278">
                  <c:v>42545</c:v>
                </c:pt>
                <c:pt idx="279">
                  <c:v>42548</c:v>
                </c:pt>
                <c:pt idx="280">
                  <c:v>42549</c:v>
                </c:pt>
                <c:pt idx="281">
                  <c:v>42550</c:v>
                </c:pt>
                <c:pt idx="282">
                  <c:v>42551</c:v>
                </c:pt>
                <c:pt idx="283">
                  <c:v>42552</c:v>
                </c:pt>
                <c:pt idx="284">
                  <c:v>42555</c:v>
                </c:pt>
                <c:pt idx="285">
                  <c:v>42556</c:v>
                </c:pt>
                <c:pt idx="286">
                  <c:v>42557</c:v>
                </c:pt>
                <c:pt idx="287">
                  <c:v>42558</c:v>
                </c:pt>
                <c:pt idx="288">
                  <c:v>42559</c:v>
                </c:pt>
                <c:pt idx="289">
                  <c:v>42562</c:v>
                </c:pt>
                <c:pt idx="290">
                  <c:v>42563</c:v>
                </c:pt>
                <c:pt idx="291">
                  <c:v>42564</c:v>
                </c:pt>
                <c:pt idx="292">
                  <c:v>42565</c:v>
                </c:pt>
                <c:pt idx="293">
                  <c:v>42566</c:v>
                </c:pt>
                <c:pt idx="294">
                  <c:v>42569</c:v>
                </c:pt>
                <c:pt idx="295">
                  <c:v>42570</c:v>
                </c:pt>
                <c:pt idx="296">
                  <c:v>42571</c:v>
                </c:pt>
                <c:pt idx="297">
                  <c:v>42572</c:v>
                </c:pt>
                <c:pt idx="298">
                  <c:v>42573</c:v>
                </c:pt>
                <c:pt idx="299">
                  <c:v>42576</c:v>
                </c:pt>
                <c:pt idx="300">
                  <c:v>42577</c:v>
                </c:pt>
                <c:pt idx="301">
                  <c:v>42578</c:v>
                </c:pt>
                <c:pt idx="302">
                  <c:v>42579</c:v>
                </c:pt>
                <c:pt idx="303">
                  <c:v>42580</c:v>
                </c:pt>
                <c:pt idx="304">
                  <c:v>42583</c:v>
                </c:pt>
                <c:pt idx="305">
                  <c:v>42584</c:v>
                </c:pt>
                <c:pt idx="306">
                  <c:v>42585</c:v>
                </c:pt>
                <c:pt idx="307">
                  <c:v>42586</c:v>
                </c:pt>
                <c:pt idx="308">
                  <c:v>42587</c:v>
                </c:pt>
                <c:pt idx="309">
                  <c:v>42590</c:v>
                </c:pt>
                <c:pt idx="310">
                  <c:v>42591</c:v>
                </c:pt>
                <c:pt idx="311">
                  <c:v>42592</c:v>
                </c:pt>
                <c:pt idx="312">
                  <c:v>42593</c:v>
                </c:pt>
                <c:pt idx="313">
                  <c:v>42594</c:v>
                </c:pt>
                <c:pt idx="314">
                  <c:v>42597</c:v>
                </c:pt>
                <c:pt idx="315">
                  <c:v>42598</c:v>
                </c:pt>
                <c:pt idx="316">
                  <c:v>42599</c:v>
                </c:pt>
                <c:pt idx="317">
                  <c:v>42600</c:v>
                </c:pt>
                <c:pt idx="318">
                  <c:v>42601</c:v>
                </c:pt>
                <c:pt idx="319">
                  <c:v>42604</c:v>
                </c:pt>
                <c:pt idx="320">
                  <c:v>42605</c:v>
                </c:pt>
                <c:pt idx="321">
                  <c:v>42606</c:v>
                </c:pt>
                <c:pt idx="322">
                  <c:v>42607</c:v>
                </c:pt>
                <c:pt idx="323">
                  <c:v>42608</c:v>
                </c:pt>
                <c:pt idx="324">
                  <c:v>42611</c:v>
                </c:pt>
                <c:pt idx="325">
                  <c:v>42612</c:v>
                </c:pt>
                <c:pt idx="326">
                  <c:v>42613</c:v>
                </c:pt>
                <c:pt idx="327">
                  <c:v>42614</c:v>
                </c:pt>
                <c:pt idx="328">
                  <c:v>42615</c:v>
                </c:pt>
                <c:pt idx="329">
                  <c:v>42618</c:v>
                </c:pt>
                <c:pt idx="330">
                  <c:v>42619</c:v>
                </c:pt>
                <c:pt idx="331">
                  <c:v>42620</c:v>
                </c:pt>
                <c:pt idx="332">
                  <c:v>42621</c:v>
                </c:pt>
                <c:pt idx="333">
                  <c:v>42622</c:v>
                </c:pt>
                <c:pt idx="334">
                  <c:v>42625</c:v>
                </c:pt>
                <c:pt idx="335">
                  <c:v>42626</c:v>
                </c:pt>
                <c:pt idx="336">
                  <c:v>42627</c:v>
                </c:pt>
                <c:pt idx="337">
                  <c:v>42628</c:v>
                </c:pt>
                <c:pt idx="338">
                  <c:v>42629</c:v>
                </c:pt>
                <c:pt idx="339">
                  <c:v>42632</c:v>
                </c:pt>
                <c:pt idx="340">
                  <c:v>42633</c:v>
                </c:pt>
                <c:pt idx="341">
                  <c:v>42634</c:v>
                </c:pt>
                <c:pt idx="342">
                  <c:v>42635</c:v>
                </c:pt>
                <c:pt idx="343">
                  <c:v>42636</c:v>
                </c:pt>
                <c:pt idx="344">
                  <c:v>42639</c:v>
                </c:pt>
                <c:pt idx="345">
                  <c:v>42640</c:v>
                </c:pt>
                <c:pt idx="346">
                  <c:v>42641</c:v>
                </c:pt>
                <c:pt idx="347">
                  <c:v>42642</c:v>
                </c:pt>
                <c:pt idx="348">
                  <c:v>42643</c:v>
                </c:pt>
                <c:pt idx="349">
                  <c:v>42646</c:v>
                </c:pt>
                <c:pt idx="350">
                  <c:v>42647</c:v>
                </c:pt>
                <c:pt idx="351">
                  <c:v>42648</c:v>
                </c:pt>
                <c:pt idx="352">
                  <c:v>42649</c:v>
                </c:pt>
                <c:pt idx="353">
                  <c:v>42650</c:v>
                </c:pt>
                <c:pt idx="354">
                  <c:v>42653</c:v>
                </c:pt>
                <c:pt idx="355">
                  <c:v>42654</c:v>
                </c:pt>
                <c:pt idx="356">
                  <c:v>42655</c:v>
                </c:pt>
                <c:pt idx="357">
                  <c:v>42656</c:v>
                </c:pt>
                <c:pt idx="358">
                  <c:v>42657</c:v>
                </c:pt>
                <c:pt idx="359">
                  <c:v>42660</c:v>
                </c:pt>
                <c:pt idx="360">
                  <c:v>42661</c:v>
                </c:pt>
                <c:pt idx="361">
                  <c:v>42662</c:v>
                </c:pt>
                <c:pt idx="362">
                  <c:v>42663</c:v>
                </c:pt>
                <c:pt idx="363">
                  <c:v>42664</c:v>
                </c:pt>
                <c:pt idx="364">
                  <c:v>42667</c:v>
                </c:pt>
                <c:pt idx="365">
                  <c:v>42668</c:v>
                </c:pt>
                <c:pt idx="366">
                  <c:v>42669</c:v>
                </c:pt>
                <c:pt idx="367">
                  <c:v>42670</c:v>
                </c:pt>
                <c:pt idx="368">
                  <c:v>42671</c:v>
                </c:pt>
                <c:pt idx="369">
                  <c:v>42674</c:v>
                </c:pt>
                <c:pt idx="370">
                  <c:v>42675</c:v>
                </c:pt>
                <c:pt idx="371">
                  <c:v>42676</c:v>
                </c:pt>
                <c:pt idx="372">
                  <c:v>42677</c:v>
                </c:pt>
                <c:pt idx="373">
                  <c:v>42678</c:v>
                </c:pt>
                <c:pt idx="374">
                  <c:v>42681</c:v>
                </c:pt>
                <c:pt idx="375">
                  <c:v>42682</c:v>
                </c:pt>
                <c:pt idx="376">
                  <c:v>42683</c:v>
                </c:pt>
                <c:pt idx="377">
                  <c:v>42684</c:v>
                </c:pt>
                <c:pt idx="378">
                  <c:v>42685</c:v>
                </c:pt>
                <c:pt idx="379">
                  <c:v>42688</c:v>
                </c:pt>
                <c:pt idx="380">
                  <c:v>42689</c:v>
                </c:pt>
                <c:pt idx="381">
                  <c:v>42690</c:v>
                </c:pt>
                <c:pt idx="382">
                  <c:v>42691</c:v>
                </c:pt>
                <c:pt idx="383">
                  <c:v>42692</c:v>
                </c:pt>
                <c:pt idx="384">
                  <c:v>42695</c:v>
                </c:pt>
                <c:pt idx="385">
                  <c:v>42696</c:v>
                </c:pt>
                <c:pt idx="386">
                  <c:v>42697</c:v>
                </c:pt>
                <c:pt idx="387">
                  <c:v>42698</c:v>
                </c:pt>
                <c:pt idx="388">
                  <c:v>42699</c:v>
                </c:pt>
                <c:pt idx="389">
                  <c:v>42702</c:v>
                </c:pt>
                <c:pt idx="390">
                  <c:v>42703</c:v>
                </c:pt>
                <c:pt idx="391">
                  <c:v>42704</c:v>
                </c:pt>
                <c:pt idx="392">
                  <c:v>42705</c:v>
                </c:pt>
                <c:pt idx="393">
                  <c:v>42706</c:v>
                </c:pt>
                <c:pt idx="394">
                  <c:v>42709</c:v>
                </c:pt>
                <c:pt idx="395">
                  <c:v>42710</c:v>
                </c:pt>
                <c:pt idx="396">
                  <c:v>42711</c:v>
                </c:pt>
                <c:pt idx="397">
                  <c:v>42712</c:v>
                </c:pt>
                <c:pt idx="398">
                  <c:v>42713</c:v>
                </c:pt>
                <c:pt idx="399">
                  <c:v>42716</c:v>
                </c:pt>
                <c:pt idx="400">
                  <c:v>42717</c:v>
                </c:pt>
                <c:pt idx="401">
                  <c:v>42718</c:v>
                </c:pt>
                <c:pt idx="402">
                  <c:v>42719</c:v>
                </c:pt>
                <c:pt idx="403">
                  <c:v>42720</c:v>
                </c:pt>
                <c:pt idx="404">
                  <c:v>42723</c:v>
                </c:pt>
                <c:pt idx="405">
                  <c:v>42724</c:v>
                </c:pt>
                <c:pt idx="406">
                  <c:v>42725</c:v>
                </c:pt>
                <c:pt idx="407">
                  <c:v>42726</c:v>
                </c:pt>
                <c:pt idx="408">
                  <c:v>42727</c:v>
                </c:pt>
                <c:pt idx="409">
                  <c:v>42731</c:v>
                </c:pt>
                <c:pt idx="410">
                  <c:v>42732</c:v>
                </c:pt>
                <c:pt idx="411">
                  <c:v>42733</c:v>
                </c:pt>
                <c:pt idx="412">
                  <c:v>42734</c:v>
                </c:pt>
                <c:pt idx="413">
                  <c:v>42737</c:v>
                </c:pt>
                <c:pt idx="414">
                  <c:v>42738</c:v>
                </c:pt>
                <c:pt idx="415">
                  <c:v>42739</c:v>
                </c:pt>
                <c:pt idx="416">
                  <c:v>42740</c:v>
                </c:pt>
                <c:pt idx="417">
                  <c:v>42741</c:v>
                </c:pt>
                <c:pt idx="418">
                  <c:v>42744</c:v>
                </c:pt>
                <c:pt idx="419">
                  <c:v>42745</c:v>
                </c:pt>
                <c:pt idx="420">
                  <c:v>42746</c:v>
                </c:pt>
                <c:pt idx="421">
                  <c:v>42747</c:v>
                </c:pt>
                <c:pt idx="422">
                  <c:v>42748</c:v>
                </c:pt>
                <c:pt idx="423">
                  <c:v>42751</c:v>
                </c:pt>
                <c:pt idx="424">
                  <c:v>42752</c:v>
                </c:pt>
                <c:pt idx="425">
                  <c:v>42753</c:v>
                </c:pt>
                <c:pt idx="426">
                  <c:v>42754</c:v>
                </c:pt>
                <c:pt idx="427">
                  <c:v>42755</c:v>
                </c:pt>
                <c:pt idx="428">
                  <c:v>42758</c:v>
                </c:pt>
                <c:pt idx="429">
                  <c:v>42759</c:v>
                </c:pt>
                <c:pt idx="430">
                  <c:v>42760</c:v>
                </c:pt>
                <c:pt idx="431">
                  <c:v>42761</c:v>
                </c:pt>
                <c:pt idx="432">
                  <c:v>42762</c:v>
                </c:pt>
                <c:pt idx="433">
                  <c:v>42765</c:v>
                </c:pt>
                <c:pt idx="434">
                  <c:v>42766</c:v>
                </c:pt>
                <c:pt idx="435">
                  <c:v>42767</c:v>
                </c:pt>
                <c:pt idx="436">
                  <c:v>42768</c:v>
                </c:pt>
                <c:pt idx="437">
                  <c:v>42769</c:v>
                </c:pt>
                <c:pt idx="438">
                  <c:v>42772</c:v>
                </c:pt>
                <c:pt idx="439">
                  <c:v>42773</c:v>
                </c:pt>
                <c:pt idx="440">
                  <c:v>42774</c:v>
                </c:pt>
                <c:pt idx="441">
                  <c:v>42775</c:v>
                </c:pt>
                <c:pt idx="442">
                  <c:v>42776</c:v>
                </c:pt>
                <c:pt idx="443">
                  <c:v>42779</c:v>
                </c:pt>
                <c:pt idx="444">
                  <c:v>42780</c:v>
                </c:pt>
                <c:pt idx="445">
                  <c:v>42781</c:v>
                </c:pt>
                <c:pt idx="446">
                  <c:v>42782</c:v>
                </c:pt>
                <c:pt idx="447">
                  <c:v>42783</c:v>
                </c:pt>
                <c:pt idx="448">
                  <c:v>42786</c:v>
                </c:pt>
                <c:pt idx="449">
                  <c:v>42787</c:v>
                </c:pt>
                <c:pt idx="450">
                  <c:v>42788</c:v>
                </c:pt>
                <c:pt idx="451">
                  <c:v>42789</c:v>
                </c:pt>
                <c:pt idx="452">
                  <c:v>42790</c:v>
                </c:pt>
                <c:pt idx="453">
                  <c:v>42793</c:v>
                </c:pt>
                <c:pt idx="454">
                  <c:v>42794</c:v>
                </c:pt>
                <c:pt idx="455">
                  <c:v>42795</c:v>
                </c:pt>
                <c:pt idx="456">
                  <c:v>42796</c:v>
                </c:pt>
                <c:pt idx="457">
                  <c:v>42797</c:v>
                </c:pt>
                <c:pt idx="458">
                  <c:v>42800</c:v>
                </c:pt>
                <c:pt idx="459">
                  <c:v>42801</c:v>
                </c:pt>
                <c:pt idx="460">
                  <c:v>42802</c:v>
                </c:pt>
                <c:pt idx="461">
                  <c:v>42803</c:v>
                </c:pt>
                <c:pt idx="462">
                  <c:v>42804</c:v>
                </c:pt>
                <c:pt idx="463">
                  <c:v>42807</c:v>
                </c:pt>
                <c:pt idx="464">
                  <c:v>42808</c:v>
                </c:pt>
                <c:pt idx="465">
                  <c:v>42809</c:v>
                </c:pt>
                <c:pt idx="466">
                  <c:v>42810</c:v>
                </c:pt>
                <c:pt idx="467">
                  <c:v>42811</c:v>
                </c:pt>
                <c:pt idx="468">
                  <c:v>42814</c:v>
                </c:pt>
                <c:pt idx="469">
                  <c:v>42815</c:v>
                </c:pt>
                <c:pt idx="470">
                  <c:v>42816</c:v>
                </c:pt>
                <c:pt idx="471">
                  <c:v>42817</c:v>
                </c:pt>
                <c:pt idx="472">
                  <c:v>42818</c:v>
                </c:pt>
                <c:pt idx="473">
                  <c:v>42821</c:v>
                </c:pt>
                <c:pt idx="474">
                  <c:v>42822</c:v>
                </c:pt>
                <c:pt idx="475">
                  <c:v>42823</c:v>
                </c:pt>
                <c:pt idx="476">
                  <c:v>42824</c:v>
                </c:pt>
                <c:pt idx="477">
                  <c:v>42825</c:v>
                </c:pt>
                <c:pt idx="478">
                  <c:v>42828</c:v>
                </c:pt>
                <c:pt idx="479">
                  <c:v>42829</c:v>
                </c:pt>
                <c:pt idx="480">
                  <c:v>42830</c:v>
                </c:pt>
                <c:pt idx="481">
                  <c:v>42831</c:v>
                </c:pt>
                <c:pt idx="482">
                  <c:v>42832</c:v>
                </c:pt>
                <c:pt idx="483">
                  <c:v>42835</c:v>
                </c:pt>
                <c:pt idx="484">
                  <c:v>42836</c:v>
                </c:pt>
                <c:pt idx="485">
                  <c:v>42837</c:v>
                </c:pt>
                <c:pt idx="486">
                  <c:v>42838</c:v>
                </c:pt>
                <c:pt idx="487">
                  <c:v>42843</c:v>
                </c:pt>
                <c:pt idx="488">
                  <c:v>42844</c:v>
                </c:pt>
                <c:pt idx="489">
                  <c:v>42845</c:v>
                </c:pt>
                <c:pt idx="490">
                  <c:v>42846</c:v>
                </c:pt>
                <c:pt idx="491">
                  <c:v>42849</c:v>
                </c:pt>
                <c:pt idx="492">
                  <c:v>42850</c:v>
                </c:pt>
                <c:pt idx="493">
                  <c:v>42851</c:v>
                </c:pt>
                <c:pt idx="494">
                  <c:v>42852</c:v>
                </c:pt>
                <c:pt idx="495">
                  <c:v>42853</c:v>
                </c:pt>
                <c:pt idx="496">
                  <c:v>42856</c:v>
                </c:pt>
                <c:pt idx="497">
                  <c:v>42857</c:v>
                </c:pt>
                <c:pt idx="498">
                  <c:v>42858</c:v>
                </c:pt>
                <c:pt idx="499">
                  <c:v>42859</c:v>
                </c:pt>
                <c:pt idx="500">
                  <c:v>42860</c:v>
                </c:pt>
                <c:pt idx="501">
                  <c:v>42863</c:v>
                </c:pt>
                <c:pt idx="502">
                  <c:v>42864</c:v>
                </c:pt>
                <c:pt idx="503">
                  <c:v>42865</c:v>
                </c:pt>
                <c:pt idx="504">
                  <c:v>42866</c:v>
                </c:pt>
                <c:pt idx="505">
                  <c:v>42867</c:v>
                </c:pt>
                <c:pt idx="506">
                  <c:v>42870</c:v>
                </c:pt>
                <c:pt idx="507">
                  <c:v>42871</c:v>
                </c:pt>
                <c:pt idx="508">
                  <c:v>42872</c:v>
                </c:pt>
                <c:pt idx="509">
                  <c:v>42873</c:v>
                </c:pt>
                <c:pt idx="510">
                  <c:v>42874</c:v>
                </c:pt>
                <c:pt idx="511">
                  <c:v>42877</c:v>
                </c:pt>
                <c:pt idx="512">
                  <c:v>42878</c:v>
                </c:pt>
                <c:pt idx="513">
                  <c:v>42879</c:v>
                </c:pt>
                <c:pt idx="514">
                  <c:v>42880</c:v>
                </c:pt>
                <c:pt idx="515">
                  <c:v>42881</c:v>
                </c:pt>
                <c:pt idx="516">
                  <c:v>42884</c:v>
                </c:pt>
                <c:pt idx="517">
                  <c:v>42885</c:v>
                </c:pt>
                <c:pt idx="518">
                  <c:v>42886</c:v>
                </c:pt>
                <c:pt idx="519">
                  <c:v>42887</c:v>
                </c:pt>
                <c:pt idx="520">
                  <c:v>42888</c:v>
                </c:pt>
                <c:pt idx="521">
                  <c:v>42891</c:v>
                </c:pt>
                <c:pt idx="522">
                  <c:v>42892</c:v>
                </c:pt>
                <c:pt idx="523">
                  <c:v>42893</c:v>
                </c:pt>
                <c:pt idx="524">
                  <c:v>42894</c:v>
                </c:pt>
                <c:pt idx="525">
                  <c:v>42895</c:v>
                </c:pt>
                <c:pt idx="526">
                  <c:v>42898</c:v>
                </c:pt>
                <c:pt idx="527">
                  <c:v>42899</c:v>
                </c:pt>
                <c:pt idx="528">
                  <c:v>42900</c:v>
                </c:pt>
                <c:pt idx="529">
                  <c:v>42901</c:v>
                </c:pt>
                <c:pt idx="530">
                  <c:v>42902</c:v>
                </c:pt>
                <c:pt idx="531">
                  <c:v>42905</c:v>
                </c:pt>
                <c:pt idx="532">
                  <c:v>42906</c:v>
                </c:pt>
                <c:pt idx="533">
                  <c:v>42907</c:v>
                </c:pt>
                <c:pt idx="534">
                  <c:v>42908</c:v>
                </c:pt>
                <c:pt idx="535">
                  <c:v>42909</c:v>
                </c:pt>
                <c:pt idx="536">
                  <c:v>42912</c:v>
                </c:pt>
                <c:pt idx="537">
                  <c:v>42913</c:v>
                </c:pt>
                <c:pt idx="538">
                  <c:v>42914</c:v>
                </c:pt>
                <c:pt idx="539">
                  <c:v>42915</c:v>
                </c:pt>
                <c:pt idx="540">
                  <c:v>42916</c:v>
                </c:pt>
                <c:pt idx="541">
                  <c:v>42919</c:v>
                </c:pt>
                <c:pt idx="542">
                  <c:v>42920</c:v>
                </c:pt>
                <c:pt idx="543">
                  <c:v>42921</c:v>
                </c:pt>
                <c:pt idx="544">
                  <c:v>42922</c:v>
                </c:pt>
                <c:pt idx="545">
                  <c:v>42923</c:v>
                </c:pt>
                <c:pt idx="546">
                  <c:v>42926</c:v>
                </c:pt>
                <c:pt idx="547">
                  <c:v>42927</c:v>
                </c:pt>
                <c:pt idx="548">
                  <c:v>42928</c:v>
                </c:pt>
                <c:pt idx="549">
                  <c:v>42929</c:v>
                </c:pt>
                <c:pt idx="550">
                  <c:v>42930</c:v>
                </c:pt>
                <c:pt idx="551">
                  <c:v>42933</c:v>
                </c:pt>
                <c:pt idx="552">
                  <c:v>42934</c:v>
                </c:pt>
                <c:pt idx="553">
                  <c:v>42935</c:v>
                </c:pt>
                <c:pt idx="554">
                  <c:v>42936</c:v>
                </c:pt>
                <c:pt idx="555">
                  <c:v>42937</c:v>
                </c:pt>
                <c:pt idx="556">
                  <c:v>42940</c:v>
                </c:pt>
                <c:pt idx="557">
                  <c:v>42941</c:v>
                </c:pt>
                <c:pt idx="558">
                  <c:v>42942</c:v>
                </c:pt>
                <c:pt idx="559">
                  <c:v>42943</c:v>
                </c:pt>
                <c:pt idx="560">
                  <c:v>42944</c:v>
                </c:pt>
                <c:pt idx="561">
                  <c:v>42947</c:v>
                </c:pt>
                <c:pt idx="562">
                  <c:v>42948</c:v>
                </c:pt>
                <c:pt idx="563">
                  <c:v>42949</c:v>
                </c:pt>
                <c:pt idx="564">
                  <c:v>42950</c:v>
                </c:pt>
                <c:pt idx="565">
                  <c:v>42951</c:v>
                </c:pt>
                <c:pt idx="566">
                  <c:v>42954</c:v>
                </c:pt>
                <c:pt idx="567">
                  <c:v>42955</c:v>
                </c:pt>
                <c:pt idx="568">
                  <c:v>42956</c:v>
                </c:pt>
                <c:pt idx="569">
                  <c:v>42957</c:v>
                </c:pt>
                <c:pt idx="570">
                  <c:v>42958</c:v>
                </c:pt>
                <c:pt idx="571">
                  <c:v>42961</c:v>
                </c:pt>
                <c:pt idx="572">
                  <c:v>42962</c:v>
                </c:pt>
                <c:pt idx="573">
                  <c:v>42963</c:v>
                </c:pt>
                <c:pt idx="574">
                  <c:v>42964</c:v>
                </c:pt>
                <c:pt idx="575">
                  <c:v>42965</c:v>
                </c:pt>
                <c:pt idx="576">
                  <c:v>42968</c:v>
                </c:pt>
                <c:pt idx="577">
                  <c:v>42969</c:v>
                </c:pt>
                <c:pt idx="578">
                  <c:v>42970</c:v>
                </c:pt>
                <c:pt idx="579">
                  <c:v>42971</c:v>
                </c:pt>
                <c:pt idx="580">
                  <c:v>42972</c:v>
                </c:pt>
                <c:pt idx="581">
                  <c:v>42975</c:v>
                </c:pt>
                <c:pt idx="582">
                  <c:v>42976</c:v>
                </c:pt>
                <c:pt idx="583">
                  <c:v>42977</c:v>
                </c:pt>
                <c:pt idx="584">
                  <c:v>42978</c:v>
                </c:pt>
                <c:pt idx="585">
                  <c:v>42979</c:v>
                </c:pt>
                <c:pt idx="586">
                  <c:v>42982</c:v>
                </c:pt>
                <c:pt idx="587">
                  <c:v>42983</c:v>
                </c:pt>
                <c:pt idx="588">
                  <c:v>42984</c:v>
                </c:pt>
                <c:pt idx="589">
                  <c:v>42985</c:v>
                </c:pt>
                <c:pt idx="590">
                  <c:v>42986</c:v>
                </c:pt>
                <c:pt idx="591">
                  <c:v>42989</c:v>
                </c:pt>
                <c:pt idx="592">
                  <c:v>42990</c:v>
                </c:pt>
                <c:pt idx="593">
                  <c:v>42991</c:v>
                </c:pt>
                <c:pt idx="594">
                  <c:v>42992</c:v>
                </c:pt>
                <c:pt idx="595">
                  <c:v>42993</c:v>
                </c:pt>
                <c:pt idx="596">
                  <c:v>42996</c:v>
                </c:pt>
                <c:pt idx="597">
                  <c:v>42997</c:v>
                </c:pt>
                <c:pt idx="598">
                  <c:v>42998</c:v>
                </c:pt>
                <c:pt idx="599">
                  <c:v>42999</c:v>
                </c:pt>
                <c:pt idx="600">
                  <c:v>43000</c:v>
                </c:pt>
                <c:pt idx="601">
                  <c:v>43003</c:v>
                </c:pt>
                <c:pt idx="602">
                  <c:v>43004</c:v>
                </c:pt>
                <c:pt idx="603">
                  <c:v>43005</c:v>
                </c:pt>
                <c:pt idx="604">
                  <c:v>43006</c:v>
                </c:pt>
                <c:pt idx="605">
                  <c:v>43007</c:v>
                </c:pt>
                <c:pt idx="606">
                  <c:v>43010</c:v>
                </c:pt>
                <c:pt idx="607">
                  <c:v>43011</c:v>
                </c:pt>
                <c:pt idx="608">
                  <c:v>43012</c:v>
                </c:pt>
                <c:pt idx="609">
                  <c:v>43013</c:v>
                </c:pt>
                <c:pt idx="610">
                  <c:v>43014</c:v>
                </c:pt>
                <c:pt idx="611">
                  <c:v>43017</c:v>
                </c:pt>
                <c:pt idx="612">
                  <c:v>43018</c:v>
                </c:pt>
                <c:pt idx="613">
                  <c:v>43019</c:v>
                </c:pt>
                <c:pt idx="614">
                  <c:v>43020</c:v>
                </c:pt>
                <c:pt idx="615">
                  <c:v>43021</c:v>
                </c:pt>
                <c:pt idx="616">
                  <c:v>43024</c:v>
                </c:pt>
                <c:pt idx="617">
                  <c:v>43025</c:v>
                </c:pt>
                <c:pt idx="618">
                  <c:v>43026</c:v>
                </c:pt>
                <c:pt idx="619">
                  <c:v>43027</c:v>
                </c:pt>
                <c:pt idx="620">
                  <c:v>43028</c:v>
                </c:pt>
                <c:pt idx="621">
                  <c:v>43031</c:v>
                </c:pt>
                <c:pt idx="622">
                  <c:v>43032</c:v>
                </c:pt>
                <c:pt idx="623">
                  <c:v>43033</c:v>
                </c:pt>
                <c:pt idx="624">
                  <c:v>43034</c:v>
                </c:pt>
                <c:pt idx="625">
                  <c:v>43035</c:v>
                </c:pt>
                <c:pt idx="626">
                  <c:v>43038</c:v>
                </c:pt>
                <c:pt idx="627">
                  <c:v>43039</c:v>
                </c:pt>
                <c:pt idx="628">
                  <c:v>43040</c:v>
                </c:pt>
                <c:pt idx="629">
                  <c:v>43041</c:v>
                </c:pt>
                <c:pt idx="630">
                  <c:v>43042</c:v>
                </c:pt>
                <c:pt idx="631">
                  <c:v>43045</c:v>
                </c:pt>
                <c:pt idx="632">
                  <c:v>43046</c:v>
                </c:pt>
                <c:pt idx="633">
                  <c:v>43047</c:v>
                </c:pt>
                <c:pt idx="634">
                  <c:v>43048</c:v>
                </c:pt>
                <c:pt idx="635">
                  <c:v>43049</c:v>
                </c:pt>
                <c:pt idx="636">
                  <c:v>43052</c:v>
                </c:pt>
                <c:pt idx="637">
                  <c:v>43053</c:v>
                </c:pt>
                <c:pt idx="638">
                  <c:v>43054</c:v>
                </c:pt>
                <c:pt idx="639">
                  <c:v>43055</c:v>
                </c:pt>
                <c:pt idx="640">
                  <c:v>43056</c:v>
                </c:pt>
                <c:pt idx="641">
                  <c:v>43059</c:v>
                </c:pt>
                <c:pt idx="642">
                  <c:v>43060</c:v>
                </c:pt>
                <c:pt idx="643">
                  <c:v>43061</c:v>
                </c:pt>
                <c:pt idx="644">
                  <c:v>43062</c:v>
                </c:pt>
                <c:pt idx="645">
                  <c:v>43063</c:v>
                </c:pt>
                <c:pt idx="646">
                  <c:v>43066</c:v>
                </c:pt>
                <c:pt idx="647">
                  <c:v>43067</c:v>
                </c:pt>
                <c:pt idx="648">
                  <c:v>43068</c:v>
                </c:pt>
                <c:pt idx="649">
                  <c:v>43069</c:v>
                </c:pt>
                <c:pt idx="650">
                  <c:v>43070</c:v>
                </c:pt>
                <c:pt idx="651">
                  <c:v>43073</c:v>
                </c:pt>
                <c:pt idx="652">
                  <c:v>43074</c:v>
                </c:pt>
                <c:pt idx="653">
                  <c:v>43075</c:v>
                </c:pt>
                <c:pt idx="654">
                  <c:v>43076</c:v>
                </c:pt>
                <c:pt idx="655">
                  <c:v>43077</c:v>
                </c:pt>
                <c:pt idx="656">
                  <c:v>43080</c:v>
                </c:pt>
                <c:pt idx="657">
                  <c:v>43081</c:v>
                </c:pt>
                <c:pt idx="658">
                  <c:v>43082</c:v>
                </c:pt>
                <c:pt idx="659">
                  <c:v>43083</c:v>
                </c:pt>
                <c:pt idx="660">
                  <c:v>43084</c:v>
                </c:pt>
                <c:pt idx="661">
                  <c:v>43087</c:v>
                </c:pt>
                <c:pt idx="662">
                  <c:v>43088</c:v>
                </c:pt>
                <c:pt idx="663">
                  <c:v>43089</c:v>
                </c:pt>
                <c:pt idx="664">
                  <c:v>43090</c:v>
                </c:pt>
                <c:pt idx="665">
                  <c:v>43091</c:v>
                </c:pt>
                <c:pt idx="666">
                  <c:v>43096</c:v>
                </c:pt>
                <c:pt idx="667">
                  <c:v>43097</c:v>
                </c:pt>
                <c:pt idx="668">
                  <c:v>43098</c:v>
                </c:pt>
                <c:pt idx="669">
                  <c:v>43102</c:v>
                </c:pt>
                <c:pt idx="670">
                  <c:v>43103</c:v>
                </c:pt>
                <c:pt idx="671">
                  <c:v>43104</c:v>
                </c:pt>
                <c:pt idx="672">
                  <c:v>43105</c:v>
                </c:pt>
                <c:pt idx="673">
                  <c:v>43108</c:v>
                </c:pt>
                <c:pt idx="674">
                  <c:v>43109</c:v>
                </c:pt>
                <c:pt idx="675">
                  <c:v>43110</c:v>
                </c:pt>
                <c:pt idx="676">
                  <c:v>43111</c:v>
                </c:pt>
                <c:pt idx="677">
                  <c:v>43112</c:v>
                </c:pt>
                <c:pt idx="678">
                  <c:v>43115</c:v>
                </c:pt>
                <c:pt idx="679">
                  <c:v>43116</c:v>
                </c:pt>
                <c:pt idx="680">
                  <c:v>43117</c:v>
                </c:pt>
                <c:pt idx="681">
                  <c:v>43118</c:v>
                </c:pt>
                <c:pt idx="682">
                  <c:v>43119</c:v>
                </c:pt>
                <c:pt idx="683">
                  <c:v>43122</c:v>
                </c:pt>
                <c:pt idx="684">
                  <c:v>43123</c:v>
                </c:pt>
                <c:pt idx="685">
                  <c:v>43124</c:v>
                </c:pt>
                <c:pt idx="686">
                  <c:v>43125</c:v>
                </c:pt>
                <c:pt idx="687">
                  <c:v>43126</c:v>
                </c:pt>
                <c:pt idx="688">
                  <c:v>43129</c:v>
                </c:pt>
                <c:pt idx="689">
                  <c:v>43130</c:v>
                </c:pt>
                <c:pt idx="690">
                  <c:v>43131</c:v>
                </c:pt>
                <c:pt idx="691">
                  <c:v>43132</c:v>
                </c:pt>
                <c:pt idx="692">
                  <c:v>43133</c:v>
                </c:pt>
                <c:pt idx="693">
                  <c:v>43136</c:v>
                </c:pt>
                <c:pt idx="694">
                  <c:v>43137</c:v>
                </c:pt>
                <c:pt idx="695">
                  <c:v>43138</c:v>
                </c:pt>
                <c:pt idx="696">
                  <c:v>43139</c:v>
                </c:pt>
                <c:pt idx="697">
                  <c:v>43140</c:v>
                </c:pt>
                <c:pt idx="698">
                  <c:v>43143</c:v>
                </c:pt>
                <c:pt idx="699">
                  <c:v>43144</c:v>
                </c:pt>
                <c:pt idx="700">
                  <c:v>43145</c:v>
                </c:pt>
                <c:pt idx="701">
                  <c:v>43146</c:v>
                </c:pt>
                <c:pt idx="702">
                  <c:v>43147</c:v>
                </c:pt>
                <c:pt idx="703">
                  <c:v>43150</c:v>
                </c:pt>
                <c:pt idx="704">
                  <c:v>43151</c:v>
                </c:pt>
                <c:pt idx="705">
                  <c:v>43152</c:v>
                </c:pt>
                <c:pt idx="706">
                  <c:v>43153</c:v>
                </c:pt>
                <c:pt idx="707">
                  <c:v>43154</c:v>
                </c:pt>
                <c:pt idx="708">
                  <c:v>43157</c:v>
                </c:pt>
                <c:pt idx="709">
                  <c:v>43158</c:v>
                </c:pt>
                <c:pt idx="710">
                  <c:v>43159</c:v>
                </c:pt>
                <c:pt idx="711">
                  <c:v>43160</c:v>
                </c:pt>
                <c:pt idx="712">
                  <c:v>43161</c:v>
                </c:pt>
                <c:pt idx="713">
                  <c:v>43164</c:v>
                </c:pt>
                <c:pt idx="714">
                  <c:v>43165</c:v>
                </c:pt>
                <c:pt idx="715">
                  <c:v>43166</c:v>
                </c:pt>
                <c:pt idx="716">
                  <c:v>43167</c:v>
                </c:pt>
                <c:pt idx="717">
                  <c:v>43168</c:v>
                </c:pt>
                <c:pt idx="718">
                  <c:v>43171</c:v>
                </c:pt>
                <c:pt idx="719">
                  <c:v>43172</c:v>
                </c:pt>
                <c:pt idx="720">
                  <c:v>43173</c:v>
                </c:pt>
                <c:pt idx="721">
                  <c:v>43174</c:v>
                </c:pt>
                <c:pt idx="722">
                  <c:v>43175</c:v>
                </c:pt>
                <c:pt idx="723">
                  <c:v>43178</c:v>
                </c:pt>
                <c:pt idx="724">
                  <c:v>43179</c:v>
                </c:pt>
                <c:pt idx="725">
                  <c:v>43180</c:v>
                </c:pt>
                <c:pt idx="726">
                  <c:v>43181</c:v>
                </c:pt>
                <c:pt idx="727">
                  <c:v>43182</c:v>
                </c:pt>
                <c:pt idx="728">
                  <c:v>43185</c:v>
                </c:pt>
                <c:pt idx="729">
                  <c:v>43186</c:v>
                </c:pt>
                <c:pt idx="730">
                  <c:v>43187</c:v>
                </c:pt>
                <c:pt idx="731">
                  <c:v>43188</c:v>
                </c:pt>
                <c:pt idx="732">
                  <c:v>43193</c:v>
                </c:pt>
                <c:pt idx="733">
                  <c:v>43194</c:v>
                </c:pt>
                <c:pt idx="734">
                  <c:v>43195</c:v>
                </c:pt>
                <c:pt idx="735">
                  <c:v>43196</c:v>
                </c:pt>
                <c:pt idx="736">
                  <c:v>43199</c:v>
                </c:pt>
                <c:pt idx="737">
                  <c:v>43200</c:v>
                </c:pt>
                <c:pt idx="738">
                  <c:v>43201</c:v>
                </c:pt>
                <c:pt idx="739">
                  <c:v>43202</c:v>
                </c:pt>
                <c:pt idx="740">
                  <c:v>43203</c:v>
                </c:pt>
                <c:pt idx="741">
                  <c:v>43206</c:v>
                </c:pt>
                <c:pt idx="742">
                  <c:v>43207</c:v>
                </c:pt>
                <c:pt idx="743">
                  <c:v>43208</c:v>
                </c:pt>
                <c:pt idx="744">
                  <c:v>43209</c:v>
                </c:pt>
                <c:pt idx="745">
                  <c:v>43210</c:v>
                </c:pt>
                <c:pt idx="746">
                  <c:v>43213</c:v>
                </c:pt>
                <c:pt idx="747">
                  <c:v>43214</c:v>
                </c:pt>
                <c:pt idx="748">
                  <c:v>43215</c:v>
                </c:pt>
                <c:pt idx="749">
                  <c:v>43216</c:v>
                </c:pt>
                <c:pt idx="750">
                  <c:v>43217</c:v>
                </c:pt>
                <c:pt idx="751">
                  <c:v>43220</c:v>
                </c:pt>
                <c:pt idx="752">
                  <c:v>43221</c:v>
                </c:pt>
                <c:pt idx="753">
                  <c:v>43222</c:v>
                </c:pt>
                <c:pt idx="754">
                  <c:v>43223</c:v>
                </c:pt>
                <c:pt idx="755">
                  <c:v>43224</c:v>
                </c:pt>
                <c:pt idx="756">
                  <c:v>43227</c:v>
                </c:pt>
                <c:pt idx="757">
                  <c:v>43228</c:v>
                </c:pt>
                <c:pt idx="758">
                  <c:v>43229</c:v>
                </c:pt>
                <c:pt idx="759">
                  <c:v>43230</c:v>
                </c:pt>
                <c:pt idx="760">
                  <c:v>43231</c:v>
                </c:pt>
                <c:pt idx="761">
                  <c:v>43234</c:v>
                </c:pt>
                <c:pt idx="762">
                  <c:v>43235</c:v>
                </c:pt>
                <c:pt idx="763">
                  <c:v>43236</c:v>
                </c:pt>
                <c:pt idx="764">
                  <c:v>43237</c:v>
                </c:pt>
                <c:pt idx="765">
                  <c:v>43238</c:v>
                </c:pt>
                <c:pt idx="766">
                  <c:v>43241</c:v>
                </c:pt>
                <c:pt idx="767">
                  <c:v>43242</c:v>
                </c:pt>
                <c:pt idx="768">
                  <c:v>43243</c:v>
                </c:pt>
                <c:pt idx="769">
                  <c:v>43244</c:v>
                </c:pt>
                <c:pt idx="770">
                  <c:v>43245</c:v>
                </c:pt>
                <c:pt idx="771">
                  <c:v>43248</c:v>
                </c:pt>
                <c:pt idx="772">
                  <c:v>43249</c:v>
                </c:pt>
                <c:pt idx="773">
                  <c:v>43250</c:v>
                </c:pt>
                <c:pt idx="774">
                  <c:v>43251</c:v>
                </c:pt>
                <c:pt idx="775">
                  <c:v>43252</c:v>
                </c:pt>
                <c:pt idx="776">
                  <c:v>43255</c:v>
                </c:pt>
                <c:pt idx="777">
                  <c:v>43256</c:v>
                </c:pt>
                <c:pt idx="778">
                  <c:v>43257</c:v>
                </c:pt>
                <c:pt idx="779">
                  <c:v>43258</c:v>
                </c:pt>
                <c:pt idx="780">
                  <c:v>43259</c:v>
                </c:pt>
                <c:pt idx="781">
                  <c:v>43262</c:v>
                </c:pt>
                <c:pt idx="782">
                  <c:v>43263</c:v>
                </c:pt>
                <c:pt idx="783">
                  <c:v>43264</c:v>
                </c:pt>
                <c:pt idx="784">
                  <c:v>43265</c:v>
                </c:pt>
                <c:pt idx="785">
                  <c:v>43266</c:v>
                </c:pt>
                <c:pt idx="786">
                  <c:v>43269</c:v>
                </c:pt>
                <c:pt idx="787">
                  <c:v>43270</c:v>
                </c:pt>
                <c:pt idx="788">
                  <c:v>43271</c:v>
                </c:pt>
                <c:pt idx="789">
                  <c:v>43272</c:v>
                </c:pt>
                <c:pt idx="790">
                  <c:v>43273</c:v>
                </c:pt>
                <c:pt idx="791">
                  <c:v>43276</c:v>
                </c:pt>
                <c:pt idx="792">
                  <c:v>43277</c:v>
                </c:pt>
                <c:pt idx="793">
                  <c:v>43278</c:v>
                </c:pt>
                <c:pt idx="794">
                  <c:v>43279</c:v>
                </c:pt>
                <c:pt idx="795">
                  <c:v>43280</c:v>
                </c:pt>
                <c:pt idx="796">
                  <c:v>43283</c:v>
                </c:pt>
                <c:pt idx="797">
                  <c:v>43284</c:v>
                </c:pt>
                <c:pt idx="798">
                  <c:v>43285</c:v>
                </c:pt>
                <c:pt idx="799">
                  <c:v>43286</c:v>
                </c:pt>
                <c:pt idx="800">
                  <c:v>43287</c:v>
                </c:pt>
                <c:pt idx="801">
                  <c:v>43290</c:v>
                </c:pt>
                <c:pt idx="802">
                  <c:v>43291</c:v>
                </c:pt>
                <c:pt idx="803">
                  <c:v>43292</c:v>
                </c:pt>
                <c:pt idx="804">
                  <c:v>43293</c:v>
                </c:pt>
                <c:pt idx="805">
                  <c:v>43294</c:v>
                </c:pt>
                <c:pt idx="806">
                  <c:v>43297</c:v>
                </c:pt>
                <c:pt idx="807">
                  <c:v>43298</c:v>
                </c:pt>
                <c:pt idx="808">
                  <c:v>43299</c:v>
                </c:pt>
                <c:pt idx="809">
                  <c:v>43300</c:v>
                </c:pt>
                <c:pt idx="810">
                  <c:v>43301</c:v>
                </c:pt>
                <c:pt idx="811">
                  <c:v>43304</c:v>
                </c:pt>
                <c:pt idx="812">
                  <c:v>43305</c:v>
                </c:pt>
                <c:pt idx="813">
                  <c:v>43306</c:v>
                </c:pt>
                <c:pt idx="814">
                  <c:v>43307</c:v>
                </c:pt>
                <c:pt idx="815">
                  <c:v>43308</c:v>
                </c:pt>
                <c:pt idx="816">
                  <c:v>43311</c:v>
                </c:pt>
                <c:pt idx="817">
                  <c:v>43312</c:v>
                </c:pt>
                <c:pt idx="818">
                  <c:v>43313</c:v>
                </c:pt>
                <c:pt idx="819">
                  <c:v>43314</c:v>
                </c:pt>
                <c:pt idx="820">
                  <c:v>43315</c:v>
                </c:pt>
                <c:pt idx="821">
                  <c:v>43318</c:v>
                </c:pt>
                <c:pt idx="822">
                  <c:v>43319</c:v>
                </c:pt>
                <c:pt idx="823">
                  <c:v>43320</c:v>
                </c:pt>
                <c:pt idx="824">
                  <c:v>43321</c:v>
                </c:pt>
                <c:pt idx="825">
                  <c:v>43322</c:v>
                </c:pt>
                <c:pt idx="826">
                  <c:v>43325</c:v>
                </c:pt>
                <c:pt idx="827">
                  <c:v>43326</c:v>
                </c:pt>
                <c:pt idx="828">
                  <c:v>43327</c:v>
                </c:pt>
                <c:pt idx="829">
                  <c:v>43328</c:v>
                </c:pt>
                <c:pt idx="830">
                  <c:v>43329</c:v>
                </c:pt>
                <c:pt idx="831">
                  <c:v>43332</c:v>
                </c:pt>
                <c:pt idx="832">
                  <c:v>43333</c:v>
                </c:pt>
                <c:pt idx="833">
                  <c:v>43334</c:v>
                </c:pt>
                <c:pt idx="834">
                  <c:v>43335</c:v>
                </c:pt>
                <c:pt idx="835">
                  <c:v>43336</c:v>
                </c:pt>
                <c:pt idx="836">
                  <c:v>43339</c:v>
                </c:pt>
                <c:pt idx="837">
                  <c:v>43340</c:v>
                </c:pt>
                <c:pt idx="838">
                  <c:v>43341</c:v>
                </c:pt>
                <c:pt idx="839">
                  <c:v>43342</c:v>
                </c:pt>
                <c:pt idx="840">
                  <c:v>43343</c:v>
                </c:pt>
                <c:pt idx="841">
                  <c:v>43346</c:v>
                </c:pt>
                <c:pt idx="842">
                  <c:v>43347</c:v>
                </c:pt>
                <c:pt idx="843">
                  <c:v>43348</c:v>
                </c:pt>
                <c:pt idx="844">
                  <c:v>43349</c:v>
                </c:pt>
                <c:pt idx="845">
                  <c:v>43350</c:v>
                </c:pt>
                <c:pt idx="846">
                  <c:v>43353</c:v>
                </c:pt>
                <c:pt idx="847">
                  <c:v>43354</c:v>
                </c:pt>
                <c:pt idx="848">
                  <c:v>43355</c:v>
                </c:pt>
                <c:pt idx="849">
                  <c:v>43356</c:v>
                </c:pt>
                <c:pt idx="850">
                  <c:v>43357</c:v>
                </c:pt>
                <c:pt idx="851">
                  <c:v>43360</c:v>
                </c:pt>
                <c:pt idx="852">
                  <c:v>43361</c:v>
                </c:pt>
                <c:pt idx="853">
                  <c:v>43362</c:v>
                </c:pt>
                <c:pt idx="854">
                  <c:v>43363</c:v>
                </c:pt>
                <c:pt idx="855">
                  <c:v>43364</c:v>
                </c:pt>
                <c:pt idx="856">
                  <c:v>43367</c:v>
                </c:pt>
                <c:pt idx="857">
                  <c:v>43368</c:v>
                </c:pt>
                <c:pt idx="858">
                  <c:v>43369</c:v>
                </c:pt>
                <c:pt idx="859">
                  <c:v>43370</c:v>
                </c:pt>
                <c:pt idx="860">
                  <c:v>43371</c:v>
                </c:pt>
                <c:pt idx="861">
                  <c:v>43374</c:v>
                </c:pt>
                <c:pt idx="862">
                  <c:v>43375</c:v>
                </c:pt>
                <c:pt idx="863">
                  <c:v>43376</c:v>
                </c:pt>
                <c:pt idx="864">
                  <c:v>43377</c:v>
                </c:pt>
                <c:pt idx="865">
                  <c:v>43378</c:v>
                </c:pt>
                <c:pt idx="866">
                  <c:v>43381</c:v>
                </c:pt>
                <c:pt idx="867">
                  <c:v>43382</c:v>
                </c:pt>
                <c:pt idx="868">
                  <c:v>43383</c:v>
                </c:pt>
                <c:pt idx="869">
                  <c:v>43384</c:v>
                </c:pt>
                <c:pt idx="870">
                  <c:v>43385</c:v>
                </c:pt>
                <c:pt idx="871">
                  <c:v>43388</c:v>
                </c:pt>
                <c:pt idx="872">
                  <c:v>43389</c:v>
                </c:pt>
                <c:pt idx="873">
                  <c:v>43390</c:v>
                </c:pt>
                <c:pt idx="874">
                  <c:v>43391</c:v>
                </c:pt>
                <c:pt idx="875">
                  <c:v>43392</c:v>
                </c:pt>
                <c:pt idx="876">
                  <c:v>43395</c:v>
                </c:pt>
                <c:pt idx="877">
                  <c:v>43396</c:v>
                </c:pt>
                <c:pt idx="878">
                  <c:v>43397</c:v>
                </c:pt>
                <c:pt idx="879">
                  <c:v>43398</c:v>
                </c:pt>
                <c:pt idx="880">
                  <c:v>43399</c:v>
                </c:pt>
                <c:pt idx="881">
                  <c:v>43402</c:v>
                </c:pt>
                <c:pt idx="882">
                  <c:v>43403</c:v>
                </c:pt>
                <c:pt idx="883">
                  <c:v>43404</c:v>
                </c:pt>
                <c:pt idx="884">
                  <c:v>43405</c:v>
                </c:pt>
                <c:pt idx="885">
                  <c:v>43406</c:v>
                </c:pt>
                <c:pt idx="886">
                  <c:v>43409</c:v>
                </c:pt>
                <c:pt idx="887">
                  <c:v>43410</c:v>
                </c:pt>
                <c:pt idx="888">
                  <c:v>43411</c:v>
                </c:pt>
                <c:pt idx="889">
                  <c:v>43412</c:v>
                </c:pt>
                <c:pt idx="890">
                  <c:v>43413</c:v>
                </c:pt>
                <c:pt idx="891">
                  <c:v>43416</c:v>
                </c:pt>
                <c:pt idx="892">
                  <c:v>43417</c:v>
                </c:pt>
                <c:pt idx="893">
                  <c:v>43418</c:v>
                </c:pt>
                <c:pt idx="894">
                  <c:v>43419</c:v>
                </c:pt>
                <c:pt idx="895">
                  <c:v>43420</c:v>
                </c:pt>
                <c:pt idx="896">
                  <c:v>43423</c:v>
                </c:pt>
                <c:pt idx="897">
                  <c:v>43424</c:v>
                </c:pt>
                <c:pt idx="898">
                  <c:v>43425</c:v>
                </c:pt>
                <c:pt idx="899">
                  <c:v>43426</c:v>
                </c:pt>
                <c:pt idx="900">
                  <c:v>43427</c:v>
                </c:pt>
                <c:pt idx="901">
                  <c:v>43430</c:v>
                </c:pt>
                <c:pt idx="902">
                  <c:v>43431</c:v>
                </c:pt>
                <c:pt idx="903">
                  <c:v>43432</c:v>
                </c:pt>
                <c:pt idx="904">
                  <c:v>43433</c:v>
                </c:pt>
                <c:pt idx="905">
                  <c:v>43434</c:v>
                </c:pt>
                <c:pt idx="906">
                  <c:v>43437</c:v>
                </c:pt>
                <c:pt idx="907">
                  <c:v>43438</c:v>
                </c:pt>
                <c:pt idx="908">
                  <c:v>43439</c:v>
                </c:pt>
                <c:pt idx="909">
                  <c:v>43440</c:v>
                </c:pt>
                <c:pt idx="910">
                  <c:v>43441</c:v>
                </c:pt>
                <c:pt idx="911">
                  <c:v>43444</c:v>
                </c:pt>
                <c:pt idx="912">
                  <c:v>43445</c:v>
                </c:pt>
                <c:pt idx="913">
                  <c:v>43446</c:v>
                </c:pt>
                <c:pt idx="914">
                  <c:v>43447</c:v>
                </c:pt>
                <c:pt idx="915">
                  <c:v>43448</c:v>
                </c:pt>
                <c:pt idx="916">
                  <c:v>43451</c:v>
                </c:pt>
                <c:pt idx="917">
                  <c:v>43452</c:v>
                </c:pt>
                <c:pt idx="918">
                  <c:v>43453</c:v>
                </c:pt>
                <c:pt idx="919">
                  <c:v>43454</c:v>
                </c:pt>
                <c:pt idx="920">
                  <c:v>43455</c:v>
                </c:pt>
                <c:pt idx="921">
                  <c:v>43458</c:v>
                </c:pt>
                <c:pt idx="922">
                  <c:v>43461</c:v>
                </c:pt>
                <c:pt idx="923">
                  <c:v>43462</c:v>
                </c:pt>
                <c:pt idx="924">
                  <c:v>43465</c:v>
                </c:pt>
                <c:pt idx="925">
                  <c:v>43467</c:v>
                </c:pt>
                <c:pt idx="926">
                  <c:v>43468</c:v>
                </c:pt>
                <c:pt idx="927">
                  <c:v>43469</c:v>
                </c:pt>
                <c:pt idx="928">
                  <c:v>43472</c:v>
                </c:pt>
                <c:pt idx="929">
                  <c:v>43473</c:v>
                </c:pt>
                <c:pt idx="930">
                  <c:v>43474</c:v>
                </c:pt>
                <c:pt idx="931">
                  <c:v>43475</c:v>
                </c:pt>
                <c:pt idx="932">
                  <c:v>43476</c:v>
                </c:pt>
                <c:pt idx="933">
                  <c:v>43479</c:v>
                </c:pt>
                <c:pt idx="934">
                  <c:v>43480</c:v>
                </c:pt>
                <c:pt idx="935">
                  <c:v>43481</c:v>
                </c:pt>
                <c:pt idx="936">
                  <c:v>43482</c:v>
                </c:pt>
                <c:pt idx="937">
                  <c:v>43483</c:v>
                </c:pt>
                <c:pt idx="938">
                  <c:v>43486</c:v>
                </c:pt>
                <c:pt idx="939">
                  <c:v>43487</c:v>
                </c:pt>
                <c:pt idx="940">
                  <c:v>43488</c:v>
                </c:pt>
                <c:pt idx="941">
                  <c:v>43489</c:v>
                </c:pt>
                <c:pt idx="942">
                  <c:v>43490</c:v>
                </c:pt>
                <c:pt idx="943">
                  <c:v>43493</c:v>
                </c:pt>
                <c:pt idx="944">
                  <c:v>43494</c:v>
                </c:pt>
                <c:pt idx="945">
                  <c:v>43495</c:v>
                </c:pt>
                <c:pt idx="946">
                  <c:v>43496</c:v>
                </c:pt>
                <c:pt idx="947">
                  <c:v>43497</c:v>
                </c:pt>
                <c:pt idx="948">
                  <c:v>43500</c:v>
                </c:pt>
                <c:pt idx="949">
                  <c:v>43501</c:v>
                </c:pt>
                <c:pt idx="950">
                  <c:v>43502</c:v>
                </c:pt>
                <c:pt idx="951">
                  <c:v>43503</c:v>
                </c:pt>
                <c:pt idx="952">
                  <c:v>43504</c:v>
                </c:pt>
                <c:pt idx="953">
                  <c:v>43507</c:v>
                </c:pt>
                <c:pt idx="954">
                  <c:v>43508</c:v>
                </c:pt>
                <c:pt idx="955">
                  <c:v>43509</c:v>
                </c:pt>
                <c:pt idx="956">
                  <c:v>43510</c:v>
                </c:pt>
                <c:pt idx="957">
                  <c:v>43511</c:v>
                </c:pt>
                <c:pt idx="958">
                  <c:v>43514</c:v>
                </c:pt>
                <c:pt idx="959">
                  <c:v>43515</c:v>
                </c:pt>
                <c:pt idx="960">
                  <c:v>43516</c:v>
                </c:pt>
                <c:pt idx="961">
                  <c:v>43517</c:v>
                </c:pt>
                <c:pt idx="962">
                  <c:v>43518</c:v>
                </c:pt>
                <c:pt idx="963">
                  <c:v>43521</c:v>
                </c:pt>
                <c:pt idx="964">
                  <c:v>43522</c:v>
                </c:pt>
                <c:pt idx="965">
                  <c:v>43523</c:v>
                </c:pt>
                <c:pt idx="966">
                  <c:v>43524</c:v>
                </c:pt>
                <c:pt idx="967">
                  <c:v>43525</c:v>
                </c:pt>
                <c:pt idx="968">
                  <c:v>43528</c:v>
                </c:pt>
                <c:pt idx="969">
                  <c:v>43529</c:v>
                </c:pt>
                <c:pt idx="970">
                  <c:v>43530</c:v>
                </c:pt>
                <c:pt idx="971">
                  <c:v>43531</c:v>
                </c:pt>
                <c:pt idx="972">
                  <c:v>43532</c:v>
                </c:pt>
                <c:pt idx="973">
                  <c:v>43535</c:v>
                </c:pt>
                <c:pt idx="974">
                  <c:v>43536</c:v>
                </c:pt>
                <c:pt idx="975">
                  <c:v>43537</c:v>
                </c:pt>
                <c:pt idx="976">
                  <c:v>43538</c:v>
                </c:pt>
                <c:pt idx="977">
                  <c:v>43539</c:v>
                </c:pt>
                <c:pt idx="978">
                  <c:v>43542</c:v>
                </c:pt>
                <c:pt idx="979">
                  <c:v>43543</c:v>
                </c:pt>
                <c:pt idx="980">
                  <c:v>43544</c:v>
                </c:pt>
                <c:pt idx="981">
                  <c:v>43545</c:v>
                </c:pt>
                <c:pt idx="982">
                  <c:v>43546</c:v>
                </c:pt>
                <c:pt idx="983">
                  <c:v>43549</c:v>
                </c:pt>
                <c:pt idx="984">
                  <c:v>43550</c:v>
                </c:pt>
                <c:pt idx="985">
                  <c:v>43551</c:v>
                </c:pt>
                <c:pt idx="986">
                  <c:v>43552</c:v>
                </c:pt>
                <c:pt idx="987">
                  <c:v>43553</c:v>
                </c:pt>
                <c:pt idx="988">
                  <c:v>43556</c:v>
                </c:pt>
                <c:pt idx="989">
                  <c:v>43557</c:v>
                </c:pt>
                <c:pt idx="990">
                  <c:v>43558</c:v>
                </c:pt>
                <c:pt idx="991">
                  <c:v>43559</c:v>
                </c:pt>
                <c:pt idx="992">
                  <c:v>43560</c:v>
                </c:pt>
                <c:pt idx="993">
                  <c:v>43563</c:v>
                </c:pt>
                <c:pt idx="994">
                  <c:v>43564</c:v>
                </c:pt>
                <c:pt idx="995">
                  <c:v>43565</c:v>
                </c:pt>
                <c:pt idx="996">
                  <c:v>43566</c:v>
                </c:pt>
                <c:pt idx="997">
                  <c:v>43567</c:v>
                </c:pt>
                <c:pt idx="998">
                  <c:v>43570</c:v>
                </c:pt>
                <c:pt idx="999">
                  <c:v>43571</c:v>
                </c:pt>
                <c:pt idx="1000">
                  <c:v>43572</c:v>
                </c:pt>
                <c:pt idx="1001">
                  <c:v>43573</c:v>
                </c:pt>
                <c:pt idx="1002">
                  <c:v>43578</c:v>
                </c:pt>
                <c:pt idx="1003">
                  <c:v>43579</c:v>
                </c:pt>
                <c:pt idx="1004">
                  <c:v>43580</c:v>
                </c:pt>
                <c:pt idx="1005">
                  <c:v>43581</c:v>
                </c:pt>
                <c:pt idx="1006">
                  <c:v>43584</c:v>
                </c:pt>
                <c:pt idx="1007">
                  <c:v>43585</c:v>
                </c:pt>
                <c:pt idx="1008">
                  <c:v>43586</c:v>
                </c:pt>
                <c:pt idx="1009">
                  <c:v>43587</c:v>
                </c:pt>
                <c:pt idx="1010">
                  <c:v>43588</c:v>
                </c:pt>
                <c:pt idx="1011">
                  <c:v>43591</c:v>
                </c:pt>
                <c:pt idx="1012">
                  <c:v>43592</c:v>
                </c:pt>
                <c:pt idx="1013">
                  <c:v>43593</c:v>
                </c:pt>
                <c:pt idx="1014">
                  <c:v>43594</c:v>
                </c:pt>
                <c:pt idx="1015">
                  <c:v>43595</c:v>
                </c:pt>
                <c:pt idx="1016">
                  <c:v>43598</c:v>
                </c:pt>
                <c:pt idx="1017">
                  <c:v>43599</c:v>
                </c:pt>
                <c:pt idx="1018">
                  <c:v>43600</c:v>
                </c:pt>
                <c:pt idx="1019">
                  <c:v>43601</c:v>
                </c:pt>
                <c:pt idx="1020">
                  <c:v>43602</c:v>
                </c:pt>
                <c:pt idx="1021">
                  <c:v>43605</c:v>
                </c:pt>
                <c:pt idx="1022">
                  <c:v>43606</c:v>
                </c:pt>
                <c:pt idx="1023">
                  <c:v>43607</c:v>
                </c:pt>
                <c:pt idx="1024">
                  <c:v>43608</c:v>
                </c:pt>
                <c:pt idx="1025">
                  <c:v>43609</c:v>
                </c:pt>
                <c:pt idx="1026">
                  <c:v>43612</c:v>
                </c:pt>
                <c:pt idx="1027">
                  <c:v>43613</c:v>
                </c:pt>
                <c:pt idx="1028">
                  <c:v>43614</c:v>
                </c:pt>
                <c:pt idx="1029">
                  <c:v>43615</c:v>
                </c:pt>
                <c:pt idx="1030">
                  <c:v>43616</c:v>
                </c:pt>
                <c:pt idx="1031">
                  <c:v>43619</c:v>
                </c:pt>
                <c:pt idx="1032">
                  <c:v>43620</c:v>
                </c:pt>
                <c:pt idx="1033">
                  <c:v>43621</c:v>
                </c:pt>
                <c:pt idx="1034">
                  <c:v>43622</c:v>
                </c:pt>
                <c:pt idx="1035">
                  <c:v>43623</c:v>
                </c:pt>
                <c:pt idx="1036">
                  <c:v>43626</c:v>
                </c:pt>
                <c:pt idx="1037">
                  <c:v>43627</c:v>
                </c:pt>
                <c:pt idx="1038">
                  <c:v>43628</c:v>
                </c:pt>
                <c:pt idx="1039">
                  <c:v>43629</c:v>
                </c:pt>
                <c:pt idx="1040">
                  <c:v>43630</c:v>
                </c:pt>
                <c:pt idx="1041">
                  <c:v>43633</c:v>
                </c:pt>
                <c:pt idx="1042">
                  <c:v>43634</c:v>
                </c:pt>
                <c:pt idx="1043">
                  <c:v>43635</c:v>
                </c:pt>
                <c:pt idx="1044">
                  <c:v>43636</c:v>
                </c:pt>
                <c:pt idx="1045">
                  <c:v>43637</c:v>
                </c:pt>
                <c:pt idx="1046">
                  <c:v>43640</c:v>
                </c:pt>
                <c:pt idx="1047">
                  <c:v>43641</c:v>
                </c:pt>
                <c:pt idx="1048">
                  <c:v>43642</c:v>
                </c:pt>
                <c:pt idx="1049">
                  <c:v>43643</c:v>
                </c:pt>
                <c:pt idx="1050">
                  <c:v>43644</c:v>
                </c:pt>
                <c:pt idx="1051">
                  <c:v>43647</c:v>
                </c:pt>
                <c:pt idx="1052">
                  <c:v>43648</c:v>
                </c:pt>
                <c:pt idx="1053">
                  <c:v>43649</c:v>
                </c:pt>
                <c:pt idx="1054">
                  <c:v>43650</c:v>
                </c:pt>
                <c:pt idx="1055">
                  <c:v>43651</c:v>
                </c:pt>
                <c:pt idx="1056">
                  <c:v>43654</c:v>
                </c:pt>
                <c:pt idx="1057">
                  <c:v>43655</c:v>
                </c:pt>
                <c:pt idx="1058">
                  <c:v>43656</c:v>
                </c:pt>
                <c:pt idx="1059">
                  <c:v>43657</c:v>
                </c:pt>
                <c:pt idx="1060">
                  <c:v>43658</c:v>
                </c:pt>
                <c:pt idx="1061">
                  <c:v>43661</c:v>
                </c:pt>
                <c:pt idx="1062">
                  <c:v>43662</c:v>
                </c:pt>
                <c:pt idx="1063">
                  <c:v>43663</c:v>
                </c:pt>
                <c:pt idx="1064">
                  <c:v>43664</c:v>
                </c:pt>
                <c:pt idx="1065">
                  <c:v>43665</c:v>
                </c:pt>
                <c:pt idx="1066">
                  <c:v>43668</c:v>
                </c:pt>
                <c:pt idx="1067">
                  <c:v>43669</c:v>
                </c:pt>
                <c:pt idx="1068">
                  <c:v>43670</c:v>
                </c:pt>
                <c:pt idx="1069">
                  <c:v>43671</c:v>
                </c:pt>
                <c:pt idx="1070">
                  <c:v>43672</c:v>
                </c:pt>
                <c:pt idx="1071">
                  <c:v>43675</c:v>
                </c:pt>
                <c:pt idx="1072">
                  <c:v>43676</c:v>
                </c:pt>
                <c:pt idx="1073">
                  <c:v>43677</c:v>
                </c:pt>
                <c:pt idx="1074">
                  <c:v>43678</c:v>
                </c:pt>
                <c:pt idx="1075">
                  <c:v>43679</c:v>
                </c:pt>
                <c:pt idx="1076">
                  <c:v>43682</c:v>
                </c:pt>
                <c:pt idx="1077">
                  <c:v>43683</c:v>
                </c:pt>
                <c:pt idx="1078">
                  <c:v>43684</c:v>
                </c:pt>
                <c:pt idx="1079">
                  <c:v>43685</c:v>
                </c:pt>
                <c:pt idx="1080">
                  <c:v>43686</c:v>
                </c:pt>
                <c:pt idx="1081">
                  <c:v>43689</c:v>
                </c:pt>
                <c:pt idx="1082">
                  <c:v>43690</c:v>
                </c:pt>
                <c:pt idx="1083">
                  <c:v>43691</c:v>
                </c:pt>
                <c:pt idx="1084">
                  <c:v>43692</c:v>
                </c:pt>
                <c:pt idx="1085">
                  <c:v>43693</c:v>
                </c:pt>
                <c:pt idx="1086">
                  <c:v>43696</c:v>
                </c:pt>
                <c:pt idx="1087">
                  <c:v>43697</c:v>
                </c:pt>
                <c:pt idx="1088">
                  <c:v>43698</c:v>
                </c:pt>
                <c:pt idx="1089">
                  <c:v>43699</c:v>
                </c:pt>
                <c:pt idx="1090">
                  <c:v>43700</c:v>
                </c:pt>
                <c:pt idx="1091">
                  <c:v>43703</c:v>
                </c:pt>
                <c:pt idx="1092">
                  <c:v>43704</c:v>
                </c:pt>
                <c:pt idx="1093">
                  <c:v>43705</c:v>
                </c:pt>
                <c:pt idx="1094">
                  <c:v>43706</c:v>
                </c:pt>
                <c:pt idx="1095">
                  <c:v>43707</c:v>
                </c:pt>
                <c:pt idx="1096">
                  <c:v>43710</c:v>
                </c:pt>
                <c:pt idx="1097">
                  <c:v>43711</c:v>
                </c:pt>
                <c:pt idx="1098">
                  <c:v>43712</c:v>
                </c:pt>
                <c:pt idx="1099">
                  <c:v>43713</c:v>
                </c:pt>
                <c:pt idx="1100">
                  <c:v>43714</c:v>
                </c:pt>
                <c:pt idx="1101">
                  <c:v>43717</c:v>
                </c:pt>
                <c:pt idx="1102">
                  <c:v>43718</c:v>
                </c:pt>
                <c:pt idx="1103">
                  <c:v>43719</c:v>
                </c:pt>
                <c:pt idx="1104">
                  <c:v>43720</c:v>
                </c:pt>
                <c:pt idx="1105">
                  <c:v>43721</c:v>
                </c:pt>
                <c:pt idx="1106">
                  <c:v>43724</c:v>
                </c:pt>
                <c:pt idx="1107">
                  <c:v>43725</c:v>
                </c:pt>
                <c:pt idx="1108">
                  <c:v>43726</c:v>
                </c:pt>
                <c:pt idx="1109">
                  <c:v>43727</c:v>
                </c:pt>
                <c:pt idx="1110">
                  <c:v>43728</c:v>
                </c:pt>
                <c:pt idx="1111">
                  <c:v>43731</c:v>
                </c:pt>
                <c:pt idx="1112">
                  <c:v>43732</c:v>
                </c:pt>
                <c:pt idx="1113">
                  <c:v>43733</c:v>
                </c:pt>
                <c:pt idx="1114">
                  <c:v>43734</c:v>
                </c:pt>
                <c:pt idx="1115">
                  <c:v>43735</c:v>
                </c:pt>
                <c:pt idx="1116">
                  <c:v>43738</c:v>
                </c:pt>
                <c:pt idx="1117">
                  <c:v>43739</c:v>
                </c:pt>
                <c:pt idx="1118">
                  <c:v>43740</c:v>
                </c:pt>
                <c:pt idx="1119">
                  <c:v>43741</c:v>
                </c:pt>
                <c:pt idx="1120">
                  <c:v>43742</c:v>
                </c:pt>
                <c:pt idx="1121">
                  <c:v>43745</c:v>
                </c:pt>
                <c:pt idx="1122">
                  <c:v>43746</c:v>
                </c:pt>
                <c:pt idx="1123">
                  <c:v>43747</c:v>
                </c:pt>
                <c:pt idx="1124">
                  <c:v>43748</c:v>
                </c:pt>
                <c:pt idx="1125">
                  <c:v>43749</c:v>
                </c:pt>
                <c:pt idx="1126">
                  <c:v>43752</c:v>
                </c:pt>
                <c:pt idx="1127">
                  <c:v>43753</c:v>
                </c:pt>
                <c:pt idx="1128">
                  <c:v>43754</c:v>
                </c:pt>
                <c:pt idx="1129">
                  <c:v>43755</c:v>
                </c:pt>
                <c:pt idx="1130">
                  <c:v>43756</c:v>
                </c:pt>
                <c:pt idx="1131">
                  <c:v>43759</c:v>
                </c:pt>
                <c:pt idx="1132">
                  <c:v>43760</c:v>
                </c:pt>
                <c:pt idx="1133">
                  <c:v>43761</c:v>
                </c:pt>
                <c:pt idx="1134">
                  <c:v>43762</c:v>
                </c:pt>
                <c:pt idx="1135">
                  <c:v>43763</c:v>
                </c:pt>
                <c:pt idx="1136">
                  <c:v>43766</c:v>
                </c:pt>
                <c:pt idx="1137">
                  <c:v>43767</c:v>
                </c:pt>
                <c:pt idx="1138">
                  <c:v>43768</c:v>
                </c:pt>
                <c:pt idx="1139">
                  <c:v>43769</c:v>
                </c:pt>
                <c:pt idx="1140">
                  <c:v>43770</c:v>
                </c:pt>
                <c:pt idx="1141">
                  <c:v>43773</c:v>
                </c:pt>
                <c:pt idx="1142">
                  <c:v>43774</c:v>
                </c:pt>
                <c:pt idx="1143">
                  <c:v>43775</c:v>
                </c:pt>
                <c:pt idx="1144">
                  <c:v>43776</c:v>
                </c:pt>
                <c:pt idx="1145">
                  <c:v>43777</c:v>
                </c:pt>
                <c:pt idx="1146">
                  <c:v>43780</c:v>
                </c:pt>
                <c:pt idx="1147">
                  <c:v>43781</c:v>
                </c:pt>
                <c:pt idx="1148">
                  <c:v>43782</c:v>
                </c:pt>
                <c:pt idx="1149">
                  <c:v>43783</c:v>
                </c:pt>
                <c:pt idx="1150">
                  <c:v>43784</c:v>
                </c:pt>
                <c:pt idx="1151">
                  <c:v>43787</c:v>
                </c:pt>
                <c:pt idx="1152">
                  <c:v>43788</c:v>
                </c:pt>
                <c:pt idx="1153">
                  <c:v>43789</c:v>
                </c:pt>
                <c:pt idx="1154">
                  <c:v>43790</c:v>
                </c:pt>
                <c:pt idx="1155">
                  <c:v>43791</c:v>
                </c:pt>
                <c:pt idx="1156">
                  <c:v>43794</c:v>
                </c:pt>
                <c:pt idx="1157">
                  <c:v>43795</c:v>
                </c:pt>
                <c:pt idx="1158">
                  <c:v>43796</c:v>
                </c:pt>
                <c:pt idx="1159">
                  <c:v>43797</c:v>
                </c:pt>
                <c:pt idx="1160">
                  <c:v>43798</c:v>
                </c:pt>
                <c:pt idx="1161">
                  <c:v>43801</c:v>
                </c:pt>
                <c:pt idx="1162">
                  <c:v>43802</c:v>
                </c:pt>
                <c:pt idx="1163">
                  <c:v>43803</c:v>
                </c:pt>
                <c:pt idx="1164">
                  <c:v>43804</c:v>
                </c:pt>
                <c:pt idx="1165">
                  <c:v>43805</c:v>
                </c:pt>
                <c:pt idx="1166">
                  <c:v>43808</c:v>
                </c:pt>
                <c:pt idx="1167">
                  <c:v>43809</c:v>
                </c:pt>
                <c:pt idx="1168">
                  <c:v>43810</c:v>
                </c:pt>
                <c:pt idx="1169">
                  <c:v>43811</c:v>
                </c:pt>
                <c:pt idx="1170">
                  <c:v>43812</c:v>
                </c:pt>
                <c:pt idx="1171">
                  <c:v>43815</c:v>
                </c:pt>
                <c:pt idx="1172">
                  <c:v>43816</c:v>
                </c:pt>
                <c:pt idx="1173">
                  <c:v>43817</c:v>
                </c:pt>
                <c:pt idx="1174">
                  <c:v>43818</c:v>
                </c:pt>
                <c:pt idx="1175">
                  <c:v>43819</c:v>
                </c:pt>
                <c:pt idx="1176">
                  <c:v>43822</c:v>
                </c:pt>
                <c:pt idx="1177">
                  <c:v>43823</c:v>
                </c:pt>
                <c:pt idx="1178">
                  <c:v>43826</c:v>
                </c:pt>
                <c:pt idx="1179">
                  <c:v>43829</c:v>
                </c:pt>
                <c:pt idx="1180">
                  <c:v>43830</c:v>
                </c:pt>
                <c:pt idx="1181">
                  <c:v>43832</c:v>
                </c:pt>
                <c:pt idx="1182">
                  <c:v>43833</c:v>
                </c:pt>
                <c:pt idx="1183">
                  <c:v>43836</c:v>
                </c:pt>
                <c:pt idx="1184">
                  <c:v>43837</c:v>
                </c:pt>
                <c:pt idx="1185">
                  <c:v>43838</c:v>
                </c:pt>
                <c:pt idx="1186">
                  <c:v>43839</c:v>
                </c:pt>
                <c:pt idx="1187">
                  <c:v>43840</c:v>
                </c:pt>
                <c:pt idx="1188">
                  <c:v>43843</c:v>
                </c:pt>
                <c:pt idx="1189">
                  <c:v>43844</c:v>
                </c:pt>
                <c:pt idx="1190">
                  <c:v>43845</c:v>
                </c:pt>
                <c:pt idx="1191">
                  <c:v>43846</c:v>
                </c:pt>
                <c:pt idx="1192">
                  <c:v>43847</c:v>
                </c:pt>
                <c:pt idx="1193">
                  <c:v>43850</c:v>
                </c:pt>
                <c:pt idx="1194">
                  <c:v>43851</c:v>
                </c:pt>
                <c:pt idx="1195">
                  <c:v>43852</c:v>
                </c:pt>
                <c:pt idx="1196">
                  <c:v>43853</c:v>
                </c:pt>
                <c:pt idx="1197">
                  <c:v>43854</c:v>
                </c:pt>
                <c:pt idx="1198">
                  <c:v>43857</c:v>
                </c:pt>
                <c:pt idx="1199">
                  <c:v>43858</c:v>
                </c:pt>
                <c:pt idx="1200">
                  <c:v>43859</c:v>
                </c:pt>
                <c:pt idx="1201">
                  <c:v>43860</c:v>
                </c:pt>
                <c:pt idx="1202">
                  <c:v>43861</c:v>
                </c:pt>
                <c:pt idx="1203">
                  <c:v>43864</c:v>
                </c:pt>
                <c:pt idx="1204">
                  <c:v>43865</c:v>
                </c:pt>
                <c:pt idx="1205">
                  <c:v>43866</c:v>
                </c:pt>
                <c:pt idx="1206">
                  <c:v>43867</c:v>
                </c:pt>
                <c:pt idx="1207">
                  <c:v>43868</c:v>
                </c:pt>
                <c:pt idx="1208">
                  <c:v>43871</c:v>
                </c:pt>
                <c:pt idx="1209">
                  <c:v>43872</c:v>
                </c:pt>
                <c:pt idx="1210">
                  <c:v>43873</c:v>
                </c:pt>
                <c:pt idx="1211">
                  <c:v>43874</c:v>
                </c:pt>
                <c:pt idx="1212">
                  <c:v>43875</c:v>
                </c:pt>
                <c:pt idx="1213">
                  <c:v>43878</c:v>
                </c:pt>
                <c:pt idx="1214">
                  <c:v>43879</c:v>
                </c:pt>
                <c:pt idx="1215">
                  <c:v>43880</c:v>
                </c:pt>
                <c:pt idx="1216">
                  <c:v>43881</c:v>
                </c:pt>
                <c:pt idx="1217">
                  <c:v>43882</c:v>
                </c:pt>
                <c:pt idx="1218">
                  <c:v>43885</c:v>
                </c:pt>
                <c:pt idx="1219">
                  <c:v>43886</c:v>
                </c:pt>
                <c:pt idx="1220">
                  <c:v>43887</c:v>
                </c:pt>
                <c:pt idx="1221">
                  <c:v>43888</c:v>
                </c:pt>
                <c:pt idx="1222">
                  <c:v>43889</c:v>
                </c:pt>
                <c:pt idx="1223">
                  <c:v>43892</c:v>
                </c:pt>
                <c:pt idx="1224">
                  <c:v>43893</c:v>
                </c:pt>
                <c:pt idx="1225">
                  <c:v>43894</c:v>
                </c:pt>
                <c:pt idx="1226">
                  <c:v>43895</c:v>
                </c:pt>
                <c:pt idx="1227">
                  <c:v>43896</c:v>
                </c:pt>
                <c:pt idx="1228">
                  <c:v>43899</c:v>
                </c:pt>
                <c:pt idx="1229">
                  <c:v>43900</c:v>
                </c:pt>
                <c:pt idx="1230">
                  <c:v>43901</c:v>
                </c:pt>
                <c:pt idx="1231">
                  <c:v>43902</c:v>
                </c:pt>
                <c:pt idx="1232">
                  <c:v>43903</c:v>
                </c:pt>
                <c:pt idx="1233">
                  <c:v>43906</c:v>
                </c:pt>
                <c:pt idx="1234">
                  <c:v>43907</c:v>
                </c:pt>
                <c:pt idx="1235">
                  <c:v>43908</c:v>
                </c:pt>
                <c:pt idx="1236">
                  <c:v>43909</c:v>
                </c:pt>
                <c:pt idx="1237">
                  <c:v>43910</c:v>
                </c:pt>
                <c:pt idx="1238">
                  <c:v>43913</c:v>
                </c:pt>
                <c:pt idx="1239">
                  <c:v>43914</c:v>
                </c:pt>
                <c:pt idx="1240">
                  <c:v>43915</c:v>
                </c:pt>
                <c:pt idx="1241">
                  <c:v>43916</c:v>
                </c:pt>
                <c:pt idx="1242">
                  <c:v>43917</c:v>
                </c:pt>
                <c:pt idx="1243">
                  <c:v>43920</c:v>
                </c:pt>
                <c:pt idx="1244">
                  <c:v>43921</c:v>
                </c:pt>
                <c:pt idx="1245">
                  <c:v>43922</c:v>
                </c:pt>
                <c:pt idx="1246">
                  <c:v>43923</c:v>
                </c:pt>
                <c:pt idx="1247">
                  <c:v>43924</c:v>
                </c:pt>
                <c:pt idx="1248">
                  <c:v>43927</c:v>
                </c:pt>
                <c:pt idx="1249">
                  <c:v>43928</c:v>
                </c:pt>
                <c:pt idx="1250">
                  <c:v>43929</c:v>
                </c:pt>
                <c:pt idx="1251">
                  <c:v>43930</c:v>
                </c:pt>
                <c:pt idx="1252">
                  <c:v>43935</c:v>
                </c:pt>
                <c:pt idx="1253">
                  <c:v>43936</c:v>
                </c:pt>
                <c:pt idx="1254">
                  <c:v>43937</c:v>
                </c:pt>
                <c:pt idx="1255">
                  <c:v>43938</c:v>
                </c:pt>
                <c:pt idx="1256">
                  <c:v>43941</c:v>
                </c:pt>
                <c:pt idx="1257">
                  <c:v>43942</c:v>
                </c:pt>
                <c:pt idx="1258">
                  <c:v>43943</c:v>
                </c:pt>
                <c:pt idx="1259">
                  <c:v>43944</c:v>
                </c:pt>
                <c:pt idx="1260">
                  <c:v>43945</c:v>
                </c:pt>
                <c:pt idx="1261">
                  <c:v>43948</c:v>
                </c:pt>
                <c:pt idx="1262">
                  <c:v>43949</c:v>
                </c:pt>
                <c:pt idx="1263">
                  <c:v>43950</c:v>
                </c:pt>
                <c:pt idx="1264">
                  <c:v>43951</c:v>
                </c:pt>
                <c:pt idx="1265">
                  <c:v>43952</c:v>
                </c:pt>
                <c:pt idx="1266">
                  <c:v>43955</c:v>
                </c:pt>
                <c:pt idx="1267">
                  <c:v>43956</c:v>
                </c:pt>
                <c:pt idx="1268">
                  <c:v>43957</c:v>
                </c:pt>
                <c:pt idx="1269">
                  <c:v>43958</c:v>
                </c:pt>
                <c:pt idx="1270">
                  <c:v>43959</c:v>
                </c:pt>
                <c:pt idx="1271">
                  <c:v>43962</c:v>
                </c:pt>
                <c:pt idx="1272">
                  <c:v>43963</c:v>
                </c:pt>
                <c:pt idx="1273">
                  <c:v>43964</c:v>
                </c:pt>
                <c:pt idx="1274">
                  <c:v>43965</c:v>
                </c:pt>
                <c:pt idx="1275">
                  <c:v>43966</c:v>
                </c:pt>
                <c:pt idx="1276">
                  <c:v>43969</c:v>
                </c:pt>
                <c:pt idx="1277">
                  <c:v>43970</c:v>
                </c:pt>
                <c:pt idx="1278">
                  <c:v>43971</c:v>
                </c:pt>
                <c:pt idx="1279">
                  <c:v>43972</c:v>
                </c:pt>
                <c:pt idx="1280">
                  <c:v>43973</c:v>
                </c:pt>
                <c:pt idx="1281">
                  <c:v>43976</c:v>
                </c:pt>
                <c:pt idx="1282">
                  <c:v>43977</c:v>
                </c:pt>
                <c:pt idx="1283">
                  <c:v>43978</c:v>
                </c:pt>
                <c:pt idx="1284">
                  <c:v>43979</c:v>
                </c:pt>
                <c:pt idx="1285">
                  <c:v>43980</c:v>
                </c:pt>
                <c:pt idx="1286">
                  <c:v>43983</c:v>
                </c:pt>
                <c:pt idx="1287">
                  <c:v>43984</c:v>
                </c:pt>
                <c:pt idx="1288">
                  <c:v>43985</c:v>
                </c:pt>
                <c:pt idx="1289">
                  <c:v>43986</c:v>
                </c:pt>
                <c:pt idx="1290">
                  <c:v>43987</c:v>
                </c:pt>
                <c:pt idx="1291">
                  <c:v>43990</c:v>
                </c:pt>
                <c:pt idx="1292">
                  <c:v>43991</c:v>
                </c:pt>
                <c:pt idx="1293">
                  <c:v>43992</c:v>
                </c:pt>
                <c:pt idx="1294">
                  <c:v>43993</c:v>
                </c:pt>
                <c:pt idx="1295">
                  <c:v>43994</c:v>
                </c:pt>
                <c:pt idx="1296">
                  <c:v>43997</c:v>
                </c:pt>
                <c:pt idx="1297">
                  <c:v>43998</c:v>
                </c:pt>
                <c:pt idx="1298">
                  <c:v>43999</c:v>
                </c:pt>
                <c:pt idx="1299">
                  <c:v>44000</c:v>
                </c:pt>
                <c:pt idx="1300">
                  <c:v>44001</c:v>
                </c:pt>
                <c:pt idx="1301">
                  <c:v>44004</c:v>
                </c:pt>
                <c:pt idx="1302">
                  <c:v>44005</c:v>
                </c:pt>
                <c:pt idx="1303">
                  <c:v>44006</c:v>
                </c:pt>
                <c:pt idx="1304">
                  <c:v>44007</c:v>
                </c:pt>
                <c:pt idx="1305">
                  <c:v>44008</c:v>
                </c:pt>
                <c:pt idx="1306">
                  <c:v>44011</c:v>
                </c:pt>
                <c:pt idx="1307">
                  <c:v>44012</c:v>
                </c:pt>
                <c:pt idx="1308">
                  <c:v>44013</c:v>
                </c:pt>
                <c:pt idx="1309">
                  <c:v>44014</c:v>
                </c:pt>
                <c:pt idx="1310">
                  <c:v>44015</c:v>
                </c:pt>
                <c:pt idx="1311">
                  <c:v>44018</c:v>
                </c:pt>
                <c:pt idx="1312">
                  <c:v>44019</c:v>
                </c:pt>
                <c:pt idx="1313">
                  <c:v>44020</c:v>
                </c:pt>
                <c:pt idx="1314">
                  <c:v>44021</c:v>
                </c:pt>
                <c:pt idx="1315">
                  <c:v>44022</c:v>
                </c:pt>
                <c:pt idx="1316">
                  <c:v>44025</c:v>
                </c:pt>
                <c:pt idx="1317">
                  <c:v>44026</c:v>
                </c:pt>
                <c:pt idx="1318">
                  <c:v>44027</c:v>
                </c:pt>
                <c:pt idx="1319">
                  <c:v>44028</c:v>
                </c:pt>
                <c:pt idx="1320">
                  <c:v>44029</c:v>
                </c:pt>
                <c:pt idx="1321">
                  <c:v>44032</c:v>
                </c:pt>
                <c:pt idx="1322">
                  <c:v>44033</c:v>
                </c:pt>
                <c:pt idx="1323">
                  <c:v>44034</c:v>
                </c:pt>
                <c:pt idx="1324">
                  <c:v>44035</c:v>
                </c:pt>
                <c:pt idx="1325">
                  <c:v>44036</c:v>
                </c:pt>
                <c:pt idx="1326">
                  <c:v>44039</c:v>
                </c:pt>
                <c:pt idx="1327">
                  <c:v>44040</c:v>
                </c:pt>
                <c:pt idx="1328">
                  <c:v>44041</c:v>
                </c:pt>
                <c:pt idx="1329">
                  <c:v>44042</c:v>
                </c:pt>
                <c:pt idx="1330">
                  <c:v>44043</c:v>
                </c:pt>
                <c:pt idx="1331">
                  <c:v>44046</c:v>
                </c:pt>
                <c:pt idx="1332">
                  <c:v>44047</c:v>
                </c:pt>
                <c:pt idx="1333">
                  <c:v>44048</c:v>
                </c:pt>
                <c:pt idx="1334">
                  <c:v>44049</c:v>
                </c:pt>
                <c:pt idx="1335">
                  <c:v>44050</c:v>
                </c:pt>
                <c:pt idx="1336">
                  <c:v>44053</c:v>
                </c:pt>
                <c:pt idx="1337">
                  <c:v>44054</c:v>
                </c:pt>
                <c:pt idx="1338">
                  <c:v>44055</c:v>
                </c:pt>
                <c:pt idx="1339">
                  <c:v>44056</c:v>
                </c:pt>
                <c:pt idx="1340">
                  <c:v>44057</c:v>
                </c:pt>
                <c:pt idx="1341">
                  <c:v>44060</c:v>
                </c:pt>
                <c:pt idx="1342">
                  <c:v>44061</c:v>
                </c:pt>
                <c:pt idx="1343">
                  <c:v>44062</c:v>
                </c:pt>
                <c:pt idx="1344">
                  <c:v>44063</c:v>
                </c:pt>
                <c:pt idx="1345">
                  <c:v>44064</c:v>
                </c:pt>
                <c:pt idx="1346">
                  <c:v>44067</c:v>
                </c:pt>
                <c:pt idx="1347">
                  <c:v>44068</c:v>
                </c:pt>
                <c:pt idx="1348">
                  <c:v>44069</c:v>
                </c:pt>
                <c:pt idx="1349">
                  <c:v>44070</c:v>
                </c:pt>
                <c:pt idx="1350">
                  <c:v>44071</c:v>
                </c:pt>
                <c:pt idx="1351">
                  <c:v>44074</c:v>
                </c:pt>
                <c:pt idx="1352">
                  <c:v>44075</c:v>
                </c:pt>
                <c:pt idx="1353">
                  <c:v>44076</c:v>
                </c:pt>
                <c:pt idx="1354">
                  <c:v>44077</c:v>
                </c:pt>
                <c:pt idx="1355">
                  <c:v>44078</c:v>
                </c:pt>
                <c:pt idx="1356">
                  <c:v>44081</c:v>
                </c:pt>
                <c:pt idx="1357">
                  <c:v>44082</c:v>
                </c:pt>
                <c:pt idx="1358">
                  <c:v>44083</c:v>
                </c:pt>
                <c:pt idx="1359">
                  <c:v>44084</c:v>
                </c:pt>
                <c:pt idx="1360">
                  <c:v>44085</c:v>
                </c:pt>
                <c:pt idx="1361">
                  <c:v>44088</c:v>
                </c:pt>
                <c:pt idx="1362">
                  <c:v>44089</c:v>
                </c:pt>
                <c:pt idx="1363">
                  <c:v>44090</c:v>
                </c:pt>
                <c:pt idx="1364">
                  <c:v>44091</c:v>
                </c:pt>
                <c:pt idx="1365">
                  <c:v>44092</c:v>
                </c:pt>
                <c:pt idx="1366">
                  <c:v>44095</c:v>
                </c:pt>
                <c:pt idx="1367">
                  <c:v>44096</c:v>
                </c:pt>
                <c:pt idx="1368">
                  <c:v>44097</c:v>
                </c:pt>
                <c:pt idx="1369">
                  <c:v>44098</c:v>
                </c:pt>
                <c:pt idx="1370">
                  <c:v>44099</c:v>
                </c:pt>
                <c:pt idx="1371">
                  <c:v>44102</c:v>
                </c:pt>
                <c:pt idx="1372">
                  <c:v>44103</c:v>
                </c:pt>
                <c:pt idx="1373">
                  <c:v>44104</c:v>
                </c:pt>
                <c:pt idx="1374">
                  <c:v>44105</c:v>
                </c:pt>
                <c:pt idx="1375">
                  <c:v>44106</c:v>
                </c:pt>
                <c:pt idx="1376">
                  <c:v>44109</c:v>
                </c:pt>
                <c:pt idx="1377">
                  <c:v>44110</c:v>
                </c:pt>
                <c:pt idx="1378">
                  <c:v>44111</c:v>
                </c:pt>
                <c:pt idx="1379">
                  <c:v>44112</c:v>
                </c:pt>
                <c:pt idx="1380">
                  <c:v>44113</c:v>
                </c:pt>
                <c:pt idx="1381">
                  <c:v>44116</c:v>
                </c:pt>
                <c:pt idx="1382">
                  <c:v>44117</c:v>
                </c:pt>
                <c:pt idx="1383">
                  <c:v>44118</c:v>
                </c:pt>
                <c:pt idx="1384">
                  <c:v>44119</c:v>
                </c:pt>
                <c:pt idx="1385">
                  <c:v>44120</c:v>
                </c:pt>
                <c:pt idx="1386">
                  <c:v>44123</c:v>
                </c:pt>
                <c:pt idx="1387">
                  <c:v>44124</c:v>
                </c:pt>
                <c:pt idx="1388">
                  <c:v>44125</c:v>
                </c:pt>
                <c:pt idx="1389">
                  <c:v>44126</c:v>
                </c:pt>
                <c:pt idx="1390">
                  <c:v>44127</c:v>
                </c:pt>
                <c:pt idx="1391">
                  <c:v>44130</c:v>
                </c:pt>
                <c:pt idx="1392">
                  <c:v>44131</c:v>
                </c:pt>
                <c:pt idx="1393">
                  <c:v>44132</c:v>
                </c:pt>
                <c:pt idx="1394">
                  <c:v>44133</c:v>
                </c:pt>
                <c:pt idx="1395">
                  <c:v>44134</c:v>
                </c:pt>
                <c:pt idx="1396">
                  <c:v>44137</c:v>
                </c:pt>
                <c:pt idx="1397">
                  <c:v>44138</c:v>
                </c:pt>
                <c:pt idx="1398">
                  <c:v>44139</c:v>
                </c:pt>
                <c:pt idx="1399">
                  <c:v>44140</c:v>
                </c:pt>
                <c:pt idx="1400">
                  <c:v>44141</c:v>
                </c:pt>
                <c:pt idx="1401">
                  <c:v>44144</c:v>
                </c:pt>
                <c:pt idx="1402">
                  <c:v>44145</c:v>
                </c:pt>
                <c:pt idx="1403">
                  <c:v>44146</c:v>
                </c:pt>
                <c:pt idx="1404">
                  <c:v>44147</c:v>
                </c:pt>
                <c:pt idx="1405">
                  <c:v>44148</c:v>
                </c:pt>
                <c:pt idx="1406">
                  <c:v>44151</c:v>
                </c:pt>
                <c:pt idx="1407">
                  <c:v>44152</c:v>
                </c:pt>
                <c:pt idx="1408">
                  <c:v>44153</c:v>
                </c:pt>
                <c:pt idx="1409">
                  <c:v>44154</c:v>
                </c:pt>
                <c:pt idx="1410">
                  <c:v>44155</c:v>
                </c:pt>
                <c:pt idx="1411">
                  <c:v>44158</c:v>
                </c:pt>
                <c:pt idx="1412">
                  <c:v>44159</c:v>
                </c:pt>
                <c:pt idx="1413">
                  <c:v>44160</c:v>
                </c:pt>
                <c:pt idx="1414">
                  <c:v>44161</c:v>
                </c:pt>
                <c:pt idx="1415">
                  <c:v>44162</c:v>
                </c:pt>
                <c:pt idx="1416">
                  <c:v>44165</c:v>
                </c:pt>
                <c:pt idx="1417">
                  <c:v>44166</c:v>
                </c:pt>
                <c:pt idx="1418">
                  <c:v>44167</c:v>
                </c:pt>
                <c:pt idx="1419">
                  <c:v>44168</c:v>
                </c:pt>
                <c:pt idx="1420">
                  <c:v>44169</c:v>
                </c:pt>
                <c:pt idx="1421">
                  <c:v>44172</c:v>
                </c:pt>
                <c:pt idx="1422">
                  <c:v>44173</c:v>
                </c:pt>
                <c:pt idx="1423">
                  <c:v>44174</c:v>
                </c:pt>
                <c:pt idx="1424">
                  <c:v>44175</c:v>
                </c:pt>
                <c:pt idx="1425">
                  <c:v>44176</c:v>
                </c:pt>
                <c:pt idx="1426">
                  <c:v>44179</c:v>
                </c:pt>
                <c:pt idx="1427">
                  <c:v>44180</c:v>
                </c:pt>
                <c:pt idx="1428">
                  <c:v>44181</c:v>
                </c:pt>
                <c:pt idx="1429">
                  <c:v>44182</c:v>
                </c:pt>
                <c:pt idx="1430">
                  <c:v>44183</c:v>
                </c:pt>
                <c:pt idx="1431">
                  <c:v>44186</c:v>
                </c:pt>
                <c:pt idx="1432">
                  <c:v>44187</c:v>
                </c:pt>
                <c:pt idx="1433">
                  <c:v>44188</c:v>
                </c:pt>
                <c:pt idx="1434">
                  <c:v>44189</c:v>
                </c:pt>
                <c:pt idx="1435">
                  <c:v>44193</c:v>
                </c:pt>
                <c:pt idx="1436">
                  <c:v>44194</c:v>
                </c:pt>
                <c:pt idx="1437">
                  <c:v>44195</c:v>
                </c:pt>
                <c:pt idx="1438">
                  <c:v>44196</c:v>
                </c:pt>
                <c:pt idx="1439">
                  <c:v>44200</c:v>
                </c:pt>
                <c:pt idx="1440">
                  <c:v>44201</c:v>
                </c:pt>
                <c:pt idx="1441">
                  <c:v>44202</c:v>
                </c:pt>
                <c:pt idx="1442">
                  <c:v>44203</c:v>
                </c:pt>
                <c:pt idx="1443">
                  <c:v>44204</c:v>
                </c:pt>
                <c:pt idx="1444">
                  <c:v>44207</c:v>
                </c:pt>
                <c:pt idx="1445">
                  <c:v>44208</c:v>
                </c:pt>
                <c:pt idx="1446">
                  <c:v>44209</c:v>
                </c:pt>
                <c:pt idx="1447">
                  <c:v>44210</c:v>
                </c:pt>
                <c:pt idx="1448">
                  <c:v>44211</c:v>
                </c:pt>
                <c:pt idx="1449">
                  <c:v>44214</c:v>
                </c:pt>
                <c:pt idx="1450">
                  <c:v>44215</c:v>
                </c:pt>
                <c:pt idx="1451">
                  <c:v>44216</c:v>
                </c:pt>
                <c:pt idx="1452">
                  <c:v>44217</c:v>
                </c:pt>
                <c:pt idx="1453">
                  <c:v>44218</c:v>
                </c:pt>
                <c:pt idx="1454">
                  <c:v>44221</c:v>
                </c:pt>
                <c:pt idx="1455">
                  <c:v>44222</c:v>
                </c:pt>
                <c:pt idx="1456">
                  <c:v>44223</c:v>
                </c:pt>
                <c:pt idx="1457">
                  <c:v>44224</c:v>
                </c:pt>
                <c:pt idx="1458">
                  <c:v>44225</c:v>
                </c:pt>
                <c:pt idx="1459">
                  <c:v>44228</c:v>
                </c:pt>
                <c:pt idx="1460">
                  <c:v>44229</c:v>
                </c:pt>
                <c:pt idx="1461">
                  <c:v>44230</c:v>
                </c:pt>
                <c:pt idx="1462">
                  <c:v>44231</c:v>
                </c:pt>
                <c:pt idx="1463">
                  <c:v>44232</c:v>
                </c:pt>
                <c:pt idx="1464">
                  <c:v>44235</c:v>
                </c:pt>
                <c:pt idx="1465">
                  <c:v>44236</c:v>
                </c:pt>
                <c:pt idx="1466">
                  <c:v>44237</c:v>
                </c:pt>
                <c:pt idx="1467">
                  <c:v>44238</c:v>
                </c:pt>
                <c:pt idx="1468">
                  <c:v>44239</c:v>
                </c:pt>
                <c:pt idx="1469">
                  <c:v>44242</c:v>
                </c:pt>
                <c:pt idx="1470">
                  <c:v>44243</c:v>
                </c:pt>
                <c:pt idx="1471">
                  <c:v>44244</c:v>
                </c:pt>
                <c:pt idx="1472">
                  <c:v>44245</c:v>
                </c:pt>
                <c:pt idx="1473">
                  <c:v>44246</c:v>
                </c:pt>
                <c:pt idx="1474">
                  <c:v>44249</c:v>
                </c:pt>
                <c:pt idx="1475">
                  <c:v>44250</c:v>
                </c:pt>
                <c:pt idx="1476">
                  <c:v>44251</c:v>
                </c:pt>
                <c:pt idx="1477">
                  <c:v>44252</c:v>
                </c:pt>
                <c:pt idx="1478">
                  <c:v>44253</c:v>
                </c:pt>
                <c:pt idx="1479">
                  <c:v>44256</c:v>
                </c:pt>
                <c:pt idx="1480">
                  <c:v>44257</c:v>
                </c:pt>
                <c:pt idx="1481">
                  <c:v>44258</c:v>
                </c:pt>
                <c:pt idx="1482">
                  <c:v>44259</c:v>
                </c:pt>
                <c:pt idx="1483">
                  <c:v>44260</c:v>
                </c:pt>
                <c:pt idx="1484">
                  <c:v>44263</c:v>
                </c:pt>
                <c:pt idx="1485">
                  <c:v>44264</c:v>
                </c:pt>
                <c:pt idx="1486">
                  <c:v>44265</c:v>
                </c:pt>
                <c:pt idx="1487">
                  <c:v>44266</c:v>
                </c:pt>
                <c:pt idx="1488">
                  <c:v>44267</c:v>
                </c:pt>
                <c:pt idx="1489">
                  <c:v>44270</c:v>
                </c:pt>
                <c:pt idx="1490">
                  <c:v>44271</c:v>
                </c:pt>
                <c:pt idx="1491">
                  <c:v>44272</c:v>
                </c:pt>
                <c:pt idx="1492">
                  <c:v>44273</c:v>
                </c:pt>
                <c:pt idx="1493">
                  <c:v>44274</c:v>
                </c:pt>
                <c:pt idx="1494">
                  <c:v>44277</c:v>
                </c:pt>
                <c:pt idx="1495">
                  <c:v>44278</c:v>
                </c:pt>
                <c:pt idx="1496">
                  <c:v>44279</c:v>
                </c:pt>
                <c:pt idx="1497">
                  <c:v>44280</c:v>
                </c:pt>
                <c:pt idx="1498">
                  <c:v>44281</c:v>
                </c:pt>
                <c:pt idx="1499">
                  <c:v>44284</c:v>
                </c:pt>
                <c:pt idx="1500">
                  <c:v>44285</c:v>
                </c:pt>
                <c:pt idx="1501">
                  <c:v>44286</c:v>
                </c:pt>
                <c:pt idx="1502">
                  <c:v>44287</c:v>
                </c:pt>
                <c:pt idx="1503">
                  <c:v>44292</c:v>
                </c:pt>
                <c:pt idx="1504">
                  <c:v>44293</c:v>
                </c:pt>
                <c:pt idx="1505">
                  <c:v>44294</c:v>
                </c:pt>
                <c:pt idx="1506">
                  <c:v>44295</c:v>
                </c:pt>
                <c:pt idx="1507">
                  <c:v>44298</c:v>
                </c:pt>
                <c:pt idx="1508">
                  <c:v>44299</c:v>
                </c:pt>
                <c:pt idx="1509">
                  <c:v>44300</c:v>
                </c:pt>
                <c:pt idx="1510">
                  <c:v>44301</c:v>
                </c:pt>
                <c:pt idx="1511">
                  <c:v>44302</c:v>
                </c:pt>
              </c:numCache>
            </c:numRef>
          </c:cat>
          <c:val>
            <c:numRef>
              <c:f>'M12'!$E$7:$E$2132</c:f>
              <c:numCache>
                <c:formatCode>0.00</c:formatCode>
                <c:ptCount val="2126"/>
                <c:pt idx="0">
                  <c:v>20.925999999999998</c:v>
                </c:pt>
                <c:pt idx="1">
                  <c:v>20.922000000000001</c:v>
                </c:pt>
                <c:pt idx="2">
                  <c:v>20.824000000000002</c:v>
                </c:pt>
                <c:pt idx="3">
                  <c:v>20.734000000000002</c:v>
                </c:pt>
                <c:pt idx="4">
                  <c:v>20.736999999999998</c:v>
                </c:pt>
                <c:pt idx="5">
                  <c:v>20.745999999999999</c:v>
                </c:pt>
                <c:pt idx="6">
                  <c:v>20.574999999999999</c:v>
                </c:pt>
                <c:pt idx="7">
                  <c:v>20.661000000000001</c:v>
                </c:pt>
                <c:pt idx="8">
                  <c:v>20.841999999999999</c:v>
                </c:pt>
                <c:pt idx="9">
                  <c:v>20.744</c:v>
                </c:pt>
                <c:pt idx="10">
                  <c:v>20.858000000000001</c:v>
                </c:pt>
                <c:pt idx="11">
                  <c:v>20.689</c:v>
                </c:pt>
                <c:pt idx="12">
                  <c:v>20.678000000000001</c:v>
                </c:pt>
                <c:pt idx="13">
                  <c:v>20.596</c:v>
                </c:pt>
                <c:pt idx="14">
                  <c:v>20.678999999999998</c:v>
                </c:pt>
                <c:pt idx="15">
                  <c:v>20.634</c:v>
                </c:pt>
                <c:pt idx="16">
                  <c:v>20.68</c:v>
                </c:pt>
                <c:pt idx="17">
                  <c:v>20.817</c:v>
                </c:pt>
                <c:pt idx="18">
                  <c:v>20.978999999999999</c:v>
                </c:pt>
                <c:pt idx="19">
                  <c:v>21.001999999999999</c:v>
                </c:pt>
                <c:pt idx="20">
                  <c:v>20.913</c:v>
                </c:pt>
                <c:pt idx="21">
                  <c:v>20.885000000000002</c:v>
                </c:pt>
                <c:pt idx="22">
                  <c:v>20.885000000000002</c:v>
                </c:pt>
                <c:pt idx="23">
                  <c:v>20.792000000000002</c:v>
                </c:pt>
                <c:pt idx="24">
                  <c:v>20.577000000000002</c:v>
                </c:pt>
                <c:pt idx="25">
                  <c:v>20.667000000000002</c:v>
                </c:pt>
                <c:pt idx="26">
                  <c:v>20.7</c:v>
                </c:pt>
                <c:pt idx="27">
                  <c:v>20.585999999999999</c:v>
                </c:pt>
                <c:pt idx="28">
                  <c:v>20.373999999999999</c:v>
                </c:pt>
                <c:pt idx="29">
                  <c:v>20.277000000000001</c:v>
                </c:pt>
                <c:pt idx="30">
                  <c:v>20</c:v>
                </c:pt>
                <c:pt idx="31">
                  <c:v>20.27</c:v>
                </c:pt>
                <c:pt idx="32">
                  <c:v>20.295999999999999</c:v>
                </c:pt>
                <c:pt idx="33">
                  <c:v>20.344000000000001</c:v>
                </c:pt>
                <c:pt idx="34">
                  <c:v>20.167000000000002</c:v>
                </c:pt>
                <c:pt idx="35">
                  <c:v>20.268000000000001</c:v>
                </c:pt>
                <c:pt idx="36">
                  <c:v>20.277000000000001</c:v>
                </c:pt>
                <c:pt idx="37">
                  <c:v>20.271000000000001</c:v>
                </c:pt>
                <c:pt idx="38">
                  <c:v>20.242999999999999</c:v>
                </c:pt>
                <c:pt idx="39">
                  <c:v>20.116</c:v>
                </c:pt>
                <c:pt idx="40">
                  <c:v>20.04</c:v>
                </c:pt>
                <c:pt idx="41">
                  <c:v>19.995000000000001</c:v>
                </c:pt>
                <c:pt idx="42">
                  <c:v>19.931000000000001</c:v>
                </c:pt>
                <c:pt idx="43">
                  <c:v>19.806999999999999</c:v>
                </c:pt>
                <c:pt idx="44">
                  <c:v>19.792000000000002</c:v>
                </c:pt>
                <c:pt idx="45">
                  <c:v>19.824000000000002</c:v>
                </c:pt>
                <c:pt idx="46">
                  <c:v>19.937000000000001</c:v>
                </c:pt>
                <c:pt idx="47">
                  <c:v>19.765000000000001</c:v>
                </c:pt>
                <c:pt idx="48">
                  <c:v>19.568999999999999</c:v>
                </c:pt>
                <c:pt idx="49">
                  <c:v>19.513000000000002</c:v>
                </c:pt>
                <c:pt idx="50">
                  <c:v>19.600999999999999</c:v>
                </c:pt>
                <c:pt idx="51">
                  <c:v>19.622</c:v>
                </c:pt>
                <c:pt idx="52">
                  <c:v>19.492999999999999</c:v>
                </c:pt>
                <c:pt idx="53">
                  <c:v>19.501000000000001</c:v>
                </c:pt>
                <c:pt idx="54">
                  <c:v>19.445</c:v>
                </c:pt>
                <c:pt idx="55">
                  <c:v>19.268000000000001</c:v>
                </c:pt>
                <c:pt idx="56">
                  <c:v>19.268000000000001</c:v>
                </c:pt>
                <c:pt idx="57">
                  <c:v>19.277000000000001</c:v>
                </c:pt>
                <c:pt idx="58">
                  <c:v>19.253</c:v>
                </c:pt>
                <c:pt idx="59">
                  <c:v>19.329999999999998</c:v>
                </c:pt>
                <c:pt idx="60">
                  <c:v>19.234999999999999</c:v>
                </c:pt>
                <c:pt idx="61">
                  <c:v>18.96</c:v>
                </c:pt>
                <c:pt idx="62">
                  <c:v>18.817</c:v>
                </c:pt>
                <c:pt idx="63">
                  <c:v>18.372</c:v>
                </c:pt>
                <c:pt idx="64">
                  <c:v>18.651</c:v>
                </c:pt>
                <c:pt idx="65">
                  <c:v>18.431000000000001</c:v>
                </c:pt>
                <c:pt idx="66">
                  <c:v>18.667000000000002</c:v>
                </c:pt>
                <c:pt idx="67">
                  <c:v>18.815000000000001</c:v>
                </c:pt>
                <c:pt idx="68">
                  <c:v>18.802</c:v>
                </c:pt>
                <c:pt idx="69">
                  <c:v>19.050999999999998</c:v>
                </c:pt>
                <c:pt idx="70">
                  <c:v>19.032</c:v>
                </c:pt>
                <c:pt idx="71">
                  <c:v>19.34</c:v>
                </c:pt>
                <c:pt idx="72">
                  <c:v>19.164000000000001</c:v>
                </c:pt>
                <c:pt idx="73">
                  <c:v>18.963000000000001</c:v>
                </c:pt>
                <c:pt idx="74">
                  <c:v>19.007000000000001</c:v>
                </c:pt>
                <c:pt idx="75">
                  <c:v>19.096</c:v>
                </c:pt>
                <c:pt idx="76">
                  <c:v>19.149000000000001</c:v>
                </c:pt>
                <c:pt idx="77">
                  <c:v>19.001000000000001</c:v>
                </c:pt>
                <c:pt idx="78">
                  <c:v>18.864999999999998</c:v>
                </c:pt>
                <c:pt idx="79">
                  <c:v>18.704999999999998</c:v>
                </c:pt>
                <c:pt idx="80">
                  <c:v>18.869</c:v>
                </c:pt>
                <c:pt idx="81">
                  <c:v>18.742999999999999</c:v>
                </c:pt>
                <c:pt idx="82">
                  <c:v>18.652999999999999</c:v>
                </c:pt>
                <c:pt idx="83">
                  <c:v>18.579000000000001</c:v>
                </c:pt>
                <c:pt idx="84">
                  <c:v>18.609000000000002</c:v>
                </c:pt>
                <c:pt idx="85">
                  <c:v>18.545999999999999</c:v>
                </c:pt>
                <c:pt idx="86">
                  <c:v>18.327000000000002</c:v>
                </c:pt>
                <c:pt idx="87">
                  <c:v>18.407</c:v>
                </c:pt>
                <c:pt idx="88">
                  <c:v>18.187999999999999</c:v>
                </c:pt>
                <c:pt idx="89">
                  <c:v>18.167000000000002</c:v>
                </c:pt>
                <c:pt idx="90">
                  <c:v>18.66</c:v>
                </c:pt>
                <c:pt idx="91">
                  <c:v>18.600999999999999</c:v>
                </c:pt>
                <c:pt idx="92">
                  <c:v>18.417000000000002</c:v>
                </c:pt>
                <c:pt idx="93">
                  <c:v>18.474</c:v>
                </c:pt>
                <c:pt idx="94">
                  <c:v>18.959</c:v>
                </c:pt>
                <c:pt idx="95">
                  <c:v>18.933</c:v>
                </c:pt>
                <c:pt idx="96">
                  <c:v>18.983000000000001</c:v>
                </c:pt>
                <c:pt idx="97">
                  <c:v>18.984000000000002</c:v>
                </c:pt>
                <c:pt idx="98">
                  <c:v>18.754000000000001</c:v>
                </c:pt>
                <c:pt idx="99">
                  <c:v>18.504999999999999</c:v>
                </c:pt>
                <c:pt idx="100">
                  <c:v>18.388000000000002</c:v>
                </c:pt>
                <c:pt idx="101">
                  <c:v>18.494</c:v>
                </c:pt>
                <c:pt idx="102">
                  <c:v>18.504000000000001</c:v>
                </c:pt>
                <c:pt idx="103">
                  <c:v>18.594999999999999</c:v>
                </c:pt>
                <c:pt idx="104">
                  <c:v>18.341000000000001</c:v>
                </c:pt>
                <c:pt idx="105">
                  <c:v>18.206</c:v>
                </c:pt>
                <c:pt idx="106">
                  <c:v>18.274000000000001</c:v>
                </c:pt>
                <c:pt idx="107">
                  <c:v>18.361999999999998</c:v>
                </c:pt>
                <c:pt idx="108">
                  <c:v>18.202999999999999</c:v>
                </c:pt>
                <c:pt idx="109">
                  <c:v>18.195</c:v>
                </c:pt>
                <c:pt idx="110">
                  <c:v>18.170000000000002</c:v>
                </c:pt>
                <c:pt idx="111">
                  <c:v>18.190000000000001</c:v>
                </c:pt>
                <c:pt idx="112">
                  <c:v>18.745000000000001</c:v>
                </c:pt>
                <c:pt idx="113">
                  <c:v>18.573</c:v>
                </c:pt>
                <c:pt idx="114">
                  <c:v>18.558</c:v>
                </c:pt>
                <c:pt idx="115">
                  <c:v>18.585000000000001</c:v>
                </c:pt>
                <c:pt idx="116">
                  <c:v>18.309000000000001</c:v>
                </c:pt>
                <c:pt idx="117">
                  <c:v>18.143000000000001</c:v>
                </c:pt>
                <c:pt idx="118">
                  <c:v>17.741</c:v>
                </c:pt>
                <c:pt idx="119">
                  <c:v>17.651</c:v>
                </c:pt>
                <c:pt idx="120">
                  <c:v>17.436</c:v>
                </c:pt>
                <c:pt idx="121">
                  <c:v>17.369</c:v>
                </c:pt>
                <c:pt idx="122">
                  <c:v>17.47</c:v>
                </c:pt>
                <c:pt idx="123">
                  <c:v>17.815000000000001</c:v>
                </c:pt>
                <c:pt idx="124">
                  <c:v>18.439</c:v>
                </c:pt>
                <c:pt idx="125">
                  <c:v>18.099</c:v>
                </c:pt>
                <c:pt idx="126">
                  <c:v>18.113</c:v>
                </c:pt>
                <c:pt idx="127">
                  <c:v>18.006</c:v>
                </c:pt>
                <c:pt idx="128">
                  <c:v>17.896999999999998</c:v>
                </c:pt>
                <c:pt idx="129">
                  <c:v>18.113</c:v>
                </c:pt>
                <c:pt idx="130">
                  <c:v>18.265999999999998</c:v>
                </c:pt>
                <c:pt idx="131">
                  <c:v>18.323</c:v>
                </c:pt>
                <c:pt idx="132">
                  <c:v>18.247</c:v>
                </c:pt>
                <c:pt idx="133">
                  <c:v>18.97</c:v>
                </c:pt>
                <c:pt idx="134">
                  <c:v>19.196000000000002</c:v>
                </c:pt>
                <c:pt idx="135">
                  <c:v>18.82</c:v>
                </c:pt>
                <c:pt idx="136">
                  <c:v>18.344000000000001</c:v>
                </c:pt>
                <c:pt idx="137">
                  <c:v>18.457999999999998</c:v>
                </c:pt>
                <c:pt idx="138">
                  <c:v>17.885000000000002</c:v>
                </c:pt>
                <c:pt idx="139">
                  <c:v>17.885000000000002</c:v>
                </c:pt>
                <c:pt idx="140">
                  <c:v>17.754000000000001</c:v>
                </c:pt>
                <c:pt idx="141">
                  <c:v>17.716000000000001</c:v>
                </c:pt>
                <c:pt idx="142">
                  <c:v>17.584</c:v>
                </c:pt>
                <c:pt idx="143">
                  <c:v>17.236000000000001</c:v>
                </c:pt>
                <c:pt idx="144">
                  <c:v>17.404</c:v>
                </c:pt>
                <c:pt idx="145">
                  <c:v>17.04</c:v>
                </c:pt>
                <c:pt idx="146">
                  <c:v>17.021000000000001</c:v>
                </c:pt>
                <c:pt idx="147">
                  <c:v>16.771999999999998</c:v>
                </c:pt>
                <c:pt idx="148">
                  <c:v>16.425000000000001</c:v>
                </c:pt>
                <c:pt idx="149">
                  <c:v>16.414000000000001</c:v>
                </c:pt>
                <c:pt idx="150">
                  <c:v>16.241</c:v>
                </c:pt>
                <c:pt idx="151">
                  <c:v>16.117000000000001</c:v>
                </c:pt>
                <c:pt idx="152">
                  <c:v>16.484999999999999</c:v>
                </c:pt>
                <c:pt idx="153">
                  <c:v>16.762</c:v>
                </c:pt>
                <c:pt idx="154">
                  <c:v>16.405000000000001</c:v>
                </c:pt>
                <c:pt idx="155">
                  <c:v>16.353999999999999</c:v>
                </c:pt>
                <c:pt idx="156">
                  <c:v>16.164999999999999</c:v>
                </c:pt>
                <c:pt idx="157">
                  <c:v>16.297999999999998</c:v>
                </c:pt>
                <c:pt idx="158">
                  <c:v>16.353999999999999</c:v>
                </c:pt>
                <c:pt idx="159">
                  <c:v>16.614999999999998</c:v>
                </c:pt>
                <c:pt idx="160">
                  <c:v>16.045999999999999</c:v>
                </c:pt>
                <c:pt idx="161">
                  <c:v>15.898999999999999</c:v>
                </c:pt>
                <c:pt idx="162">
                  <c:v>15.361000000000001</c:v>
                </c:pt>
                <c:pt idx="163">
                  <c:v>15.362</c:v>
                </c:pt>
                <c:pt idx="164">
                  <c:v>14.920999999999999</c:v>
                </c:pt>
                <c:pt idx="165">
                  <c:v>14.467000000000001</c:v>
                </c:pt>
                <c:pt idx="166">
                  <c:v>14.564</c:v>
                </c:pt>
                <c:pt idx="167">
                  <c:v>14.544</c:v>
                </c:pt>
                <c:pt idx="168">
                  <c:v>14.031000000000001</c:v>
                </c:pt>
                <c:pt idx="169">
                  <c:v>13.994999999999999</c:v>
                </c:pt>
                <c:pt idx="170">
                  <c:v>15.087</c:v>
                </c:pt>
                <c:pt idx="171">
                  <c:v>14.651999999999999</c:v>
                </c:pt>
                <c:pt idx="172">
                  <c:v>14.888999999999999</c:v>
                </c:pt>
                <c:pt idx="173">
                  <c:v>15.202</c:v>
                </c:pt>
                <c:pt idx="174">
                  <c:v>15.699</c:v>
                </c:pt>
                <c:pt idx="175">
                  <c:v>15.551</c:v>
                </c:pt>
                <c:pt idx="176">
                  <c:v>15.061</c:v>
                </c:pt>
                <c:pt idx="177">
                  <c:v>14.831</c:v>
                </c:pt>
                <c:pt idx="178">
                  <c:v>14.951000000000001</c:v>
                </c:pt>
                <c:pt idx="179">
                  <c:v>14.669</c:v>
                </c:pt>
                <c:pt idx="180">
                  <c:v>14.557</c:v>
                </c:pt>
                <c:pt idx="181">
                  <c:v>14.265000000000001</c:v>
                </c:pt>
                <c:pt idx="182">
                  <c:v>14.090999999999999</c:v>
                </c:pt>
                <c:pt idx="183">
                  <c:v>13.882999999999999</c:v>
                </c:pt>
                <c:pt idx="184">
                  <c:v>13.759</c:v>
                </c:pt>
                <c:pt idx="185">
                  <c:v>14.207000000000001</c:v>
                </c:pt>
                <c:pt idx="186">
                  <c:v>14.255000000000001</c:v>
                </c:pt>
                <c:pt idx="187">
                  <c:v>14.010999999999999</c:v>
                </c:pt>
                <c:pt idx="188">
                  <c:v>14.103999999999999</c:v>
                </c:pt>
                <c:pt idx="189">
                  <c:v>14.359</c:v>
                </c:pt>
                <c:pt idx="190">
                  <c:v>14.063000000000001</c:v>
                </c:pt>
                <c:pt idx="191">
                  <c:v>14.395</c:v>
                </c:pt>
                <c:pt idx="192">
                  <c:v>14.182</c:v>
                </c:pt>
                <c:pt idx="193">
                  <c:v>13.957000000000001</c:v>
                </c:pt>
                <c:pt idx="194">
                  <c:v>13.88</c:v>
                </c:pt>
                <c:pt idx="195">
                  <c:v>14.19</c:v>
                </c:pt>
                <c:pt idx="196">
                  <c:v>13.914</c:v>
                </c:pt>
                <c:pt idx="197">
                  <c:v>13.951000000000001</c:v>
                </c:pt>
                <c:pt idx="198">
                  <c:v>14.028</c:v>
                </c:pt>
                <c:pt idx="199">
                  <c:v>13.896000000000001</c:v>
                </c:pt>
                <c:pt idx="200">
                  <c:v>13.798999999999999</c:v>
                </c:pt>
                <c:pt idx="201">
                  <c:v>13.907</c:v>
                </c:pt>
                <c:pt idx="202">
                  <c:v>13.885</c:v>
                </c:pt>
                <c:pt idx="203">
                  <c:v>14</c:v>
                </c:pt>
                <c:pt idx="204">
                  <c:v>13.782</c:v>
                </c:pt>
                <c:pt idx="205">
                  <c:v>13.836</c:v>
                </c:pt>
                <c:pt idx="206">
                  <c:v>13.69</c:v>
                </c:pt>
                <c:pt idx="207">
                  <c:v>13.625</c:v>
                </c:pt>
                <c:pt idx="208">
                  <c:v>13.621</c:v>
                </c:pt>
                <c:pt idx="209">
                  <c:v>13.760999999999999</c:v>
                </c:pt>
                <c:pt idx="210">
                  <c:v>13.849</c:v>
                </c:pt>
                <c:pt idx="211">
                  <c:v>13.678000000000001</c:v>
                </c:pt>
                <c:pt idx="212">
                  <c:v>13.646000000000001</c:v>
                </c:pt>
                <c:pt idx="213">
                  <c:v>13.628</c:v>
                </c:pt>
                <c:pt idx="214">
                  <c:v>13.672000000000001</c:v>
                </c:pt>
                <c:pt idx="215">
                  <c:v>13.574</c:v>
                </c:pt>
                <c:pt idx="216">
                  <c:v>13.574</c:v>
                </c:pt>
                <c:pt idx="217">
                  <c:v>13.082000000000001</c:v>
                </c:pt>
                <c:pt idx="218">
                  <c:v>12.933999999999999</c:v>
                </c:pt>
                <c:pt idx="219">
                  <c:v>12.805</c:v>
                </c:pt>
                <c:pt idx="220">
                  <c:v>12.715999999999999</c:v>
                </c:pt>
                <c:pt idx="221">
                  <c:v>12.805</c:v>
                </c:pt>
                <c:pt idx="222">
                  <c:v>12.65</c:v>
                </c:pt>
                <c:pt idx="223">
                  <c:v>12.8</c:v>
                </c:pt>
                <c:pt idx="224">
                  <c:v>12.856999999999999</c:v>
                </c:pt>
                <c:pt idx="225">
                  <c:v>12.938000000000001</c:v>
                </c:pt>
                <c:pt idx="226">
                  <c:v>12.978999999999999</c:v>
                </c:pt>
                <c:pt idx="227">
                  <c:v>12.84</c:v>
                </c:pt>
                <c:pt idx="228">
                  <c:v>12.817</c:v>
                </c:pt>
                <c:pt idx="229">
                  <c:v>12.813000000000001</c:v>
                </c:pt>
                <c:pt idx="230">
                  <c:v>13.23</c:v>
                </c:pt>
                <c:pt idx="231">
                  <c:v>13.394</c:v>
                </c:pt>
                <c:pt idx="232">
                  <c:v>14.090999999999999</c:v>
                </c:pt>
                <c:pt idx="233">
                  <c:v>14.792999999999999</c:v>
                </c:pt>
                <c:pt idx="234">
                  <c:v>14.603999999999999</c:v>
                </c:pt>
                <c:pt idx="235">
                  <c:v>15.378</c:v>
                </c:pt>
                <c:pt idx="236">
                  <c:v>15.539</c:v>
                </c:pt>
                <c:pt idx="237">
                  <c:v>14.45</c:v>
                </c:pt>
                <c:pt idx="238">
                  <c:v>14.404</c:v>
                </c:pt>
                <c:pt idx="239">
                  <c:v>13.8</c:v>
                </c:pt>
                <c:pt idx="240">
                  <c:v>13.866</c:v>
                </c:pt>
                <c:pt idx="241">
                  <c:v>14.215999999999999</c:v>
                </c:pt>
                <c:pt idx="242">
                  <c:v>14.523999999999999</c:v>
                </c:pt>
                <c:pt idx="243">
                  <c:v>14.419</c:v>
                </c:pt>
                <c:pt idx="244">
                  <c:v>14.553000000000001</c:v>
                </c:pt>
                <c:pt idx="245">
                  <c:v>14.471</c:v>
                </c:pt>
                <c:pt idx="246">
                  <c:v>14.629</c:v>
                </c:pt>
                <c:pt idx="247">
                  <c:v>14.476000000000001</c:v>
                </c:pt>
                <c:pt idx="248">
                  <c:v>14.446</c:v>
                </c:pt>
                <c:pt idx="249">
                  <c:v>14.737</c:v>
                </c:pt>
                <c:pt idx="250">
                  <c:v>14.815</c:v>
                </c:pt>
                <c:pt idx="251">
                  <c:v>14.752000000000001</c:v>
                </c:pt>
                <c:pt idx="252">
                  <c:v>14.548999999999999</c:v>
                </c:pt>
                <c:pt idx="253">
                  <c:v>14.595000000000001</c:v>
                </c:pt>
                <c:pt idx="254">
                  <c:v>14.391999999999999</c:v>
                </c:pt>
                <c:pt idx="255">
                  <c:v>14.387</c:v>
                </c:pt>
                <c:pt idx="256">
                  <c:v>14.66</c:v>
                </c:pt>
                <c:pt idx="257">
                  <c:v>14.788</c:v>
                </c:pt>
                <c:pt idx="258">
                  <c:v>15.019</c:v>
                </c:pt>
                <c:pt idx="259">
                  <c:v>15.115</c:v>
                </c:pt>
                <c:pt idx="260">
                  <c:v>15.292999999999999</c:v>
                </c:pt>
                <c:pt idx="261">
                  <c:v>15.074999999999999</c:v>
                </c:pt>
                <c:pt idx="262">
                  <c:v>15.433999999999999</c:v>
                </c:pt>
                <c:pt idx="263">
                  <c:v>15.423</c:v>
                </c:pt>
                <c:pt idx="264">
                  <c:v>15.894</c:v>
                </c:pt>
                <c:pt idx="265">
                  <c:v>16.071000000000002</c:v>
                </c:pt>
                <c:pt idx="266">
                  <c:v>16.042999999999999</c:v>
                </c:pt>
                <c:pt idx="267">
                  <c:v>15.85</c:v>
                </c:pt>
                <c:pt idx="268">
                  <c:v>15.502000000000001</c:v>
                </c:pt>
                <c:pt idx="269">
                  <c:v>15.432</c:v>
                </c:pt>
                <c:pt idx="270">
                  <c:v>15.605</c:v>
                </c:pt>
                <c:pt idx="271">
                  <c:v>15.738</c:v>
                </c:pt>
                <c:pt idx="272">
                  <c:v>15.704000000000001</c:v>
                </c:pt>
                <c:pt idx="273">
                  <c:v>16.024000000000001</c:v>
                </c:pt>
                <c:pt idx="274">
                  <c:v>16.745999999999999</c:v>
                </c:pt>
                <c:pt idx="275">
                  <c:v>16.393999999999998</c:v>
                </c:pt>
                <c:pt idx="276">
                  <c:v>17.012</c:v>
                </c:pt>
                <c:pt idx="277">
                  <c:v>16.706</c:v>
                </c:pt>
                <c:pt idx="278">
                  <c:v>16.375</c:v>
                </c:pt>
                <c:pt idx="279">
                  <c:v>15.782999999999999</c:v>
                </c:pt>
                <c:pt idx="280">
                  <c:v>15.776999999999999</c:v>
                </c:pt>
                <c:pt idx="281">
                  <c:v>16.202999999999999</c:v>
                </c:pt>
                <c:pt idx="282">
                  <c:v>15.733000000000001</c:v>
                </c:pt>
                <c:pt idx="283">
                  <c:v>15.929</c:v>
                </c:pt>
                <c:pt idx="284">
                  <c:v>16.294</c:v>
                </c:pt>
                <c:pt idx="285">
                  <c:v>15.954000000000001</c:v>
                </c:pt>
                <c:pt idx="286">
                  <c:v>15.856999999999999</c:v>
                </c:pt>
                <c:pt idx="287">
                  <c:v>16.117000000000001</c:v>
                </c:pt>
                <c:pt idx="288">
                  <c:v>15.797000000000001</c:v>
                </c:pt>
                <c:pt idx="289">
                  <c:v>15.736000000000001</c:v>
                </c:pt>
                <c:pt idx="290">
                  <c:v>15.917999999999999</c:v>
                </c:pt>
                <c:pt idx="291">
                  <c:v>15.803000000000001</c:v>
                </c:pt>
                <c:pt idx="292">
                  <c:v>15.787000000000001</c:v>
                </c:pt>
                <c:pt idx="293">
                  <c:v>16.268000000000001</c:v>
                </c:pt>
                <c:pt idx="294">
                  <c:v>16.068999999999999</c:v>
                </c:pt>
                <c:pt idx="295">
                  <c:v>16.131</c:v>
                </c:pt>
                <c:pt idx="296">
                  <c:v>16.198</c:v>
                </c:pt>
                <c:pt idx="297">
                  <c:v>16.309999999999999</c:v>
                </c:pt>
                <c:pt idx="298">
                  <c:v>16.081</c:v>
                </c:pt>
                <c:pt idx="299">
                  <c:v>16.036000000000001</c:v>
                </c:pt>
                <c:pt idx="300">
                  <c:v>15.874000000000001</c:v>
                </c:pt>
                <c:pt idx="301">
                  <c:v>15.849</c:v>
                </c:pt>
                <c:pt idx="302">
                  <c:v>15.645</c:v>
                </c:pt>
                <c:pt idx="303">
                  <c:v>15.62</c:v>
                </c:pt>
                <c:pt idx="304">
                  <c:v>15.311999999999999</c:v>
                </c:pt>
                <c:pt idx="305">
                  <c:v>15.087</c:v>
                </c:pt>
                <c:pt idx="306">
                  <c:v>15.007</c:v>
                </c:pt>
                <c:pt idx="307">
                  <c:v>14.975</c:v>
                </c:pt>
                <c:pt idx="308">
                  <c:v>14.772</c:v>
                </c:pt>
                <c:pt idx="309">
                  <c:v>14.907999999999999</c:v>
                </c:pt>
                <c:pt idx="310">
                  <c:v>14.904999999999999</c:v>
                </c:pt>
                <c:pt idx="311">
                  <c:v>14.884</c:v>
                </c:pt>
                <c:pt idx="312">
                  <c:v>14.785</c:v>
                </c:pt>
                <c:pt idx="313">
                  <c:v>14.815</c:v>
                </c:pt>
                <c:pt idx="314">
                  <c:v>14.731999999999999</c:v>
                </c:pt>
                <c:pt idx="315">
                  <c:v>14.821</c:v>
                </c:pt>
                <c:pt idx="316">
                  <c:v>15.041</c:v>
                </c:pt>
                <c:pt idx="317">
                  <c:v>15.077999999999999</c:v>
                </c:pt>
                <c:pt idx="318">
                  <c:v>14.712</c:v>
                </c:pt>
                <c:pt idx="319">
                  <c:v>14.56</c:v>
                </c:pt>
                <c:pt idx="320">
                  <c:v>14.629</c:v>
                </c:pt>
                <c:pt idx="321">
                  <c:v>14.446999999999999</c:v>
                </c:pt>
                <c:pt idx="322">
                  <c:v>14.439</c:v>
                </c:pt>
                <c:pt idx="323">
                  <c:v>14.715</c:v>
                </c:pt>
                <c:pt idx="324">
                  <c:v>14.946999999999999</c:v>
                </c:pt>
                <c:pt idx="325">
                  <c:v>14.574</c:v>
                </c:pt>
                <c:pt idx="326">
                  <c:v>14.538</c:v>
                </c:pt>
                <c:pt idx="327">
                  <c:v>14.458</c:v>
                </c:pt>
                <c:pt idx="328">
                  <c:v>14.444000000000001</c:v>
                </c:pt>
                <c:pt idx="329">
                  <c:v>14.426</c:v>
                </c:pt>
                <c:pt idx="330">
                  <c:v>14.363</c:v>
                </c:pt>
                <c:pt idx="331">
                  <c:v>14.231999999999999</c:v>
                </c:pt>
                <c:pt idx="332">
                  <c:v>14.298999999999999</c:v>
                </c:pt>
                <c:pt idx="333">
                  <c:v>14.138</c:v>
                </c:pt>
                <c:pt idx="334">
                  <c:v>14.074999999999999</c:v>
                </c:pt>
                <c:pt idx="335">
                  <c:v>14.103999999999999</c:v>
                </c:pt>
                <c:pt idx="336">
                  <c:v>14</c:v>
                </c:pt>
                <c:pt idx="337">
                  <c:v>14.222</c:v>
                </c:pt>
                <c:pt idx="338">
                  <c:v>14.318</c:v>
                </c:pt>
                <c:pt idx="339">
                  <c:v>14.701000000000001</c:v>
                </c:pt>
                <c:pt idx="340">
                  <c:v>14.378</c:v>
                </c:pt>
                <c:pt idx="341">
                  <c:v>14.577999999999999</c:v>
                </c:pt>
                <c:pt idx="342">
                  <c:v>14.739000000000001</c:v>
                </c:pt>
                <c:pt idx="343">
                  <c:v>15.086</c:v>
                </c:pt>
                <c:pt idx="344">
                  <c:v>14.999000000000001</c:v>
                </c:pt>
                <c:pt idx="345">
                  <c:v>14.509</c:v>
                </c:pt>
                <c:pt idx="346">
                  <c:v>14.917</c:v>
                </c:pt>
                <c:pt idx="347">
                  <c:v>15.051</c:v>
                </c:pt>
                <c:pt idx="348">
                  <c:v>15.763999999999999</c:v>
                </c:pt>
                <c:pt idx="349">
                  <c:v>15.922000000000001</c:v>
                </c:pt>
                <c:pt idx="350">
                  <c:v>16.222999999999999</c:v>
                </c:pt>
                <c:pt idx="351">
                  <c:v>16.469000000000001</c:v>
                </c:pt>
                <c:pt idx="352">
                  <c:v>16.734999999999999</c:v>
                </c:pt>
                <c:pt idx="353">
                  <c:v>16.251000000000001</c:v>
                </c:pt>
                <c:pt idx="354">
                  <c:v>16.181000000000001</c:v>
                </c:pt>
                <c:pt idx="355">
                  <c:v>15.932</c:v>
                </c:pt>
                <c:pt idx="356">
                  <c:v>15.948</c:v>
                </c:pt>
                <c:pt idx="357">
                  <c:v>16.114999999999998</c:v>
                </c:pt>
                <c:pt idx="358">
                  <c:v>16.405999999999999</c:v>
                </c:pt>
                <c:pt idx="359">
                  <c:v>16.516999999999999</c:v>
                </c:pt>
                <c:pt idx="360">
                  <c:v>16.8</c:v>
                </c:pt>
                <c:pt idx="361">
                  <c:v>16.765999999999998</c:v>
                </c:pt>
                <c:pt idx="362">
                  <c:v>16.725000000000001</c:v>
                </c:pt>
                <c:pt idx="363">
                  <c:v>16.713000000000001</c:v>
                </c:pt>
                <c:pt idx="364">
                  <c:v>16.927</c:v>
                </c:pt>
                <c:pt idx="365">
                  <c:v>16.989999999999998</c:v>
                </c:pt>
                <c:pt idx="366">
                  <c:v>16.847999999999999</c:v>
                </c:pt>
                <c:pt idx="367">
                  <c:v>17.138000000000002</c:v>
                </c:pt>
                <c:pt idx="368">
                  <c:v>17.071000000000002</c:v>
                </c:pt>
                <c:pt idx="369">
                  <c:v>17.594000000000001</c:v>
                </c:pt>
                <c:pt idx="370">
                  <c:v>17.966999999999999</c:v>
                </c:pt>
                <c:pt idx="371">
                  <c:v>17.989999999999998</c:v>
                </c:pt>
                <c:pt idx="372">
                  <c:v>17.849</c:v>
                </c:pt>
                <c:pt idx="373">
                  <c:v>17.478000000000002</c:v>
                </c:pt>
                <c:pt idx="374">
                  <c:v>17.327999999999999</c:v>
                </c:pt>
                <c:pt idx="375">
                  <c:v>17.183</c:v>
                </c:pt>
                <c:pt idx="376">
                  <c:v>17.222999999999999</c:v>
                </c:pt>
                <c:pt idx="377">
                  <c:v>17.329000000000001</c:v>
                </c:pt>
                <c:pt idx="378">
                  <c:v>17.123999999999999</c:v>
                </c:pt>
                <c:pt idx="379">
                  <c:v>16.783999999999999</c:v>
                </c:pt>
                <c:pt idx="380">
                  <c:v>17.027999999999999</c:v>
                </c:pt>
                <c:pt idx="381">
                  <c:v>16.914000000000001</c:v>
                </c:pt>
                <c:pt idx="382">
                  <c:v>17.003</c:v>
                </c:pt>
                <c:pt idx="383">
                  <c:v>17.113</c:v>
                </c:pt>
                <c:pt idx="384">
                  <c:v>17.097000000000001</c:v>
                </c:pt>
                <c:pt idx="385">
                  <c:v>17.314</c:v>
                </c:pt>
                <c:pt idx="386">
                  <c:v>17.529</c:v>
                </c:pt>
                <c:pt idx="387">
                  <c:v>17.652999999999999</c:v>
                </c:pt>
                <c:pt idx="388">
                  <c:v>17.484000000000002</c:v>
                </c:pt>
                <c:pt idx="389">
                  <c:v>17.533000000000001</c:v>
                </c:pt>
                <c:pt idx="390">
                  <c:v>17.434999999999999</c:v>
                </c:pt>
                <c:pt idx="391">
                  <c:v>17.701000000000001</c:v>
                </c:pt>
                <c:pt idx="392">
                  <c:v>17.876000000000001</c:v>
                </c:pt>
                <c:pt idx="393">
                  <c:v>17.702999999999999</c:v>
                </c:pt>
                <c:pt idx="394">
                  <c:v>17.25</c:v>
                </c:pt>
                <c:pt idx="395">
                  <c:v>16.75</c:v>
                </c:pt>
                <c:pt idx="396">
                  <c:v>16.736000000000001</c:v>
                </c:pt>
                <c:pt idx="397">
                  <c:v>16.914000000000001</c:v>
                </c:pt>
                <c:pt idx="398">
                  <c:v>16.911000000000001</c:v>
                </c:pt>
                <c:pt idx="399">
                  <c:v>17.440999999999999</c:v>
                </c:pt>
                <c:pt idx="400">
                  <c:v>17.59</c:v>
                </c:pt>
                <c:pt idx="401">
                  <c:v>17.664999999999999</c:v>
                </c:pt>
                <c:pt idx="402">
                  <c:v>17.686</c:v>
                </c:pt>
                <c:pt idx="403">
                  <c:v>17.884</c:v>
                </c:pt>
                <c:pt idx="404">
                  <c:v>17.882999999999999</c:v>
                </c:pt>
                <c:pt idx="405">
                  <c:v>18.102</c:v>
                </c:pt>
                <c:pt idx="406">
                  <c:v>18.231000000000002</c:v>
                </c:pt>
                <c:pt idx="407">
                  <c:v>18.561</c:v>
                </c:pt>
                <c:pt idx="408">
                  <c:v>18.388999999999999</c:v>
                </c:pt>
                <c:pt idx="409">
                  <c:v>18.59</c:v>
                </c:pt>
                <c:pt idx="410">
                  <c:v>18.844000000000001</c:v>
                </c:pt>
                <c:pt idx="411">
                  <c:v>18.984999999999999</c:v>
                </c:pt>
                <c:pt idx="412">
                  <c:v>19.521999999999998</c:v>
                </c:pt>
                <c:pt idx="413">
                  <c:v>19.263000000000002</c:v>
                </c:pt>
                <c:pt idx="414">
                  <c:v>18.806000000000001</c:v>
                </c:pt>
                <c:pt idx="415">
                  <c:v>18.899000000000001</c:v>
                </c:pt>
                <c:pt idx="416">
                  <c:v>18.904</c:v>
                </c:pt>
                <c:pt idx="417">
                  <c:v>18.619</c:v>
                </c:pt>
                <c:pt idx="418">
                  <c:v>18.881</c:v>
                </c:pt>
                <c:pt idx="419">
                  <c:v>19.125</c:v>
                </c:pt>
                <c:pt idx="420">
                  <c:v>19.440000000000001</c:v>
                </c:pt>
                <c:pt idx="421">
                  <c:v>19.306000000000001</c:v>
                </c:pt>
                <c:pt idx="422">
                  <c:v>19.2</c:v>
                </c:pt>
                <c:pt idx="423">
                  <c:v>18.823</c:v>
                </c:pt>
                <c:pt idx="424">
                  <c:v>19.154</c:v>
                </c:pt>
                <c:pt idx="425">
                  <c:v>19.349</c:v>
                </c:pt>
                <c:pt idx="426">
                  <c:v>19.402000000000001</c:v>
                </c:pt>
                <c:pt idx="427">
                  <c:v>19.619</c:v>
                </c:pt>
                <c:pt idx="428">
                  <c:v>19.803000000000001</c:v>
                </c:pt>
                <c:pt idx="429">
                  <c:v>19.585999999999999</c:v>
                </c:pt>
                <c:pt idx="430">
                  <c:v>19.247</c:v>
                </c:pt>
                <c:pt idx="431">
                  <c:v>19.225999999999999</c:v>
                </c:pt>
                <c:pt idx="432">
                  <c:v>19.012</c:v>
                </c:pt>
                <c:pt idx="433">
                  <c:v>19.161000000000001</c:v>
                </c:pt>
                <c:pt idx="434">
                  <c:v>19.077999999999999</c:v>
                </c:pt>
                <c:pt idx="435">
                  <c:v>19.276</c:v>
                </c:pt>
                <c:pt idx="436">
                  <c:v>19.297000000000001</c:v>
                </c:pt>
                <c:pt idx="437">
                  <c:v>19.327999999999999</c:v>
                </c:pt>
                <c:pt idx="438">
                  <c:v>19.22</c:v>
                </c:pt>
                <c:pt idx="439">
                  <c:v>19.158999999999999</c:v>
                </c:pt>
                <c:pt idx="440">
                  <c:v>19.146000000000001</c:v>
                </c:pt>
                <c:pt idx="441">
                  <c:v>19.152999999999999</c:v>
                </c:pt>
                <c:pt idx="442">
                  <c:v>19.178000000000001</c:v>
                </c:pt>
                <c:pt idx="443">
                  <c:v>18.914000000000001</c:v>
                </c:pt>
                <c:pt idx="444">
                  <c:v>18.788</c:v>
                </c:pt>
                <c:pt idx="445">
                  <c:v>18.809999999999999</c:v>
                </c:pt>
                <c:pt idx="446">
                  <c:v>18.911000000000001</c:v>
                </c:pt>
                <c:pt idx="447">
                  <c:v>18.731999999999999</c:v>
                </c:pt>
                <c:pt idx="448">
                  <c:v>19.004999999999999</c:v>
                </c:pt>
                <c:pt idx="449">
                  <c:v>18.928999999999998</c:v>
                </c:pt>
                <c:pt idx="450">
                  <c:v>18.931000000000001</c:v>
                </c:pt>
                <c:pt idx="451">
                  <c:v>19.074000000000002</c:v>
                </c:pt>
                <c:pt idx="452">
                  <c:v>18.803999999999998</c:v>
                </c:pt>
                <c:pt idx="453">
                  <c:v>18.399000000000001</c:v>
                </c:pt>
                <c:pt idx="454">
                  <c:v>17.84</c:v>
                </c:pt>
                <c:pt idx="455">
                  <c:v>17.983000000000001</c:v>
                </c:pt>
                <c:pt idx="456">
                  <c:v>17.734000000000002</c:v>
                </c:pt>
                <c:pt idx="457">
                  <c:v>17.763000000000002</c:v>
                </c:pt>
                <c:pt idx="458">
                  <c:v>17.763999999999999</c:v>
                </c:pt>
                <c:pt idx="459">
                  <c:v>17.635999999999999</c:v>
                </c:pt>
                <c:pt idx="460">
                  <c:v>17.445</c:v>
                </c:pt>
                <c:pt idx="461">
                  <c:v>17.228999999999999</c:v>
                </c:pt>
                <c:pt idx="462">
                  <c:v>17.238</c:v>
                </c:pt>
                <c:pt idx="463">
                  <c:v>16.975999999999999</c:v>
                </c:pt>
                <c:pt idx="464">
                  <c:v>16.989999999999998</c:v>
                </c:pt>
                <c:pt idx="465">
                  <c:v>17.187000000000001</c:v>
                </c:pt>
                <c:pt idx="466">
                  <c:v>17.106999999999999</c:v>
                </c:pt>
                <c:pt idx="467">
                  <c:v>17.103000000000002</c:v>
                </c:pt>
                <c:pt idx="468">
                  <c:v>16.951000000000001</c:v>
                </c:pt>
                <c:pt idx="469">
                  <c:v>16.760999999999999</c:v>
                </c:pt>
                <c:pt idx="470">
                  <c:v>16.722999999999999</c:v>
                </c:pt>
                <c:pt idx="471">
                  <c:v>16.754000000000001</c:v>
                </c:pt>
                <c:pt idx="472">
                  <c:v>16.545000000000002</c:v>
                </c:pt>
                <c:pt idx="473">
                  <c:v>16.344000000000001</c:v>
                </c:pt>
                <c:pt idx="474">
                  <c:v>16.463000000000001</c:v>
                </c:pt>
                <c:pt idx="475">
                  <c:v>16.931000000000001</c:v>
                </c:pt>
                <c:pt idx="476">
                  <c:v>17.315000000000001</c:v>
                </c:pt>
                <c:pt idx="477">
                  <c:v>16.728000000000002</c:v>
                </c:pt>
                <c:pt idx="478">
                  <c:v>16.888999999999999</c:v>
                </c:pt>
                <c:pt idx="479">
                  <c:v>16.931000000000001</c:v>
                </c:pt>
                <c:pt idx="480">
                  <c:v>16.957000000000001</c:v>
                </c:pt>
                <c:pt idx="481">
                  <c:v>16.895</c:v>
                </c:pt>
                <c:pt idx="482">
                  <c:v>16.582999999999998</c:v>
                </c:pt>
                <c:pt idx="483">
                  <c:v>16.486000000000001</c:v>
                </c:pt>
                <c:pt idx="484">
                  <c:v>16.532</c:v>
                </c:pt>
                <c:pt idx="485">
                  <c:v>16.716999999999999</c:v>
                </c:pt>
                <c:pt idx="486">
                  <c:v>16.678000000000001</c:v>
                </c:pt>
                <c:pt idx="487">
                  <c:v>17.164000000000001</c:v>
                </c:pt>
                <c:pt idx="488">
                  <c:v>17.003</c:v>
                </c:pt>
                <c:pt idx="489">
                  <c:v>16.808</c:v>
                </c:pt>
                <c:pt idx="490">
                  <c:v>16.893999999999998</c:v>
                </c:pt>
                <c:pt idx="491">
                  <c:v>16.712</c:v>
                </c:pt>
                <c:pt idx="492">
                  <c:v>16.367999999999999</c:v>
                </c:pt>
                <c:pt idx="493">
                  <c:v>16.574999999999999</c:v>
                </c:pt>
                <c:pt idx="494">
                  <c:v>16.469000000000001</c:v>
                </c:pt>
                <c:pt idx="495">
                  <c:v>16.001000000000001</c:v>
                </c:pt>
                <c:pt idx="496">
                  <c:v>16.018999999999998</c:v>
                </c:pt>
                <c:pt idx="497">
                  <c:v>16.204000000000001</c:v>
                </c:pt>
                <c:pt idx="498">
                  <c:v>16.126999999999999</c:v>
                </c:pt>
                <c:pt idx="499">
                  <c:v>15.808</c:v>
                </c:pt>
                <c:pt idx="500">
                  <c:v>15.808999999999999</c:v>
                </c:pt>
                <c:pt idx="501">
                  <c:v>15.667</c:v>
                </c:pt>
                <c:pt idx="502">
                  <c:v>15.573</c:v>
                </c:pt>
                <c:pt idx="503">
                  <c:v>15.625</c:v>
                </c:pt>
                <c:pt idx="504">
                  <c:v>15.58</c:v>
                </c:pt>
                <c:pt idx="505">
                  <c:v>15.558999999999999</c:v>
                </c:pt>
                <c:pt idx="506">
                  <c:v>15.696999999999999</c:v>
                </c:pt>
                <c:pt idx="507">
                  <c:v>15.597</c:v>
                </c:pt>
                <c:pt idx="508">
                  <c:v>15.776999999999999</c:v>
                </c:pt>
                <c:pt idx="509">
                  <c:v>15.906000000000001</c:v>
                </c:pt>
                <c:pt idx="510">
                  <c:v>15.798999999999999</c:v>
                </c:pt>
                <c:pt idx="511">
                  <c:v>15.909000000000001</c:v>
                </c:pt>
                <c:pt idx="512">
                  <c:v>16.021000000000001</c:v>
                </c:pt>
                <c:pt idx="513">
                  <c:v>15.965</c:v>
                </c:pt>
                <c:pt idx="514">
                  <c:v>15.823</c:v>
                </c:pt>
                <c:pt idx="515">
                  <c:v>15.738</c:v>
                </c:pt>
                <c:pt idx="516">
                  <c:v>15.813000000000001</c:v>
                </c:pt>
                <c:pt idx="517">
                  <c:v>15.999000000000001</c:v>
                </c:pt>
                <c:pt idx="518">
                  <c:v>15.478999999999999</c:v>
                </c:pt>
                <c:pt idx="519">
                  <c:v>15.398999999999999</c:v>
                </c:pt>
                <c:pt idx="520">
                  <c:v>15.353999999999999</c:v>
                </c:pt>
                <c:pt idx="521">
                  <c:v>15.419</c:v>
                </c:pt>
                <c:pt idx="522">
                  <c:v>15.307</c:v>
                </c:pt>
                <c:pt idx="523">
                  <c:v>15.301</c:v>
                </c:pt>
                <c:pt idx="524">
                  <c:v>15.494999999999999</c:v>
                </c:pt>
                <c:pt idx="525">
                  <c:v>15.273999999999999</c:v>
                </c:pt>
                <c:pt idx="526">
                  <c:v>15.157</c:v>
                </c:pt>
                <c:pt idx="527">
                  <c:v>15.121</c:v>
                </c:pt>
                <c:pt idx="528">
                  <c:v>15.119</c:v>
                </c:pt>
                <c:pt idx="529">
                  <c:v>15.021000000000001</c:v>
                </c:pt>
                <c:pt idx="530">
                  <c:v>14.993</c:v>
                </c:pt>
                <c:pt idx="531">
                  <c:v>15.085000000000001</c:v>
                </c:pt>
                <c:pt idx="532">
                  <c:v>15.048999999999999</c:v>
                </c:pt>
                <c:pt idx="533">
                  <c:v>14.997999999999999</c:v>
                </c:pt>
                <c:pt idx="534">
                  <c:v>14.917</c:v>
                </c:pt>
                <c:pt idx="535">
                  <c:v>14.946999999999999</c:v>
                </c:pt>
                <c:pt idx="536">
                  <c:v>15.010999999999999</c:v>
                </c:pt>
                <c:pt idx="537">
                  <c:v>15.061999999999999</c:v>
                </c:pt>
                <c:pt idx="538">
                  <c:v>15.146000000000001</c:v>
                </c:pt>
                <c:pt idx="539">
                  <c:v>15.029</c:v>
                </c:pt>
                <c:pt idx="540">
                  <c:v>14.977</c:v>
                </c:pt>
                <c:pt idx="541">
                  <c:v>15.215999999999999</c:v>
                </c:pt>
                <c:pt idx="542">
                  <c:v>15.083</c:v>
                </c:pt>
                <c:pt idx="543">
                  <c:v>15.023999999999999</c:v>
                </c:pt>
                <c:pt idx="544">
                  <c:v>15.108000000000001</c:v>
                </c:pt>
                <c:pt idx="545">
                  <c:v>14.95</c:v>
                </c:pt>
                <c:pt idx="546">
                  <c:v>14.867000000000001</c:v>
                </c:pt>
                <c:pt idx="547">
                  <c:v>14.818</c:v>
                </c:pt>
                <c:pt idx="548">
                  <c:v>14.821</c:v>
                </c:pt>
                <c:pt idx="549">
                  <c:v>14.978999999999999</c:v>
                </c:pt>
                <c:pt idx="550">
                  <c:v>15.122</c:v>
                </c:pt>
                <c:pt idx="551">
                  <c:v>15.304</c:v>
                </c:pt>
                <c:pt idx="552">
                  <c:v>15.132999999999999</c:v>
                </c:pt>
                <c:pt idx="553">
                  <c:v>15.183</c:v>
                </c:pt>
                <c:pt idx="554">
                  <c:v>15.18</c:v>
                </c:pt>
                <c:pt idx="555">
                  <c:v>15.012</c:v>
                </c:pt>
                <c:pt idx="556">
                  <c:v>14.853</c:v>
                </c:pt>
                <c:pt idx="557">
                  <c:v>14.933999999999999</c:v>
                </c:pt>
                <c:pt idx="558">
                  <c:v>15.169</c:v>
                </c:pt>
                <c:pt idx="559">
                  <c:v>15.131</c:v>
                </c:pt>
                <c:pt idx="560">
                  <c:v>15.099</c:v>
                </c:pt>
                <c:pt idx="561">
                  <c:v>15.215999999999999</c:v>
                </c:pt>
                <c:pt idx="562">
                  <c:v>15.06</c:v>
                </c:pt>
                <c:pt idx="563">
                  <c:v>15.096</c:v>
                </c:pt>
                <c:pt idx="564">
                  <c:v>15.17</c:v>
                </c:pt>
                <c:pt idx="565">
                  <c:v>15.231999999999999</c:v>
                </c:pt>
                <c:pt idx="566">
                  <c:v>15.39</c:v>
                </c:pt>
                <c:pt idx="567">
                  <c:v>15.276999999999999</c:v>
                </c:pt>
                <c:pt idx="568">
                  <c:v>15.507</c:v>
                </c:pt>
                <c:pt idx="569">
                  <c:v>15.641</c:v>
                </c:pt>
                <c:pt idx="570">
                  <c:v>15.714</c:v>
                </c:pt>
                <c:pt idx="571">
                  <c:v>15.585000000000001</c:v>
                </c:pt>
                <c:pt idx="572">
                  <c:v>15.368</c:v>
                </c:pt>
                <c:pt idx="573">
                  <c:v>15.58</c:v>
                </c:pt>
                <c:pt idx="574">
                  <c:v>15.606999999999999</c:v>
                </c:pt>
                <c:pt idx="575">
                  <c:v>15.456</c:v>
                </c:pt>
                <c:pt idx="576">
                  <c:v>15.41</c:v>
                </c:pt>
                <c:pt idx="577">
                  <c:v>15.37</c:v>
                </c:pt>
                <c:pt idx="578">
                  <c:v>15.473000000000001</c:v>
                </c:pt>
                <c:pt idx="579">
                  <c:v>15.401999999999999</c:v>
                </c:pt>
                <c:pt idx="580">
                  <c:v>15.403</c:v>
                </c:pt>
                <c:pt idx="581">
                  <c:v>15.455</c:v>
                </c:pt>
                <c:pt idx="582">
                  <c:v>15.41</c:v>
                </c:pt>
                <c:pt idx="583">
                  <c:v>15.358000000000001</c:v>
                </c:pt>
                <c:pt idx="584">
                  <c:v>15.597</c:v>
                </c:pt>
                <c:pt idx="585">
                  <c:v>15.634</c:v>
                </c:pt>
                <c:pt idx="586">
                  <c:v>15.696</c:v>
                </c:pt>
                <c:pt idx="587">
                  <c:v>16.062999999999999</c:v>
                </c:pt>
                <c:pt idx="588">
                  <c:v>16.204999999999998</c:v>
                </c:pt>
                <c:pt idx="589">
                  <c:v>16.224</c:v>
                </c:pt>
                <c:pt idx="590">
                  <c:v>16.335000000000001</c:v>
                </c:pt>
                <c:pt idx="591">
                  <c:v>16.603000000000002</c:v>
                </c:pt>
                <c:pt idx="592">
                  <c:v>16.518000000000001</c:v>
                </c:pt>
                <c:pt idx="593">
                  <c:v>16.571999999999999</c:v>
                </c:pt>
                <c:pt idx="594">
                  <c:v>16.677</c:v>
                </c:pt>
                <c:pt idx="595">
                  <c:v>16.388999999999999</c:v>
                </c:pt>
                <c:pt idx="596">
                  <c:v>16.308</c:v>
                </c:pt>
                <c:pt idx="597">
                  <c:v>16.358000000000001</c:v>
                </c:pt>
                <c:pt idx="598">
                  <c:v>16.329000000000001</c:v>
                </c:pt>
                <c:pt idx="599">
                  <c:v>16.228999999999999</c:v>
                </c:pt>
                <c:pt idx="600">
                  <c:v>16.167999999999999</c:v>
                </c:pt>
                <c:pt idx="601">
                  <c:v>16.536000000000001</c:v>
                </c:pt>
                <c:pt idx="602">
                  <c:v>16.477</c:v>
                </c:pt>
                <c:pt idx="603">
                  <c:v>16.489000000000001</c:v>
                </c:pt>
                <c:pt idx="604">
                  <c:v>16.472000000000001</c:v>
                </c:pt>
                <c:pt idx="605">
                  <c:v>16.684000000000001</c:v>
                </c:pt>
                <c:pt idx="606">
                  <c:v>16.780999999999999</c:v>
                </c:pt>
                <c:pt idx="607">
                  <c:v>16.943999999999999</c:v>
                </c:pt>
                <c:pt idx="608">
                  <c:v>16.824999999999999</c:v>
                </c:pt>
                <c:pt idx="609">
                  <c:v>16.916</c:v>
                </c:pt>
                <c:pt idx="610">
                  <c:v>16.821000000000002</c:v>
                </c:pt>
                <c:pt idx="611">
                  <c:v>16.850000000000001</c:v>
                </c:pt>
                <c:pt idx="612">
                  <c:v>16.888000000000002</c:v>
                </c:pt>
                <c:pt idx="613">
                  <c:v>16.956</c:v>
                </c:pt>
                <c:pt idx="614">
                  <c:v>16.991</c:v>
                </c:pt>
                <c:pt idx="615">
                  <c:v>17.117999999999999</c:v>
                </c:pt>
                <c:pt idx="616">
                  <c:v>17.236999999999998</c:v>
                </c:pt>
                <c:pt idx="617">
                  <c:v>17.169</c:v>
                </c:pt>
                <c:pt idx="618">
                  <c:v>17.3</c:v>
                </c:pt>
                <c:pt idx="619">
                  <c:v>17.074999999999999</c:v>
                </c:pt>
                <c:pt idx="620">
                  <c:v>16.942</c:v>
                </c:pt>
                <c:pt idx="621">
                  <c:v>16.914000000000001</c:v>
                </c:pt>
                <c:pt idx="622">
                  <c:v>16.896999999999998</c:v>
                </c:pt>
                <c:pt idx="623">
                  <c:v>17.109000000000002</c:v>
                </c:pt>
                <c:pt idx="624">
                  <c:v>17.106000000000002</c:v>
                </c:pt>
                <c:pt idx="625">
                  <c:v>17.312000000000001</c:v>
                </c:pt>
                <c:pt idx="626">
                  <c:v>17.367000000000001</c:v>
                </c:pt>
                <c:pt idx="627">
                  <c:v>18.064</c:v>
                </c:pt>
                <c:pt idx="628">
                  <c:v>18.170000000000002</c:v>
                </c:pt>
                <c:pt idx="629">
                  <c:v>17.940999999999999</c:v>
                </c:pt>
                <c:pt idx="630">
                  <c:v>17.818999999999999</c:v>
                </c:pt>
                <c:pt idx="631">
                  <c:v>18.164999999999999</c:v>
                </c:pt>
                <c:pt idx="632">
                  <c:v>18.413</c:v>
                </c:pt>
                <c:pt idx="633">
                  <c:v>18.460999999999999</c:v>
                </c:pt>
                <c:pt idx="634">
                  <c:v>18.61</c:v>
                </c:pt>
                <c:pt idx="635">
                  <c:v>18.841999999999999</c:v>
                </c:pt>
                <c:pt idx="636">
                  <c:v>18.920999999999999</c:v>
                </c:pt>
                <c:pt idx="637">
                  <c:v>18.512</c:v>
                </c:pt>
                <c:pt idx="638">
                  <c:v>18.408999999999999</c:v>
                </c:pt>
                <c:pt idx="639">
                  <c:v>18.571999999999999</c:v>
                </c:pt>
                <c:pt idx="640">
                  <c:v>18.457000000000001</c:v>
                </c:pt>
                <c:pt idx="641">
                  <c:v>18.677</c:v>
                </c:pt>
                <c:pt idx="642">
                  <c:v>18.812000000000001</c:v>
                </c:pt>
                <c:pt idx="643">
                  <c:v>18.696000000000002</c:v>
                </c:pt>
                <c:pt idx="644">
                  <c:v>18.754999999999999</c:v>
                </c:pt>
                <c:pt idx="645">
                  <c:v>18.850000000000001</c:v>
                </c:pt>
                <c:pt idx="646">
                  <c:v>18.734999999999999</c:v>
                </c:pt>
                <c:pt idx="647">
                  <c:v>18.524999999999999</c:v>
                </c:pt>
                <c:pt idx="648">
                  <c:v>18.645</c:v>
                </c:pt>
                <c:pt idx="649">
                  <c:v>18.974</c:v>
                </c:pt>
                <c:pt idx="650">
                  <c:v>19.065999999999999</c:v>
                </c:pt>
                <c:pt idx="651">
                  <c:v>19.056999999999999</c:v>
                </c:pt>
                <c:pt idx="652">
                  <c:v>18.95</c:v>
                </c:pt>
                <c:pt idx="653">
                  <c:v>18.773</c:v>
                </c:pt>
                <c:pt idx="654">
                  <c:v>18.806000000000001</c:v>
                </c:pt>
                <c:pt idx="655">
                  <c:v>18.699000000000002</c:v>
                </c:pt>
                <c:pt idx="656">
                  <c:v>19.068000000000001</c:v>
                </c:pt>
                <c:pt idx="657">
                  <c:v>19.170999999999999</c:v>
                </c:pt>
                <c:pt idx="658">
                  <c:v>18.841999999999999</c:v>
                </c:pt>
                <c:pt idx="659">
                  <c:v>19.224</c:v>
                </c:pt>
                <c:pt idx="660">
                  <c:v>19.148</c:v>
                </c:pt>
                <c:pt idx="661">
                  <c:v>19.105</c:v>
                </c:pt>
                <c:pt idx="662">
                  <c:v>19.140999999999998</c:v>
                </c:pt>
                <c:pt idx="663">
                  <c:v>19.286000000000001</c:v>
                </c:pt>
                <c:pt idx="664">
                  <c:v>19.202999999999999</c:v>
                </c:pt>
                <c:pt idx="665">
                  <c:v>19.187000000000001</c:v>
                </c:pt>
                <c:pt idx="666">
                  <c:v>19.015999999999998</c:v>
                </c:pt>
                <c:pt idx="667">
                  <c:v>19.215</c:v>
                </c:pt>
                <c:pt idx="668">
                  <c:v>19.783999999999999</c:v>
                </c:pt>
                <c:pt idx="669">
                  <c:v>19.728000000000002</c:v>
                </c:pt>
                <c:pt idx="670">
                  <c:v>19.763000000000002</c:v>
                </c:pt>
                <c:pt idx="671">
                  <c:v>19.73</c:v>
                </c:pt>
                <c:pt idx="672">
                  <c:v>19.661000000000001</c:v>
                </c:pt>
                <c:pt idx="673">
                  <c:v>19.791</c:v>
                </c:pt>
                <c:pt idx="674">
                  <c:v>19.995000000000001</c:v>
                </c:pt>
                <c:pt idx="675">
                  <c:v>20.327000000000002</c:v>
                </c:pt>
                <c:pt idx="676">
                  <c:v>20.082999999999998</c:v>
                </c:pt>
                <c:pt idx="677">
                  <c:v>20.138999999999999</c:v>
                </c:pt>
                <c:pt idx="678">
                  <c:v>19.917999999999999</c:v>
                </c:pt>
                <c:pt idx="679">
                  <c:v>19.771999999999998</c:v>
                </c:pt>
                <c:pt idx="680">
                  <c:v>19.558</c:v>
                </c:pt>
                <c:pt idx="681">
                  <c:v>19.577999999999999</c:v>
                </c:pt>
                <c:pt idx="682">
                  <c:v>19.561</c:v>
                </c:pt>
                <c:pt idx="683">
                  <c:v>19.641999999999999</c:v>
                </c:pt>
                <c:pt idx="684">
                  <c:v>19.497</c:v>
                </c:pt>
                <c:pt idx="685">
                  <c:v>19.21</c:v>
                </c:pt>
                <c:pt idx="686">
                  <c:v>19.114999999999998</c:v>
                </c:pt>
                <c:pt idx="687">
                  <c:v>18.920000000000002</c:v>
                </c:pt>
                <c:pt idx="688">
                  <c:v>18.774999999999999</c:v>
                </c:pt>
                <c:pt idx="689">
                  <c:v>18.707000000000001</c:v>
                </c:pt>
                <c:pt idx="690">
                  <c:v>18.663</c:v>
                </c:pt>
                <c:pt idx="691">
                  <c:v>18.556999999999999</c:v>
                </c:pt>
                <c:pt idx="692">
                  <c:v>18.422000000000001</c:v>
                </c:pt>
                <c:pt idx="693">
                  <c:v>18.07</c:v>
                </c:pt>
                <c:pt idx="694">
                  <c:v>18.140999999999998</c:v>
                </c:pt>
                <c:pt idx="695">
                  <c:v>18.265999999999998</c:v>
                </c:pt>
                <c:pt idx="696">
                  <c:v>18.111000000000001</c:v>
                </c:pt>
                <c:pt idx="697">
                  <c:v>17.997</c:v>
                </c:pt>
                <c:pt idx="698">
                  <c:v>17.960999999999999</c:v>
                </c:pt>
                <c:pt idx="699">
                  <c:v>18.042999999999999</c:v>
                </c:pt>
                <c:pt idx="700">
                  <c:v>18.093</c:v>
                </c:pt>
                <c:pt idx="701">
                  <c:v>17.969000000000001</c:v>
                </c:pt>
                <c:pt idx="702">
                  <c:v>18.105</c:v>
                </c:pt>
                <c:pt idx="703">
                  <c:v>18.524000000000001</c:v>
                </c:pt>
                <c:pt idx="704">
                  <c:v>18.696000000000002</c:v>
                </c:pt>
                <c:pt idx="705">
                  <c:v>18.675999999999998</c:v>
                </c:pt>
                <c:pt idx="706">
                  <c:v>18.611999999999998</c:v>
                </c:pt>
                <c:pt idx="707">
                  <c:v>18.693000000000001</c:v>
                </c:pt>
                <c:pt idx="708">
                  <c:v>18.344999999999999</c:v>
                </c:pt>
                <c:pt idx="709">
                  <c:v>18.37</c:v>
                </c:pt>
                <c:pt idx="710">
                  <c:v>17.503</c:v>
                </c:pt>
                <c:pt idx="711">
                  <c:v>17.448</c:v>
                </c:pt>
                <c:pt idx="712">
                  <c:v>17.667999999999999</c:v>
                </c:pt>
                <c:pt idx="713">
                  <c:v>17.687000000000001</c:v>
                </c:pt>
                <c:pt idx="714">
                  <c:v>17.835999999999999</c:v>
                </c:pt>
                <c:pt idx="715">
                  <c:v>17.812000000000001</c:v>
                </c:pt>
                <c:pt idx="716">
                  <c:v>18.088999999999999</c:v>
                </c:pt>
                <c:pt idx="717">
                  <c:v>18.28</c:v>
                </c:pt>
                <c:pt idx="718">
                  <c:v>18.492000000000001</c:v>
                </c:pt>
                <c:pt idx="719">
                  <c:v>18.423999999999999</c:v>
                </c:pt>
                <c:pt idx="720">
                  <c:v>18.13</c:v>
                </c:pt>
                <c:pt idx="721">
                  <c:v>18.358000000000001</c:v>
                </c:pt>
                <c:pt idx="722">
                  <c:v>18.254000000000001</c:v>
                </c:pt>
                <c:pt idx="723">
                  <c:v>18.247</c:v>
                </c:pt>
                <c:pt idx="724">
                  <c:v>18.510999999999999</c:v>
                </c:pt>
                <c:pt idx="725">
                  <c:v>18.739999999999998</c:v>
                </c:pt>
                <c:pt idx="726">
                  <c:v>18.773</c:v>
                </c:pt>
                <c:pt idx="727">
                  <c:v>18.594999999999999</c:v>
                </c:pt>
                <c:pt idx="728">
                  <c:v>18.576000000000001</c:v>
                </c:pt>
                <c:pt idx="729">
                  <c:v>18.888999999999999</c:v>
                </c:pt>
                <c:pt idx="730">
                  <c:v>18.884</c:v>
                </c:pt>
                <c:pt idx="731">
                  <c:v>17.175000000000001</c:v>
                </c:pt>
                <c:pt idx="732">
                  <c:v>17.170000000000002</c:v>
                </c:pt>
                <c:pt idx="733">
                  <c:v>17.132999999999999</c:v>
                </c:pt>
                <c:pt idx="734">
                  <c:v>17.108000000000001</c:v>
                </c:pt>
                <c:pt idx="735">
                  <c:v>17.120999999999999</c:v>
                </c:pt>
                <c:pt idx="736">
                  <c:v>17.359000000000002</c:v>
                </c:pt>
                <c:pt idx="737">
                  <c:v>17.481000000000002</c:v>
                </c:pt>
                <c:pt idx="738">
                  <c:v>17.888999999999999</c:v>
                </c:pt>
                <c:pt idx="739">
                  <c:v>17.838000000000001</c:v>
                </c:pt>
                <c:pt idx="740">
                  <c:v>18.058</c:v>
                </c:pt>
                <c:pt idx="741">
                  <c:v>17.97</c:v>
                </c:pt>
                <c:pt idx="742">
                  <c:v>17.677</c:v>
                </c:pt>
                <c:pt idx="743">
                  <c:v>17.82</c:v>
                </c:pt>
                <c:pt idx="744">
                  <c:v>18.129000000000001</c:v>
                </c:pt>
                <c:pt idx="745">
                  <c:v>18.123000000000001</c:v>
                </c:pt>
                <c:pt idx="746">
                  <c:v>18.126000000000001</c:v>
                </c:pt>
                <c:pt idx="747">
                  <c:v>18.042000000000002</c:v>
                </c:pt>
                <c:pt idx="748">
                  <c:v>18.128</c:v>
                </c:pt>
                <c:pt idx="749">
                  <c:v>18.513000000000002</c:v>
                </c:pt>
                <c:pt idx="750">
                  <c:v>18.670000000000002</c:v>
                </c:pt>
                <c:pt idx="751">
                  <c:v>18.245999999999999</c:v>
                </c:pt>
                <c:pt idx="752">
                  <c:v>17.983000000000001</c:v>
                </c:pt>
                <c:pt idx="753">
                  <c:v>17.768000000000001</c:v>
                </c:pt>
                <c:pt idx="754">
                  <c:v>17.850999999999999</c:v>
                </c:pt>
                <c:pt idx="755">
                  <c:v>18.239000000000001</c:v>
                </c:pt>
                <c:pt idx="756">
                  <c:v>18.532</c:v>
                </c:pt>
                <c:pt idx="757">
                  <c:v>18.382999999999999</c:v>
                </c:pt>
                <c:pt idx="758">
                  <c:v>18.736999999999998</c:v>
                </c:pt>
                <c:pt idx="759">
                  <c:v>18.902999999999999</c:v>
                </c:pt>
                <c:pt idx="760">
                  <c:v>19.297000000000001</c:v>
                </c:pt>
                <c:pt idx="761">
                  <c:v>19.536999999999999</c:v>
                </c:pt>
                <c:pt idx="762">
                  <c:v>19.713000000000001</c:v>
                </c:pt>
                <c:pt idx="763">
                  <c:v>19.675000000000001</c:v>
                </c:pt>
                <c:pt idx="764">
                  <c:v>20.257999999999999</c:v>
                </c:pt>
                <c:pt idx="765">
                  <c:v>20.106999999999999</c:v>
                </c:pt>
                <c:pt idx="766">
                  <c:v>20.338999999999999</c:v>
                </c:pt>
                <c:pt idx="767">
                  <c:v>20.681999999999999</c:v>
                </c:pt>
                <c:pt idx="768">
                  <c:v>20.495000000000001</c:v>
                </c:pt>
                <c:pt idx="769">
                  <c:v>20.233000000000001</c:v>
                </c:pt>
                <c:pt idx="770">
                  <c:v>19.334</c:v>
                </c:pt>
                <c:pt idx="771">
                  <c:v>19.300999999999998</c:v>
                </c:pt>
                <c:pt idx="772">
                  <c:v>19.376000000000001</c:v>
                </c:pt>
                <c:pt idx="773">
                  <c:v>19.295999999999999</c:v>
                </c:pt>
                <c:pt idx="774">
                  <c:v>18.283000000000001</c:v>
                </c:pt>
                <c:pt idx="775">
                  <c:v>18.295000000000002</c:v>
                </c:pt>
                <c:pt idx="776">
                  <c:v>18.478999999999999</c:v>
                </c:pt>
                <c:pt idx="777">
                  <c:v>18.259</c:v>
                </c:pt>
                <c:pt idx="778">
                  <c:v>18.206</c:v>
                </c:pt>
                <c:pt idx="779">
                  <c:v>18.491</c:v>
                </c:pt>
                <c:pt idx="780">
                  <c:v>18.507999999999999</c:v>
                </c:pt>
                <c:pt idx="781">
                  <c:v>18.41</c:v>
                </c:pt>
                <c:pt idx="782">
                  <c:v>18.635999999999999</c:v>
                </c:pt>
                <c:pt idx="783">
                  <c:v>18.922000000000001</c:v>
                </c:pt>
                <c:pt idx="784">
                  <c:v>18.888999999999999</c:v>
                </c:pt>
                <c:pt idx="785">
                  <c:v>18.376999999999999</c:v>
                </c:pt>
                <c:pt idx="786">
                  <c:v>18.766999999999999</c:v>
                </c:pt>
                <c:pt idx="787">
                  <c:v>18.486999999999998</c:v>
                </c:pt>
                <c:pt idx="788">
                  <c:v>18.484000000000002</c:v>
                </c:pt>
                <c:pt idx="789">
                  <c:v>18.687000000000001</c:v>
                </c:pt>
                <c:pt idx="790">
                  <c:v>18.771999999999998</c:v>
                </c:pt>
                <c:pt idx="791">
                  <c:v>18.908999999999999</c:v>
                </c:pt>
                <c:pt idx="792">
                  <c:v>18.817</c:v>
                </c:pt>
                <c:pt idx="793">
                  <c:v>19.262</c:v>
                </c:pt>
                <c:pt idx="794">
                  <c:v>19.334</c:v>
                </c:pt>
                <c:pt idx="795">
                  <c:v>19.225000000000001</c:v>
                </c:pt>
                <c:pt idx="796">
                  <c:v>19.396000000000001</c:v>
                </c:pt>
                <c:pt idx="797">
                  <c:v>19.332000000000001</c:v>
                </c:pt>
                <c:pt idx="798">
                  <c:v>19.295999999999999</c:v>
                </c:pt>
                <c:pt idx="799">
                  <c:v>19.466999999999999</c:v>
                </c:pt>
                <c:pt idx="800">
                  <c:v>19.396000000000001</c:v>
                </c:pt>
                <c:pt idx="801">
                  <c:v>19.734000000000002</c:v>
                </c:pt>
                <c:pt idx="802">
                  <c:v>19.751000000000001</c:v>
                </c:pt>
                <c:pt idx="803">
                  <c:v>19.664999999999999</c:v>
                </c:pt>
                <c:pt idx="804">
                  <c:v>19.120999999999999</c:v>
                </c:pt>
                <c:pt idx="805">
                  <c:v>19.39</c:v>
                </c:pt>
                <c:pt idx="806">
                  <c:v>18.984999999999999</c:v>
                </c:pt>
                <c:pt idx="807">
                  <c:v>18.876999999999999</c:v>
                </c:pt>
                <c:pt idx="808">
                  <c:v>19.126999999999999</c:v>
                </c:pt>
                <c:pt idx="809">
                  <c:v>19.094999999999999</c:v>
                </c:pt>
                <c:pt idx="810">
                  <c:v>18.902999999999999</c:v>
                </c:pt>
                <c:pt idx="811">
                  <c:v>19.108000000000001</c:v>
                </c:pt>
                <c:pt idx="812">
                  <c:v>19.181999999999999</c:v>
                </c:pt>
                <c:pt idx="813">
                  <c:v>19.244</c:v>
                </c:pt>
                <c:pt idx="814">
                  <c:v>19.298999999999999</c:v>
                </c:pt>
                <c:pt idx="815">
                  <c:v>19.25</c:v>
                </c:pt>
                <c:pt idx="816">
                  <c:v>19.369</c:v>
                </c:pt>
                <c:pt idx="817">
                  <c:v>19.382999999999999</c:v>
                </c:pt>
                <c:pt idx="818">
                  <c:v>19.271000000000001</c:v>
                </c:pt>
                <c:pt idx="819">
                  <c:v>19.282</c:v>
                </c:pt>
                <c:pt idx="820">
                  <c:v>19.515999999999998</c:v>
                </c:pt>
                <c:pt idx="821">
                  <c:v>19.713000000000001</c:v>
                </c:pt>
                <c:pt idx="822">
                  <c:v>19.881</c:v>
                </c:pt>
                <c:pt idx="823">
                  <c:v>19.760999999999999</c:v>
                </c:pt>
                <c:pt idx="824">
                  <c:v>19.858000000000001</c:v>
                </c:pt>
                <c:pt idx="825">
                  <c:v>19.995000000000001</c:v>
                </c:pt>
                <c:pt idx="826">
                  <c:v>20.36</c:v>
                </c:pt>
                <c:pt idx="827">
                  <c:v>20.536000000000001</c:v>
                </c:pt>
                <c:pt idx="828">
                  <c:v>20.347000000000001</c:v>
                </c:pt>
                <c:pt idx="829">
                  <c:v>20.332000000000001</c:v>
                </c:pt>
                <c:pt idx="830">
                  <c:v>20.399999999999999</c:v>
                </c:pt>
                <c:pt idx="831">
                  <c:v>20.538</c:v>
                </c:pt>
                <c:pt idx="832">
                  <c:v>20.576000000000001</c:v>
                </c:pt>
                <c:pt idx="833">
                  <c:v>20.632999999999999</c:v>
                </c:pt>
                <c:pt idx="834">
                  <c:v>20.834</c:v>
                </c:pt>
                <c:pt idx="835">
                  <c:v>21.065000000000001</c:v>
                </c:pt>
                <c:pt idx="836">
                  <c:v>21.486999999999998</c:v>
                </c:pt>
                <c:pt idx="837">
                  <c:v>21.608000000000001</c:v>
                </c:pt>
                <c:pt idx="838">
                  <c:v>22.003</c:v>
                </c:pt>
                <c:pt idx="839">
                  <c:v>21.986999999999998</c:v>
                </c:pt>
                <c:pt idx="840">
                  <c:v>22.263999999999999</c:v>
                </c:pt>
                <c:pt idx="841">
                  <c:v>22.541</c:v>
                </c:pt>
                <c:pt idx="842">
                  <c:v>22.968</c:v>
                </c:pt>
                <c:pt idx="843">
                  <c:v>23.042000000000002</c:v>
                </c:pt>
                <c:pt idx="844">
                  <c:v>23.303000000000001</c:v>
                </c:pt>
                <c:pt idx="845">
                  <c:v>23.626000000000001</c:v>
                </c:pt>
                <c:pt idx="846">
                  <c:v>24.669</c:v>
                </c:pt>
                <c:pt idx="847">
                  <c:v>24.469000000000001</c:v>
                </c:pt>
                <c:pt idx="848">
                  <c:v>23.794</c:v>
                </c:pt>
                <c:pt idx="849">
                  <c:v>23.260999999999999</c:v>
                </c:pt>
                <c:pt idx="850">
                  <c:v>23.202000000000002</c:v>
                </c:pt>
                <c:pt idx="851">
                  <c:v>23.856000000000002</c:v>
                </c:pt>
                <c:pt idx="852">
                  <c:v>23.716999999999999</c:v>
                </c:pt>
                <c:pt idx="853">
                  <c:v>24.245999999999999</c:v>
                </c:pt>
                <c:pt idx="854">
                  <c:v>24.379000000000001</c:v>
                </c:pt>
                <c:pt idx="855">
                  <c:v>24.552</c:v>
                </c:pt>
                <c:pt idx="856">
                  <c:v>25.013999999999999</c:v>
                </c:pt>
                <c:pt idx="857">
                  <c:v>25.077999999999999</c:v>
                </c:pt>
                <c:pt idx="858">
                  <c:v>24.501999999999999</c:v>
                </c:pt>
                <c:pt idx="859">
                  <c:v>24.048999999999999</c:v>
                </c:pt>
                <c:pt idx="860">
                  <c:v>24.271000000000001</c:v>
                </c:pt>
                <c:pt idx="861">
                  <c:v>25.033000000000001</c:v>
                </c:pt>
                <c:pt idx="862">
                  <c:v>24.815000000000001</c:v>
                </c:pt>
                <c:pt idx="863">
                  <c:v>25.123000000000001</c:v>
                </c:pt>
                <c:pt idx="864">
                  <c:v>25.608000000000001</c:v>
                </c:pt>
                <c:pt idx="865">
                  <c:v>25.792000000000002</c:v>
                </c:pt>
                <c:pt idx="866">
                  <c:v>25.33</c:v>
                </c:pt>
                <c:pt idx="867">
                  <c:v>24.927</c:v>
                </c:pt>
                <c:pt idx="868">
                  <c:v>24.398</c:v>
                </c:pt>
                <c:pt idx="869">
                  <c:v>23.844999999999999</c:v>
                </c:pt>
                <c:pt idx="870">
                  <c:v>24.538</c:v>
                </c:pt>
                <c:pt idx="871">
                  <c:v>24.574000000000002</c:v>
                </c:pt>
                <c:pt idx="872">
                  <c:v>24.329000000000001</c:v>
                </c:pt>
                <c:pt idx="873">
                  <c:v>24.081</c:v>
                </c:pt>
                <c:pt idx="874">
                  <c:v>23.986000000000001</c:v>
                </c:pt>
                <c:pt idx="875">
                  <c:v>24.722000000000001</c:v>
                </c:pt>
                <c:pt idx="876">
                  <c:v>24.318000000000001</c:v>
                </c:pt>
                <c:pt idx="877">
                  <c:v>24.181000000000001</c:v>
                </c:pt>
                <c:pt idx="878">
                  <c:v>23.978999999999999</c:v>
                </c:pt>
                <c:pt idx="879">
                  <c:v>23.885000000000002</c:v>
                </c:pt>
                <c:pt idx="880">
                  <c:v>23.373000000000001</c:v>
                </c:pt>
                <c:pt idx="881">
                  <c:v>23.562999999999999</c:v>
                </c:pt>
                <c:pt idx="882">
                  <c:v>23.067</c:v>
                </c:pt>
                <c:pt idx="883">
                  <c:v>23.585999999999999</c:v>
                </c:pt>
                <c:pt idx="884">
                  <c:v>22.884</c:v>
                </c:pt>
                <c:pt idx="885">
                  <c:v>23.355</c:v>
                </c:pt>
                <c:pt idx="886">
                  <c:v>23.149000000000001</c:v>
                </c:pt>
                <c:pt idx="887">
                  <c:v>23.193000000000001</c:v>
                </c:pt>
                <c:pt idx="888">
                  <c:v>23.545000000000002</c:v>
                </c:pt>
                <c:pt idx="889">
                  <c:v>23.436</c:v>
                </c:pt>
                <c:pt idx="890">
                  <c:v>23.423999999999999</c:v>
                </c:pt>
                <c:pt idx="891">
                  <c:v>24.369</c:v>
                </c:pt>
                <c:pt idx="892">
                  <c:v>24.218</c:v>
                </c:pt>
                <c:pt idx="893">
                  <c:v>23.745000000000001</c:v>
                </c:pt>
                <c:pt idx="894">
                  <c:v>23.901</c:v>
                </c:pt>
                <c:pt idx="895">
                  <c:v>23.553999999999998</c:v>
                </c:pt>
                <c:pt idx="896">
                  <c:v>22.986000000000001</c:v>
                </c:pt>
                <c:pt idx="897">
                  <c:v>22.991</c:v>
                </c:pt>
                <c:pt idx="898">
                  <c:v>22.805</c:v>
                </c:pt>
                <c:pt idx="899">
                  <c:v>23.033000000000001</c:v>
                </c:pt>
                <c:pt idx="900">
                  <c:v>22.702999999999999</c:v>
                </c:pt>
                <c:pt idx="901">
                  <c:v>22.824999999999999</c:v>
                </c:pt>
                <c:pt idx="902">
                  <c:v>23.35</c:v>
                </c:pt>
                <c:pt idx="903">
                  <c:v>22.864999999999998</c:v>
                </c:pt>
                <c:pt idx="904">
                  <c:v>23.091999999999999</c:v>
                </c:pt>
                <c:pt idx="905">
                  <c:v>23.324000000000002</c:v>
                </c:pt>
                <c:pt idx="906">
                  <c:v>23.437000000000001</c:v>
                </c:pt>
                <c:pt idx="907">
                  <c:v>23.367000000000001</c:v>
                </c:pt>
                <c:pt idx="908">
                  <c:v>23.016999999999999</c:v>
                </c:pt>
                <c:pt idx="909">
                  <c:v>22.806000000000001</c:v>
                </c:pt>
                <c:pt idx="910">
                  <c:v>23.004999999999999</c:v>
                </c:pt>
                <c:pt idx="911">
                  <c:v>23.012</c:v>
                </c:pt>
                <c:pt idx="912">
                  <c:v>23.161999999999999</c:v>
                </c:pt>
                <c:pt idx="913">
                  <c:v>23.515000000000001</c:v>
                </c:pt>
                <c:pt idx="914">
                  <c:v>23.803000000000001</c:v>
                </c:pt>
                <c:pt idx="915">
                  <c:v>24.207999999999998</c:v>
                </c:pt>
                <c:pt idx="916">
                  <c:v>24.225000000000001</c:v>
                </c:pt>
                <c:pt idx="917">
                  <c:v>23.725000000000001</c:v>
                </c:pt>
                <c:pt idx="918">
                  <c:v>24.068000000000001</c:v>
                </c:pt>
                <c:pt idx="919">
                  <c:v>24.06</c:v>
                </c:pt>
                <c:pt idx="920">
                  <c:v>23.86</c:v>
                </c:pt>
                <c:pt idx="921">
                  <c:v>23.396999999999998</c:v>
                </c:pt>
                <c:pt idx="922">
                  <c:v>22.893999999999998</c:v>
                </c:pt>
                <c:pt idx="923">
                  <c:v>22.698</c:v>
                </c:pt>
                <c:pt idx="924">
                  <c:v>22.806000000000001</c:v>
                </c:pt>
                <c:pt idx="925">
                  <c:v>22.908000000000001</c:v>
                </c:pt>
                <c:pt idx="926">
                  <c:v>22.664999999999999</c:v>
                </c:pt>
                <c:pt idx="927">
                  <c:v>23.248999999999999</c:v>
                </c:pt>
                <c:pt idx="928">
                  <c:v>22.681000000000001</c:v>
                </c:pt>
                <c:pt idx="929">
                  <c:v>22.998000000000001</c:v>
                </c:pt>
                <c:pt idx="930">
                  <c:v>22.753</c:v>
                </c:pt>
                <c:pt idx="931">
                  <c:v>22.763000000000002</c:v>
                </c:pt>
                <c:pt idx="932">
                  <c:v>23.067</c:v>
                </c:pt>
                <c:pt idx="933">
                  <c:v>22.61</c:v>
                </c:pt>
                <c:pt idx="934">
                  <c:v>22.8</c:v>
                </c:pt>
                <c:pt idx="935">
                  <c:v>22.963000000000001</c:v>
                </c:pt>
                <c:pt idx="936">
                  <c:v>23.831</c:v>
                </c:pt>
                <c:pt idx="937">
                  <c:v>23.805</c:v>
                </c:pt>
                <c:pt idx="938">
                  <c:v>23.352</c:v>
                </c:pt>
                <c:pt idx="939">
                  <c:v>23.36</c:v>
                </c:pt>
                <c:pt idx="940">
                  <c:v>23.673999999999999</c:v>
                </c:pt>
                <c:pt idx="941">
                  <c:v>23.056999999999999</c:v>
                </c:pt>
                <c:pt idx="942">
                  <c:v>23.077000000000002</c:v>
                </c:pt>
                <c:pt idx="943">
                  <c:v>22.843</c:v>
                </c:pt>
                <c:pt idx="944">
                  <c:v>22.954000000000001</c:v>
                </c:pt>
                <c:pt idx="945">
                  <c:v>22.72</c:v>
                </c:pt>
                <c:pt idx="946">
                  <c:v>22.626999999999999</c:v>
                </c:pt>
                <c:pt idx="947">
                  <c:v>22.451000000000001</c:v>
                </c:pt>
                <c:pt idx="948">
                  <c:v>22.46</c:v>
                </c:pt>
                <c:pt idx="949">
                  <c:v>22.283999999999999</c:v>
                </c:pt>
                <c:pt idx="950">
                  <c:v>22.263000000000002</c:v>
                </c:pt>
                <c:pt idx="951">
                  <c:v>22.164000000000001</c:v>
                </c:pt>
                <c:pt idx="952">
                  <c:v>21.757999999999999</c:v>
                </c:pt>
                <c:pt idx="953">
                  <c:v>21.745999999999999</c:v>
                </c:pt>
                <c:pt idx="954">
                  <c:v>21.535</c:v>
                </c:pt>
                <c:pt idx="955">
                  <c:v>21.794</c:v>
                </c:pt>
                <c:pt idx="956">
                  <c:v>21.709</c:v>
                </c:pt>
                <c:pt idx="957">
                  <c:v>22.05</c:v>
                </c:pt>
                <c:pt idx="958">
                  <c:v>21.651</c:v>
                </c:pt>
                <c:pt idx="959">
                  <c:v>21.97</c:v>
                </c:pt>
                <c:pt idx="960">
                  <c:v>22.2</c:v>
                </c:pt>
                <c:pt idx="961">
                  <c:v>21.896000000000001</c:v>
                </c:pt>
                <c:pt idx="962">
                  <c:v>21.742999999999999</c:v>
                </c:pt>
                <c:pt idx="963">
                  <c:v>21.623000000000001</c:v>
                </c:pt>
                <c:pt idx="964">
                  <c:v>21.64</c:v>
                </c:pt>
                <c:pt idx="965">
                  <c:v>22.084</c:v>
                </c:pt>
                <c:pt idx="966">
                  <c:v>21.774999999999999</c:v>
                </c:pt>
                <c:pt idx="967">
                  <c:v>21.475999999999999</c:v>
                </c:pt>
                <c:pt idx="968">
                  <c:v>21.57</c:v>
                </c:pt>
                <c:pt idx="969">
                  <c:v>21.306999999999999</c:v>
                </c:pt>
                <c:pt idx="970">
                  <c:v>20.99</c:v>
                </c:pt>
                <c:pt idx="971">
                  <c:v>21.055</c:v>
                </c:pt>
                <c:pt idx="972">
                  <c:v>20.856000000000002</c:v>
                </c:pt>
                <c:pt idx="973">
                  <c:v>20.573</c:v>
                </c:pt>
                <c:pt idx="974">
                  <c:v>20.25</c:v>
                </c:pt>
                <c:pt idx="975">
                  <c:v>19.954000000000001</c:v>
                </c:pt>
                <c:pt idx="976">
                  <c:v>19.699000000000002</c:v>
                </c:pt>
                <c:pt idx="977">
                  <c:v>19.148</c:v>
                </c:pt>
                <c:pt idx="978">
                  <c:v>18.861999999999998</c:v>
                </c:pt>
                <c:pt idx="979">
                  <c:v>18.806000000000001</c:v>
                </c:pt>
                <c:pt idx="980">
                  <c:v>19.175000000000001</c:v>
                </c:pt>
                <c:pt idx="981">
                  <c:v>18.873999999999999</c:v>
                </c:pt>
                <c:pt idx="982">
                  <c:v>18.943999999999999</c:v>
                </c:pt>
                <c:pt idx="983">
                  <c:v>18.713000000000001</c:v>
                </c:pt>
                <c:pt idx="984">
                  <c:v>18.911999999999999</c:v>
                </c:pt>
                <c:pt idx="985">
                  <c:v>19.34</c:v>
                </c:pt>
                <c:pt idx="986">
                  <c:v>19.129000000000001</c:v>
                </c:pt>
                <c:pt idx="987">
                  <c:v>18.103999999999999</c:v>
                </c:pt>
                <c:pt idx="988">
                  <c:v>18.082999999999998</c:v>
                </c:pt>
                <c:pt idx="989">
                  <c:v>17.952999999999999</c:v>
                </c:pt>
                <c:pt idx="990">
                  <c:v>18.419</c:v>
                </c:pt>
                <c:pt idx="991">
                  <c:v>19.123000000000001</c:v>
                </c:pt>
                <c:pt idx="992">
                  <c:v>20.146999999999998</c:v>
                </c:pt>
                <c:pt idx="993">
                  <c:v>19.760999999999999</c:v>
                </c:pt>
                <c:pt idx="994">
                  <c:v>20.52</c:v>
                </c:pt>
                <c:pt idx="995">
                  <c:v>20.251999999999999</c:v>
                </c:pt>
                <c:pt idx="996">
                  <c:v>20.373000000000001</c:v>
                </c:pt>
                <c:pt idx="997">
                  <c:v>20.346</c:v>
                </c:pt>
                <c:pt idx="998">
                  <c:v>19.940999999999999</c:v>
                </c:pt>
                <c:pt idx="999">
                  <c:v>19.745000000000001</c:v>
                </c:pt>
                <c:pt idx="1000">
                  <c:v>20.079000000000001</c:v>
                </c:pt>
                <c:pt idx="1001">
                  <c:v>19.742000000000001</c:v>
                </c:pt>
                <c:pt idx="1002">
                  <c:v>20.024000000000001</c:v>
                </c:pt>
                <c:pt idx="1003">
                  <c:v>19.948</c:v>
                </c:pt>
                <c:pt idx="1004">
                  <c:v>20.145</c:v>
                </c:pt>
                <c:pt idx="1005">
                  <c:v>19.869</c:v>
                </c:pt>
                <c:pt idx="1006">
                  <c:v>19.756</c:v>
                </c:pt>
                <c:pt idx="1007">
                  <c:v>18.491</c:v>
                </c:pt>
                <c:pt idx="1008">
                  <c:v>18.062000000000001</c:v>
                </c:pt>
                <c:pt idx="1009">
                  <c:v>17.858000000000001</c:v>
                </c:pt>
                <c:pt idx="1010">
                  <c:v>18.358000000000001</c:v>
                </c:pt>
                <c:pt idx="1011">
                  <c:v>18.355</c:v>
                </c:pt>
                <c:pt idx="1012">
                  <c:v>18.484000000000002</c:v>
                </c:pt>
                <c:pt idx="1013">
                  <c:v>18.448</c:v>
                </c:pt>
                <c:pt idx="1014">
                  <c:v>18.271999999999998</c:v>
                </c:pt>
                <c:pt idx="1015">
                  <c:v>17.893000000000001</c:v>
                </c:pt>
                <c:pt idx="1016">
                  <c:v>17.922999999999998</c:v>
                </c:pt>
                <c:pt idx="1017">
                  <c:v>18.117000000000001</c:v>
                </c:pt>
                <c:pt idx="1018">
                  <c:v>18.341999999999999</c:v>
                </c:pt>
                <c:pt idx="1019">
                  <c:v>18.065999999999999</c:v>
                </c:pt>
                <c:pt idx="1020">
                  <c:v>17.888999999999999</c:v>
                </c:pt>
                <c:pt idx="1021">
                  <c:v>17.864000000000001</c:v>
                </c:pt>
                <c:pt idx="1022">
                  <c:v>17.872</c:v>
                </c:pt>
                <c:pt idx="1023">
                  <c:v>18.021999999999998</c:v>
                </c:pt>
                <c:pt idx="1024">
                  <c:v>17.885999999999999</c:v>
                </c:pt>
                <c:pt idx="1025">
                  <c:v>17.754999999999999</c:v>
                </c:pt>
                <c:pt idx="1026">
                  <c:v>17.631</c:v>
                </c:pt>
                <c:pt idx="1027">
                  <c:v>18.067</c:v>
                </c:pt>
                <c:pt idx="1028">
                  <c:v>18.039000000000001</c:v>
                </c:pt>
                <c:pt idx="1029">
                  <c:v>17.829999999999998</c:v>
                </c:pt>
                <c:pt idx="1030">
                  <c:v>16.821999999999999</c:v>
                </c:pt>
                <c:pt idx="1031">
                  <c:v>16.695</c:v>
                </c:pt>
                <c:pt idx="1032">
                  <c:v>16.731999999999999</c:v>
                </c:pt>
                <c:pt idx="1033">
                  <c:v>16.797999999999998</c:v>
                </c:pt>
                <c:pt idx="1034">
                  <c:v>16.731000000000002</c:v>
                </c:pt>
                <c:pt idx="1035">
                  <c:v>17.257999999999999</c:v>
                </c:pt>
                <c:pt idx="1036">
                  <c:v>17.503</c:v>
                </c:pt>
                <c:pt idx="1037">
                  <c:v>16.888000000000002</c:v>
                </c:pt>
                <c:pt idx="1038">
                  <c:v>16.850999999999999</c:v>
                </c:pt>
                <c:pt idx="1039">
                  <c:v>17.077000000000002</c:v>
                </c:pt>
                <c:pt idx="1040">
                  <c:v>16.844000000000001</c:v>
                </c:pt>
                <c:pt idx="1041">
                  <c:v>16.846</c:v>
                </c:pt>
                <c:pt idx="1042">
                  <c:v>16.661000000000001</c:v>
                </c:pt>
                <c:pt idx="1043">
                  <c:v>16.504000000000001</c:v>
                </c:pt>
                <c:pt idx="1044">
                  <c:v>16.707999999999998</c:v>
                </c:pt>
                <c:pt idx="1045">
                  <c:v>17.053000000000001</c:v>
                </c:pt>
                <c:pt idx="1046">
                  <c:v>17.266999999999999</c:v>
                </c:pt>
                <c:pt idx="1047">
                  <c:v>17.099</c:v>
                </c:pt>
                <c:pt idx="1048">
                  <c:v>17.202000000000002</c:v>
                </c:pt>
                <c:pt idx="1049">
                  <c:v>17.004999999999999</c:v>
                </c:pt>
                <c:pt idx="1050">
                  <c:v>16.626999999999999</c:v>
                </c:pt>
                <c:pt idx="1051">
                  <c:v>16.651</c:v>
                </c:pt>
                <c:pt idx="1052">
                  <c:v>16.251999999999999</c:v>
                </c:pt>
                <c:pt idx="1053">
                  <c:v>16.184999999999999</c:v>
                </c:pt>
                <c:pt idx="1054">
                  <c:v>16.327000000000002</c:v>
                </c:pt>
                <c:pt idx="1055">
                  <c:v>16.646999999999998</c:v>
                </c:pt>
                <c:pt idx="1056">
                  <c:v>16.998000000000001</c:v>
                </c:pt>
                <c:pt idx="1057">
                  <c:v>16.946000000000002</c:v>
                </c:pt>
                <c:pt idx="1058">
                  <c:v>17.434000000000001</c:v>
                </c:pt>
                <c:pt idx="1059">
                  <c:v>18.187999999999999</c:v>
                </c:pt>
                <c:pt idx="1060">
                  <c:v>18.507999999999999</c:v>
                </c:pt>
                <c:pt idx="1061">
                  <c:v>18.084</c:v>
                </c:pt>
                <c:pt idx="1062">
                  <c:v>17.327999999999999</c:v>
                </c:pt>
                <c:pt idx="1063">
                  <c:v>17.3</c:v>
                </c:pt>
                <c:pt idx="1064">
                  <c:v>17.079999999999998</c:v>
                </c:pt>
                <c:pt idx="1065">
                  <c:v>17.29</c:v>
                </c:pt>
                <c:pt idx="1066">
                  <c:v>17.145</c:v>
                </c:pt>
                <c:pt idx="1067">
                  <c:v>17.292999999999999</c:v>
                </c:pt>
                <c:pt idx="1068">
                  <c:v>17.074999999999999</c:v>
                </c:pt>
                <c:pt idx="1069">
                  <c:v>17.192</c:v>
                </c:pt>
                <c:pt idx="1070">
                  <c:v>16.363</c:v>
                </c:pt>
                <c:pt idx="1071">
                  <c:v>16.132999999999999</c:v>
                </c:pt>
                <c:pt idx="1072">
                  <c:v>16.062000000000001</c:v>
                </c:pt>
                <c:pt idx="1073">
                  <c:v>17.417999999999999</c:v>
                </c:pt>
                <c:pt idx="1074">
                  <c:v>17.696000000000002</c:v>
                </c:pt>
                <c:pt idx="1075">
                  <c:v>17.308</c:v>
                </c:pt>
                <c:pt idx="1076">
                  <c:v>17.067</c:v>
                </c:pt>
                <c:pt idx="1077">
                  <c:v>16.959</c:v>
                </c:pt>
                <c:pt idx="1078">
                  <c:v>16.789000000000001</c:v>
                </c:pt>
                <c:pt idx="1079">
                  <c:v>16.905999999999999</c:v>
                </c:pt>
                <c:pt idx="1080">
                  <c:v>16.933</c:v>
                </c:pt>
                <c:pt idx="1081">
                  <c:v>16.654</c:v>
                </c:pt>
                <c:pt idx="1082">
                  <c:v>16.888999999999999</c:v>
                </c:pt>
                <c:pt idx="1083">
                  <c:v>16.667999999999999</c:v>
                </c:pt>
                <c:pt idx="1084">
                  <c:v>16.512</c:v>
                </c:pt>
                <c:pt idx="1085">
                  <c:v>16.399999999999999</c:v>
                </c:pt>
                <c:pt idx="1086">
                  <c:v>16.285</c:v>
                </c:pt>
                <c:pt idx="1087">
                  <c:v>16.385000000000002</c:v>
                </c:pt>
                <c:pt idx="1088">
                  <c:v>16.469000000000001</c:v>
                </c:pt>
                <c:pt idx="1089">
                  <c:v>16.363</c:v>
                </c:pt>
                <c:pt idx="1090">
                  <c:v>16.172000000000001</c:v>
                </c:pt>
                <c:pt idx="1091">
                  <c:v>16.16</c:v>
                </c:pt>
                <c:pt idx="1092">
                  <c:v>15.957000000000001</c:v>
                </c:pt>
                <c:pt idx="1093">
                  <c:v>15.952999999999999</c:v>
                </c:pt>
                <c:pt idx="1094">
                  <c:v>16.085000000000001</c:v>
                </c:pt>
                <c:pt idx="1095">
                  <c:v>16.742000000000001</c:v>
                </c:pt>
                <c:pt idx="1096">
                  <c:v>16.082999999999998</c:v>
                </c:pt>
                <c:pt idx="1097">
                  <c:v>16.163</c:v>
                </c:pt>
                <c:pt idx="1098">
                  <c:v>16.222000000000001</c:v>
                </c:pt>
                <c:pt idx="1099">
                  <c:v>16.556999999999999</c:v>
                </c:pt>
                <c:pt idx="1100">
                  <c:v>16.539000000000001</c:v>
                </c:pt>
                <c:pt idx="1101">
                  <c:v>16.667999999999999</c:v>
                </c:pt>
                <c:pt idx="1102">
                  <c:v>17.925999999999998</c:v>
                </c:pt>
                <c:pt idx="1103">
                  <c:v>17.998999999999999</c:v>
                </c:pt>
                <c:pt idx="1104">
                  <c:v>17.614000000000001</c:v>
                </c:pt>
                <c:pt idx="1105">
                  <c:v>17.536000000000001</c:v>
                </c:pt>
                <c:pt idx="1106">
                  <c:v>18.751999999999999</c:v>
                </c:pt>
                <c:pt idx="1107">
                  <c:v>17.984000000000002</c:v>
                </c:pt>
                <c:pt idx="1108">
                  <c:v>17.815000000000001</c:v>
                </c:pt>
                <c:pt idx="1109">
                  <c:v>17.891999999999999</c:v>
                </c:pt>
                <c:pt idx="1110">
                  <c:v>18.283000000000001</c:v>
                </c:pt>
                <c:pt idx="1111">
                  <c:v>18.050999999999998</c:v>
                </c:pt>
                <c:pt idx="1112">
                  <c:v>18.009</c:v>
                </c:pt>
                <c:pt idx="1113">
                  <c:v>17.643999999999998</c:v>
                </c:pt>
                <c:pt idx="1114">
                  <c:v>17.780999999999999</c:v>
                </c:pt>
                <c:pt idx="1115">
                  <c:v>17.596</c:v>
                </c:pt>
                <c:pt idx="1116">
                  <c:v>17.997</c:v>
                </c:pt>
                <c:pt idx="1117">
                  <c:v>18.071000000000002</c:v>
                </c:pt>
                <c:pt idx="1118">
                  <c:v>17.655999999999999</c:v>
                </c:pt>
                <c:pt idx="1119">
                  <c:v>17.408000000000001</c:v>
                </c:pt>
                <c:pt idx="1120">
                  <c:v>17.361999999999998</c:v>
                </c:pt>
                <c:pt idx="1121">
                  <c:v>17.303999999999998</c:v>
                </c:pt>
                <c:pt idx="1122">
                  <c:v>17.341000000000001</c:v>
                </c:pt>
                <c:pt idx="1123">
                  <c:v>17.449000000000002</c:v>
                </c:pt>
                <c:pt idx="1124">
                  <c:v>17.643999999999998</c:v>
                </c:pt>
                <c:pt idx="1125">
                  <c:v>17.895</c:v>
                </c:pt>
                <c:pt idx="1126">
                  <c:v>17.719000000000001</c:v>
                </c:pt>
                <c:pt idx="1127">
                  <c:v>17.71</c:v>
                </c:pt>
                <c:pt idx="1128">
                  <c:v>17.600000000000001</c:v>
                </c:pt>
                <c:pt idx="1129">
                  <c:v>17.492999999999999</c:v>
                </c:pt>
                <c:pt idx="1130">
                  <c:v>17.398</c:v>
                </c:pt>
                <c:pt idx="1131">
                  <c:v>17.164000000000001</c:v>
                </c:pt>
                <c:pt idx="1132">
                  <c:v>17.097999999999999</c:v>
                </c:pt>
                <c:pt idx="1133">
                  <c:v>17.010000000000002</c:v>
                </c:pt>
                <c:pt idx="1134">
                  <c:v>17.14</c:v>
                </c:pt>
                <c:pt idx="1135">
                  <c:v>16.917999999999999</c:v>
                </c:pt>
                <c:pt idx="1136">
                  <c:v>16.84</c:v>
                </c:pt>
                <c:pt idx="1137">
                  <c:v>16.847000000000001</c:v>
                </c:pt>
                <c:pt idx="1138">
                  <c:v>16.634</c:v>
                </c:pt>
                <c:pt idx="1139">
                  <c:v>18.262</c:v>
                </c:pt>
                <c:pt idx="1140">
                  <c:v>18.257000000000001</c:v>
                </c:pt>
                <c:pt idx="1141">
                  <c:v>18.501000000000001</c:v>
                </c:pt>
                <c:pt idx="1142">
                  <c:v>18.72</c:v>
                </c:pt>
                <c:pt idx="1143">
                  <c:v>18.428000000000001</c:v>
                </c:pt>
                <c:pt idx="1144">
                  <c:v>18.253</c:v>
                </c:pt>
                <c:pt idx="1145">
                  <c:v>18.138000000000002</c:v>
                </c:pt>
                <c:pt idx="1146">
                  <c:v>18.039000000000001</c:v>
                </c:pt>
                <c:pt idx="1147">
                  <c:v>17.88</c:v>
                </c:pt>
                <c:pt idx="1148">
                  <c:v>17.795000000000002</c:v>
                </c:pt>
                <c:pt idx="1149">
                  <c:v>17.986999999999998</c:v>
                </c:pt>
                <c:pt idx="1150">
                  <c:v>18.158999999999999</c:v>
                </c:pt>
                <c:pt idx="1151">
                  <c:v>18.04</c:v>
                </c:pt>
                <c:pt idx="1152">
                  <c:v>18.079999999999998</c:v>
                </c:pt>
                <c:pt idx="1153">
                  <c:v>18.248000000000001</c:v>
                </c:pt>
                <c:pt idx="1154">
                  <c:v>18.234999999999999</c:v>
                </c:pt>
                <c:pt idx="1155">
                  <c:v>18.52</c:v>
                </c:pt>
                <c:pt idx="1156">
                  <c:v>18.593</c:v>
                </c:pt>
                <c:pt idx="1157">
                  <c:v>18.308</c:v>
                </c:pt>
                <c:pt idx="1158">
                  <c:v>18.495000000000001</c:v>
                </c:pt>
                <c:pt idx="1159">
                  <c:v>18.23</c:v>
                </c:pt>
                <c:pt idx="1160">
                  <c:v>18.579999999999998</c:v>
                </c:pt>
                <c:pt idx="1161">
                  <c:v>18.257999999999999</c:v>
                </c:pt>
                <c:pt idx="1162">
                  <c:v>18.321000000000002</c:v>
                </c:pt>
                <c:pt idx="1163">
                  <c:v>18.454000000000001</c:v>
                </c:pt>
                <c:pt idx="1164">
                  <c:v>18.097999999999999</c:v>
                </c:pt>
                <c:pt idx="1165">
                  <c:v>17.949000000000002</c:v>
                </c:pt>
                <c:pt idx="1166">
                  <c:v>17.736999999999998</c:v>
                </c:pt>
                <c:pt idx="1167">
                  <c:v>17.713999999999999</c:v>
                </c:pt>
                <c:pt idx="1168">
                  <c:v>17.361000000000001</c:v>
                </c:pt>
                <c:pt idx="1169">
                  <c:v>17.859000000000002</c:v>
                </c:pt>
                <c:pt idx="1170">
                  <c:v>17.59</c:v>
                </c:pt>
                <c:pt idx="1171">
                  <c:v>17.677</c:v>
                </c:pt>
                <c:pt idx="1172">
                  <c:v>18.042000000000002</c:v>
                </c:pt>
                <c:pt idx="1173">
                  <c:v>18.292000000000002</c:v>
                </c:pt>
                <c:pt idx="1174">
                  <c:v>18.643000000000001</c:v>
                </c:pt>
                <c:pt idx="1175">
                  <c:v>18.536000000000001</c:v>
                </c:pt>
                <c:pt idx="1176">
                  <c:v>18.149999999999999</c:v>
                </c:pt>
                <c:pt idx="1177">
                  <c:v>17.945</c:v>
                </c:pt>
                <c:pt idx="1178">
                  <c:v>17.782</c:v>
                </c:pt>
                <c:pt idx="1179">
                  <c:v>17.459</c:v>
                </c:pt>
                <c:pt idx="1180">
                  <c:v>17.456</c:v>
                </c:pt>
                <c:pt idx="1181">
                  <c:v>17.372</c:v>
                </c:pt>
                <c:pt idx="1182">
                  <c:v>18.170000000000002</c:v>
                </c:pt>
                <c:pt idx="1183">
                  <c:v>17.856000000000002</c:v>
                </c:pt>
                <c:pt idx="1184">
                  <c:v>17.628</c:v>
                </c:pt>
                <c:pt idx="1185">
                  <c:v>17.709</c:v>
                </c:pt>
                <c:pt idx="1186">
                  <c:v>17.783999999999999</c:v>
                </c:pt>
                <c:pt idx="1187">
                  <c:v>17.571000000000002</c:v>
                </c:pt>
                <c:pt idx="1188">
                  <c:v>17.62</c:v>
                </c:pt>
                <c:pt idx="1189">
                  <c:v>17.111999999999998</c:v>
                </c:pt>
                <c:pt idx="1190">
                  <c:v>17.015000000000001</c:v>
                </c:pt>
                <c:pt idx="1191">
                  <c:v>16.696999999999999</c:v>
                </c:pt>
                <c:pt idx="1192">
                  <c:v>16.324000000000002</c:v>
                </c:pt>
                <c:pt idx="1193">
                  <c:v>15.738</c:v>
                </c:pt>
                <c:pt idx="1194">
                  <c:v>15.933999999999999</c:v>
                </c:pt>
                <c:pt idx="1195">
                  <c:v>15.723000000000001</c:v>
                </c:pt>
                <c:pt idx="1196">
                  <c:v>15.58</c:v>
                </c:pt>
                <c:pt idx="1197">
                  <c:v>15.708</c:v>
                </c:pt>
                <c:pt idx="1198">
                  <c:v>15.624000000000001</c:v>
                </c:pt>
                <c:pt idx="1199">
                  <c:v>15.808999999999999</c:v>
                </c:pt>
                <c:pt idx="1200">
                  <c:v>15.276999999999999</c:v>
                </c:pt>
                <c:pt idx="1201">
                  <c:v>14.821999999999999</c:v>
                </c:pt>
                <c:pt idx="1202">
                  <c:v>14.513999999999999</c:v>
                </c:pt>
                <c:pt idx="1203">
                  <c:v>14.169</c:v>
                </c:pt>
                <c:pt idx="1204">
                  <c:v>14.522</c:v>
                </c:pt>
                <c:pt idx="1205">
                  <c:v>14.818</c:v>
                </c:pt>
                <c:pt idx="1206">
                  <c:v>14.738</c:v>
                </c:pt>
                <c:pt idx="1207">
                  <c:v>14.803000000000001</c:v>
                </c:pt>
                <c:pt idx="1208">
                  <c:v>14.476000000000001</c:v>
                </c:pt>
                <c:pt idx="1209">
                  <c:v>14.596</c:v>
                </c:pt>
                <c:pt idx="1210">
                  <c:v>15.005000000000001</c:v>
                </c:pt>
                <c:pt idx="1211">
                  <c:v>15.311</c:v>
                </c:pt>
                <c:pt idx="1212">
                  <c:v>15.461</c:v>
                </c:pt>
                <c:pt idx="1213">
                  <c:v>15.85</c:v>
                </c:pt>
                <c:pt idx="1214">
                  <c:v>15.622</c:v>
                </c:pt>
                <c:pt idx="1215">
                  <c:v>15.403</c:v>
                </c:pt>
                <c:pt idx="1216">
                  <c:v>15.249000000000001</c:v>
                </c:pt>
                <c:pt idx="1217">
                  <c:v>15.038</c:v>
                </c:pt>
                <c:pt idx="1218">
                  <c:v>14.467000000000001</c:v>
                </c:pt>
                <c:pt idx="1219">
                  <c:v>14.35</c:v>
                </c:pt>
                <c:pt idx="1220">
                  <c:v>14.428000000000001</c:v>
                </c:pt>
                <c:pt idx="1221">
                  <c:v>14.04</c:v>
                </c:pt>
                <c:pt idx="1222">
                  <c:v>13.79</c:v>
                </c:pt>
                <c:pt idx="1223">
                  <c:v>13.824999999999999</c:v>
                </c:pt>
                <c:pt idx="1224">
                  <c:v>14.353</c:v>
                </c:pt>
                <c:pt idx="1225">
                  <c:v>14.327</c:v>
                </c:pt>
                <c:pt idx="1226">
                  <c:v>14.217000000000001</c:v>
                </c:pt>
                <c:pt idx="1227">
                  <c:v>13.749000000000001</c:v>
                </c:pt>
                <c:pt idx="1228">
                  <c:v>13.218</c:v>
                </c:pt>
                <c:pt idx="1229">
                  <c:v>13.536</c:v>
                </c:pt>
                <c:pt idx="1230">
                  <c:v>13.632</c:v>
                </c:pt>
                <c:pt idx="1231">
                  <c:v>13.182</c:v>
                </c:pt>
                <c:pt idx="1232">
                  <c:v>13.295</c:v>
                </c:pt>
                <c:pt idx="1233">
                  <c:v>12.97</c:v>
                </c:pt>
                <c:pt idx="1234">
                  <c:v>12.611000000000001</c:v>
                </c:pt>
                <c:pt idx="1235">
                  <c:v>12.247</c:v>
                </c:pt>
                <c:pt idx="1236">
                  <c:v>12.33</c:v>
                </c:pt>
                <c:pt idx="1237">
                  <c:v>12.358000000000001</c:v>
                </c:pt>
                <c:pt idx="1238">
                  <c:v>12.064</c:v>
                </c:pt>
                <c:pt idx="1239">
                  <c:v>12.403</c:v>
                </c:pt>
                <c:pt idx="1240">
                  <c:v>12.494999999999999</c:v>
                </c:pt>
                <c:pt idx="1241">
                  <c:v>12.462</c:v>
                </c:pt>
                <c:pt idx="1242">
                  <c:v>12.170999999999999</c:v>
                </c:pt>
                <c:pt idx="1243">
                  <c:v>11.911</c:v>
                </c:pt>
                <c:pt idx="1244">
                  <c:v>11.768000000000001</c:v>
                </c:pt>
                <c:pt idx="1245">
                  <c:v>11.797000000000001</c:v>
                </c:pt>
                <c:pt idx="1246">
                  <c:v>12.077999999999999</c:v>
                </c:pt>
                <c:pt idx="1247">
                  <c:v>12.273</c:v>
                </c:pt>
                <c:pt idx="1248">
                  <c:v>12.792999999999999</c:v>
                </c:pt>
                <c:pt idx="1249">
                  <c:v>12.789</c:v>
                </c:pt>
                <c:pt idx="1250">
                  <c:v>12.661</c:v>
                </c:pt>
                <c:pt idx="1251">
                  <c:v>12.8</c:v>
                </c:pt>
                <c:pt idx="1252">
                  <c:v>12.494999999999999</c:v>
                </c:pt>
                <c:pt idx="1253">
                  <c:v>12.004</c:v>
                </c:pt>
                <c:pt idx="1254">
                  <c:v>12.321</c:v>
                </c:pt>
                <c:pt idx="1255">
                  <c:v>12.685</c:v>
                </c:pt>
                <c:pt idx="1256">
                  <c:v>12.659000000000001</c:v>
                </c:pt>
                <c:pt idx="1257">
                  <c:v>12.353999999999999</c:v>
                </c:pt>
                <c:pt idx="1258">
                  <c:v>12.147</c:v>
                </c:pt>
                <c:pt idx="1259">
                  <c:v>12.084</c:v>
                </c:pt>
                <c:pt idx="1260">
                  <c:v>11.907999999999999</c:v>
                </c:pt>
                <c:pt idx="1261">
                  <c:v>11.772</c:v>
                </c:pt>
                <c:pt idx="1262">
                  <c:v>11.736000000000001</c:v>
                </c:pt>
                <c:pt idx="1263">
                  <c:v>11.675000000000001</c:v>
                </c:pt>
                <c:pt idx="1264">
                  <c:v>11.407999999999999</c:v>
                </c:pt>
                <c:pt idx="1265">
                  <c:v>11.202</c:v>
                </c:pt>
                <c:pt idx="1266">
                  <c:v>11.297000000000001</c:v>
                </c:pt>
                <c:pt idx="1267">
                  <c:v>11.42</c:v>
                </c:pt>
                <c:pt idx="1268">
                  <c:v>11.445</c:v>
                </c:pt>
                <c:pt idx="1269">
                  <c:v>11.711</c:v>
                </c:pt>
                <c:pt idx="1270">
                  <c:v>11.715</c:v>
                </c:pt>
                <c:pt idx="1271">
                  <c:v>11.72</c:v>
                </c:pt>
                <c:pt idx="1272">
                  <c:v>11.451000000000001</c:v>
                </c:pt>
                <c:pt idx="1273">
                  <c:v>11.276</c:v>
                </c:pt>
                <c:pt idx="1274">
                  <c:v>11.537000000000001</c:v>
                </c:pt>
                <c:pt idx="1275">
                  <c:v>11.654</c:v>
                </c:pt>
                <c:pt idx="1276">
                  <c:v>11.759</c:v>
                </c:pt>
                <c:pt idx="1277">
                  <c:v>11.670999999999999</c:v>
                </c:pt>
                <c:pt idx="1278">
                  <c:v>11.775</c:v>
                </c:pt>
                <c:pt idx="1279">
                  <c:v>11.436</c:v>
                </c:pt>
                <c:pt idx="1280">
                  <c:v>11.228999999999999</c:v>
                </c:pt>
                <c:pt idx="1281">
                  <c:v>11.598000000000001</c:v>
                </c:pt>
                <c:pt idx="1282">
                  <c:v>11.512</c:v>
                </c:pt>
                <c:pt idx="1283">
                  <c:v>11.281000000000001</c:v>
                </c:pt>
                <c:pt idx="1284">
                  <c:v>11.106999999999999</c:v>
                </c:pt>
                <c:pt idx="1285">
                  <c:v>10.919</c:v>
                </c:pt>
                <c:pt idx="1286">
                  <c:v>10.773999999999999</c:v>
                </c:pt>
                <c:pt idx="1287">
                  <c:v>11.095000000000001</c:v>
                </c:pt>
                <c:pt idx="1288">
                  <c:v>11.143000000000001</c:v>
                </c:pt>
                <c:pt idx="1289">
                  <c:v>11.234999999999999</c:v>
                </c:pt>
                <c:pt idx="1290">
                  <c:v>11.63</c:v>
                </c:pt>
                <c:pt idx="1291">
                  <c:v>11.352</c:v>
                </c:pt>
                <c:pt idx="1292">
                  <c:v>11.161</c:v>
                </c:pt>
                <c:pt idx="1293">
                  <c:v>11.244999999999999</c:v>
                </c:pt>
                <c:pt idx="1294">
                  <c:v>11.145</c:v>
                </c:pt>
                <c:pt idx="1295">
                  <c:v>11.055</c:v>
                </c:pt>
                <c:pt idx="1296">
                  <c:v>10.939</c:v>
                </c:pt>
                <c:pt idx="1297">
                  <c:v>11.117000000000001</c:v>
                </c:pt>
                <c:pt idx="1298">
                  <c:v>11.146000000000001</c:v>
                </c:pt>
                <c:pt idx="1299">
                  <c:v>11.35</c:v>
                </c:pt>
                <c:pt idx="1300">
                  <c:v>11.449</c:v>
                </c:pt>
                <c:pt idx="1301">
                  <c:v>11.339</c:v>
                </c:pt>
                <c:pt idx="1302">
                  <c:v>11.539</c:v>
                </c:pt>
                <c:pt idx="1303">
                  <c:v>11.332000000000001</c:v>
                </c:pt>
                <c:pt idx="1304">
                  <c:v>11.179</c:v>
                </c:pt>
                <c:pt idx="1305">
                  <c:v>11.208</c:v>
                </c:pt>
                <c:pt idx="1306">
                  <c:v>11.487</c:v>
                </c:pt>
                <c:pt idx="1307">
                  <c:v>11.445</c:v>
                </c:pt>
                <c:pt idx="1308">
                  <c:v>11.343</c:v>
                </c:pt>
                <c:pt idx="1309">
                  <c:v>11.56</c:v>
                </c:pt>
                <c:pt idx="1310">
                  <c:v>11.657999999999999</c:v>
                </c:pt>
                <c:pt idx="1311">
                  <c:v>11.994</c:v>
                </c:pt>
                <c:pt idx="1312">
                  <c:v>11.971</c:v>
                </c:pt>
                <c:pt idx="1313">
                  <c:v>12.016</c:v>
                </c:pt>
                <c:pt idx="1314">
                  <c:v>11.967000000000001</c:v>
                </c:pt>
                <c:pt idx="1315">
                  <c:v>11.861000000000001</c:v>
                </c:pt>
                <c:pt idx="1316">
                  <c:v>11.914</c:v>
                </c:pt>
                <c:pt idx="1317">
                  <c:v>11.711</c:v>
                </c:pt>
                <c:pt idx="1318">
                  <c:v>11.786</c:v>
                </c:pt>
                <c:pt idx="1319">
                  <c:v>11.734999999999999</c:v>
                </c:pt>
                <c:pt idx="1320">
                  <c:v>11.736000000000001</c:v>
                </c:pt>
                <c:pt idx="1321">
                  <c:v>11.282</c:v>
                </c:pt>
                <c:pt idx="1322">
                  <c:v>11.318</c:v>
                </c:pt>
                <c:pt idx="1323">
                  <c:v>11.208</c:v>
                </c:pt>
                <c:pt idx="1324">
                  <c:v>11.189</c:v>
                </c:pt>
                <c:pt idx="1325">
                  <c:v>11.077</c:v>
                </c:pt>
                <c:pt idx="1326">
                  <c:v>10.739000000000001</c:v>
                </c:pt>
                <c:pt idx="1327">
                  <c:v>10.959</c:v>
                </c:pt>
                <c:pt idx="1328">
                  <c:v>11.074</c:v>
                </c:pt>
                <c:pt idx="1329">
                  <c:v>10.848000000000001</c:v>
                </c:pt>
                <c:pt idx="1330">
                  <c:v>10.999000000000001</c:v>
                </c:pt>
                <c:pt idx="1331">
                  <c:v>11.161</c:v>
                </c:pt>
                <c:pt idx="1332">
                  <c:v>11.413</c:v>
                </c:pt>
                <c:pt idx="1333">
                  <c:v>11.746</c:v>
                </c:pt>
                <c:pt idx="1334">
                  <c:v>11.92</c:v>
                </c:pt>
                <c:pt idx="1335">
                  <c:v>11.763</c:v>
                </c:pt>
                <c:pt idx="1336">
                  <c:v>11.728999999999999</c:v>
                </c:pt>
                <c:pt idx="1337">
                  <c:v>11.823</c:v>
                </c:pt>
                <c:pt idx="1338">
                  <c:v>11.686999999999999</c:v>
                </c:pt>
                <c:pt idx="1339">
                  <c:v>11.784000000000001</c:v>
                </c:pt>
                <c:pt idx="1340">
                  <c:v>11.978</c:v>
                </c:pt>
                <c:pt idx="1341">
                  <c:v>12.005000000000001</c:v>
                </c:pt>
                <c:pt idx="1342">
                  <c:v>12.154999999999999</c:v>
                </c:pt>
                <c:pt idx="1343">
                  <c:v>12.198</c:v>
                </c:pt>
                <c:pt idx="1344">
                  <c:v>12.253</c:v>
                </c:pt>
                <c:pt idx="1345">
                  <c:v>11.945</c:v>
                </c:pt>
                <c:pt idx="1346">
                  <c:v>12.286</c:v>
                </c:pt>
                <c:pt idx="1347">
                  <c:v>12.612</c:v>
                </c:pt>
                <c:pt idx="1348">
                  <c:v>12.808999999999999</c:v>
                </c:pt>
                <c:pt idx="1349">
                  <c:v>12.611000000000001</c:v>
                </c:pt>
                <c:pt idx="1350">
                  <c:v>13.632</c:v>
                </c:pt>
                <c:pt idx="1351">
                  <c:v>13.506</c:v>
                </c:pt>
                <c:pt idx="1352">
                  <c:v>13.686999999999999</c:v>
                </c:pt>
                <c:pt idx="1353">
                  <c:v>13.420999999999999</c:v>
                </c:pt>
                <c:pt idx="1354">
                  <c:v>13.499000000000001</c:v>
                </c:pt>
                <c:pt idx="1355">
                  <c:v>13.284000000000001</c:v>
                </c:pt>
                <c:pt idx="1356">
                  <c:v>12.962</c:v>
                </c:pt>
                <c:pt idx="1357">
                  <c:v>12.609</c:v>
                </c:pt>
                <c:pt idx="1358">
                  <c:v>12.57</c:v>
                </c:pt>
                <c:pt idx="1359">
                  <c:v>12.537000000000001</c:v>
                </c:pt>
                <c:pt idx="1360">
                  <c:v>12.638999999999999</c:v>
                </c:pt>
                <c:pt idx="1361">
                  <c:v>12.818</c:v>
                </c:pt>
                <c:pt idx="1362">
                  <c:v>12.866</c:v>
                </c:pt>
                <c:pt idx="1363">
                  <c:v>13.045999999999999</c:v>
                </c:pt>
                <c:pt idx="1364">
                  <c:v>13.045999999999999</c:v>
                </c:pt>
                <c:pt idx="1365">
                  <c:v>13.161</c:v>
                </c:pt>
                <c:pt idx="1366">
                  <c:v>12.856</c:v>
                </c:pt>
                <c:pt idx="1367">
                  <c:v>12.89</c:v>
                </c:pt>
                <c:pt idx="1368">
                  <c:v>13.04</c:v>
                </c:pt>
                <c:pt idx="1369">
                  <c:v>12.964</c:v>
                </c:pt>
                <c:pt idx="1370">
                  <c:v>13.03</c:v>
                </c:pt>
                <c:pt idx="1371">
                  <c:v>13.365</c:v>
                </c:pt>
                <c:pt idx="1372">
                  <c:v>13.26</c:v>
                </c:pt>
                <c:pt idx="1373">
                  <c:v>13.662000000000001</c:v>
                </c:pt>
                <c:pt idx="1374">
                  <c:v>13.429</c:v>
                </c:pt>
                <c:pt idx="1375">
                  <c:v>13.175000000000001</c:v>
                </c:pt>
                <c:pt idx="1376">
                  <c:v>13.397</c:v>
                </c:pt>
                <c:pt idx="1377">
                  <c:v>13.454000000000001</c:v>
                </c:pt>
                <c:pt idx="1378">
                  <c:v>13.587999999999999</c:v>
                </c:pt>
                <c:pt idx="1379">
                  <c:v>13.912000000000001</c:v>
                </c:pt>
                <c:pt idx="1380">
                  <c:v>13.795</c:v>
                </c:pt>
                <c:pt idx="1381">
                  <c:v>13.635</c:v>
                </c:pt>
                <c:pt idx="1382">
                  <c:v>13.555</c:v>
                </c:pt>
                <c:pt idx="1383">
                  <c:v>13.691000000000001</c:v>
                </c:pt>
                <c:pt idx="1384">
                  <c:v>13.689</c:v>
                </c:pt>
                <c:pt idx="1385">
                  <c:v>13.888999999999999</c:v>
                </c:pt>
                <c:pt idx="1386">
                  <c:v>14.064</c:v>
                </c:pt>
                <c:pt idx="1387">
                  <c:v>14.077</c:v>
                </c:pt>
                <c:pt idx="1388">
                  <c:v>14.016999999999999</c:v>
                </c:pt>
                <c:pt idx="1389">
                  <c:v>14.238</c:v>
                </c:pt>
                <c:pt idx="1390">
                  <c:v>14.36</c:v>
                </c:pt>
                <c:pt idx="1391">
                  <c:v>14.05</c:v>
                </c:pt>
                <c:pt idx="1392">
                  <c:v>14.157999999999999</c:v>
                </c:pt>
                <c:pt idx="1393">
                  <c:v>13.707000000000001</c:v>
                </c:pt>
                <c:pt idx="1394">
                  <c:v>13.493</c:v>
                </c:pt>
                <c:pt idx="1395">
                  <c:v>14.794</c:v>
                </c:pt>
                <c:pt idx="1396">
                  <c:v>14.622</c:v>
                </c:pt>
                <c:pt idx="1397">
                  <c:v>14.784000000000001</c:v>
                </c:pt>
                <c:pt idx="1398">
                  <c:v>14.917</c:v>
                </c:pt>
                <c:pt idx="1399">
                  <c:v>15.11</c:v>
                </c:pt>
                <c:pt idx="1400">
                  <c:v>14.839</c:v>
                </c:pt>
                <c:pt idx="1401">
                  <c:v>15.106999999999999</c:v>
                </c:pt>
                <c:pt idx="1402">
                  <c:v>15.163</c:v>
                </c:pt>
                <c:pt idx="1403">
                  <c:v>15.17</c:v>
                </c:pt>
                <c:pt idx="1404">
                  <c:v>15.007</c:v>
                </c:pt>
                <c:pt idx="1405">
                  <c:v>15.055</c:v>
                </c:pt>
                <c:pt idx="1406">
                  <c:v>15.109</c:v>
                </c:pt>
                <c:pt idx="1407">
                  <c:v>14.879</c:v>
                </c:pt>
                <c:pt idx="1408">
                  <c:v>14.773</c:v>
                </c:pt>
                <c:pt idx="1409">
                  <c:v>14.358000000000001</c:v>
                </c:pt>
                <c:pt idx="1410">
                  <c:v>14.411</c:v>
                </c:pt>
                <c:pt idx="1411">
                  <c:v>14.634</c:v>
                </c:pt>
                <c:pt idx="1412">
                  <c:v>14.853999999999999</c:v>
                </c:pt>
                <c:pt idx="1413">
                  <c:v>14.936999999999999</c:v>
                </c:pt>
                <c:pt idx="1414">
                  <c:v>14.846</c:v>
                </c:pt>
                <c:pt idx="1415">
                  <c:v>15.07</c:v>
                </c:pt>
                <c:pt idx="1416">
                  <c:v>15.657999999999999</c:v>
                </c:pt>
                <c:pt idx="1417">
                  <c:v>15.538</c:v>
                </c:pt>
                <c:pt idx="1418">
                  <c:v>15.428000000000001</c:v>
                </c:pt>
                <c:pt idx="1419">
                  <c:v>14.999000000000001</c:v>
                </c:pt>
                <c:pt idx="1420">
                  <c:v>15.324999999999999</c:v>
                </c:pt>
                <c:pt idx="1421">
                  <c:v>15.172000000000001</c:v>
                </c:pt>
                <c:pt idx="1422">
                  <c:v>15.236000000000001</c:v>
                </c:pt>
                <c:pt idx="1423">
                  <c:v>15.397</c:v>
                </c:pt>
                <c:pt idx="1424">
                  <c:v>15.819000000000001</c:v>
                </c:pt>
                <c:pt idx="1425">
                  <c:v>16.164999999999999</c:v>
                </c:pt>
                <c:pt idx="1426">
                  <c:v>16.547000000000001</c:v>
                </c:pt>
                <c:pt idx="1427">
                  <c:v>16.872</c:v>
                </c:pt>
                <c:pt idx="1428">
                  <c:v>16.411999999999999</c:v>
                </c:pt>
                <c:pt idx="1429">
                  <c:v>16.177</c:v>
                </c:pt>
                <c:pt idx="1430">
                  <c:v>16.324000000000002</c:v>
                </c:pt>
                <c:pt idx="1431">
                  <c:v>16.805</c:v>
                </c:pt>
                <c:pt idx="1432">
                  <c:v>17.201000000000001</c:v>
                </c:pt>
                <c:pt idx="1433">
                  <c:v>17.151</c:v>
                </c:pt>
                <c:pt idx="1434">
                  <c:v>17.206</c:v>
                </c:pt>
                <c:pt idx="1435">
                  <c:v>17.951000000000001</c:v>
                </c:pt>
                <c:pt idx="1436">
                  <c:v>17.689</c:v>
                </c:pt>
                <c:pt idx="1437">
                  <c:v>17.716999999999999</c:v>
                </c:pt>
                <c:pt idx="1438">
                  <c:v>17.974</c:v>
                </c:pt>
                <c:pt idx="1439">
                  <c:v>18.263000000000002</c:v>
                </c:pt>
                <c:pt idx="1440">
                  <c:v>17.692</c:v>
                </c:pt>
                <c:pt idx="1441">
                  <c:v>17.457000000000001</c:v>
                </c:pt>
                <c:pt idx="1442">
                  <c:v>18.216000000000001</c:v>
                </c:pt>
                <c:pt idx="1443">
                  <c:v>18.446000000000002</c:v>
                </c:pt>
                <c:pt idx="1444">
                  <c:v>18.823</c:v>
                </c:pt>
                <c:pt idx="1445">
                  <c:v>19.478000000000002</c:v>
                </c:pt>
                <c:pt idx="1446">
                  <c:v>18.646999999999998</c:v>
                </c:pt>
                <c:pt idx="1447">
                  <c:v>18.428999999999998</c:v>
                </c:pt>
                <c:pt idx="1448">
                  <c:v>17.920999999999999</c:v>
                </c:pt>
                <c:pt idx="1449">
                  <c:v>17.704000000000001</c:v>
                </c:pt>
                <c:pt idx="1450">
                  <c:v>18.524999999999999</c:v>
                </c:pt>
                <c:pt idx="1451">
                  <c:v>18.46</c:v>
                </c:pt>
                <c:pt idx="1452">
                  <c:v>18.564</c:v>
                </c:pt>
                <c:pt idx="1453">
                  <c:v>18.872</c:v>
                </c:pt>
                <c:pt idx="1454">
                  <c:v>18.420000000000002</c:v>
                </c:pt>
                <c:pt idx="1455">
                  <c:v>18.317</c:v>
                </c:pt>
                <c:pt idx="1456">
                  <c:v>18.523</c:v>
                </c:pt>
                <c:pt idx="1457">
                  <c:v>18.824999999999999</c:v>
                </c:pt>
                <c:pt idx="1458">
                  <c:v>18.591999999999999</c:v>
                </c:pt>
                <c:pt idx="1459">
                  <c:v>18.256</c:v>
                </c:pt>
                <c:pt idx="1460">
                  <c:v>18.367000000000001</c:v>
                </c:pt>
                <c:pt idx="1461">
                  <c:v>18.446000000000002</c:v>
                </c:pt>
                <c:pt idx="1462">
                  <c:v>18.695</c:v>
                </c:pt>
                <c:pt idx="1463">
                  <c:v>19.001999999999999</c:v>
                </c:pt>
                <c:pt idx="1464">
                  <c:v>19.675000000000001</c:v>
                </c:pt>
                <c:pt idx="1465">
                  <c:v>19.382999999999999</c:v>
                </c:pt>
                <c:pt idx="1466">
                  <c:v>19.245999999999999</c:v>
                </c:pt>
                <c:pt idx="1467">
                  <c:v>18.638000000000002</c:v>
                </c:pt>
                <c:pt idx="1468">
                  <c:v>18.675000000000001</c:v>
                </c:pt>
                <c:pt idx="1469">
                  <c:v>18.369</c:v>
                </c:pt>
                <c:pt idx="1470">
                  <c:v>18.398</c:v>
                </c:pt>
                <c:pt idx="1471">
                  <c:v>18.323</c:v>
                </c:pt>
                <c:pt idx="1472">
                  <c:v>18.748999999999999</c:v>
                </c:pt>
                <c:pt idx="1473">
                  <c:v>18.263000000000002</c:v>
                </c:pt>
                <c:pt idx="1474">
                  <c:v>17.914000000000001</c:v>
                </c:pt>
                <c:pt idx="1475">
                  <c:v>18.12</c:v>
                </c:pt>
                <c:pt idx="1476">
                  <c:v>18.251000000000001</c:v>
                </c:pt>
                <c:pt idx="1477">
                  <c:v>18.024000000000001</c:v>
                </c:pt>
                <c:pt idx="1478">
                  <c:v>17.600999999999999</c:v>
                </c:pt>
                <c:pt idx="1479">
                  <c:v>17.905999999999999</c:v>
                </c:pt>
                <c:pt idx="1480">
                  <c:v>17.815999999999999</c:v>
                </c:pt>
                <c:pt idx="1481">
                  <c:v>17.738</c:v>
                </c:pt>
                <c:pt idx="1482">
                  <c:v>18.010000000000002</c:v>
                </c:pt>
                <c:pt idx="1483">
                  <c:v>18.457000000000001</c:v>
                </c:pt>
                <c:pt idx="1484">
                  <c:v>18.428000000000001</c:v>
                </c:pt>
                <c:pt idx="1485">
                  <c:v>18.86</c:v>
                </c:pt>
                <c:pt idx="1486">
                  <c:v>19.306000000000001</c:v>
                </c:pt>
                <c:pt idx="1487">
                  <c:v>19.672999999999998</c:v>
                </c:pt>
                <c:pt idx="1488">
                  <c:v>20.036000000000001</c:v>
                </c:pt>
                <c:pt idx="1489">
                  <c:v>19.742000000000001</c:v>
                </c:pt>
                <c:pt idx="1490">
                  <c:v>19.498999999999999</c:v>
                </c:pt>
                <c:pt idx="1491">
                  <c:v>19.576000000000001</c:v>
                </c:pt>
                <c:pt idx="1492">
                  <c:v>19.411000000000001</c:v>
                </c:pt>
                <c:pt idx="1493">
                  <c:v>19.030999999999999</c:v>
                </c:pt>
                <c:pt idx="1494">
                  <c:v>19.571000000000002</c:v>
                </c:pt>
                <c:pt idx="1495">
                  <c:v>19.771000000000001</c:v>
                </c:pt>
                <c:pt idx="1496">
                  <c:v>19.847999999999999</c:v>
                </c:pt>
                <c:pt idx="1497">
                  <c:v>19.556999999999999</c:v>
                </c:pt>
                <c:pt idx="1498">
                  <c:v>19.673999999999999</c:v>
                </c:pt>
                <c:pt idx="1499">
                  <c:v>19.614000000000001</c:v>
                </c:pt>
                <c:pt idx="1500">
                  <c:v>19.873999999999999</c:v>
                </c:pt>
                <c:pt idx="1501">
                  <c:v>17.872</c:v>
                </c:pt>
                <c:pt idx="1502">
                  <c:v>17.952000000000002</c:v>
                </c:pt>
                <c:pt idx="1503">
                  <c:v>17.914000000000001</c:v>
                </c:pt>
                <c:pt idx="1504">
                  <c:v>17.609000000000002</c:v>
                </c:pt>
                <c:pt idx="1505">
                  <c:v>17.414999999999999</c:v>
                </c:pt>
                <c:pt idx="1506">
                  <c:v>17.411999999999999</c:v>
                </c:pt>
                <c:pt idx="1507">
                  <c:v>17.614999999999998</c:v>
                </c:pt>
                <c:pt idx="1508">
                  <c:v>17.451000000000001</c:v>
                </c:pt>
                <c:pt idx="1509">
                  <c:v>17.574999999999999</c:v>
                </c:pt>
                <c:pt idx="1510">
                  <c:v>17.899000000000001</c:v>
                </c:pt>
                <c:pt idx="1511">
                  <c:v>18.004999999999999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C4EB-42CD-AD23-1403467BE27D}"/>
            </c:ext>
          </c:extLst>
        </c:ser>
        <c:ser>
          <c:idx val="1"/>
          <c:order val="1"/>
          <c:tx>
            <c:strRef>
              <c:f>'M12'!$U$6</c:f>
              <c:strCache>
                <c:ptCount val="1"/>
                <c:pt idx="0">
                  <c:v>TTF_M1_forecast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'M12'!$D$7:$D$2132</c:f>
              <c:numCache>
                <c:formatCode>m/d/yyyy</c:formatCode>
                <c:ptCount val="2126"/>
                <c:pt idx="0">
                  <c:v>42151</c:v>
                </c:pt>
                <c:pt idx="1">
                  <c:v>42152</c:v>
                </c:pt>
                <c:pt idx="2">
                  <c:v>42153</c:v>
                </c:pt>
                <c:pt idx="3">
                  <c:v>42156</c:v>
                </c:pt>
                <c:pt idx="4">
                  <c:v>42157</c:v>
                </c:pt>
                <c:pt idx="5">
                  <c:v>42158</c:v>
                </c:pt>
                <c:pt idx="6">
                  <c:v>42159</c:v>
                </c:pt>
                <c:pt idx="7">
                  <c:v>42160</c:v>
                </c:pt>
                <c:pt idx="8">
                  <c:v>42163</c:v>
                </c:pt>
                <c:pt idx="9">
                  <c:v>42164</c:v>
                </c:pt>
                <c:pt idx="10">
                  <c:v>42165</c:v>
                </c:pt>
                <c:pt idx="11">
                  <c:v>42166</c:v>
                </c:pt>
                <c:pt idx="12">
                  <c:v>42167</c:v>
                </c:pt>
                <c:pt idx="13">
                  <c:v>42170</c:v>
                </c:pt>
                <c:pt idx="14">
                  <c:v>42171</c:v>
                </c:pt>
                <c:pt idx="15">
                  <c:v>42172</c:v>
                </c:pt>
                <c:pt idx="16">
                  <c:v>42173</c:v>
                </c:pt>
                <c:pt idx="17">
                  <c:v>42174</c:v>
                </c:pt>
                <c:pt idx="18">
                  <c:v>42177</c:v>
                </c:pt>
                <c:pt idx="19">
                  <c:v>42178</c:v>
                </c:pt>
                <c:pt idx="20">
                  <c:v>42179</c:v>
                </c:pt>
                <c:pt idx="21">
                  <c:v>42180</c:v>
                </c:pt>
                <c:pt idx="22">
                  <c:v>42181</c:v>
                </c:pt>
                <c:pt idx="23">
                  <c:v>42184</c:v>
                </c:pt>
                <c:pt idx="24">
                  <c:v>42185</c:v>
                </c:pt>
                <c:pt idx="25">
                  <c:v>42186</c:v>
                </c:pt>
                <c:pt idx="26">
                  <c:v>42187</c:v>
                </c:pt>
                <c:pt idx="27">
                  <c:v>42188</c:v>
                </c:pt>
                <c:pt idx="28">
                  <c:v>42191</c:v>
                </c:pt>
                <c:pt idx="29">
                  <c:v>42192</c:v>
                </c:pt>
                <c:pt idx="30">
                  <c:v>42193</c:v>
                </c:pt>
                <c:pt idx="31">
                  <c:v>42194</c:v>
                </c:pt>
                <c:pt idx="32">
                  <c:v>42195</c:v>
                </c:pt>
                <c:pt idx="33">
                  <c:v>42198</c:v>
                </c:pt>
                <c:pt idx="34">
                  <c:v>42199</c:v>
                </c:pt>
                <c:pt idx="35">
                  <c:v>42200</c:v>
                </c:pt>
                <c:pt idx="36">
                  <c:v>42201</c:v>
                </c:pt>
                <c:pt idx="37">
                  <c:v>42202</c:v>
                </c:pt>
                <c:pt idx="38">
                  <c:v>42205</c:v>
                </c:pt>
                <c:pt idx="39">
                  <c:v>42206</c:v>
                </c:pt>
                <c:pt idx="40">
                  <c:v>42207</c:v>
                </c:pt>
                <c:pt idx="41">
                  <c:v>42208</c:v>
                </c:pt>
                <c:pt idx="42">
                  <c:v>42209</c:v>
                </c:pt>
                <c:pt idx="43">
                  <c:v>42212</c:v>
                </c:pt>
                <c:pt idx="44">
                  <c:v>42213</c:v>
                </c:pt>
                <c:pt idx="45">
                  <c:v>42214</c:v>
                </c:pt>
                <c:pt idx="46">
                  <c:v>42215</c:v>
                </c:pt>
                <c:pt idx="47">
                  <c:v>42216</c:v>
                </c:pt>
                <c:pt idx="48">
                  <c:v>42219</c:v>
                </c:pt>
                <c:pt idx="49">
                  <c:v>42220</c:v>
                </c:pt>
                <c:pt idx="50">
                  <c:v>42221</c:v>
                </c:pt>
                <c:pt idx="51">
                  <c:v>42222</c:v>
                </c:pt>
                <c:pt idx="52">
                  <c:v>42223</c:v>
                </c:pt>
                <c:pt idx="53">
                  <c:v>42226</c:v>
                </c:pt>
                <c:pt idx="54">
                  <c:v>42227</c:v>
                </c:pt>
                <c:pt idx="55">
                  <c:v>42228</c:v>
                </c:pt>
                <c:pt idx="56">
                  <c:v>42229</c:v>
                </c:pt>
                <c:pt idx="57">
                  <c:v>42230</c:v>
                </c:pt>
                <c:pt idx="58">
                  <c:v>42233</c:v>
                </c:pt>
                <c:pt idx="59">
                  <c:v>42234</c:v>
                </c:pt>
                <c:pt idx="60">
                  <c:v>42235</c:v>
                </c:pt>
                <c:pt idx="61">
                  <c:v>42236</c:v>
                </c:pt>
                <c:pt idx="62">
                  <c:v>42237</c:v>
                </c:pt>
                <c:pt idx="63">
                  <c:v>42240</c:v>
                </c:pt>
                <c:pt idx="64">
                  <c:v>42241</c:v>
                </c:pt>
                <c:pt idx="65">
                  <c:v>42242</c:v>
                </c:pt>
                <c:pt idx="66">
                  <c:v>42243</c:v>
                </c:pt>
                <c:pt idx="67">
                  <c:v>42244</c:v>
                </c:pt>
                <c:pt idx="68">
                  <c:v>42247</c:v>
                </c:pt>
                <c:pt idx="69">
                  <c:v>42248</c:v>
                </c:pt>
                <c:pt idx="70">
                  <c:v>42249</c:v>
                </c:pt>
                <c:pt idx="71">
                  <c:v>42250</c:v>
                </c:pt>
                <c:pt idx="72">
                  <c:v>42251</c:v>
                </c:pt>
                <c:pt idx="73">
                  <c:v>42254</c:v>
                </c:pt>
                <c:pt idx="74">
                  <c:v>42255</c:v>
                </c:pt>
                <c:pt idx="75">
                  <c:v>42256</c:v>
                </c:pt>
                <c:pt idx="76">
                  <c:v>42257</c:v>
                </c:pt>
                <c:pt idx="77">
                  <c:v>42258</c:v>
                </c:pt>
                <c:pt idx="78">
                  <c:v>42261</c:v>
                </c:pt>
                <c:pt idx="79">
                  <c:v>42262</c:v>
                </c:pt>
                <c:pt idx="80">
                  <c:v>42263</c:v>
                </c:pt>
                <c:pt idx="81">
                  <c:v>42264</c:v>
                </c:pt>
                <c:pt idx="82">
                  <c:v>42265</c:v>
                </c:pt>
                <c:pt idx="83">
                  <c:v>42268</c:v>
                </c:pt>
                <c:pt idx="84">
                  <c:v>42269</c:v>
                </c:pt>
                <c:pt idx="85">
                  <c:v>42270</c:v>
                </c:pt>
                <c:pt idx="86">
                  <c:v>42271</c:v>
                </c:pt>
                <c:pt idx="87">
                  <c:v>42272</c:v>
                </c:pt>
                <c:pt idx="88">
                  <c:v>42275</c:v>
                </c:pt>
                <c:pt idx="89">
                  <c:v>42276</c:v>
                </c:pt>
                <c:pt idx="90">
                  <c:v>42277</c:v>
                </c:pt>
                <c:pt idx="91">
                  <c:v>42278</c:v>
                </c:pt>
                <c:pt idx="92">
                  <c:v>42279</c:v>
                </c:pt>
                <c:pt idx="93">
                  <c:v>42282</c:v>
                </c:pt>
                <c:pt idx="94">
                  <c:v>42283</c:v>
                </c:pt>
                <c:pt idx="95">
                  <c:v>42284</c:v>
                </c:pt>
                <c:pt idx="96">
                  <c:v>42285</c:v>
                </c:pt>
                <c:pt idx="97">
                  <c:v>42286</c:v>
                </c:pt>
                <c:pt idx="98">
                  <c:v>42289</c:v>
                </c:pt>
                <c:pt idx="99">
                  <c:v>42290</c:v>
                </c:pt>
                <c:pt idx="100">
                  <c:v>42291</c:v>
                </c:pt>
                <c:pt idx="101">
                  <c:v>42292</c:v>
                </c:pt>
                <c:pt idx="102">
                  <c:v>42293</c:v>
                </c:pt>
                <c:pt idx="103">
                  <c:v>42296</c:v>
                </c:pt>
                <c:pt idx="104">
                  <c:v>42297</c:v>
                </c:pt>
                <c:pt idx="105">
                  <c:v>42298</c:v>
                </c:pt>
                <c:pt idx="106">
                  <c:v>42299</c:v>
                </c:pt>
                <c:pt idx="107">
                  <c:v>42300</c:v>
                </c:pt>
                <c:pt idx="108">
                  <c:v>42303</c:v>
                </c:pt>
                <c:pt idx="109">
                  <c:v>42304</c:v>
                </c:pt>
                <c:pt idx="110">
                  <c:v>42305</c:v>
                </c:pt>
                <c:pt idx="111">
                  <c:v>42306</c:v>
                </c:pt>
                <c:pt idx="112">
                  <c:v>42307</c:v>
                </c:pt>
                <c:pt idx="113">
                  <c:v>42310</c:v>
                </c:pt>
                <c:pt idx="114">
                  <c:v>42311</c:v>
                </c:pt>
                <c:pt idx="115">
                  <c:v>42312</c:v>
                </c:pt>
                <c:pt idx="116">
                  <c:v>42313</c:v>
                </c:pt>
                <c:pt idx="117">
                  <c:v>42314</c:v>
                </c:pt>
                <c:pt idx="118">
                  <c:v>42317</c:v>
                </c:pt>
                <c:pt idx="119">
                  <c:v>42318</c:v>
                </c:pt>
                <c:pt idx="120">
                  <c:v>42319</c:v>
                </c:pt>
                <c:pt idx="121">
                  <c:v>42320</c:v>
                </c:pt>
                <c:pt idx="122">
                  <c:v>42321</c:v>
                </c:pt>
                <c:pt idx="123">
                  <c:v>42324</c:v>
                </c:pt>
                <c:pt idx="124">
                  <c:v>42325</c:v>
                </c:pt>
                <c:pt idx="125">
                  <c:v>42326</c:v>
                </c:pt>
                <c:pt idx="126">
                  <c:v>42327</c:v>
                </c:pt>
                <c:pt idx="127">
                  <c:v>42328</c:v>
                </c:pt>
                <c:pt idx="128">
                  <c:v>42331</c:v>
                </c:pt>
                <c:pt idx="129">
                  <c:v>42332</c:v>
                </c:pt>
                <c:pt idx="130">
                  <c:v>42333</c:v>
                </c:pt>
                <c:pt idx="131">
                  <c:v>42334</c:v>
                </c:pt>
                <c:pt idx="132">
                  <c:v>42335</c:v>
                </c:pt>
                <c:pt idx="133">
                  <c:v>42338</c:v>
                </c:pt>
                <c:pt idx="134">
                  <c:v>42339</c:v>
                </c:pt>
                <c:pt idx="135">
                  <c:v>42340</c:v>
                </c:pt>
                <c:pt idx="136">
                  <c:v>42341</c:v>
                </c:pt>
                <c:pt idx="137">
                  <c:v>42342</c:v>
                </c:pt>
                <c:pt idx="138">
                  <c:v>42345</c:v>
                </c:pt>
                <c:pt idx="139">
                  <c:v>42346</c:v>
                </c:pt>
                <c:pt idx="140">
                  <c:v>42347</c:v>
                </c:pt>
                <c:pt idx="141">
                  <c:v>42348</c:v>
                </c:pt>
                <c:pt idx="142">
                  <c:v>42349</c:v>
                </c:pt>
                <c:pt idx="143">
                  <c:v>42352</c:v>
                </c:pt>
                <c:pt idx="144">
                  <c:v>42353</c:v>
                </c:pt>
                <c:pt idx="145">
                  <c:v>42354</c:v>
                </c:pt>
                <c:pt idx="146">
                  <c:v>42355</c:v>
                </c:pt>
                <c:pt idx="147">
                  <c:v>42356</c:v>
                </c:pt>
                <c:pt idx="148">
                  <c:v>42359</c:v>
                </c:pt>
                <c:pt idx="149">
                  <c:v>42360</c:v>
                </c:pt>
                <c:pt idx="150">
                  <c:v>42361</c:v>
                </c:pt>
                <c:pt idx="151">
                  <c:v>42362</c:v>
                </c:pt>
                <c:pt idx="152">
                  <c:v>42366</c:v>
                </c:pt>
                <c:pt idx="153">
                  <c:v>42367</c:v>
                </c:pt>
                <c:pt idx="154">
                  <c:v>42368</c:v>
                </c:pt>
                <c:pt idx="155">
                  <c:v>42369</c:v>
                </c:pt>
                <c:pt idx="156">
                  <c:v>42373</c:v>
                </c:pt>
                <c:pt idx="157">
                  <c:v>42374</c:v>
                </c:pt>
                <c:pt idx="158">
                  <c:v>42375</c:v>
                </c:pt>
                <c:pt idx="159">
                  <c:v>42376</c:v>
                </c:pt>
                <c:pt idx="160">
                  <c:v>42377</c:v>
                </c:pt>
                <c:pt idx="161">
                  <c:v>42380</c:v>
                </c:pt>
                <c:pt idx="162">
                  <c:v>42381</c:v>
                </c:pt>
                <c:pt idx="163">
                  <c:v>42382</c:v>
                </c:pt>
                <c:pt idx="164">
                  <c:v>42383</c:v>
                </c:pt>
                <c:pt idx="165">
                  <c:v>42384</c:v>
                </c:pt>
                <c:pt idx="166">
                  <c:v>42387</c:v>
                </c:pt>
                <c:pt idx="167">
                  <c:v>42388</c:v>
                </c:pt>
                <c:pt idx="168">
                  <c:v>42389</c:v>
                </c:pt>
                <c:pt idx="169">
                  <c:v>42390</c:v>
                </c:pt>
                <c:pt idx="170">
                  <c:v>42391</c:v>
                </c:pt>
                <c:pt idx="171">
                  <c:v>42394</c:v>
                </c:pt>
                <c:pt idx="172">
                  <c:v>42395</c:v>
                </c:pt>
                <c:pt idx="173">
                  <c:v>42396</c:v>
                </c:pt>
                <c:pt idx="174">
                  <c:v>42397</c:v>
                </c:pt>
                <c:pt idx="175">
                  <c:v>42398</c:v>
                </c:pt>
                <c:pt idx="176">
                  <c:v>42401</c:v>
                </c:pt>
                <c:pt idx="177">
                  <c:v>42402</c:v>
                </c:pt>
                <c:pt idx="178">
                  <c:v>42403</c:v>
                </c:pt>
                <c:pt idx="179">
                  <c:v>42404</c:v>
                </c:pt>
                <c:pt idx="180">
                  <c:v>42405</c:v>
                </c:pt>
                <c:pt idx="181">
                  <c:v>42408</c:v>
                </c:pt>
                <c:pt idx="182">
                  <c:v>42409</c:v>
                </c:pt>
                <c:pt idx="183">
                  <c:v>42410</c:v>
                </c:pt>
                <c:pt idx="184">
                  <c:v>42411</c:v>
                </c:pt>
                <c:pt idx="185">
                  <c:v>42412</c:v>
                </c:pt>
                <c:pt idx="186">
                  <c:v>42415</c:v>
                </c:pt>
                <c:pt idx="187">
                  <c:v>42416</c:v>
                </c:pt>
                <c:pt idx="188">
                  <c:v>42417</c:v>
                </c:pt>
                <c:pt idx="189">
                  <c:v>42418</c:v>
                </c:pt>
                <c:pt idx="190">
                  <c:v>42419</c:v>
                </c:pt>
                <c:pt idx="191">
                  <c:v>42422</c:v>
                </c:pt>
                <c:pt idx="192">
                  <c:v>42423</c:v>
                </c:pt>
                <c:pt idx="193">
                  <c:v>42424</c:v>
                </c:pt>
                <c:pt idx="194">
                  <c:v>42425</c:v>
                </c:pt>
                <c:pt idx="195">
                  <c:v>42426</c:v>
                </c:pt>
                <c:pt idx="196">
                  <c:v>42429</c:v>
                </c:pt>
                <c:pt idx="197">
                  <c:v>42430</c:v>
                </c:pt>
                <c:pt idx="198">
                  <c:v>42431</c:v>
                </c:pt>
                <c:pt idx="199">
                  <c:v>42432</c:v>
                </c:pt>
                <c:pt idx="200">
                  <c:v>42433</c:v>
                </c:pt>
                <c:pt idx="201">
                  <c:v>42436</c:v>
                </c:pt>
                <c:pt idx="202">
                  <c:v>42437</c:v>
                </c:pt>
                <c:pt idx="203">
                  <c:v>42438</c:v>
                </c:pt>
                <c:pt idx="204">
                  <c:v>42439</c:v>
                </c:pt>
                <c:pt idx="205">
                  <c:v>42440</c:v>
                </c:pt>
                <c:pt idx="206">
                  <c:v>42443</c:v>
                </c:pt>
                <c:pt idx="207">
                  <c:v>42444</c:v>
                </c:pt>
                <c:pt idx="208">
                  <c:v>42445</c:v>
                </c:pt>
                <c:pt idx="209">
                  <c:v>42446</c:v>
                </c:pt>
                <c:pt idx="210">
                  <c:v>42447</c:v>
                </c:pt>
                <c:pt idx="211">
                  <c:v>42450</c:v>
                </c:pt>
                <c:pt idx="212">
                  <c:v>42451</c:v>
                </c:pt>
                <c:pt idx="213">
                  <c:v>42452</c:v>
                </c:pt>
                <c:pt idx="214">
                  <c:v>42453</c:v>
                </c:pt>
                <c:pt idx="215">
                  <c:v>42458</c:v>
                </c:pt>
                <c:pt idx="216">
                  <c:v>42459</c:v>
                </c:pt>
                <c:pt idx="217">
                  <c:v>42460</c:v>
                </c:pt>
                <c:pt idx="218">
                  <c:v>42461</c:v>
                </c:pt>
                <c:pt idx="219">
                  <c:v>42464</c:v>
                </c:pt>
                <c:pt idx="220">
                  <c:v>42465</c:v>
                </c:pt>
                <c:pt idx="221">
                  <c:v>42466</c:v>
                </c:pt>
                <c:pt idx="222">
                  <c:v>42467</c:v>
                </c:pt>
                <c:pt idx="223">
                  <c:v>42468</c:v>
                </c:pt>
                <c:pt idx="224">
                  <c:v>42471</c:v>
                </c:pt>
                <c:pt idx="225">
                  <c:v>42472</c:v>
                </c:pt>
                <c:pt idx="226">
                  <c:v>42473</c:v>
                </c:pt>
                <c:pt idx="227">
                  <c:v>42474</c:v>
                </c:pt>
                <c:pt idx="228">
                  <c:v>42475</c:v>
                </c:pt>
                <c:pt idx="229">
                  <c:v>42478</c:v>
                </c:pt>
                <c:pt idx="230">
                  <c:v>42479</c:v>
                </c:pt>
                <c:pt idx="231">
                  <c:v>42480</c:v>
                </c:pt>
                <c:pt idx="232">
                  <c:v>42481</c:v>
                </c:pt>
                <c:pt idx="233">
                  <c:v>42482</c:v>
                </c:pt>
                <c:pt idx="234">
                  <c:v>42485</c:v>
                </c:pt>
                <c:pt idx="235">
                  <c:v>42486</c:v>
                </c:pt>
                <c:pt idx="236">
                  <c:v>42487</c:v>
                </c:pt>
                <c:pt idx="237">
                  <c:v>42488</c:v>
                </c:pt>
                <c:pt idx="238">
                  <c:v>42489</c:v>
                </c:pt>
                <c:pt idx="239">
                  <c:v>42492</c:v>
                </c:pt>
                <c:pt idx="240">
                  <c:v>42493</c:v>
                </c:pt>
                <c:pt idx="241">
                  <c:v>42494</c:v>
                </c:pt>
                <c:pt idx="242">
                  <c:v>42495</c:v>
                </c:pt>
                <c:pt idx="243">
                  <c:v>42496</c:v>
                </c:pt>
                <c:pt idx="244">
                  <c:v>42499</c:v>
                </c:pt>
                <c:pt idx="245">
                  <c:v>42500</c:v>
                </c:pt>
                <c:pt idx="246">
                  <c:v>42501</c:v>
                </c:pt>
                <c:pt idx="247">
                  <c:v>42502</c:v>
                </c:pt>
                <c:pt idx="248">
                  <c:v>42503</c:v>
                </c:pt>
                <c:pt idx="249">
                  <c:v>42506</c:v>
                </c:pt>
                <c:pt idx="250">
                  <c:v>42507</c:v>
                </c:pt>
                <c:pt idx="251">
                  <c:v>42508</c:v>
                </c:pt>
                <c:pt idx="252">
                  <c:v>42509</c:v>
                </c:pt>
                <c:pt idx="253">
                  <c:v>42510</c:v>
                </c:pt>
                <c:pt idx="254">
                  <c:v>42513</c:v>
                </c:pt>
                <c:pt idx="255">
                  <c:v>42514</c:v>
                </c:pt>
                <c:pt idx="256">
                  <c:v>42515</c:v>
                </c:pt>
                <c:pt idx="257">
                  <c:v>42516</c:v>
                </c:pt>
                <c:pt idx="258">
                  <c:v>42517</c:v>
                </c:pt>
                <c:pt idx="259">
                  <c:v>42520</c:v>
                </c:pt>
                <c:pt idx="260">
                  <c:v>42521</c:v>
                </c:pt>
                <c:pt idx="261">
                  <c:v>42522</c:v>
                </c:pt>
                <c:pt idx="262">
                  <c:v>42523</c:v>
                </c:pt>
                <c:pt idx="263">
                  <c:v>42524</c:v>
                </c:pt>
                <c:pt idx="264">
                  <c:v>42527</c:v>
                </c:pt>
                <c:pt idx="265">
                  <c:v>42528</c:v>
                </c:pt>
                <c:pt idx="266">
                  <c:v>42529</c:v>
                </c:pt>
                <c:pt idx="267">
                  <c:v>42530</c:v>
                </c:pt>
                <c:pt idx="268">
                  <c:v>42531</c:v>
                </c:pt>
                <c:pt idx="269">
                  <c:v>42534</c:v>
                </c:pt>
                <c:pt idx="270">
                  <c:v>42535</c:v>
                </c:pt>
                <c:pt idx="271">
                  <c:v>42536</c:v>
                </c:pt>
                <c:pt idx="272">
                  <c:v>42537</c:v>
                </c:pt>
                <c:pt idx="273">
                  <c:v>42538</c:v>
                </c:pt>
                <c:pt idx="274">
                  <c:v>42541</c:v>
                </c:pt>
                <c:pt idx="275">
                  <c:v>42542</c:v>
                </c:pt>
                <c:pt idx="276">
                  <c:v>42543</c:v>
                </c:pt>
                <c:pt idx="277">
                  <c:v>42544</c:v>
                </c:pt>
                <c:pt idx="278">
                  <c:v>42545</c:v>
                </c:pt>
                <c:pt idx="279">
                  <c:v>42548</c:v>
                </c:pt>
                <c:pt idx="280">
                  <c:v>42549</c:v>
                </c:pt>
                <c:pt idx="281">
                  <c:v>42550</c:v>
                </c:pt>
                <c:pt idx="282">
                  <c:v>42551</c:v>
                </c:pt>
                <c:pt idx="283">
                  <c:v>42552</c:v>
                </c:pt>
                <c:pt idx="284">
                  <c:v>42555</c:v>
                </c:pt>
                <c:pt idx="285">
                  <c:v>42556</c:v>
                </c:pt>
                <c:pt idx="286">
                  <c:v>42557</c:v>
                </c:pt>
                <c:pt idx="287">
                  <c:v>42558</c:v>
                </c:pt>
                <c:pt idx="288">
                  <c:v>42559</c:v>
                </c:pt>
                <c:pt idx="289">
                  <c:v>42562</c:v>
                </c:pt>
                <c:pt idx="290">
                  <c:v>42563</c:v>
                </c:pt>
                <c:pt idx="291">
                  <c:v>42564</c:v>
                </c:pt>
                <c:pt idx="292">
                  <c:v>42565</c:v>
                </c:pt>
                <c:pt idx="293">
                  <c:v>42566</c:v>
                </c:pt>
                <c:pt idx="294">
                  <c:v>42569</c:v>
                </c:pt>
                <c:pt idx="295">
                  <c:v>42570</c:v>
                </c:pt>
                <c:pt idx="296">
                  <c:v>42571</c:v>
                </c:pt>
                <c:pt idx="297">
                  <c:v>42572</c:v>
                </c:pt>
                <c:pt idx="298">
                  <c:v>42573</c:v>
                </c:pt>
                <c:pt idx="299">
                  <c:v>42576</c:v>
                </c:pt>
                <c:pt idx="300">
                  <c:v>42577</c:v>
                </c:pt>
                <c:pt idx="301">
                  <c:v>42578</c:v>
                </c:pt>
                <c:pt idx="302">
                  <c:v>42579</c:v>
                </c:pt>
                <c:pt idx="303">
                  <c:v>42580</c:v>
                </c:pt>
                <c:pt idx="304">
                  <c:v>42583</c:v>
                </c:pt>
                <c:pt idx="305">
                  <c:v>42584</c:v>
                </c:pt>
                <c:pt idx="306">
                  <c:v>42585</c:v>
                </c:pt>
                <c:pt idx="307">
                  <c:v>42586</c:v>
                </c:pt>
                <c:pt idx="308">
                  <c:v>42587</c:v>
                </c:pt>
                <c:pt idx="309">
                  <c:v>42590</c:v>
                </c:pt>
                <c:pt idx="310">
                  <c:v>42591</c:v>
                </c:pt>
                <c:pt idx="311">
                  <c:v>42592</c:v>
                </c:pt>
                <c:pt idx="312">
                  <c:v>42593</c:v>
                </c:pt>
                <c:pt idx="313">
                  <c:v>42594</c:v>
                </c:pt>
                <c:pt idx="314">
                  <c:v>42597</c:v>
                </c:pt>
                <c:pt idx="315">
                  <c:v>42598</c:v>
                </c:pt>
                <c:pt idx="316">
                  <c:v>42599</c:v>
                </c:pt>
                <c:pt idx="317">
                  <c:v>42600</c:v>
                </c:pt>
                <c:pt idx="318">
                  <c:v>42601</c:v>
                </c:pt>
                <c:pt idx="319">
                  <c:v>42604</c:v>
                </c:pt>
                <c:pt idx="320">
                  <c:v>42605</c:v>
                </c:pt>
                <c:pt idx="321">
                  <c:v>42606</c:v>
                </c:pt>
                <c:pt idx="322">
                  <c:v>42607</c:v>
                </c:pt>
                <c:pt idx="323">
                  <c:v>42608</c:v>
                </c:pt>
                <c:pt idx="324">
                  <c:v>42611</c:v>
                </c:pt>
                <c:pt idx="325">
                  <c:v>42612</c:v>
                </c:pt>
                <c:pt idx="326">
                  <c:v>42613</c:v>
                </c:pt>
                <c:pt idx="327">
                  <c:v>42614</c:v>
                </c:pt>
                <c:pt idx="328">
                  <c:v>42615</c:v>
                </c:pt>
                <c:pt idx="329">
                  <c:v>42618</c:v>
                </c:pt>
                <c:pt idx="330">
                  <c:v>42619</c:v>
                </c:pt>
                <c:pt idx="331">
                  <c:v>42620</c:v>
                </c:pt>
                <c:pt idx="332">
                  <c:v>42621</c:v>
                </c:pt>
                <c:pt idx="333">
                  <c:v>42622</c:v>
                </c:pt>
                <c:pt idx="334">
                  <c:v>42625</c:v>
                </c:pt>
                <c:pt idx="335">
                  <c:v>42626</c:v>
                </c:pt>
                <c:pt idx="336">
                  <c:v>42627</c:v>
                </c:pt>
                <c:pt idx="337">
                  <c:v>42628</c:v>
                </c:pt>
                <c:pt idx="338">
                  <c:v>42629</c:v>
                </c:pt>
                <c:pt idx="339">
                  <c:v>42632</c:v>
                </c:pt>
                <c:pt idx="340">
                  <c:v>42633</c:v>
                </c:pt>
                <c:pt idx="341">
                  <c:v>42634</c:v>
                </c:pt>
                <c:pt idx="342">
                  <c:v>42635</c:v>
                </c:pt>
                <c:pt idx="343">
                  <c:v>42636</c:v>
                </c:pt>
                <c:pt idx="344">
                  <c:v>42639</c:v>
                </c:pt>
                <c:pt idx="345">
                  <c:v>42640</c:v>
                </c:pt>
                <c:pt idx="346">
                  <c:v>42641</c:v>
                </c:pt>
                <c:pt idx="347">
                  <c:v>42642</c:v>
                </c:pt>
                <c:pt idx="348">
                  <c:v>42643</c:v>
                </c:pt>
                <c:pt idx="349">
                  <c:v>42646</c:v>
                </c:pt>
                <c:pt idx="350">
                  <c:v>42647</c:v>
                </c:pt>
                <c:pt idx="351">
                  <c:v>42648</c:v>
                </c:pt>
                <c:pt idx="352">
                  <c:v>42649</c:v>
                </c:pt>
                <c:pt idx="353">
                  <c:v>42650</c:v>
                </c:pt>
                <c:pt idx="354">
                  <c:v>42653</c:v>
                </c:pt>
                <c:pt idx="355">
                  <c:v>42654</c:v>
                </c:pt>
                <c:pt idx="356">
                  <c:v>42655</c:v>
                </c:pt>
                <c:pt idx="357">
                  <c:v>42656</c:v>
                </c:pt>
                <c:pt idx="358">
                  <c:v>42657</c:v>
                </c:pt>
                <c:pt idx="359">
                  <c:v>42660</c:v>
                </c:pt>
                <c:pt idx="360">
                  <c:v>42661</c:v>
                </c:pt>
                <c:pt idx="361">
                  <c:v>42662</c:v>
                </c:pt>
                <c:pt idx="362">
                  <c:v>42663</c:v>
                </c:pt>
                <c:pt idx="363">
                  <c:v>42664</c:v>
                </c:pt>
                <c:pt idx="364">
                  <c:v>42667</c:v>
                </c:pt>
                <c:pt idx="365">
                  <c:v>42668</c:v>
                </c:pt>
                <c:pt idx="366">
                  <c:v>42669</c:v>
                </c:pt>
                <c:pt idx="367">
                  <c:v>42670</c:v>
                </c:pt>
                <c:pt idx="368">
                  <c:v>42671</c:v>
                </c:pt>
                <c:pt idx="369">
                  <c:v>42674</c:v>
                </c:pt>
                <c:pt idx="370">
                  <c:v>42675</c:v>
                </c:pt>
                <c:pt idx="371">
                  <c:v>42676</c:v>
                </c:pt>
                <c:pt idx="372">
                  <c:v>42677</c:v>
                </c:pt>
                <c:pt idx="373">
                  <c:v>42678</c:v>
                </c:pt>
                <c:pt idx="374">
                  <c:v>42681</c:v>
                </c:pt>
                <c:pt idx="375">
                  <c:v>42682</c:v>
                </c:pt>
                <c:pt idx="376">
                  <c:v>42683</c:v>
                </c:pt>
                <c:pt idx="377">
                  <c:v>42684</c:v>
                </c:pt>
                <c:pt idx="378">
                  <c:v>42685</c:v>
                </c:pt>
                <c:pt idx="379">
                  <c:v>42688</c:v>
                </c:pt>
                <c:pt idx="380">
                  <c:v>42689</c:v>
                </c:pt>
                <c:pt idx="381">
                  <c:v>42690</c:v>
                </c:pt>
                <c:pt idx="382">
                  <c:v>42691</c:v>
                </c:pt>
                <c:pt idx="383">
                  <c:v>42692</c:v>
                </c:pt>
                <c:pt idx="384">
                  <c:v>42695</c:v>
                </c:pt>
                <c:pt idx="385">
                  <c:v>42696</c:v>
                </c:pt>
                <c:pt idx="386">
                  <c:v>42697</c:v>
                </c:pt>
                <c:pt idx="387">
                  <c:v>42698</c:v>
                </c:pt>
                <c:pt idx="388">
                  <c:v>42699</c:v>
                </c:pt>
                <c:pt idx="389">
                  <c:v>42702</c:v>
                </c:pt>
                <c:pt idx="390">
                  <c:v>42703</c:v>
                </c:pt>
                <c:pt idx="391">
                  <c:v>42704</c:v>
                </c:pt>
                <c:pt idx="392">
                  <c:v>42705</c:v>
                </c:pt>
                <c:pt idx="393">
                  <c:v>42706</c:v>
                </c:pt>
                <c:pt idx="394">
                  <c:v>42709</c:v>
                </c:pt>
                <c:pt idx="395">
                  <c:v>42710</c:v>
                </c:pt>
                <c:pt idx="396">
                  <c:v>42711</c:v>
                </c:pt>
                <c:pt idx="397">
                  <c:v>42712</c:v>
                </c:pt>
                <c:pt idx="398">
                  <c:v>42713</c:v>
                </c:pt>
                <c:pt idx="399">
                  <c:v>42716</c:v>
                </c:pt>
                <c:pt idx="400">
                  <c:v>42717</c:v>
                </c:pt>
                <c:pt idx="401">
                  <c:v>42718</c:v>
                </c:pt>
                <c:pt idx="402">
                  <c:v>42719</c:v>
                </c:pt>
                <c:pt idx="403">
                  <c:v>42720</c:v>
                </c:pt>
                <c:pt idx="404">
                  <c:v>42723</c:v>
                </c:pt>
                <c:pt idx="405">
                  <c:v>42724</c:v>
                </c:pt>
                <c:pt idx="406">
                  <c:v>42725</c:v>
                </c:pt>
                <c:pt idx="407">
                  <c:v>42726</c:v>
                </c:pt>
                <c:pt idx="408">
                  <c:v>42727</c:v>
                </c:pt>
                <c:pt idx="409">
                  <c:v>42731</c:v>
                </c:pt>
                <c:pt idx="410">
                  <c:v>42732</c:v>
                </c:pt>
                <c:pt idx="411">
                  <c:v>42733</c:v>
                </c:pt>
                <c:pt idx="412">
                  <c:v>42734</c:v>
                </c:pt>
                <c:pt idx="413">
                  <c:v>42737</c:v>
                </c:pt>
                <c:pt idx="414">
                  <c:v>42738</c:v>
                </c:pt>
                <c:pt idx="415">
                  <c:v>42739</c:v>
                </c:pt>
                <c:pt idx="416">
                  <c:v>42740</c:v>
                </c:pt>
                <c:pt idx="417">
                  <c:v>42741</c:v>
                </c:pt>
                <c:pt idx="418">
                  <c:v>42744</c:v>
                </c:pt>
                <c:pt idx="419">
                  <c:v>42745</c:v>
                </c:pt>
                <c:pt idx="420">
                  <c:v>42746</c:v>
                </c:pt>
                <c:pt idx="421">
                  <c:v>42747</c:v>
                </c:pt>
                <c:pt idx="422">
                  <c:v>42748</c:v>
                </c:pt>
                <c:pt idx="423">
                  <c:v>42751</c:v>
                </c:pt>
                <c:pt idx="424">
                  <c:v>42752</c:v>
                </c:pt>
                <c:pt idx="425">
                  <c:v>42753</c:v>
                </c:pt>
                <c:pt idx="426">
                  <c:v>42754</c:v>
                </c:pt>
                <c:pt idx="427">
                  <c:v>42755</c:v>
                </c:pt>
                <c:pt idx="428">
                  <c:v>42758</c:v>
                </c:pt>
                <c:pt idx="429">
                  <c:v>42759</c:v>
                </c:pt>
                <c:pt idx="430">
                  <c:v>42760</c:v>
                </c:pt>
                <c:pt idx="431">
                  <c:v>42761</c:v>
                </c:pt>
                <c:pt idx="432">
                  <c:v>42762</c:v>
                </c:pt>
                <c:pt idx="433">
                  <c:v>42765</c:v>
                </c:pt>
                <c:pt idx="434">
                  <c:v>42766</c:v>
                </c:pt>
                <c:pt idx="435">
                  <c:v>42767</c:v>
                </c:pt>
                <c:pt idx="436">
                  <c:v>42768</c:v>
                </c:pt>
                <c:pt idx="437">
                  <c:v>42769</c:v>
                </c:pt>
                <c:pt idx="438">
                  <c:v>42772</c:v>
                </c:pt>
                <c:pt idx="439">
                  <c:v>42773</c:v>
                </c:pt>
                <c:pt idx="440">
                  <c:v>42774</c:v>
                </c:pt>
                <c:pt idx="441">
                  <c:v>42775</c:v>
                </c:pt>
                <c:pt idx="442">
                  <c:v>42776</c:v>
                </c:pt>
                <c:pt idx="443">
                  <c:v>42779</c:v>
                </c:pt>
                <c:pt idx="444">
                  <c:v>42780</c:v>
                </c:pt>
                <c:pt idx="445">
                  <c:v>42781</c:v>
                </c:pt>
                <c:pt idx="446">
                  <c:v>42782</c:v>
                </c:pt>
                <c:pt idx="447">
                  <c:v>42783</c:v>
                </c:pt>
                <c:pt idx="448">
                  <c:v>42786</c:v>
                </c:pt>
                <c:pt idx="449">
                  <c:v>42787</c:v>
                </c:pt>
                <c:pt idx="450">
                  <c:v>42788</c:v>
                </c:pt>
                <c:pt idx="451">
                  <c:v>42789</c:v>
                </c:pt>
                <c:pt idx="452">
                  <c:v>42790</c:v>
                </c:pt>
                <c:pt idx="453">
                  <c:v>42793</c:v>
                </c:pt>
                <c:pt idx="454">
                  <c:v>42794</c:v>
                </c:pt>
                <c:pt idx="455">
                  <c:v>42795</c:v>
                </c:pt>
                <c:pt idx="456">
                  <c:v>42796</c:v>
                </c:pt>
                <c:pt idx="457">
                  <c:v>42797</c:v>
                </c:pt>
                <c:pt idx="458">
                  <c:v>42800</c:v>
                </c:pt>
                <c:pt idx="459">
                  <c:v>42801</c:v>
                </c:pt>
                <c:pt idx="460">
                  <c:v>42802</c:v>
                </c:pt>
                <c:pt idx="461">
                  <c:v>42803</c:v>
                </c:pt>
                <c:pt idx="462">
                  <c:v>42804</c:v>
                </c:pt>
                <c:pt idx="463">
                  <c:v>42807</c:v>
                </c:pt>
                <c:pt idx="464">
                  <c:v>42808</c:v>
                </c:pt>
                <c:pt idx="465">
                  <c:v>42809</c:v>
                </c:pt>
                <c:pt idx="466">
                  <c:v>42810</c:v>
                </c:pt>
                <c:pt idx="467">
                  <c:v>42811</c:v>
                </c:pt>
                <c:pt idx="468">
                  <c:v>42814</c:v>
                </c:pt>
                <c:pt idx="469">
                  <c:v>42815</c:v>
                </c:pt>
                <c:pt idx="470">
                  <c:v>42816</c:v>
                </c:pt>
                <c:pt idx="471">
                  <c:v>42817</c:v>
                </c:pt>
                <c:pt idx="472">
                  <c:v>42818</c:v>
                </c:pt>
                <c:pt idx="473">
                  <c:v>42821</c:v>
                </c:pt>
                <c:pt idx="474">
                  <c:v>42822</c:v>
                </c:pt>
                <c:pt idx="475">
                  <c:v>42823</c:v>
                </c:pt>
                <c:pt idx="476">
                  <c:v>42824</c:v>
                </c:pt>
                <c:pt idx="477">
                  <c:v>42825</c:v>
                </c:pt>
                <c:pt idx="478">
                  <c:v>42828</c:v>
                </c:pt>
                <c:pt idx="479">
                  <c:v>42829</c:v>
                </c:pt>
                <c:pt idx="480">
                  <c:v>42830</c:v>
                </c:pt>
                <c:pt idx="481">
                  <c:v>42831</c:v>
                </c:pt>
                <c:pt idx="482">
                  <c:v>42832</c:v>
                </c:pt>
                <c:pt idx="483">
                  <c:v>42835</c:v>
                </c:pt>
                <c:pt idx="484">
                  <c:v>42836</c:v>
                </c:pt>
                <c:pt idx="485">
                  <c:v>42837</c:v>
                </c:pt>
                <c:pt idx="486">
                  <c:v>42838</c:v>
                </c:pt>
                <c:pt idx="487">
                  <c:v>42843</c:v>
                </c:pt>
                <c:pt idx="488">
                  <c:v>42844</c:v>
                </c:pt>
                <c:pt idx="489">
                  <c:v>42845</c:v>
                </c:pt>
                <c:pt idx="490">
                  <c:v>42846</c:v>
                </c:pt>
                <c:pt idx="491">
                  <c:v>42849</c:v>
                </c:pt>
                <c:pt idx="492">
                  <c:v>42850</c:v>
                </c:pt>
                <c:pt idx="493">
                  <c:v>42851</c:v>
                </c:pt>
                <c:pt idx="494">
                  <c:v>42852</c:v>
                </c:pt>
                <c:pt idx="495">
                  <c:v>42853</c:v>
                </c:pt>
                <c:pt idx="496">
                  <c:v>42856</c:v>
                </c:pt>
                <c:pt idx="497">
                  <c:v>42857</c:v>
                </c:pt>
                <c:pt idx="498">
                  <c:v>42858</c:v>
                </c:pt>
                <c:pt idx="499">
                  <c:v>42859</c:v>
                </c:pt>
                <c:pt idx="500">
                  <c:v>42860</c:v>
                </c:pt>
                <c:pt idx="501">
                  <c:v>42863</c:v>
                </c:pt>
                <c:pt idx="502">
                  <c:v>42864</c:v>
                </c:pt>
                <c:pt idx="503">
                  <c:v>42865</c:v>
                </c:pt>
                <c:pt idx="504">
                  <c:v>42866</c:v>
                </c:pt>
                <c:pt idx="505">
                  <c:v>42867</c:v>
                </c:pt>
                <c:pt idx="506">
                  <c:v>42870</c:v>
                </c:pt>
                <c:pt idx="507">
                  <c:v>42871</c:v>
                </c:pt>
                <c:pt idx="508">
                  <c:v>42872</c:v>
                </c:pt>
                <c:pt idx="509">
                  <c:v>42873</c:v>
                </c:pt>
                <c:pt idx="510">
                  <c:v>42874</c:v>
                </c:pt>
                <c:pt idx="511">
                  <c:v>42877</c:v>
                </c:pt>
                <c:pt idx="512">
                  <c:v>42878</c:v>
                </c:pt>
                <c:pt idx="513">
                  <c:v>42879</c:v>
                </c:pt>
                <c:pt idx="514">
                  <c:v>42880</c:v>
                </c:pt>
                <c:pt idx="515">
                  <c:v>42881</c:v>
                </c:pt>
                <c:pt idx="516">
                  <c:v>42884</c:v>
                </c:pt>
                <c:pt idx="517">
                  <c:v>42885</c:v>
                </c:pt>
                <c:pt idx="518">
                  <c:v>42886</c:v>
                </c:pt>
                <c:pt idx="519">
                  <c:v>42887</c:v>
                </c:pt>
                <c:pt idx="520">
                  <c:v>42888</c:v>
                </c:pt>
                <c:pt idx="521">
                  <c:v>42891</c:v>
                </c:pt>
                <c:pt idx="522">
                  <c:v>42892</c:v>
                </c:pt>
                <c:pt idx="523">
                  <c:v>42893</c:v>
                </c:pt>
                <c:pt idx="524">
                  <c:v>42894</c:v>
                </c:pt>
                <c:pt idx="525">
                  <c:v>42895</c:v>
                </c:pt>
                <c:pt idx="526">
                  <c:v>42898</c:v>
                </c:pt>
                <c:pt idx="527">
                  <c:v>42899</c:v>
                </c:pt>
                <c:pt idx="528">
                  <c:v>42900</c:v>
                </c:pt>
                <c:pt idx="529">
                  <c:v>42901</c:v>
                </c:pt>
                <c:pt idx="530">
                  <c:v>42902</c:v>
                </c:pt>
                <c:pt idx="531">
                  <c:v>42905</c:v>
                </c:pt>
                <c:pt idx="532">
                  <c:v>42906</c:v>
                </c:pt>
                <c:pt idx="533">
                  <c:v>42907</c:v>
                </c:pt>
                <c:pt idx="534">
                  <c:v>42908</c:v>
                </c:pt>
                <c:pt idx="535">
                  <c:v>42909</c:v>
                </c:pt>
                <c:pt idx="536">
                  <c:v>42912</c:v>
                </c:pt>
                <c:pt idx="537">
                  <c:v>42913</c:v>
                </c:pt>
                <c:pt idx="538">
                  <c:v>42914</c:v>
                </c:pt>
                <c:pt idx="539">
                  <c:v>42915</c:v>
                </c:pt>
                <c:pt idx="540">
                  <c:v>42916</c:v>
                </c:pt>
                <c:pt idx="541">
                  <c:v>42919</c:v>
                </c:pt>
                <c:pt idx="542">
                  <c:v>42920</c:v>
                </c:pt>
                <c:pt idx="543">
                  <c:v>42921</c:v>
                </c:pt>
                <c:pt idx="544">
                  <c:v>42922</c:v>
                </c:pt>
                <c:pt idx="545">
                  <c:v>42923</c:v>
                </c:pt>
                <c:pt idx="546">
                  <c:v>42926</c:v>
                </c:pt>
                <c:pt idx="547">
                  <c:v>42927</c:v>
                </c:pt>
                <c:pt idx="548">
                  <c:v>42928</c:v>
                </c:pt>
                <c:pt idx="549">
                  <c:v>42929</c:v>
                </c:pt>
                <c:pt idx="550">
                  <c:v>42930</c:v>
                </c:pt>
                <c:pt idx="551">
                  <c:v>42933</c:v>
                </c:pt>
                <c:pt idx="552">
                  <c:v>42934</c:v>
                </c:pt>
                <c:pt idx="553">
                  <c:v>42935</c:v>
                </c:pt>
                <c:pt idx="554">
                  <c:v>42936</c:v>
                </c:pt>
                <c:pt idx="555">
                  <c:v>42937</c:v>
                </c:pt>
                <c:pt idx="556">
                  <c:v>42940</c:v>
                </c:pt>
                <c:pt idx="557">
                  <c:v>42941</c:v>
                </c:pt>
                <c:pt idx="558">
                  <c:v>42942</c:v>
                </c:pt>
                <c:pt idx="559">
                  <c:v>42943</c:v>
                </c:pt>
                <c:pt idx="560">
                  <c:v>42944</c:v>
                </c:pt>
                <c:pt idx="561">
                  <c:v>42947</c:v>
                </c:pt>
                <c:pt idx="562">
                  <c:v>42948</c:v>
                </c:pt>
                <c:pt idx="563">
                  <c:v>42949</c:v>
                </c:pt>
                <c:pt idx="564">
                  <c:v>42950</c:v>
                </c:pt>
                <c:pt idx="565">
                  <c:v>42951</c:v>
                </c:pt>
                <c:pt idx="566">
                  <c:v>42954</c:v>
                </c:pt>
                <c:pt idx="567">
                  <c:v>42955</c:v>
                </c:pt>
                <c:pt idx="568">
                  <c:v>42956</c:v>
                </c:pt>
                <c:pt idx="569">
                  <c:v>42957</c:v>
                </c:pt>
                <c:pt idx="570">
                  <c:v>42958</c:v>
                </c:pt>
                <c:pt idx="571">
                  <c:v>42961</c:v>
                </c:pt>
                <c:pt idx="572">
                  <c:v>42962</c:v>
                </c:pt>
                <c:pt idx="573">
                  <c:v>42963</c:v>
                </c:pt>
                <c:pt idx="574">
                  <c:v>42964</c:v>
                </c:pt>
                <c:pt idx="575">
                  <c:v>42965</c:v>
                </c:pt>
                <c:pt idx="576">
                  <c:v>42968</c:v>
                </c:pt>
                <c:pt idx="577">
                  <c:v>42969</c:v>
                </c:pt>
                <c:pt idx="578">
                  <c:v>42970</c:v>
                </c:pt>
                <c:pt idx="579">
                  <c:v>42971</c:v>
                </c:pt>
                <c:pt idx="580">
                  <c:v>42972</c:v>
                </c:pt>
                <c:pt idx="581">
                  <c:v>42975</c:v>
                </c:pt>
                <c:pt idx="582">
                  <c:v>42976</c:v>
                </c:pt>
                <c:pt idx="583">
                  <c:v>42977</c:v>
                </c:pt>
                <c:pt idx="584">
                  <c:v>42978</c:v>
                </c:pt>
                <c:pt idx="585">
                  <c:v>42979</c:v>
                </c:pt>
                <c:pt idx="586">
                  <c:v>42982</c:v>
                </c:pt>
                <c:pt idx="587">
                  <c:v>42983</c:v>
                </c:pt>
                <c:pt idx="588">
                  <c:v>42984</c:v>
                </c:pt>
                <c:pt idx="589">
                  <c:v>42985</c:v>
                </c:pt>
                <c:pt idx="590">
                  <c:v>42986</c:v>
                </c:pt>
                <c:pt idx="591">
                  <c:v>42989</c:v>
                </c:pt>
                <c:pt idx="592">
                  <c:v>42990</c:v>
                </c:pt>
                <c:pt idx="593">
                  <c:v>42991</c:v>
                </c:pt>
                <c:pt idx="594">
                  <c:v>42992</c:v>
                </c:pt>
                <c:pt idx="595">
                  <c:v>42993</c:v>
                </c:pt>
                <c:pt idx="596">
                  <c:v>42996</c:v>
                </c:pt>
                <c:pt idx="597">
                  <c:v>42997</c:v>
                </c:pt>
                <c:pt idx="598">
                  <c:v>42998</c:v>
                </c:pt>
                <c:pt idx="599">
                  <c:v>42999</c:v>
                </c:pt>
                <c:pt idx="600">
                  <c:v>43000</c:v>
                </c:pt>
                <c:pt idx="601">
                  <c:v>43003</c:v>
                </c:pt>
                <c:pt idx="602">
                  <c:v>43004</c:v>
                </c:pt>
                <c:pt idx="603">
                  <c:v>43005</c:v>
                </c:pt>
                <c:pt idx="604">
                  <c:v>43006</c:v>
                </c:pt>
                <c:pt idx="605">
                  <c:v>43007</c:v>
                </c:pt>
                <c:pt idx="606">
                  <c:v>43010</c:v>
                </c:pt>
                <c:pt idx="607">
                  <c:v>43011</c:v>
                </c:pt>
                <c:pt idx="608">
                  <c:v>43012</c:v>
                </c:pt>
                <c:pt idx="609">
                  <c:v>43013</c:v>
                </c:pt>
                <c:pt idx="610">
                  <c:v>43014</c:v>
                </c:pt>
                <c:pt idx="611">
                  <c:v>43017</c:v>
                </c:pt>
                <c:pt idx="612">
                  <c:v>43018</c:v>
                </c:pt>
                <c:pt idx="613">
                  <c:v>43019</c:v>
                </c:pt>
                <c:pt idx="614">
                  <c:v>43020</c:v>
                </c:pt>
                <c:pt idx="615">
                  <c:v>43021</c:v>
                </c:pt>
                <c:pt idx="616">
                  <c:v>43024</c:v>
                </c:pt>
                <c:pt idx="617">
                  <c:v>43025</c:v>
                </c:pt>
                <c:pt idx="618">
                  <c:v>43026</c:v>
                </c:pt>
                <c:pt idx="619">
                  <c:v>43027</c:v>
                </c:pt>
                <c:pt idx="620">
                  <c:v>43028</c:v>
                </c:pt>
                <c:pt idx="621">
                  <c:v>43031</c:v>
                </c:pt>
                <c:pt idx="622">
                  <c:v>43032</c:v>
                </c:pt>
                <c:pt idx="623">
                  <c:v>43033</c:v>
                </c:pt>
                <c:pt idx="624">
                  <c:v>43034</c:v>
                </c:pt>
                <c:pt idx="625">
                  <c:v>43035</c:v>
                </c:pt>
                <c:pt idx="626">
                  <c:v>43038</c:v>
                </c:pt>
                <c:pt idx="627">
                  <c:v>43039</c:v>
                </c:pt>
                <c:pt idx="628">
                  <c:v>43040</c:v>
                </c:pt>
                <c:pt idx="629">
                  <c:v>43041</c:v>
                </c:pt>
                <c:pt idx="630">
                  <c:v>43042</c:v>
                </c:pt>
                <c:pt idx="631">
                  <c:v>43045</c:v>
                </c:pt>
                <c:pt idx="632">
                  <c:v>43046</c:v>
                </c:pt>
                <c:pt idx="633">
                  <c:v>43047</c:v>
                </c:pt>
                <c:pt idx="634">
                  <c:v>43048</c:v>
                </c:pt>
                <c:pt idx="635">
                  <c:v>43049</c:v>
                </c:pt>
                <c:pt idx="636">
                  <c:v>43052</c:v>
                </c:pt>
                <c:pt idx="637">
                  <c:v>43053</c:v>
                </c:pt>
                <c:pt idx="638">
                  <c:v>43054</c:v>
                </c:pt>
                <c:pt idx="639">
                  <c:v>43055</c:v>
                </c:pt>
                <c:pt idx="640">
                  <c:v>43056</c:v>
                </c:pt>
                <c:pt idx="641">
                  <c:v>43059</c:v>
                </c:pt>
                <c:pt idx="642">
                  <c:v>43060</c:v>
                </c:pt>
                <c:pt idx="643">
                  <c:v>43061</c:v>
                </c:pt>
                <c:pt idx="644">
                  <c:v>43062</c:v>
                </c:pt>
                <c:pt idx="645">
                  <c:v>43063</c:v>
                </c:pt>
                <c:pt idx="646">
                  <c:v>43066</c:v>
                </c:pt>
                <c:pt idx="647">
                  <c:v>43067</c:v>
                </c:pt>
                <c:pt idx="648">
                  <c:v>43068</c:v>
                </c:pt>
                <c:pt idx="649">
                  <c:v>43069</c:v>
                </c:pt>
                <c:pt idx="650">
                  <c:v>43070</c:v>
                </c:pt>
                <c:pt idx="651">
                  <c:v>43073</c:v>
                </c:pt>
                <c:pt idx="652">
                  <c:v>43074</c:v>
                </c:pt>
                <c:pt idx="653">
                  <c:v>43075</c:v>
                </c:pt>
                <c:pt idx="654">
                  <c:v>43076</c:v>
                </c:pt>
                <c:pt idx="655">
                  <c:v>43077</c:v>
                </c:pt>
                <c:pt idx="656">
                  <c:v>43080</c:v>
                </c:pt>
                <c:pt idx="657">
                  <c:v>43081</c:v>
                </c:pt>
                <c:pt idx="658">
                  <c:v>43082</c:v>
                </c:pt>
                <c:pt idx="659">
                  <c:v>43083</c:v>
                </c:pt>
                <c:pt idx="660">
                  <c:v>43084</c:v>
                </c:pt>
                <c:pt idx="661">
                  <c:v>43087</c:v>
                </c:pt>
                <c:pt idx="662">
                  <c:v>43088</c:v>
                </c:pt>
                <c:pt idx="663">
                  <c:v>43089</c:v>
                </c:pt>
                <c:pt idx="664">
                  <c:v>43090</c:v>
                </c:pt>
                <c:pt idx="665">
                  <c:v>43091</c:v>
                </c:pt>
                <c:pt idx="666">
                  <c:v>43096</c:v>
                </c:pt>
                <c:pt idx="667">
                  <c:v>43097</c:v>
                </c:pt>
                <c:pt idx="668">
                  <c:v>43098</c:v>
                </c:pt>
                <c:pt idx="669">
                  <c:v>43102</c:v>
                </c:pt>
                <c:pt idx="670">
                  <c:v>43103</c:v>
                </c:pt>
                <c:pt idx="671">
                  <c:v>43104</c:v>
                </c:pt>
                <c:pt idx="672">
                  <c:v>43105</c:v>
                </c:pt>
                <c:pt idx="673">
                  <c:v>43108</c:v>
                </c:pt>
                <c:pt idx="674">
                  <c:v>43109</c:v>
                </c:pt>
                <c:pt idx="675">
                  <c:v>43110</c:v>
                </c:pt>
                <c:pt idx="676">
                  <c:v>43111</c:v>
                </c:pt>
                <c:pt idx="677">
                  <c:v>43112</c:v>
                </c:pt>
                <c:pt idx="678">
                  <c:v>43115</c:v>
                </c:pt>
                <c:pt idx="679">
                  <c:v>43116</c:v>
                </c:pt>
                <c:pt idx="680">
                  <c:v>43117</c:v>
                </c:pt>
                <c:pt idx="681">
                  <c:v>43118</c:v>
                </c:pt>
                <c:pt idx="682">
                  <c:v>43119</c:v>
                </c:pt>
                <c:pt idx="683">
                  <c:v>43122</c:v>
                </c:pt>
                <c:pt idx="684">
                  <c:v>43123</c:v>
                </c:pt>
                <c:pt idx="685">
                  <c:v>43124</c:v>
                </c:pt>
                <c:pt idx="686">
                  <c:v>43125</c:v>
                </c:pt>
                <c:pt idx="687">
                  <c:v>43126</c:v>
                </c:pt>
                <c:pt idx="688">
                  <c:v>43129</c:v>
                </c:pt>
                <c:pt idx="689">
                  <c:v>43130</c:v>
                </c:pt>
                <c:pt idx="690">
                  <c:v>43131</c:v>
                </c:pt>
                <c:pt idx="691">
                  <c:v>43132</c:v>
                </c:pt>
                <c:pt idx="692">
                  <c:v>43133</c:v>
                </c:pt>
                <c:pt idx="693">
                  <c:v>43136</c:v>
                </c:pt>
                <c:pt idx="694">
                  <c:v>43137</c:v>
                </c:pt>
                <c:pt idx="695">
                  <c:v>43138</c:v>
                </c:pt>
                <c:pt idx="696">
                  <c:v>43139</c:v>
                </c:pt>
                <c:pt idx="697">
                  <c:v>43140</c:v>
                </c:pt>
                <c:pt idx="698">
                  <c:v>43143</c:v>
                </c:pt>
                <c:pt idx="699">
                  <c:v>43144</c:v>
                </c:pt>
                <c:pt idx="700">
                  <c:v>43145</c:v>
                </c:pt>
                <c:pt idx="701">
                  <c:v>43146</c:v>
                </c:pt>
                <c:pt idx="702">
                  <c:v>43147</c:v>
                </c:pt>
                <c:pt idx="703">
                  <c:v>43150</c:v>
                </c:pt>
                <c:pt idx="704">
                  <c:v>43151</c:v>
                </c:pt>
                <c:pt idx="705">
                  <c:v>43152</c:v>
                </c:pt>
                <c:pt idx="706">
                  <c:v>43153</c:v>
                </c:pt>
                <c:pt idx="707">
                  <c:v>43154</c:v>
                </c:pt>
                <c:pt idx="708">
                  <c:v>43157</c:v>
                </c:pt>
                <c:pt idx="709">
                  <c:v>43158</c:v>
                </c:pt>
                <c:pt idx="710">
                  <c:v>43159</c:v>
                </c:pt>
                <c:pt idx="711">
                  <c:v>43160</c:v>
                </c:pt>
                <c:pt idx="712">
                  <c:v>43161</c:v>
                </c:pt>
                <c:pt idx="713">
                  <c:v>43164</c:v>
                </c:pt>
                <c:pt idx="714">
                  <c:v>43165</c:v>
                </c:pt>
                <c:pt idx="715">
                  <c:v>43166</c:v>
                </c:pt>
                <c:pt idx="716">
                  <c:v>43167</c:v>
                </c:pt>
                <c:pt idx="717">
                  <c:v>43168</c:v>
                </c:pt>
                <c:pt idx="718">
                  <c:v>43171</c:v>
                </c:pt>
                <c:pt idx="719">
                  <c:v>43172</c:v>
                </c:pt>
                <c:pt idx="720">
                  <c:v>43173</c:v>
                </c:pt>
                <c:pt idx="721">
                  <c:v>43174</c:v>
                </c:pt>
                <c:pt idx="722">
                  <c:v>43175</c:v>
                </c:pt>
                <c:pt idx="723">
                  <c:v>43178</c:v>
                </c:pt>
                <c:pt idx="724">
                  <c:v>43179</c:v>
                </c:pt>
                <c:pt idx="725">
                  <c:v>43180</c:v>
                </c:pt>
                <c:pt idx="726">
                  <c:v>43181</c:v>
                </c:pt>
                <c:pt idx="727">
                  <c:v>43182</c:v>
                </c:pt>
                <c:pt idx="728">
                  <c:v>43185</c:v>
                </c:pt>
                <c:pt idx="729">
                  <c:v>43186</c:v>
                </c:pt>
                <c:pt idx="730">
                  <c:v>43187</c:v>
                </c:pt>
                <c:pt idx="731">
                  <c:v>43188</c:v>
                </c:pt>
                <c:pt idx="732">
                  <c:v>43193</c:v>
                </c:pt>
                <c:pt idx="733">
                  <c:v>43194</c:v>
                </c:pt>
                <c:pt idx="734">
                  <c:v>43195</c:v>
                </c:pt>
                <c:pt idx="735">
                  <c:v>43196</c:v>
                </c:pt>
                <c:pt idx="736">
                  <c:v>43199</c:v>
                </c:pt>
                <c:pt idx="737">
                  <c:v>43200</c:v>
                </c:pt>
                <c:pt idx="738">
                  <c:v>43201</c:v>
                </c:pt>
                <c:pt idx="739">
                  <c:v>43202</c:v>
                </c:pt>
                <c:pt idx="740">
                  <c:v>43203</c:v>
                </c:pt>
                <c:pt idx="741">
                  <c:v>43206</c:v>
                </c:pt>
                <c:pt idx="742">
                  <c:v>43207</c:v>
                </c:pt>
                <c:pt idx="743">
                  <c:v>43208</c:v>
                </c:pt>
                <c:pt idx="744">
                  <c:v>43209</c:v>
                </c:pt>
                <c:pt idx="745">
                  <c:v>43210</c:v>
                </c:pt>
                <c:pt idx="746">
                  <c:v>43213</c:v>
                </c:pt>
                <c:pt idx="747">
                  <c:v>43214</c:v>
                </c:pt>
                <c:pt idx="748">
                  <c:v>43215</c:v>
                </c:pt>
                <c:pt idx="749">
                  <c:v>43216</c:v>
                </c:pt>
                <c:pt idx="750">
                  <c:v>43217</c:v>
                </c:pt>
                <c:pt idx="751">
                  <c:v>43220</c:v>
                </c:pt>
                <c:pt idx="752">
                  <c:v>43221</c:v>
                </c:pt>
                <c:pt idx="753">
                  <c:v>43222</c:v>
                </c:pt>
                <c:pt idx="754">
                  <c:v>43223</c:v>
                </c:pt>
                <c:pt idx="755">
                  <c:v>43224</c:v>
                </c:pt>
                <c:pt idx="756">
                  <c:v>43227</c:v>
                </c:pt>
                <c:pt idx="757">
                  <c:v>43228</c:v>
                </c:pt>
                <c:pt idx="758">
                  <c:v>43229</c:v>
                </c:pt>
                <c:pt idx="759">
                  <c:v>43230</c:v>
                </c:pt>
                <c:pt idx="760">
                  <c:v>43231</c:v>
                </c:pt>
                <c:pt idx="761">
                  <c:v>43234</c:v>
                </c:pt>
                <c:pt idx="762">
                  <c:v>43235</c:v>
                </c:pt>
                <c:pt idx="763">
                  <c:v>43236</c:v>
                </c:pt>
                <c:pt idx="764">
                  <c:v>43237</c:v>
                </c:pt>
                <c:pt idx="765">
                  <c:v>43238</c:v>
                </c:pt>
                <c:pt idx="766">
                  <c:v>43241</c:v>
                </c:pt>
                <c:pt idx="767">
                  <c:v>43242</c:v>
                </c:pt>
                <c:pt idx="768">
                  <c:v>43243</c:v>
                </c:pt>
                <c:pt idx="769">
                  <c:v>43244</c:v>
                </c:pt>
                <c:pt idx="770">
                  <c:v>43245</c:v>
                </c:pt>
                <c:pt idx="771">
                  <c:v>43248</c:v>
                </c:pt>
                <c:pt idx="772">
                  <c:v>43249</c:v>
                </c:pt>
                <c:pt idx="773">
                  <c:v>43250</c:v>
                </c:pt>
                <c:pt idx="774">
                  <c:v>43251</c:v>
                </c:pt>
                <c:pt idx="775">
                  <c:v>43252</c:v>
                </c:pt>
                <c:pt idx="776">
                  <c:v>43255</c:v>
                </c:pt>
                <c:pt idx="777">
                  <c:v>43256</c:v>
                </c:pt>
                <c:pt idx="778">
                  <c:v>43257</c:v>
                </c:pt>
                <c:pt idx="779">
                  <c:v>43258</c:v>
                </c:pt>
                <c:pt idx="780">
                  <c:v>43259</c:v>
                </c:pt>
                <c:pt idx="781">
                  <c:v>43262</c:v>
                </c:pt>
                <c:pt idx="782">
                  <c:v>43263</c:v>
                </c:pt>
                <c:pt idx="783">
                  <c:v>43264</c:v>
                </c:pt>
                <c:pt idx="784">
                  <c:v>43265</c:v>
                </c:pt>
                <c:pt idx="785">
                  <c:v>43266</c:v>
                </c:pt>
                <c:pt idx="786">
                  <c:v>43269</c:v>
                </c:pt>
                <c:pt idx="787">
                  <c:v>43270</c:v>
                </c:pt>
                <c:pt idx="788">
                  <c:v>43271</c:v>
                </c:pt>
                <c:pt idx="789">
                  <c:v>43272</c:v>
                </c:pt>
                <c:pt idx="790">
                  <c:v>43273</c:v>
                </c:pt>
                <c:pt idx="791">
                  <c:v>43276</c:v>
                </c:pt>
                <c:pt idx="792">
                  <c:v>43277</c:v>
                </c:pt>
                <c:pt idx="793">
                  <c:v>43278</c:v>
                </c:pt>
                <c:pt idx="794">
                  <c:v>43279</c:v>
                </c:pt>
                <c:pt idx="795">
                  <c:v>43280</c:v>
                </c:pt>
                <c:pt idx="796">
                  <c:v>43283</c:v>
                </c:pt>
                <c:pt idx="797">
                  <c:v>43284</c:v>
                </c:pt>
                <c:pt idx="798">
                  <c:v>43285</c:v>
                </c:pt>
                <c:pt idx="799">
                  <c:v>43286</c:v>
                </c:pt>
                <c:pt idx="800">
                  <c:v>43287</c:v>
                </c:pt>
                <c:pt idx="801">
                  <c:v>43290</c:v>
                </c:pt>
                <c:pt idx="802">
                  <c:v>43291</c:v>
                </c:pt>
                <c:pt idx="803">
                  <c:v>43292</c:v>
                </c:pt>
                <c:pt idx="804">
                  <c:v>43293</c:v>
                </c:pt>
                <c:pt idx="805">
                  <c:v>43294</c:v>
                </c:pt>
                <c:pt idx="806">
                  <c:v>43297</c:v>
                </c:pt>
                <c:pt idx="807">
                  <c:v>43298</c:v>
                </c:pt>
                <c:pt idx="808">
                  <c:v>43299</c:v>
                </c:pt>
                <c:pt idx="809">
                  <c:v>43300</c:v>
                </c:pt>
                <c:pt idx="810">
                  <c:v>43301</c:v>
                </c:pt>
                <c:pt idx="811">
                  <c:v>43304</c:v>
                </c:pt>
                <c:pt idx="812">
                  <c:v>43305</c:v>
                </c:pt>
                <c:pt idx="813">
                  <c:v>43306</c:v>
                </c:pt>
                <c:pt idx="814">
                  <c:v>43307</c:v>
                </c:pt>
                <c:pt idx="815">
                  <c:v>43308</c:v>
                </c:pt>
                <c:pt idx="816">
                  <c:v>43311</c:v>
                </c:pt>
                <c:pt idx="817">
                  <c:v>43312</c:v>
                </c:pt>
                <c:pt idx="818">
                  <c:v>43313</c:v>
                </c:pt>
                <c:pt idx="819">
                  <c:v>43314</c:v>
                </c:pt>
                <c:pt idx="820">
                  <c:v>43315</c:v>
                </c:pt>
                <c:pt idx="821">
                  <c:v>43318</c:v>
                </c:pt>
                <c:pt idx="822">
                  <c:v>43319</c:v>
                </c:pt>
                <c:pt idx="823">
                  <c:v>43320</c:v>
                </c:pt>
                <c:pt idx="824">
                  <c:v>43321</c:v>
                </c:pt>
                <c:pt idx="825">
                  <c:v>43322</c:v>
                </c:pt>
                <c:pt idx="826">
                  <c:v>43325</c:v>
                </c:pt>
                <c:pt idx="827">
                  <c:v>43326</c:v>
                </c:pt>
                <c:pt idx="828">
                  <c:v>43327</c:v>
                </c:pt>
                <c:pt idx="829">
                  <c:v>43328</c:v>
                </c:pt>
                <c:pt idx="830">
                  <c:v>43329</c:v>
                </c:pt>
                <c:pt idx="831">
                  <c:v>43332</c:v>
                </c:pt>
                <c:pt idx="832">
                  <c:v>43333</c:v>
                </c:pt>
                <c:pt idx="833">
                  <c:v>43334</c:v>
                </c:pt>
                <c:pt idx="834">
                  <c:v>43335</c:v>
                </c:pt>
                <c:pt idx="835">
                  <c:v>43336</c:v>
                </c:pt>
                <c:pt idx="836">
                  <c:v>43339</c:v>
                </c:pt>
                <c:pt idx="837">
                  <c:v>43340</c:v>
                </c:pt>
                <c:pt idx="838">
                  <c:v>43341</c:v>
                </c:pt>
                <c:pt idx="839">
                  <c:v>43342</c:v>
                </c:pt>
                <c:pt idx="840">
                  <c:v>43343</c:v>
                </c:pt>
                <c:pt idx="841">
                  <c:v>43346</c:v>
                </c:pt>
                <c:pt idx="842">
                  <c:v>43347</c:v>
                </c:pt>
                <c:pt idx="843">
                  <c:v>43348</c:v>
                </c:pt>
                <c:pt idx="844">
                  <c:v>43349</c:v>
                </c:pt>
                <c:pt idx="845">
                  <c:v>43350</c:v>
                </c:pt>
                <c:pt idx="846">
                  <c:v>43353</c:v>
                </c:pt>
                <c:pt idx="847">
                  <c:v>43354</c:v>
                </c:pt>
                <c:pt idx="848">
                  <c:v>43355</c:v>
                </c:pt>
                <c:pt idx="849">
                  <c:v>43356</c:v>
                </c:pt>
                <c:pt idx="850">
                  <c:v>43357</c:v>
                </c:pt>
                <c:pt idx="851">
                  <c:v>43360</c:v>
                </c:pt>
                <c:pt idx="852">
                  <c:v>43361</c:v>
                </c:pt>
                <c:pt idx="853">
                  <c:v>43362</c:v>
                </c:pt>
                <c:pt idx="854">
                  <c:v>43363</c:v>
                </c:pt>
                <c:pt idx="855">
                  <c:v>43364</c:v>
                </c:pt>
                <c:pt idx="856">
                  <c:v>43367</c:v>
                </c:pt>
                <c:pt idx="857">
                  <c:v>43368</c:v>
                </c:pt>
                <c:pt idx="858">
                  <c:v>43369</c:v>
                </c:pt>
                <c:pt idx="859">
                  <c:v>43370</c:v>
                </c:pt>
                <c:pt idx="860">
                  <c:v>43371</c:v>
                </c:pt>
                <c:pt idx="861">
                  <c:v>43374</c:v>
                </c:pt>
                <c:pt idx="862">
                  <c:v>43375</c:v>
                </c:pt>
                <c:pt idx="863">
                  <c:v>43376</c:v>
                </c:pt>
                <c:pt idx="864">
                  <c:v>43377</c:v>
                </c:pt>
                <c:pt idx="865">
                  <c:v>43378</c:v>
                </c:pt>
                <c:pt idx="866">
                  <c:v>43381</c:v>
                </c:pt>
                <c:pt idx="867">
                  <c:v>43382</c:v>
                </c:pt>
                <c:pt idx="868">
                  <c:v>43383</c:v>
                </c:pt>
                <c:pt idx="869">
                  <c:v>43384</c:v>
                </c:pt>
                <c:pt idx="870">
                  <c:v>43385</c:v>
                </c:pt>
                <c:pt idx="871">
                  <c:v>43388</c:v>
                </c:pt>
                <c:pt idx="872">
                  <c:v>43389</c:v>
                </c:pt>
                <c:pt idx="873">
                  <c:v>43390</c:v>
                </c:pt>
                <c:pt idx="874">
                  <c:v>43391</c:v>
                </c:pt>
                <c:pt idx="875">
                  <c:v>43392</c:v>
                </c:pt>
                <c:pt idx="876">
                  <c:v>43395</c:v>
                </c:pt>
                <c:pt idx="877">
                  <c:v>43396</c:v>
                </c:pt>
                <c:pt idx="878">
                  <c:v>43397</c:v>
                </c:pt>
                <c:pt idx="879">
                  <c:v>43398</c:v>
                </c:pt>
                <c:pt idx="880">
                  <c:v>43399</c:v>
                </c:pt>
                <c:pt idx="881">
                  <c:v>43402</c:v>
                </c:pt>
                <c:pt idx="882">
                  <c:v>43403</c:v>
                </c:pt>
                <c:pt idx="883">
                  <c:v>43404</c:v>
                </c:pt>
                <c:pt idx="884">
                  <c:v>43405</c:v>
                </c:pt>
                <c:pt idx="885">
                  <c:v>43406</c:v>
                </c:pt>
                <c:pt idx="886">
                  <c:v>43409</c:v>
                </c:pt>
                <c:pt idx="887">
                  <c:v>43410</c:v>
                </c:pt>
                <c:pt idx="888">
                  <c:v>43411</c:v>
                </c:pt>
                <c:pt idx="889">
                  <c:v>43412</c:v>
                </c:pt>
                <c:pt idx="890">
                  <c:v>43413</c:v>
                </c:pt>
                <c:pt idx="891">
                  <c:v>43416</c:v>
                </c:pt>
                <c:pt idx="892">
                  <c:v>43417</c:v>
                </c:pt>
                <c:pt idx="893">
                  <c:v>43418</c:v>
                </c:pt>
                <c:pt idx="894">
                  <c:v>43419</c:v>
                </c:pt>
                <c:pt idx="895">
                  <c:v>43420</c:v>
                </c:pt>
                <c:pt idx="896">
                  <c:v>43423</c:v>
                </c:pt>
                <c:pt idx="897">
                  <c:v>43424</c:v>
                </c:pt>
                <c:pt idx="898">
                  <c:v>43425</c:v>
                </c:pt>
                <c:pt idx="899">
                  <c:v>43426</c:v>
                </c:pt>
                <c:pt idx="900">
                  <c:v>43427</c:v>
                </c:pt>
                <c:pt idx="901">
                  <c:v>43430</c:v>
                </c:pt>
                <c:pt idx="902">
                  <c:v>43431</c:v>
                </c:pt>
                <c:pt idx="903">
                  <c:v>43432</c:v>
                </c:pt>
                <c:pt idx="904">
                  <c:v>43433</c:v>
                </c:pt>
                <c:pt idx="905">
                  <c:v>43434</c:v>
                </c:pt>
                <c:pt idx="906">
                  <c:v>43437</c:v>
                </c:pt>
                <c:pt idx="907">
                  <c:v>43438</c:v>
                </c:pt>
                <c:pt idx="908">
                  <c:v>43439</c:v>
                </c:pt>
                <c:pt idx="909">
                  <c:v>43440</c:v>
                </c:pt>
                <c:pt idx="910">
                  <c:v>43441</c:v>
                </c:pt>
                <c:pt idx="911">
                  <c:v>43444</c:v>
                </c:pt>
                <c:pt idx="912">
                  <c:v>43445</c:v>
                </c:pt>
                <c:pt idx="913">
                  <c:v>43446</c:v>
                </c:pt>
                <c:pt idx="914">
                  <c:v>43447</c:v>
                </c:pt>
                <c:pt idx="915">
                  <c:v>43448</c:v>
                </c:pt>
                <c:pt idx="916">
                  <c:v>43451</c:v>
                </c:pt>
                <c:pt idx="917">
                  <c:v>43452</c:v>
                </c:pt>
                <c:pt idx="918">
                  <c:v>43453</c:v>
                </c:pt>
                <c:pt idx="919">
                  <c:v>43454</c:v>
                </c:pt>
                <c:pt idx="920">
                  <c:v>43455</c:v>
                </c:pt>
                <c:pt idx="921">
                  <c:v>43458</c:v>
                </c:pt>
                <c:pt idx="922">
                  <c:v>43461</c:v>
                </c:pt>
                <c:pt idx="923">
                  <c:v>43462</c:v>
                </c:pt>
                <c:pt idx="924">
                  <c:v>43465</c:v>
                </c:pt>
                <c:pt idx="925">
                  <c:v>43467</c:v>
                </c:pt>
                <c:pt idx="926">
                  <c:v>43468</c:v>
                </c:pt>
                <c:pt idx="927">
                  <c:v>43469</c:v>
                </c:pt>
                <c:pt idx="928">
                  <c:v>43472</c:v>
                </c:pt>
                <c:pt idx="929">
                  <c:v>43473</c:v>
                </c:pt>
                <c:pt idx="930">
                  <c:v>43474</c:v>
                </c:pt>
                <c:pt idx="931">
                  <c:v>43475</c:v>
                </c:pt>
                <c:pt idx="932">
                  <c:v>43476</c:v>
                </c:pt>
                <c:pt idx="933">
                  <c:v>43479</c:v>
                </c:pt>
                <c:pt idx="934">
                  <c:v>43480</c:v>
                </c:pt>
                <c:pt idx="935">
                  <c:v>43481</c:v>
                </c:pt>
                <c:pt idx="936">
                  <c:v>43482</c:v>
                </c:pt>
                <c:pt idx="937">
                  <c:v>43483</c:v>
                </c:pt>
                <c:pt idx="938">
                  <c:v>43486</c:v>
                </c:pt>
                <c:pt idx="939">
                  <c:v>43487</c:v>
                </c:pt>
                <c:pt idx="940">
                  <c:v>43488</c:v>
                </c:pt>
                <c:pt idx="941">
                  <c:v>43489</c:v>
                </c:pt>
                <c:pt idx="942">
                  <c:v>43490</c:v>
                </c:pt>
                <c:pt idx="943">
                  <c:v>43493</c:v>
                </c:pt>
                <c:pt idx="944">
                  <c:v>43494</c:v>
                </c:pt>
                <c:pt idx="945">
                  <c:v>43495</c:v>
                </c:pt>
                <c:pt idx="946">
                  <c:v>43496</c:v>
                </c:pt>
                <c:pt idx="947">
                  <c:v>43497</c:v>
                </c:pt>
                <c:pt idx="948">
                  <c:v>43500</c:v>
                </c:pt>
                <c:pt idx="949">
                  <c:v>43501</c:v>
                </c:pt>
                <c:pt idx="950">
                  <c:v>43502</c:v>
                </c:pt>
                <c:pt idx="951">
                  <c:v>43503</c:v>
                </c:pt>
                <c:pt idx="952">
                  <c:v>43504</c:v>
                </c:pt>
                <c:pt idx="953">
                  <c:v>43507</c:v>
                </c:pt>
                <c:pt idx="954">
                  <c:v>43508</c:v>
                </c:pt>
                <c:pt idx="955">
                  <c:v>43509</c:v>
                </c:pt>
                <c:pt idx="956">
                  <c:v>43510</c:v>
                </c:pt>
                <c:pt idx="957">
                  <c:v>43511</c:v>
                </c:pt>
                <c:pt idx="958">
                  <c:v>43514</c:v>
                </c:pt>
                <c:pt idx="959">
                  <c:v>43515</c:v>
                </c:pt>
                <c:pt idx="960">
                  <c:v>43516</c:v>
                </c:pt>
                <c:pt idx="961">
                  <c:v>43517</c:v>
                </c:pt>
                <c:pt idx="962">
                  <c:v>43518</c:v>
                </c:pt>
                <c:pt idx="963">
                  <c:v>43521</c:v>
                </c:pt>
                <c:pt idx="964">
                  <c:v>43522</c:v>
                </c:pt>
                <c:pt idx="965">
                  <c:v>43523</c:v>
                </c:pt>
                <c:pt idx="966">
                  <c:v>43524</c:v>
                </c:pt>
                <c:pt idx="967">
                  <c:v>43525</c:v>
                </c:pt>
                <c:pt idx="968">
                  <c:v>43528</c:v>
                </c:pt>
                <c:pt idx="969">
                  <c:v>43529</c:v>
                </c:pt>
                <c:pt idx="970">
                  <c:v>43530</c:v>
                </c:pt>
                <c:pt idx="971">
                  <c:v>43531</c:v>
                </c:pt>
                <c:pt idx="972">
                  <c:v>43532</c:v>
                </c:pt>
                <c:pt idx="973">
                  <c:v>43535</c:v>
                </c:pt>
                <c:pt idx="974">
                  <c:v>43536</c:v>
                </c:pt>
                <c:pt idx="975">
                  <c:v>43537</c:v>
                </c:pt>
                <c:pt idx="976">
                  <c:v>43538</c:v>
                </c:pt>
                <c:pt idx="977">
                  <c:v>43539</c:v>
                </c:pt>
                <c:pt idx="978">
                  <c:v>43542</c:v>
                </c:pt>
                <c:pt idx="979">
                  <c:v>43543</c:v>
                </c:pt>
                <c:pt idx="980">
                  <c:v>43544</c:v>
                </c:pt>
                <c:pt idx="981">
                  <c:v>43545</c:v>
                </c:pt>
                <c:pt idx="982">
                  <c:v>43546</c:v>
                </c:pt>
                <c:pt idx="983">
                  <c:v>43549</c:v>
                </c:pt>
                <c:pt idx="984">
                  <c:v>43550</c:v>
                </c:pt>
                <c:pt idx="985">
                  <c:v>43551</c:v>
                </c:pt>
                <c:pt idx="986">
                  <c:v>43552</c:v>
                </c:pt>
                <c:pt idx="987">
                  <c:v>43553</c:v>
                </c:pt>
                <c:pt idx="988">
                  <c:v>43556</c:v>
                </c:pt>
                <c:pt idx="989">
                  <c:v>43557</c:v>
                </c:pt>
                <c:pt idx="990">
                  <c:v>43558</c:v>
                </c:pt>
                <c:pt idx="991">
                  <c:v>43559</c:v>
                </c:pt>
                <c:pt idx="992">
                  <c:v>43560</c:v>
                </c:pt>
                <c:pt idx="993">
                  <c:v>43563</c:v>
                </c:pt>
                <c:pt idx="994">
                  <c:v>43564</c:v>
                </c:pt>
                <c:pt idx="995">
                  <c:v>43565</c:v>
                </c:pt>
                <c:pt idx="996">
                  <c:v>43566</c:v>
                </c:pt>
                <c:pt idx="997">
                  <c:v>43567</c:v>
                </c:pt>
                <c:pt idx="998">
                  <c:v>43570</c:v>
                </c:pt>
                <c:pt idx="999">
                  <c:v>43571</c:v>
                </c:pt>
                <c:pt idx="1000">
                  <c:v>43572</c:v>
                </c:pt>
                <c:pt idx="1001">
                  <c:v>43573</c:v>
                </c:pt>
                <c:pt idx="1002">
                  <c:v>43578</c:v>
                </c:pt>
                <c:pt idx="1003">
                  <c:v>43579</c:v>
                </c:pt>
                <c:pt idx="1004">
                  <c:v>43580</c:v>
                </c:pt>
                <c:pt idx="1005">
                  <c:v>43581</c:v>
                </c:pt>
                <c:pt idx="1006">
                  <c:v>43584</c:v>
                </c:pt>
                <c:pt idx="1007">
                  <c:v>43585</c:v>
                </c:pt>
                <c:pt idx="1008">
                  <c:v>43586</c:v>
                </c:pt>
                <c:pt idx="1009">
                  <c:v>43587</c:v>
                </c:pt>
                <c:pt idx="1010">
                  <c:v>43588</c:v>
                </c:pt>
                <c:pt idx="1011">
                  <c:v>43591</c:v>
                </c:pt>
                <c:pt idx="1012">
                  <c:v>43592</c:v>
                </c:pt>
                <c:pt idx="1013">
                  <c:v>43593</c:v>
                </c:pt>
                <c:pt idx="1014">
                  <c:v>43594</c:v>
                </c:pt>
                <c:pt idx="1015">
                  <c:v>43595</c:v>
                </c:pt>
                <c:pt idx="1016">
                  <c:v>43598</c:v>
                </c:pt>
                <c:pt idx="1017">
                  <c:v>43599</c:v>
                </c:pt>
                <c:pt idx="1018">
                  <c:v>43600</c:v>
                </c:pt>
                <c:pt idx="1019">
                  <c:v>43601</c:v>
                </c:pt>
                <c:pt idx="1020">
                  <c:v>43602</c:v>
                </c:pt>
                <c:pt idx="1021">
                  <c:v>43605</c:v>
                </c:pt>
                <c:pt idx="1022">
                  <c:v>43606</c:v>
                </c:pt>
                <c:pt idx="1023">
                  <c:v>43607</c:v>
                </c:pt>
                <c:pt idx="1024">
                  <c:v>43608</c:v>
                </c:pt>
                <c:pt idx="1025">
                  <c:v>43609</c:v>
                </c:pt>
                <c:pt idx="1026">
                  <c:v>43612</c:v>
                </c:pt>
                <c:pt idx="1027">
                  <c:v>43613</c:v>
                </c:pt>
                <c:pt idx="1028">
                  <c:v>43614</c:v>
                </c:pt>
                <c:pt idx="1029">
                  <c:v>43615</c:v>
                </c:pt>
                <c:pt idx="1030">
                  <c:v>43616</c:v>
                </c:pt>
                <c:pt idx="1031">
                  <c:v>43619</c:v>
                </c:pt>
                <c:pt idx="1032">
                  <c:v>43620</c:v>
                </c:pt>
                <c:pt idx="1033">
                  <c:v>43621</c:v>
                </c:pt>
                <c:pt idx="1034">
                  <c:v>43622</c:v>
                </c:pt>
                <c:pt idx="1035">
                  <c:v>43623</c:v>
                </c:pt>
                <c:pt idx="1036">
                  <c:v>43626</c:v>
                </c:pt>
                <c:pt idx="1037">
                  <c:v>43627</c:v>
                </c:pt>
                <c:pt idx="1038">
                  <c:v>43628</c:v>
                </c:pt>
                <c:pt idx="1039">
                  <c:v>43629</c:v>
                </c:pt>
                <c:pt idx="1040">
                  <c:v>43630</c:v>
                </c:pt>
                <c:pt idx="1041">
                  <c:v>43633</c:v>
                </c:pt>
                <c:pt idx="1042">
                  <c:v>43634</c:v>
                </c:pt>
                <c:pt idx="1043">
                  <c:v>43635</c:v>
                </c:pt>
                <c:pt idx="1044">
                  <c:v>43636</c:v>
                </c:pt>
                <c:pt idx="1045">
                  <c:v>43637</c:v>
                </c:pt>
                <c:pt idx="1046">
                  <c:v>43640</c:v>
                </c:pt>
                <c:pt idx="1047">
                  <c:v>43641</c:v>
                </c:pt>
                <c:pt idx="1048">
                  <c:v>43642</c:v>
                </c:pt>
                <c:pt idx="1049">
                  <c:v>43643</c:v>
                </c:pt>
                <c:pt idx="1050">
                  <c:v>43644</c:v>
                </c:pt>
                <c:pt idx="1051">
                  <c:v>43647</c:v>
                </c:pt>
                <c:pt idx="1052">
                  <c:v>43648</c:v>
                </c:pt>
                <c:pt idx="1053">
                  <c:v>43649</c:v>
                </c:pt>
                <c:pt idx="1054">
                  <c:v>43650</c:v>
                </c:pt>
                <c:pt idx="1055">
                  <c:v>43651</c:v>
                </c:pt>
                <c:pt idx="1056">
                  <c:v>43654</c:v>
                </c:pt>
                <c:pt idx="1057">
                  <c:v>43655</c:v>
                </c:pt>
                <c:pt idx="1058">
                  <c:v>43656</c:v>
                </c:pt>
                <c:pt idx="1059">
                  <c:v>43657</c:v>
                </c:pt>
                <c:pt idx="1060">
                  <c:v>43658</c:v>
                </c:pt>
                <c:pt idx="1061">
                  <c:v>43661</c:v>
                </c:pt>
                <c:pt idx="1062">
                  <c:v>43662</c:v>
                </c:pt>
                <c:pt idx="1063">
                  <c:v>43663</c:v>
                </c:pt>
                <c:pt idx="1064">
                  <c:v>43664</c:v>
                </c:pt>
                <c:pt idx="1065">
                  <c:v>43665</c:v>
                </c:pt>
                <c:pt idx="1066">
                  <c:v>43668</c:v>
                </c:pt>
                <c:pt idx="1067">
                  <c:v>43669</c:v>
                </c:pt>
                <c:pt idx="1068">
                  <c:v>43670</c:v>
                </c:pt>
                <c:pt idx="1069">
                  <c:v>43671</c:v>
                </c:pt>
                <c:pt idx="1070">
                  <c:v>43672</c:v>
                </c:pt>
                <c:pt idx="1071">
                  <c:v>43675</c:v>
                </c:pt>
                <c:pt idx="1072">
                  <c:v>43676</c:v>
                </c:pt>
                <c:pt idx="1073">
                  <c:v>43677</c:v>
                </c:pt>
                <c:pt idx="1074">
                  <c:v>43678</c:v>
                </c:pt>
                <c:pt idx="1075">
                  <c:v>43679</c:v>
                </c:pt>
                <c:pt idx="1076">
                  <c:v>43682</c:v>
                </c:pt>
                <c:pt idx="1077">
                  <c:v>43683</c:v>
                </c:pt>
                <c:pt idx="1078">
                  <c:v>43684</c:v>
                </c:pt>
                <c:pt idx="1079">
                  <c:v>43685</c:v>
                </c:pt>
                <c:pt idx="1080">
                  <c:v>43686</c:v>
                </c:pt>
                <c:pt idx="1081">
                  <c:v>43689</c:v>
                </c:pt>
                <c:pt idx="1082">
                  <c:v>43690</c:v>
                </c:pt>
                <c:pt idx="1083">
                  <c:v>43691</c:v>
                </c:pt>
                <c:pt idx="1084">
                  <c:v>43692</c:v>
                </c:pt>
                <c:pt idx="1085">
                  <c:v>43693</c:v>
                </c:pt>
                <c:pt idx="1086">
                  <c:v>43696</c:v>
                </c:pt>
                <c:pt idx="1087">
                  <c:v>43697</c:v>
                </c:pt>
                <c:pt idx="1088">
                  <c:v>43698</c:v>
                </c:pt>
                <c:pt idx="1089">
                  <c:v>43699</c:v>
                </c:pt>
                <c:pt idx="1090">
                  <c:v>43700</c:v>
                </c:pt>
                <c:pt idx="1091">
                  <c:v>43703</c:v>
                </c:pt>
                <c:pt idx="1092">
                  <c:v>43704</c:v>
                </c:pt>
                <c:pt idx="1093">
                  <c:v>43705</c:v>
                </c:pt>
                <c:pt idx="1094">
                  <c:v>43706</c:v>
                </c:pt>
                <c:pt idx="1095">
                  <c:v>43707</c:v>
                </c:pt>
                <c:pt idx="1096">
                  <c:v>43710</c:v>
                </c:pt>
                <c:pt idx="1097">
                  <c:v>43711</c:v>
                </c:pt>
                <c:pt idx="1098">
                  <c:v>43712</c:v>
                </c:pt>
                <c:pt idx="1099">
                  <c:v>43713</c:v>
                </c:pt>
                <c:pt idx="1100">
                  <c:v>43714</c:v>
                </c:pt>
                <c:pt idx="1101">
                  <c:v>43717</c:v>
                </c:pt>
                <c:pt idx="1102">
                  <c:v>43718</c:v>
                </c:pt>
                <c:pt idx="1103">
                  <c:v>43719</c:v>
                </c:pt>
                <c:pt idx="1104">
                  <c:v>43720</c:v>
                </c:pt>
                <c:pt idx="1105">
                  <c:v>43721</c:v>
                </c:pt>
                <c:pt idx="1106">
                  <c:v>43724</c:v>
                </c:pt>
                <c:pt idx="1107">
                  <c:v>43725</c:v>
                </c:pt>
                <c:pt idx="1108">
                  <c:v>43726</c:v>
                </c:pt>
                <c:pt idx="1109">
                  <c:v>43727</c:v>
                </c:pt>
                <c:pt idx="1110">
                  <c:v>43728</c:v>
                </c:pt>
                <c:pt idx="1111">
                  <c:v>43731</c:v>
                </c:pt>
                <c:pt idx="1112">
                  <c:v>43732</c:v>
                </c:pt>
                <c:pt idx="1113">
                  <c:v>43733</c:v>
                </c:pt>
                <c:pt idx="1114">
                  <c:v>43734</c:v>
                </c:pt>
                <c:pt idx="1115">
                  <c:v>43735</c:v>
                </c:pt>
                <c:pt idx="1116">
                  <c:v>43738</c:v>
                </c:pt>
                <c:pt idx="1117">
                  <c:v>43739</c:v>
                </c:pt>
                <c:pt idx="1118">
                  <c:v>43740</c:v>
                </c:pt>
                <c:pt idx="1119">
                  <c:v>43741</c:v>
                </c:pt>
                <c:pt idx="1120">
                  <c:v>43742</c:v>
                </c:pt>
                <c:pt idx="1121">
                  <c:v>43745</c:v>
                </c:pt>
                <c:pt idx="1122">
                  <c:v>43746</c:v>
                </c:pt>
                <c:pt idx="1123">
                  <c:v>43747</c:v>
                </c:pt>
                <c:pt idx="1124">
                  <c:v>43748</c:v>
                </c:pt>
                <c:pt idx="1125">
                  <c:v>43749</c:v>
                </c:pt>
                <c:pt idx="1126">
                  <c:v>43752</c:v>
                </c:pt>
                <c:pt idx="1127">
                  <c:v>43753</c:v>
                </c:pt>
                <c:pt idx="1128">
                  <c:v>43754</c:v>
                </c:pt>
                <c:pt idx="1129">
                  <c:v>43755</c:v>
                </c:pt>
                <c:pt idx="1130">
                  <c:v>43756</c:v>
                </c:pt>
                <c:pt idx="1131">
                  <c:v>43759</c:v>
                </c:pt>
                <c:pt idx="1132">
                  <c:v>43760</c:v>
                </c:pt>
                <c:pt idx="1133">
                  <c:v>43761</c:v>
                </c:pt>
                <c:pt idx="1134">
                  <c:v>43762</c:v>
                </c:pt>
                <c:pt idx="1135">
                  <c:v>43763</c:v>
                </c:pt>
                <c:pt idx="1136">
                  <c:v>43766</c:v>
                </c:pt>
                <c:pt idx="1137">
                  <c:v>43767</c:v>
                </c:pt>
                <c:pt idx="1138">
                  <c:v>43768</c:v>
                </c:pt>
                <c:pt idx="1139">
                  <c:v>43769</c:v>
                </c:pt>
                <c:pt idx="1140">
                  <c:v>43770</c:v>
                </c:pt>
                <c:pt idx="1141">
                  <c:v>43773</c:v>
                </c:pt>
                <c:pt idx="1142">
                  <c:v>43774</c:v>
                </c:pt>
                <c:pt idx="1143">
                  <c:v>43775</c:v>
                </c:pt>
                <c:pt idx="1144">
                  <c:v>43776</c:v>
                </c:pt>
                <c:pt idx="1145">
                  <c:v>43777</c:v>
                </c:pt>
                <c:pt idx="1146">
                  <c:v>43780</c:v>
                </c:pt>
                <c:pt idx="1147">
                  <c:v>43781</c:v>
                </c:pt>
                <c:pt idx="1148">
                  <c:v>43782</c:v>
                </c:pt>
                <c:pt idx="1149">
                  <c:v>43783</c:v>
                </c:pt>
                <c:pt idx="1150">
                  <c:v>43784</c:v>
                </c:pt>
                <c:pt idx="1151">
                  <c:v>43787</c:v>
                </c:pt>
                <c:pt idx="1152">
                  <c:v>43788</c:v>
                </c:pt>
                <c:pt idx="1153">
                  <c:v>43789</c:v>
                </c:pt>
                <c:pt idx="1154">
                  <c:v>43790</c:v>
                </c:pt>
                <c:pt idx="1155">
                  <c:v>43791</c:v>
                </c:pt>
                <c:pt idx="1156">
                  <c:v>43794</c:v>
                </c:pt>
                <c:pt idx="1157">
                  <c:v>43795</c:v>
                </c:pt>
                <c:pt idx="1158">
                  <c:v>43796</c:v>
                </c:pt>
                <c:pt idx="1159">
                  <c:v>43797</c:v>
                </c:pt>
                <c:pt idx="1160">
                  <c:v>43798</c:v>
                </c:pt>
                <c:pt idx="1161">
                  <c:v>43801</c:v>
                </c:pt>
                <c:pt idx="1162">
                  <c:v>43802</c:v>
                </c:pt>
                <c:pt idx="1163">
                  <c:v>43803</c:v>
                </c:pt>
                <c:pt idx="1164">
                  <c:v>43804</c:v>
                </c:pt>
                <c:pt idx="1165">
                  <c:v>43805</c:v>
                </c:pt>
                <c:pt idx="1166">
                  <c:v>43808</c:v>
                </c:pt>
                <c:pt idx="1167">
                  <c:v>43809</c:v>
                </c:pt>
                <c:pt idx="1168">
                  <c:v>43810</c:v>
                </c:pt>
                <c:pt idx="1169">
                  <c:v>43811</c:v>
                </c:pt>
                <c:pt idx="1170">
                  <c:v>43812</c:v>
                </c:pt>
                <c:pt idx="1171">
                  <c:v>43815</c:v>
                </c:pt>
                <c:pt idx="1172">
                  <c:v>43816</c:v>
                </c:pt>
                <c:pt idx="1173">
                  <c:v>43817</c:v>
                </c:pt>
                <c:pt idx="1174">
                  <c:v>43818</c:v>
                </c:pt>
                <c:pt idx="1175">
                  <c:v>43819</c:v>
                </c:pt>
                <c:pt idx="1176">
                  <c:v>43822</c:v>
                </c:pt>
                <c:pt idx="1177">
                  <c:v>43823</c:v>
                </c:pt>
                <c:pt idx="1178">
                  <c:v>43826</c:v>
                </c:pt>
                <c:pt idx="1179">
                  <c:v>43829</c:v>
                </c:pt>
                <c:pt idx="1180">
                  <c:v>43830</c:v>
                </c:pt>
                <c:pt idx="1181">
                  <c:v>43832</c:v>
                </c:pt>
                <c:pt idx="1182">
                  <c:v>43833</c:v>
                </c:pt>
                <c:pt idx="1183">
                  <c:v>43836</c:v>
                </c:pt>
                <c:pt idx="1184">
                  <c:v>43837</c:v>
                </c:pt>
                <c:pt idx="1185">
                  <c:v>43838</c:v>
                </c:pt>
                <c:pt idx="1186">
                  <c:v>43839</c:v>
                </c:pt>
                <c:pt idx="1187">
                  <c:v>43840</c:v>
                </c:pt>
                <c:pt idx="1188">
                  <c:v>43843</c:v>
                </c:pt>
                <c:pt idx="1189">
                  <c:v>43844</c:v>
                </c:pt>
                <c:pt idx="1190">
                  <c:v>43845</c:v>
                </c:pt>
                <c:pt idx="1191">
                  <c:v>43846</c:v>
                </c:pt>
                <c:pt idx="1192">
                  <c:v>43847</c:v>
                </c:pt>
                <c:pt idx="1193">
                  <c:v>43850</c:v>
                </c:pt>
                <c:pt idx="1194">
                  <c:v>43851</c:v>
                </c:pt>
                <c:pt idx="1195">
                  <c:v>43852</c:v>
                </c:pt>
                <c:pt idx="1196">
                  <c:v>43853</c:v>
                </c:pt>
                <c:pt idx="1197">
                  <c:v>43854</c:v>
                </c:pt>
                <c:pt idx="1198">
                  <c:v>43857</c:v>
                </c:pt>
                <c:pt idx="1199">
                  <c:v>43858</c:v>
                </c:pt>
                <c:pt idx="1200">
                  <c:v>43859</c:v>
                </c:pt>
                <c:pt idx="1201">
                  <c:v>43860</c:v>
                </c:pt>
                <c:pt idx="1202">
                  <c:v>43861</c:v>
                </c:pt>
                <c:pt idx="1203">
                  <c:v>43864</c:v>
                </c:pt>
                <c:pt idx="1204">
                  <c:v>43865</c:v>
                </c:pt>
                <c:pt idx="1205">
                  <c:v>43866</c:v>
                </c:pt>
                <c:pt idx="1206">
                  <c:v>43867</c:v>
                </c:pt>
                <c:pt idx="1207">
                  <c:v>43868</c:v>
                </c:pt>
                <c:pt idx="1208">
                  <c:v>43871</c:v>
                </c:pt>
                <c:pt idx="1209">
                  <c:v>43872</c:v>
                </c:pt>
                <c:pt idx="1210">
                  <c:v>43873</c:v>
                </c:pt>
                <c:pt idx="1211">
                  <c:v>43874</c:v>
                </c:pt>
                <c:pt idx="1212">
                  <c:v>43875</c:v>
                </c:pt>
                <c:pt idx="1213">
                  <c:v>43878</c:v>
                </c:pt>
                <c:pt idx="1214">
                  <c:v>43879</c:v>
                </c:pt>
                <c:pt idx="1215">
                  <c:v>43880</c:v>
                </c:pt>
                <c:pt idx="1216">
                  <c:v>43881</c:v>
                </c:pt>
                <c:pt idx="1217">
                  <c:v>43882</c:v>
                </c:pt>
                <c:pt idx="1218">
                  <c:v>43885</c:v>
                </c:pt>
                <c:pt idx="1219">
                  <c:v>43886</c:v>
                </c:pt>
                <c:pt idx="1220">
                  <c:v>43887</c:v>
                </c:pt>
                <c:pt idx="1221">
                  <c:v>43888</c:v>
                </c:pt>
                <c:pt idx="1222">
                  <c:v>43889</c:v>
                </c:pt>
                <c:pt idx="1223">
                  <c:v>43892</c:v>
                </c:pt>
                <c:pt idx="1224">
                  <c:v>43893</c:v>
                </c:pt>
                <c:pt idx="1225">
                  <c:v>43894</c:v>
                </c:pt>
                <c:pt idx="1226">
                  <c:v>43895</c:v>
                </c:pt>
                <c:pt idx="1227">
                  <c:v>43896</c:v>
                </c:pt>
                <c:pt idx="1228">
                  <c:v>43899</c:v>
                </c:pt>
                <c:pt idx="1229">
                  <c:v>43900</c:v>
                </c:pt>
                <c:pt idx="1230">
                  <c:v>43901</c:v>
                </c:pt>
                <c:pt idx="1231">
                  <c:v>43902</c:v>
                </c:pt>
                <c:pt idx="1232">
                  <c:v>43903</c:v>
                </c:pt>
                <c:pt idx="1233">
                  <c:v>43906</c:v>
                </c:pt>
                <c:pt idx="1234">
                  <c:v>43907</c:v>
                </c:pt>
                <c:pt idx="1235">
                  <c:v>43908</c:v>
                </c:pt>
                <c:pt idx="1236">
                  <c:v>43909</c:v>
                </c:pt>
                <c:pt idx="1237">
                  <c:v>43910</c:v>
                </c:pt>
                <c:pt idx="1238">
                  <c:v>43913</c:v>
                </c:pt>
                <c:pt idx="1239">
                  <c:v>43914</c:v>
                </c:pt>
                <c:pt idx="1240">
                  <c:v>43915</c:v>
                </c:pt>
                <c:pt idx="1241">
                  <c:v>43916</c:v>
                </c:pt>
                <c:pt idx="1242">
                  <c:v>43917</c:v>
                </c:pt>
                <c:pt idx="1243">
                  <c:v>43920</c:v>
                </c:pt>
                <c:pt idx="1244">
                  <c:v>43921</c:v>
                </c:pt>
                <c:pt idx="1245">
                  <c:v>43922</c:v>
                </c:pt>
                <c:pt idx="1246">
                  <c:v>43923</c:v>
                </c:pt>
                <c:pt idx="1247">
                  <c:v>43924</c:v>
                </c:pt>
                <c:pt idx="1248">
                  <c:v>43927</c:v>
                </c:pt>
                <c:pt idx="1249">
                  <c:v>43928</c:v>
                </c:pt>
                <c:pt idx="1250">
                  <c:v>43929</c:v>
                </c:pt>
                <c:pt idx="1251">
                  <c:v>43930</c:v>
                </c:pt>
                <c:pt idx="1252">
                  <c:v>43935</c:v>
                </c:pt>
                <c:pt idx="1253">
                  <c:v>43936</c:v>
                </c:pt>
                <c:pt idx="1254">
                  <c:v>43937</c:v>
                </c:pt>
                <c:pt idx="1255">
                  <c:v>43938</c:v>
                </c:pt>
                <c:pt idx="1256">
                  <c:v>43941</c:v>
                </c:pt>
                <c:pt idx="1257">
                  <c:v>43942</c:v>
                </c:pt>
                <c:pt idx="1258">
                  <c:v>43943</c:v>
                </c:pt>
                <c:pt idx="1259">
                  <c:v>43944</c:v>
                </c:pt>
                <c:pt idx="1260">
                  <c:v>43945</c:v>
                </c:pt>
                <c:pt idx="1261">
                  <c:v>43948</c:v>
                </c:pt>
                <c:pt idx="1262">
                  <c:v>43949</c:v>
                </c:pt>
                <c:pt idx="1263">
                  <c:v>43950</c:v>
                </c:pt>
                <c:pt idx="1264">
                  <c:v>43951</c:v>
                </c:pt>
                <c:pt idx="1265">
                  <c:v>43952</c:v>
                </c:pt>
                <c:pt idx="1266">
                  <c:v>43955</c:v>
                </c:pt>
                <c:pt idx="1267">
                  <c:v>43956</c:v>
                </c:pt>
                <c:pt idx="1268">
                  <c:v>43957</c:v>
                </c:pt>
                <c:pt idx="1269">
                  <c:v>43958</c:v>
                </c:pt>
                <c:pt idx="1270">
                  <c:v>43959</c:v>
                </c:pt>
                <c:pt idx="1271">
                  <c:v>43962</c:v>
                </c:pt>
                <c:pt idx="1272">
                  <c:v>43963</c:v>
                </c:pt>
                <c:pt idx="1273">
                  <c:v>43964</c:v>
                </c:pt>
                <c:pt idx="1274">
                  <c:v>43965</c:v>
                </c:pt>
                <c:pt idx="1275">
                  <c:v>43966</c:v>
                </c:pt>
                <c:pt idx="1276">
                  <c:v>43969</c:v>
                </c:pt>
                <c:pt idx="1277">
                  <c:v>43970</c:v>
                </c:pt>
                <c:pt idx="1278">
                  <c:v>43971</c:v>
                </c:pt>
                <c:pt idx="1279">
                  <c:v>43972</c:v>
                </c:pt>
                <c:pt idx="1280">
                  <c:v>43973</c:v>
                </c:pt>
                <c:pt idx="1281">
                  <c:v>43976</c:v>
                </c:pt>
                <c:pt idx="1282">
                  <c:v>43977</c:v>
                </c:pt>
                <c:pt idx="1283">
                  <c:v>43978</c:v>
                </c:pt>
                <c:pt idx="1284">
                  <c:v>43979</c:v>
                </c:pt>
                <c:pt idx="1285">
                  <c:v>43980</c:v>
                </c:pt>
                <c:pt idx="1286">
                  <c:v>43983</c:v>
                </c:pt>
                <c:pt idx="1287">
                  <c:v>43984</c:v>
                </c:pt>
                <c:pt idx="1288">
                  <c:v>43985</c:v>
                </c:pt>
                <c:pt idx="1289">
                  <c:v>43986</c:v>
                </c:pt>
                <c:pt idx="1290">
                  <c:v>43987</c:v>
                </c:pt>
                <c:pt idx="1291">
                  <c:v>43990</c:v>
                </c:pt>
                <c:pt idx="1292">
                  <c:v>43991</c:v>
                </c:pt>
                <c:pt idx="1293">
                  <c:v>43992</c:v>
                </c:pt>
                <c:pt idx="1294">
                  <c:v>43993</c:v>
                </c:pt>
                <c:pt idx="1295">
                  <c:v>43994</c:v>
                </c:pt>
                <c:pt idx="1296">
                  <c:v>43997</c:v>
                </c:pt>
                <c:pt idx="1297">
                  <c:v>43998</c:v>
                </c:pt>
                <c:pt idx="1298">
                  <c:v>43999</c:v>
                </c:pt>
                <c:pt idx="1299">
                  <c:v>44000</c:v>
                </c:pt>
                <c:pt idx="1300">
                  <c:v>44001</c:v>
                </c:pt>
                <c:pt idx="1301">
                  <c:v>44004</c:v>
                </c:pt>
                <c:pt idx="1302">
                  <c:v>44005</c:v>
                </c:pt>
                <c:pt idx="1303">
                  <c:v>44006</c:v>
                </c:pt>
                <c:pt idx="1304">
                  <c:v>44007</c:v>
                </c:pt>
                <c:pt idx="1305">
                  <c:v>44008</c:v>
                </c:pt>
                <c:pt idx="1306">
                  <c:v>44011</c:v>
                </c:pt>
                <c:pt idx="1307">
                  <c:v>44012</c:v>
                </c:pt>
                <c:pt idx="1308">
                  <c:v>44013</c:v>
                </c:pt>
                <c:pt idx="1309">
                  <c:v>44014</c:v>
                </c:pt>
                <c:pt idx="1310">
                  <c:v>44015</c:v>
                </c:pt>
                <c:pt idx="1311">
                  <c:v>44018</c:v>
                </c:pt>
                <c:pt idx="1312">
                  <c:v>44019</c:v>
                </c:pt>
                <c:pt idx="1313">
                  <c:v>44020</c:v>
                </c:pt>
                <c:pt idx="1314">
                  <c:v>44021</c:v>
                </c:pt>
                <c:pt idx="1315">
                  <c:v>44022</c:v>
                </c:pt>
                <c:pt idx="1316">
                  <c:v>44025</c:v>
                </c:pt>
                <c:pt idx="1317">
                  <c:v>44026</c:v>
                </c:pt>
                <c:pt idx="1318">
                  <c:v>44027</c:v>
                </c:pt>
                <c:pt idx="1319">
                  <c:v>44028</c:v>
                </c:pt>
                <c:pt idx="1320">
                  <c:v>44029</c:v>
                </c:pt>
                <c:pt idx="1321">
                  <c:v>44032</c:v>
                </c:pt>
                <c:pt idx="1322">
                  <c:v>44033</c:v>
                </c:pt>
                <c:pt idx="1323">
                  <c:v>44034</c:v>
                </c:pt>
                <c:pt idx="1324">
                  <c:v>44035</c:v>
                </c:pt>
                <c:pt idx="1325">
                  <c:v>44036</c:v>
                </c:pt>
                <c:pt idx="1326">
                  <c:v>44039</c:v>
                </c:pt>
                <c:pt idx="1327">
                  <c:v>44040</c:v>
                </c:pt>
                <c:pt idx="1328">
                  <c:v>44041</c:v>
                </c:pt>
                <c:pt idx="1329">
                  <c:v>44042</c:v>
                </c:pt>
                <c:pt idx="1330">
                  <c:v>44043</c:v>
                </c:pt>
                <c:pt idx="1331">
                  <c:v>44046</c:v>
                </c:pt>
                <c:pt idx="1332">
                  <c:v>44047</c:v>
                </c:pt>
                <c:pt idx="1333">
                  <c:v>44048</c:v>
                </c:pt>
                <c:pt idx="1334">
                  <c:v>44049</c:v>
                </c:pt>
                <c:pt idx="1335">
                  <c:v>44050</c:v>
                </c:pt>
                <c:pt idx="1336">
                  <c:v>44053</c:v>
                </c:pt>
                <c:pt idx="1337">
                  <c:v>44054</c:v>
                </c:pt>
                <c:pt idx="1338">
                  <c:v>44055</c:v>
                </c:pt>
                <c:pt idx="1339">
                  <c:v>44056</c:v>
                </c:pt>
                <c:pt idx="1340">
                  <c:v>44057</c:v>
                </c:pt>
                <c:pt idx="1341">
                  <c:v>44060</c:v>
                </c:pt>
                <c:pt idx="1342">
                  <c:v>44061</c:v>
                </c:pt>
                <c:pt idx="1343">
                  <c:v>44062</c:v>
                </c:pt>
                <c:pt idx="1344">
                  <c:v>44063</c:v>
                </c:pt>
                <c:pt idx="1345">
                  <c:v>44064</c:v>
                </c:pt>
                <c:pt idx="1346">
                  <c:v>44067</c:v>
                </c:pt>
                <c:pt idx="1347">
                  <c:v>44068</c:v>
                </c:pt>
                <c:pt idx="1348">
                  <c:v>44069</c:v>
                </c:pt>
                <c:pt idx="1349">
                  <c:v>44070</c:v>
                </c:pt>
                <c:pt idx="1350">
                  <c:v>44071</c:v>
                </c:pt>
                <c:pt idx="1351">
                  <c:v>44074</c:v>
                </c:pt>
                <c:pt idx="1352">
                  <c:v>44075</c:v>
                </c:pt>
                <c:pt idx="1353">
                  <c:v>44076</c:v>
                </c:pt>
                <c:pt idx="1354">
                  <c:v>44077</c:v>
                </c:pt>
                <c:pt idx="1355">
                  <c:v>44078</c:v>
                </c:pt>
                <c:pt idx="1356">
                  <c:v>44081</c:v>
                </c:pt>
                <c:pt idx="1357">
                  <c:v>44082</c:v>
                </c:pt>
                <c:pt idx="1358">
                  <c:v>44083</c:v>
                </c:pt>
                <c:pt idx="1359">
                  <c:v>44084</c:v>
                </c:pt>
                <c:pt idx="1360">
                  <c:v>44085</c:v>
                </c:pt>
                <c:pt idx="1361">
                  <c:v>44088</c:v>
                </c:pt>
                <c:pt idx="1362">
                  <c:v>44089</c:v>
                </c:pt>
                <c:pt idx="1363">
                  <c:v>44090</c:v>
                </c:pt>
                <c:pt idx="1364">
                  <c:v>44091</c:v>
                </c:pt>
                <c:pt idx="1365">
                  <c:v>44092</c:v>
                </c:pt>
                <c:pt idx="1366">
                  <c:v>44095</c:v>
                </c:pt>
                <c:pt idx="1367">
                  <c:v>44096</c:v>
                </c:pt>
                <c:pt idx="1368">
                  <c:v>44097</c:v>
                </c:pt>
                <c:pt idx="1369">
                  <c:v>44098</c:v>
                </c:pt>
                <c:pt idx="1370">
                  <c:v>44099</c:v>
                </c:pt>
                <c:pt idx="1371">
                  <c:v>44102</c:v>
                </c:pt>
                <c:pt idx="1372">
                  <c:v>44103</c:v>
                </c:pt>
                <c:pt idx="1373">
                  <c:v>44104</c:v>
                </c:pt>
                <c:pt idx="1374">
                  <c:v>44105</c:v>
                </c:pt>
                <c:pt idx="1375">
                  <c:v>44106</c:v>
                </c:pt>
                <c:pt idx="1376">
                  <c:v>44109</c:v>
                </c:pt>
                <c:pt idx="1377">
                  <c:v>44110</c:v>
                </c:pt>
                <c:pt idx="1378">
                  <c:v>44111</c:v>
                </c:pt>
                <c:pt idx="1379">
                  <c:v>44112</c:v>
                </c:pt>
                <c:pt idx="1380">
                  <c:v>44113</c:v>
                </c:pt>
                <c:pt idx="1381">
                  <c:v>44116</c:v>
                </c:pt>
                <c:pt idx="1382">
                  <c:v>44117</c:v>
                </c:pt>
                <c:pt idx="1383">
                  <c:v>44118</c:v>
                </c:pt>
                <c:pt idx="1384">
                  <c:v>44119</c:v>
                </c:pt>
                <c:pt idx="1385">
                  <c:v>44120</c:v>
                </c:pt>
                <c:pt idx="1386">
                  <c:v>44123</c:v>
                </c:pt>
                <c:pt idx="1387">
                  <c:v>44124</c:v>
                </c:pt>
                <c:pt idx="1388">
                  <c:v>44125</c:v>
                </c:pt>
                <c:pt idx="1389">
                  <c:v>44126</c:v>
                </c:pt>
                <c:pt idx="1390">
                  <c:v>44127</c:v>
                </c:pt>
                <c:pt idx="1391">
                  <c:v>44130</c:v>
                </c:pt>
                <c:pt idx="1392">
                  <c:v>44131</c:v>
                </c:pt>
                <c:pt idx="1393">
                  <c:v>44132</c:v>
                </c:pt>
                <c:pt idx="1394">
                  <c:v>44133</c:v>
                </c:pt>
                <c:pt idx="1395">
                  <c:v>44134</c:v>
                </c:pt>
                <c:pt idx="1396">
                  <c:v>44137</c:v>
                </c:pt>
                <c:pt idx="1397">
                  <c:v>44138</c:v>
                </c:pt>
                <c:pt idx="1398">
                  <c:v>44139</c:v>
                </c:pt>
                <c:pt idx="1399">
                  <c:v>44140</c:v>
                </c:pt>
                <c:pt idx="1400">
                  <c:v>44141</c:v>
                </c:pt>
                <c:pt idx="1401">
                  <c:v>44144</c:v>
                </c:pt>
                <c:pt idx="1402">
                  <c:v>44145</c:v>
                </c:pt>
                <c:pt idx="1403">
                  <c:v>44146</c:v>
                </c:pt>
                <c:pt idx="1404">
                  <c:v>44147</c:v>
                </c:pt>
                <c:pt idx="1405">
                  <c:v>44148</c:v>
                </c:pt>
                <c:pt idx="1406">
                  <c:v>44151</c:v>
                </c:pt>
                <c:pt idx="1407">
                  <c:v>44152</c:v>
                </c:pt>
                <c:pt idx="1408">
                  <c:v>44153</c:v>
                </c:pt>
                <c:pt idx="1409">
                  <c:v>44154</c:v>
                </c:pt>
                <c:pt idx="1410">
                  <c:v>44155</c:v>
                </c:pt>
                <c:pt idx="1411">
                  <c:v>44158</c:v>
                </c:pt>
                <c:pt idx="1412">
                  <c:v>44159</c:v>
                </c:pt>
                <c:pt idx="1413">
                  <c:v>44160</c:v>
                </c:pt>
                <c:pt idx="1414">
                  <c:v>44161</c:v>
                </c:pt>
                <c:pt idx="1415">
                  <c:v>44162</c:v>
                </c:pt>
                <c:pt idx="1416">
                  <c:v>44165</c:v>
                </c:pt>
                <c:pt idx="1417">
                  <c:v>44166</c:v>
                </c:pt>
                <c:pt idx="1418">
                  <c:v>44167</c:v>
                </c:pt>
                <c:pt idx="1419">
                  <c:v>44168</c:v>
                </c:pt>
                <c:pt idx="1420">
                  <c:v>44169</c:v>
                </c:pt>
                <c:pt idx="1421">
                  <c:v>44172</c:v>
                </c:pt>
                <c:pt idx="1422">
                  <c:v>44173</c:v>
                </c:pt>
                <c:pt idx="1423">
                  <c:v>44174</c:v>
                </c:pt>
                <c:pt idx="1424">
                  <c:v>44175</c:v>
                </c:pt>
                <c:pt idx="1425">
                  <c:v>44176</c:v>
                </c:pt>
                <c:pt idx="1426">
                  <c:v>44179</c:v>
                </c:pt>
                <c:pt idx="1427">
                  <c:v>44180</c:v>
                </c:pt>
                <c:pt idx="1428">
                  <c:v>44181</c:v>
                </c:pt>
                <c:pt idx="1429">
                  <c:v>44182</c:v>
                </c:pt>
                <c:pt idx="1430">
                  <c:v>44183</c:v>
                </c:pt>
                <c:pt idx="1431">
                  <c:v>44186</c:v>
                </c:pt>
                <c:pt idx="1432">
                  <c:v>44187</c:v>
                </c:pt>
                <c:pt idx="1433">
                  <c:v>44188</c:v>
                </c:pt>
                <c:pt idx="1434">
                  <c:v>44189</c:v>
                </c:pt>
                <c:pt idx="1435">
                  <c:v>44193</c:v>
                </c:pt>
                <c:pt idx="1436">
                  <c:v>44194</c:v>
                </c:pt>
                <c:pt idx="1437">
                  <c:v>44195</c:v>
                </c:pt>
                <c:pt idx="1438">
                  <c:v>44196</c:v>
                </c:pt>
                <c:pt idx="1439">
                  <c:v>44200</c:v>
                </c:pt>
                <c:pt idx="1440">
                  <c:v>44201</c:v>
                </c:pt>
                <c:pt idx="1441">
                  <c:v>44202</c:v>
                </c:pt>
                <c:pt idx="1442">
                  <c:v>44203</c:v>
                </c:pt>
                <c:pt idx="1443">
                  <c:v>44204</c:v>
                </c:pt>
                <c:pt idx="1444">
                  <c:v>44207</c:v>
                </c:pt>
                <c:pt idx="1445">
                  <c:v>44208</c:v>
                </c:pt>
                <c:pt idx="1446">
                  <c:v>44209</c:v>
                </c:pt>
                <c:pt idx="1447">
                  <c:v>44210</c:v>
                </c:pt>
                <c:pt idx="1448">
                  <c:v>44211</c:v>
                </c:pt>
                <c:pt idx="1449">
                  <c:v>44214</c:v>
                </c:pt>
                <c:pt idx="1450">
                  <c:v>44215</c:v>
                </c:pt>
                <c:pt idx="1451">
                  <c:v>44216</c:v>
                </c:pt>
                <c:pt idx="1452">
                  <c:v>44217</c:v>
                </c:pt>
                <c:pt idx="1453">
                  <c:v>44218</c:v>
                </c:pt>
                <c:pt idx="1454">
                  <c:v>44221</c:v>
                </c:pt>
                <c:pt idx="1455">
                  <c:v>44222</c:v>
                </c:pt>
                <c:pt idx="1456">
                  <c:v>44223</c:v>
                </c:pt>
                <c:pt idx="1457">
                  <c:v>44224</c:v>
                </c:pt>
                <c:pt idx="1458">
                  <c:v>44225</c:v>
                </c:pt>
                <c:pt idx="1459">
                  <c:v>44228</c:v>
                </c:pt>
                <c:pt idx="1460">
                  <c:v>44229</c:v>
                </c:pt>
                <c:pt idx="1461">
                  <c:v>44230</c:v>
                </c:pt>
                <c:pt idx="1462">
                  <c:v>44231</c:v>
                </c:pt>
                <c:pt idx="1463">
                  <c:v>44232</c:v>
                </c:pt>
                <c:pt idx="1464">
                  <c:v>44235</c:v>
                </c:pt>
                <c:pt idx="1465">
                  <c:v>44236</c:v>
                </c:pt>
                <c:pt idx="1466">
                  <c:v>44237</c:v>
                </c:pt>
                <c:pt idx="1467">
                  <c:v>44238</c:v>
                </c:pt>
                <c:pt idx="1468">
                  <c:v>44239</c:v>
                </c:pt>
                <c:pt idx="1469">
                  <c:v>44242</c:v>
                </c:pt>
                <c:pt idx="1470">
                  <c:v>44243</c:v>
                </c:pt>
                <c:pt idx="1471">
                  <c:v>44244</c:v>
                </c:pt>
                <c:pt idx="1472">
                  <c:v>44245</c:v>
                </c:pt>
                <c:pt idx="1473">
                  <c:v>44246</c:v>
                </c:pt>
                <c:pt idx="1474">
                  <c:v>44249</c:v>
                </c:pt>
                <c:pt idx="1475">
                  <c:v>44250</c:v>
                </c:pt>
                <c:pt idx="1476">
                  <c:v>44251</c:v>
                </c:pt>
                <c:pt idx="1477">
                  <c:v>44252</c:v>
                </c:pt>
                <c:pt idx="1478">
                  <c:v>44253</c:v>
                </c:pt>
                <c:pt idx="1479">
                  <c:v>44256</c:v>
                </c:pt>
                <c:pt idx="1480">
                  <c:v>44257</c:v>
                </c:pt>
                <c:pt idx="1481">
                  <c:v>44258</c:v>
                </c:pt>
                <c:pt idx="1482">
                  <c:v>44259</c:v>
                </c:pt>
                <c:pt idx="1483">
                  <c:v>44260</c:v>
                </c:pt>
                <c:pt idx="1484">
                  <c:v>44263</c:v>
                </c:pt>
                <c:pt idx="1485">
                  <c:v>44264</c:v>
                </c:pt>
                <c:pt idx="1486">
                  <c:v>44265</c:v>
                </c:pt>
                <c:pt idx="1487">
                  <c:v>44266</c:v>
                </c:pt>
                <c:pt idx="1488">
                  <c:v>44267</c:v>
                </c:pt>
                <c:pt idx="1489">
                  <c:v>44270</c:v>
                </c:pt>
                <c:pt idx="1490">
                  <c:v>44271</c:v>
                </c:pt>
                <c:pt idx="1491">
                  <c:v>44272</c:v>
                </c:pt>
                <c:pt idx="1492">
                  <c:v>44273</c:v>
                </c:pt>
                <c:pt idx="1493">
                  <c:v>44274</c:v>
                </c:pt>
                <c:pt idx="1494">
                  <c:v>44277</c:v>
                </c:pt>
                <c:pt idx="1495">
                  <c:v>44278</c:v>
                </c:pt>
                <c:pt idx="1496">
                  <c:v>44279</c:v>
                </c:pt>
                <c:pt idx="1497">
                  <c:v>44280</c:v>
                </c:pt>
                <c:pt idx="1498">
                  <c:v>44281</c:v>
                </c:pt>
                <c:pt idx="1499">
                  <c:v>44284</c:v>
                </c:pt>
                <c:pt idx="1500">
                  <c:v>44285</c:v>
                </c:pt>
                <c:pt idx="1501">
                  <c:v>44286</c:v>
                </c:pt>
                <c:pt idx="1502">
                  <c:v>44287</c:v>
                </c:pt>
                <c:pt idx="1503">
                  <c:v>44292</c:v>
                </c:pt>
                <c:pt idx="1504">
                  <c:v>44293</c:v>
                </c:pt>
                <c:pt idx="1505">
                  <c:v>44294</c:v>
                </c:pt>
                <c:pt idx="1506">
                  <c:v>44295</c:v>
                </c:pt>
                <c:pt idx="1507">
                  <c:v>44298</c:v>
                </c:pt>
                <c:pt idx="1508">
                  <c:v>44299</c:v>
                </c:pt>
                <c:pt idx="1509">
                  <c:v>44300</c:v>
                </c:pt>
                <c:pt idx="1510">
                  <c:v>44301</c:v>
                </c:pt>
                <c:pt idx="1511">
                  <c:v>44302</c:v>
                </c:pt>
              </c:numCache>
            </c:numRef>
          </c:cat>
          <c:val>
            <c:numRef>
              <c:f>'M12'!$U$7:$U$2132</c:f>
              <c:numCache>
                <c:formatCode>0.00</c:formatCode>
                <c:ptCount val="212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15.146543605274031</c:v>
                </c:pt>
                <c:pt idx="251">
                  <c:v>15.017539316827785</c:v>
                </c:pt>
                <c:pt idx="252">
                  <c:v>14.832619117800101</c:v>
                </c:pt>
                <c:pt idx="253">
                  <c:v>14.765892191190716</c:v>
                </c:pt>
                <c:pt idx="254">
                  <c:v>14.657708895135737</c:v>
                </c:pt>
                <c:pt idx="255">
                  <c:v>14.687322092276439</c:v>
                </c:pt>
                <c:pt idx="256">
                  <c:v>14.927585869675887</c:v>
                </c:pt>
                <c:pt idx="257">
                  <c:v>14.985586332667356</c:v>
                </c:pt>
                <c:pt idx="258">
                  <c:v>15.082512590988168</c:v>
                </c:pt>
                <c:pt idx="259">
                  <c:v>15.129918770590763</c:v>
                </c:pt>
                <c:pt idx="260">
                  <c:v>15.420276027479726</c:v>
                </c:pt>
                <c:pt idx="261">
                  <c:v>16.752990779649444</c:v>
                </c:pt>
                <c:pt idx="262">
                  <c:v>16.556566514835708</c:v>
                </c:pt>
                <c:pt idx="263">
                  <c:v>16.1590521908239</c:v>
                </c:pt>
                <c:pt idx="264">
                  <c:v>16.436693920892864</c:v>
                </c:pt>
                <c:pt idx="265">
                  <c:v>16.551674090603878</c:v>
                </c:pt>
                <c:pt idx="266">
                  <c:v>16.62596334565729</c:v>
                </c:pt>
                <c:pt idx="267">
                  <c:v>16.444980600270164</c:v>
                </c:pt>
                <c:pt idx="268">
                  <c:v>16.197551629623618</c:v>
                </c:pt>
                <c:pt idx="269">
                  <c:v>16.07186287648824</c:v>
                </c:pt>
                <c:pt idx="270">
                  <c:v>16.017350082061114</c:v>
                </c:pt>
                <c:pt idx="271">
                  <c:v>16.033241922069301</c:v>
                </c:pt>
                <c:pt idx="272">
                  <c:v>15.837108128387996</c:v>
                </c:pt>
                <c:pt idx="273">
                  <c:v>16.278204849132408</c:v>
                </c:pt>
                <c:pt idx="274">
                  <c:v>16.576662337287196</c:v>
                </c:pt>
                <c:pt idx="275">
                  <c:v>16.493060014492983</c:v>
                </c:pt>
                <c:pt idx="276">
                  <c:v>16.469960098799131</c:v>
                </c:pt>
                <c:pt idx="277">
                  <c:v>16.681998007840527</c:v>
                </c:pt>
                <c:pt idx="278">
                  <c:v>16.643460975597925</c:v>
                </c:pt>
                <c:pt idx="279">
                  <c:v>16.25193304565564</c:v>
                </c:pt>
                <c:pt idx="280">
                  <c:v>16.390406085610305</c:v>
                </c:pt>
                <c:pt idx="281">
                  <c:v>16.413326354999917</c:v>
                </c:pt>
                <c:pt idx="282">
                  <c:v>16.108022327475311</c:v>
                </c:pt>
                <c:pt idx="283">
                  <c:v>17.90239420074775</c:v>
                </c:pt>
                <c:pt idx="284">
                  <c:v>17.822877532231047</c:v>
                </c:pt>
                <c:pt idx="285">
                  <c:v>17.371695834470287</c:v>
                </c:pt>
                <c:pt idx="286">
                  <c:v>17.171292507213678</c:v>
                </c:pt>
                <c:pt idx="287">
                  <c:v>17.017650003008718</c:v>
                </c:pt>
                <c:pt idx="288">
                  <c:v>16.764917801346471</c:v>
                </c:pt>
                <c:pt idx="289">
                  <c:v>16.563656015294583</c:v>
                </c:pt>
                <c:pt idx="290">
                  <c:v>16.695816904681173</c:v>
                </c:pt>
                <c:pt idx="291">
                  <c:v>16.504105540558804</c:v>
                </c:pt>
                <c:pt idx="292">
                  <c:v>16.578642752958338</c:v>
                </c:pt>
                <c:pt idx="293">
                  <c:v>16.429134152925485</c:v>
                </c:pt>
                <c:pt idx="294">
                  <c:v>16.585010692250897</c:v>
                </c:pt>
                <c:pt idx="295">
                  <c:v>16.366623721846146</c:v>
                </c:pt>
                <c:pt idx="296">
                  <c:v>16.269345351910459</c:v>
                </c:pt>
                <c:pt idx="297">
                  <c:v>16.206927027489201</c:v>
                </c:pt>
                <c:pt idx="298">
                  <c:v>15.966996446004671</c:v>
                </c:pt>
                <c:pt idx="299">
                  <c:v>15.776665293567065</c:v>
                </c:pt>
                <c:pt idx="300">
                  <c:v>15.772120981763662</c:v>
                </c:pt>
                <c:pt idx="301">
                  <c:v>15.626221924094841</c:v>
                </c:pt>
                <c:pt idx="302">
                  <c:v>15.546503845223967</c:v>
                </c:pt>
                <c:pt idx="303">
                  <c:v>15.254556625622385</c:v>
                </c:pt>
                <c:pt idx="304">
                  <c:v>16.861017764834056</c:v>
                </c:pt>
                <c:pt idx="305">
                  <c:v>16.304222105109933</c:v>
                </c:pt>
                <c:pt idx="306">
                  <c:v>15.971370700553255</c:v>
                </c:pt>
                <c:pt idx="307">
                  <c:v>15.806505842145626</c:v>
                </c:pt>
                <c:pt idx="308">
                  <c:v>15.492484481589539</c:v>
                </c:pt>
                <c:pt idx="309">
                  <c:v>15.524592071483053</c:v>
                </c:pt>
                <c:pt idx="310">
                  <c:v>15.497956559662954</c:v>
                </c:pt>
                <c:pt idx="311">
                  <c:v>15.284526393229125</c:v>
                </c:pt>
                <c:pt idx="312">
                  <c:v>15.255281682470782</c:v>
                </c:pt>
                <c:pt idx="313">
                  <c:v>15.287232989432672</c:v>
                </c:pt>
                <c:pt idx="314">
                  <c:v>15.243395978880065</c:v>
                </c:pt>
                <c:pt idx="315">
                  <c:v>15.285980353825712</c:v>
                </c:pt>
                <c:pt idx="316">
                  <c:v>15.272822743999445</c:v>
                </c:pt>
                <c:pt idx="317">
                  <c:v>15.234690624979912</c:v>
                </c:pt>
                <c:pt idx="318">
                  <c:v>15.02427850937049</c:v>
                </c:pt>
                <c:pt idx="319">
                  <c:v>14.728771592652162</c:v>
                </c:pt>
                <c:pt idx="320">
                  <c:v>14.781310942867787</c:v>
                </c:pt>
                <c:pt idx="321">
                  <c:v>14.705975998607222</c:v>
                </c:pt>
                <c:pt idx="322">
                  <c:v>14.701061112439561</c:v>
                </c:pt>
                <c:pt idx="323">
                  <c:v>14.754469296281222</c:v>
                </c:pt>
                <c:pt idx="324">
                  <c:v>14.782968140773113</c:v>
                </c:pt>
                <c:pt idx="325">
                  <c:v>14.700610714947377</c:v>
                </c:pt>
                <c:pt idx="326">
                  <c:v>15.487709754070904</c:v>
                </c:pt>
                <c:pt idx="327">
                  <c:v>15.796916484942056</c:v>
                </c:pt>
                <c:pt idx="328">
                  <c:v>15.422286022710491</c:v>
                </c:pt>
                <c:pt idx="329">
                  <c:v>15.174771599791388</c:v>
                </c:pt>
                <c:pt idx="330">
                  <c:v>14.92810681673971</c:v>
                </c:pt>
                <c:pt idx="331">
                  <c:v>14.847740439734377</c:v>
                </c:pt>
                <c:pt idx="332">
                  <c:v>14.803869756021344</c:v>
                </c:pt>
                <c:pt idx="333">
                  <c:v>14.51330826667146</c:v>
                </c:pt>
                <c:pt idx="334">
                  <c:v>14.315460145380879</c:v>
                </c:pt>
                <c:pt idx="335">
                  <c:v>14.355426476431449</c:v>
                </c:pt>
                <c:pt idx="336">
                  <c:v>14.156471464682772</c:v>
                </c:pt>
                <c:pt idx="337">
                  <c:v>14.306452872493404</c:v>
                </c:pt>
                <c:pt idx="338">
                  <c:v>14.540879703350905</c:v>
                </c:pt>
                <c:pt idx="339">
                  <c:v>14.663033076900605</c:v>
                </c:pt>
                <c:pt idx="340">
                  <c:v>14.486943623958384</c:v>
                </c:pt>
                <c:pt idx="341">
                  <c:v>14.559314693064511</c:v>
                </c:pt>
                <c:pt idx="342">
                  <c:v>14.867415453527283</c:v>
                </c:pt>
                <c:pt idx="343">
                  <c:v>14.89780345855473</c:v>
                </c:pt>
                <c:pt idx="344">
                  <c:v>15.114580104029006</c:v>
                </c:pt>
                <c:pt idx="345">
                  <c:v>14.914487737939169</c:v>
                </c:pt>
                <c:pt idx="346">
                  <c:v>15.174388527942957</c:v>
                </c:pt>
                <c:pt idx="347">
                  <c:v>15.406720110349042</c:v>
                </c:pt>
                <c:pt idx="348">
                  <c:v>15.44943338110556</c:v>
                </c:pt>
                <c:pt idx="349">
                  <c:v>17.467154243735713</c:v>
                </c:pt>
                <c:pt idx="350">
                  <c:v>17.009015234262982</c:v>
                </c:pt>
                <c:pt idx="351">
                  <c:v>17.087774049126821</c:v>
                </c:pt>
                <c:pt idx="352">
                  <c:v>17.533270141343696</c:v>
                </c:pt>
                <c:pt idx="353">
                  <c:v>17.149466656977477</c:v>
                </c:pt>
                <c:pt idx="354">
                  <c:v>16.97769964551534</c:v>
                </c:pt>
                <c:pt idx="355">
                  <c:v>16.58355265142265</c:v>
                </c:pt>
                <c:pt idx="356">
                  <c:v>16.388442866733563</c:v>
                </c:pt>
                <c:pt idx="357">
                  <c:v>16.338051916868459</c:v>
                </c:pt>
                <c:pt idx="358">
                  <c:v>16.483871458591935</c:v>
                </c:pt>
                <c:pt idx="359">
                  <c:v>16.649791331004863</c:v>
                </c:pt>
                <c:pt idx="360">
                  <c:v>16.869142345105843</c:v>
                </c:pt>
                <c:pt idx="361">
                  <c:v>16.652219047257656</c:v>
                </c:pt>
                <c:pt idx="362">
                  <c:v>16.562933844364089</c:v>
                </c:pt>
                <c:pt idx="363">
                  <c:v>16.656831850739437</c:v>
                </c:pt>
                <c:pt idx="364">
                  <c:v>16.814244809926961</c:v>
                </c:pt>
                <c:pt idx="365">
                  <c:v>16.966638659662788</c:v>
                </c:pt>
                <c:pt idx="366">
                  <c:v>17.071849424934705</c:v>
                </c:pt>
                <c:pt idx="367">
                  <c:v>16.842179472398058</c:v>
                </c:pt>
                <c:pt idx="368">
                  <c:v>16.710403982711274</c:v>
                </c:pt>
                <c:pt idx="369">
                  <c:v>16.908206841908989</c:v>
                </c:pt>
                <c:pt idx="370">
                  <c:v>18.521570836292565</c:v>
                </c:pt>
                <c:pt idx="371">
                  <c:v>18.474827002959632</c:v>
                </c:pt>
                <c:pt idx="372">
                  <c:v>18.499062904571353</c:v>
                </c:pt>
                <c:pt idx="373">
                  <c:v>18.422648345049232</c:v>
                </c:pt>
                <c:pt idx="374">
                  <c:v>18.459063520726492</c:v>
                </c:pt>
                <c:pt idx="375">
                  <c:v>17.813193302546015</c:v>
                </c:pt>
                <c:pt idx="376">
                  <c:v>18.315118453794788</c:v>
                </c:pt>
                <c:pt idx="377">
                  <c:v>18.281890059190285</c:v>
                </c:pt>
                <c:pt idx="378">
                  <c:v>18.103406806289041</c:v>
                </c:pt>
                <c:pt idx="379">
                  <c:v>17.611365591311834</c:v>
                </c:pt>
                <c:pt idx="380">
                  <c:v>17.567988791212638</c:v>
                </c:pt>
                <c:pt idx="381">
                  <c:v>17.38807399059845</c:v>
                </c:pt>
                <c:pt idx="382">
                  <c:v>17.227836182109826</c:v>
                </c:pt>
                <c:pt idx="383">
                  <c:v>17.224908454967469</c:v>
                </c:pt>
                <c:pt idx="384">
                  <c:v>17.132001637365494</c:v>
                </c:pt>
                <c:pt idx="385">
                  <c:v>17.438439331226746</c:v>
                </c:pt>
                <c:pt idx="386">
                  <c:v>17.568222599205605</c:v>
                </c:pt>
                <c:pt idx="387">
                  <c:v>17.612428164566392</c:v>
                </c:pt>
                <c:pt idx="388">
                  <c:v>17.399594884731886</c:v>
                </c:pt>
                <c:pt idx="389">
                  <c:v>16.93451267232345</c:v>
                </c:pt>
                <c:pt idx="390">
                  <c:v>17.008574040386108</c:v>
                </c:pt>
                <c:pt idx="391">
                  <c:v>16.581326750329595</c:v>
                </c:pt>
                <c:pt idx="392">
                  <c:v>18.412402971684539</c:v>
                </c:pt>
                <c:pt idx="393">
                  <c:v>18.107786928253127</c:v>
                </c:pt>
                <c:pt idx="394">
                  <c:v>17.740246444198345</c:v>
                </c:pt>
                <c:pt idx="395">
                  <c:v>17.04873073871682</c:v>
                </c:pt>
                <c:pt idx="396">
                  <c:v>17.001307436993226</c:v>
                </c:pt>
                <c:pt idx="397">
                  <c:v>17.049492263988132</c:v>
                </c:pt>
                <c:pt idx="398">
                  <c:v>17.529448634417296</c:v>
                </c:pt>
                <c:pt idx="399">
                  <c:v>17.889070794871436</c:v>
                </c:pt>
                <c:pt idx="400">
                  <c:v>18.033712071060066</c:v>
                </c:pt>
                <c:pt idx="401">
                  <c:v>18.033171381271238</c:v>
                </c:pt>
                <c:pt idx="402">
                  <c:v>18.208919223559164</c:v>
                </c:pt>
                <c:pt idx="403">
                  <c:v>18.272148774285483</c:v>
                </c:pt>
                <c:pt idx="404">
                  <c:v>18.120073192878582</c:v>
                </c:pt>
                <c:pt idx="405">
                  <c:v>18.150747254402845</c:v>
                </c:pt>
                <c:pt idx="406">
                  <c:v>18.116077437549805</c:v>
                </c:pt>
                <c:pt idx="407">
                  <c:v>18.438347571938834</c:v>
                </c:pt>
                <c:pt idx="408">
                  <c:v>18.47855703430336</c:v>
                </c:pt>
                <c:pt idx="409">
                  <c:v>19.021528095149762</c:v>
                </c:pt>
                <c:pt idx="410">
                  <c:v>18.746838782050069</c:v>
                </c:pt>
                <c:pt idx="411">
                  <c:v>18.794183544146009</c:v>
                </c:pt>
                <c:pt idx="412">
                  <c:v>19.08081387839519</c:v>
                </c:pt>
                <c:pt idx="413">
                  <c:v>18.975105545337755</c:v>
                </c:pt>
                <c:pt idx="414">
                  <c:v>18.796989323902647</c:v>
                </c:pt>
                <c:pt idx="415">
                  <c:v>18.697966308642346</c:v>
                </c:pt>
                <c:pt idx="416">
                  <c:v>18.838144760628989</c:v>
                </c:pt>
                <c:pt idx="417">
                  <c:v>18.7594102454085</c:v>
                </c:pt>
                <c:pt idx="418">
                  <c:v>18.53201229014142</c:v>
                </c:pt>
                <c:pt idx="419">
                  <c:v>19.007713638601619</c:v>
                </c:pt>
                <c:pt idx="420">
                  <c:v>19.256877511749842</c:v>
                </c:pt>
                <c:pt idx="421">
                  <c:v>19.329832404707545</c:v>
                </c:pt>
                <c:pt idx="422">
                  <c:v>19.436789713824584</c:v>
                </c:pt>
                <c:pt idx="423">
                  <c:v>19.282862159527799</c:v>
                </c:pt>
                <c:pt idx="424">
                  <c:v>19.485163635256971</c:v>
                </c:pt>
                <c:pt idx="425">
                  <c:v>19.482738352040283</c:v>
                </c:pt>
                <c:pt idx="426">
                  <c:v>19.459852336830092</c:v>
                </c:pt>
                <c:pt idx="427">
                  <c:v>19.648329781227147</c:v>
                </c:pt>
                <c:pt idx="428">
                  <c:v>19.75040589458375</c:v>
                </c:pt>
                <c:pt idx="429">
                  <c:v>19.656973985522562</c:v>
                </c:pt>
                <c:pt idx="430">
                  <c:v>19.437567360671871</c:v>
                </c:pt>
                <c:pt idx="431">
                  <c:v>19.524861592336794</c:v>
                </c:pt>
                <c:pt idx="432">
                  <c:v>19.291821475560663</c:v>
                </c:pt>
                <c:pt idx="433">
                  <c:v>19.348419884147823</c:v>
                </c:pt>
                <c:pt idx="434">
                  <c:v>19.236154836525206</c:v>
                </c:pt>
                <c:pt idx="435">
                  <c:v>19.16099736731427</c:v>
                </c:pt>
                <c:pt idx="436">
                  <c:v>19.212559273220634</c:v>
                </c:pt>
                <c:pt idx="437">
                  <c:v>19.103493071756215</c:v>
                </c:pt>
                <c:pt idx="438">
                  <c:v>19.132927747460556</c:v>
                </c:pt>
                <c:pt idx="439">
                  <c:v>19.155816928733675</c:v>
                </c:pt>
                <c:pt idx="440">
                  <c:v>19.246485184105143</c:v>
                </c:pt>
                <c:pt idx="441">
                  <c:v>19.428375628318975</c:v>
                </c:pt>
                <c:pt idx="442">
                  <c:v>19.356906741974711</c:v>
                </c:pt>
                <c:pt idx="443">
                  <c:v>19.157173051107318</c:v>
                </c:pt>
                <c:pt idx="444">
                  <c:v>19.016453478844717</c:v>
                </c:pt>
                <c:pt idx="445">
                  <c:v>18.932569772035578</c:v>
                </c:pt>
                <c:pt idx="446">
                  <c:v>18.936897075604843</c:v>
                </c:pt>
                <c:pt idx="447">
                  <c:v>18.834892436900272</c:v>
                </c:pt>
                <c:pt idx="448">
                  <c:v>19.032880143647095</c:v>
                </c:pt>
                <c:pt idx="449">
                  <c:v>18.867962413102017</c:v>
                </c:pt>
                <c:pt idx="450">
                  <c:v>18.759359454205118</c:v>
                </c:pt>
                <c:pt idx="451">
                  <c:v>18.955779769610611</c:v>
                </c:pt>
                <c:pt idx="452">
                  <c:v>18.934493342890551</c:v>
                </c:pt>
                <c:pt idx="453">
                  <c:v>18.665974184521538</c:v>
                </c:pt>
                <c:pt idx="454">
                  <c:v>17.882585278537277</c:v>
                </c:pt>
                <c:pt idx="455">
                  <c:v>18.445995753021904</c:v>
                </c:pt>
                <c:pt idx="456">
                  <c:v>18.435102091700841</c:v>
                </c:pt>
                <c:pt idx="457">
                  <c:v>18.178451662834846</c:v>
                </c:pt>
                <c:pt idx="458">
                  <c:v>18.080490395957995</c:v>
                </c:pt>
                <c:pt idx="459">
                  <c:v>18.067012920445148</c:v>
                </c:pt>
                <c:pt idx="460">
                  <c:v>17.737491280810158</c:v>
                </c:pt>
                <c:pt idx="461">
                  <c:v>17.610533249691663</c:v>
                </c:pt>
                <c:pt idx="462">
                  <c:v>17.409470483474863</c:v>
                </c:pt>
                <c:pt idx="463">
                  <c:v>17.294801729862208</c:v>
                </c:pt>
                <c:pt idx="464">
                  <c:v>17.196092161846416</c:v>
                </c:pt>
                <c:pt idx="465">
                  <c:v>17.220341151391345</c:v>
                </c:pt>
                <c:pt idx="466">
                  <c:v>17.107971385676727</c:v>
                </c:pt>
                <c:pt idx="467">
                  <c:v>17.135631673994055</c:v>
                </c:pt>
                <c:pt idx="468">
                  <c:v>17.03826351427757</c:v>
                </c:pt>
                <c:pt idx="469">
                  <c:v>16.854920889123594</c:v>
                </c:pt>
                <c:pt idx="470">
                  <c:v>16.71541957768968</c:v>
                </c:pt>
                <c:pt idx="471">
                  <c:v>16.687070210079405</c:v>
                </c:pt>
                <c:pt idx="472">
                  <c:v>16.728147252864879</c:v>
                </c:pt>
                <c:pt idx="473">
                  <c:v>16.517488229107094</c:v>
                </c:pt>
                <c:pt idx="474">
                  <c:v>16.630011640114574</c:v>
                </c:pt>
                <c:pt idx="475">
                  <c:v>16.954403195909237</c:v>
                </c:pt>
                <c:pt idx="476">
                  <c:v>16.7820819256041</c:v>
                </c:pt>
                <c:pt idx="477">
                  <c:v>15.465535920589566</c:v>
                </c:pt>
                <c:pt idx="478">
                  <c:v>16.389811836996991</c:v>
                </c:pt>
                <c:pt idx="479">
                  <c:v>16.567677537863574</c:v>
                </c:pt>
                <c:pt idx="480">
                  <c:v>16.747879139683636</c:v>
                </c:pt>
                <c:pt idx="481">
                  <c:v>16.850131667493553</c:v>
                </c:pt>
                <c:pt idx="482">
                  <c:v>16.812216537045924</c:v>
                </c:pt>
                <c:pt idx="483">
                  <c:v>16.706376208958595</c:v>
                </c:pt>
                <c:pt idx="484">
                  <c:v>16.630684929677741</c:v>
                </c:pt>
                <c:pt idx="485">
                  <c:v>16.824630299876642</c:v>
                </c:pt>
                <c:pt idx="486">
                  <c:v>16.839803289431416</c:v>
                </c:pt>
                <c:pt idx="487">
                  <c:v>16.661222364609273</c:v>
                </c:pt>
                <c:pt idx="488">
                  <c:v>16.812254760592023</c:v>
                </c:pt>
                <c:pt idx="489">
                  <c:v>16.807209203812821</c:v>
                </c:pt>
                <c:pt idx="490">
                  <c:v>16.745166508115556</c:v>
                </c:pt>
                <c:pt idx="491">
                  <c:v>16.415432623056478</c:v>
                </c:pt>
                <c:pt idx="492">
                  <c:v>16.317865352489484</c:v>
                </c:pt>
                <c:pt idx="493">
                  <c:v>16.363825839290946</c:v>
                </c:pt>
                <c:pt idx="494">
                  <c:v>16.390867468926174</c:v>
                </c:pt>
                <c:pt idx="495">
                  <c:v>16.064517545465336</c:v>
                </c:pt>
                <c:pt idx="496">
                  <c:v>15.708174568491927</c:v>
                </c:pt>
                <c:pt idx="497">
                  <c:v>15.639158261787397</c:v>
                </c:pt>
                <c:pt idx="498">
                  <c:v>15.777264157999184</c:v>
                </c:pt>
                <c:pt idx="499">
                  <c:v>15.489584713503778</c:v>
                </c:pt>
                <c:pt idx="500">
                  <c:v>15.63713533970942</c:v>
                </c:pt>
                <c:pt idx="501">
                  <c:v>15.599340025116593</c:v>
                </c:pt>
                <c:pt idx="502">
                  <c:v>15.605614341585914</c:v>
                </c:pt>
                <c:pt idx="503">
                  <c:v>15.719532355277449</c:v>
                </c:pt>
                <c:pt idx="504">
                  <c:v>15.584625210112607</c:v>
                </c:pt>
                <c:pt idx="505">
                  <c:v>15.627034232371955</c:v>
                </c:pt>
                <c:pt idx="506">
                  <c:v>15.627683304727505</c:v>
                </c:pt>
                <c:pt idx="507">
                  <c:v>15.63979289427877</c:v>
                </c:pt>
                <c:pt idx="508">
                  <c:v>15.717752915842485</c:v>
                </c:pt>
                <c:pt idx="509">
                  <c:v>15.866227687274732</c:v>
                </c:pt>
                <c:pt idx="510">
                  <c:v>15.977630051166308</c:v>
                </c:pt>
                <c:pt idx="511">
                  <c:v>16.067173203043538</c:v>
                </c:pt>
                <c:pt idx="512">
                  <c:v>16.206856620049358</c:v>
                </c:pt>
                <c:pt idx="513">
                  <c:v>16.158531815763556</c:v>
                </c:pt>
                <c:pt idx="514">
                  <c:v>15.993670809602982</c:v>
                </c:pt>
                <c:pt idx="515">
                  <c:v>15.993466860447008</c:v>
                </c:pt>
                <c:pt idx="516">
                  <c:v>16.074558707799603</c:v>
                </c:pt>
                <c:pt idx="517">
                  <c:v>16.153226629651208</c:v>
                </c:pt>
                <c:pt idx="518">
                  <c:v>16.179684367836167</c:v>
                </c:pt>
                <c:pt idx="519">
                  <c:v>15.926522269192066</c:v>
                </c:pt>
                <c:pt idx="520">
                  <c:v>15.937682000394327</c:v>
                </c:pt>
                <c:pt idx="521">
                  <c:v>16.033890403284374</c:v>
                </c:pt>
                <c:pt idx="522">
                  <c:v>16.120527838365362</c:v>
                </c:pt>
                <c:pt idx="523">
                  <c:v>15.929381205396115</c:v>
                </c:pt>
                <c:pt idx="524">
                  <c:v>15.968572366191843</c:v>
                </c:pt>
                <c:pt idx="525">
                  <c:v>16.012551103382179</c:v>
                </c:pt>
                <c:pt idx="526">
                  <c:v>15.786521118915108</c:v>
                </c:pt>
                <c:pt idx="527">
                  <c:v>15.641107416836366</c:v>
                </c:pt>
                <c:pt idx="528">
                  <c:v>15.480399427961274</c:v>
                </c:pt>
                <c:pt idx="529">
                  <c:v>15.398232134969327</c:v>
                </c:pt>
                <c:pt idx="530">
                  <c:v>15.134873149469488</c:v>
                </c:pt>
                <c:pt idx="531">
                  <c:v>15.261281613440691</c:v>
                </c:pt>
                <c:pt idx="532">
                  <c:v>15.217783322909405</c:v>
                </c:pt>
                <c:pt idx="533">
                  <c:v>15.0853207263006</c:v>
                </c:pt>
                <c:pt idx="534">
                  <c:v>15.027504379893129</c:v>
                </c:pt>
                <c:pt idx="535">
                  <c:v>15.007603828450293</c:v>
                </c:pt>
                <c:pt idx="536">
                  <c:v>15.0662549025628</c:v>
                </c:pt>
                <c:pt idx="537">
                  <c:v>15.096377756135192</c:v>
                </c:pt>
                <c:pt idx="538">
                  <c:v>15.118656379672945</c:v>
                </c:pt>
                <c:pt idx="539">
                  <c:v>15.071092227345684</c:v>
                </c:pt>
                <c:pt idx="540">
                  <c:v>14.845449369724872</c:v>
                </c:pt>
                <c:pt idx="541">
                  <c:v>15.672078721006695</c:v>
                </c:pt>
                <c:pt idx="542">
                  <c:v>15.654510190277984</c:v>
                </c:pt>
                <c:pt idx="543">
                  <c:v>15.538802473104635</c:v>
                </c:pt>
                <c:pt idx="544">
                  <c:v>15.425365698133248</c:v>
                </c:pt>
                <c:pt idx="545">
                  <c:v>15.350227899013333</c:v>
                </c:pt>
                <c:pt idx="546">
                  <c:v>15.299792894222387</c:v>
                </c:pt>
                <c:pt idx="547">
                  <c:v>15.18501304788748</c:v>
                </c:pt>
                <c:pt idx="548">
                  <c:v>15.169219137304427</c:v>
                </c:pt>
                <c:pt idx="549">
                  <c:v>15.20812569609779</c:v>
                </c:pt>
                <c:pt idx="550">
                  <c:v>15.223337255100066</c:v>
                </c:pt>
                <c:pt idx="551">
                  <c:v>15.262259645287376</c:v>
                </c:pt>
                <c:pt idx="552">
                  <c:v>15.197703950473178</c:v>
                </c:pt>
                <c:pt idx="553">
                  <c:v>15.28761267986625</c:v>
                </c:pt>
                <c:pt idx="554">
                  <c:v>15.27603184039949</c:v>
                </c:pt>
                <c:pt idx="555">
                  <c:v>15.131548502779751</c:v>
                </c:pt>
                <c:pt idx="556">
                  <c:v>15.001897704801085</c:v>
                </c:pt>
                <c:pt idx="557">
                  <c:v>15.097934223320586</c:v>
                </c:pt>
                <c:pt idx="558">
                  <c:v>15.194003752637766</c:v>
                </c:pt>
                <c:pt idx="559">
                  <c:v>15.250431912040053</c:v>
                </c:pt>
                <c:pt idx="560">
                  <c:v>15.238115649305081</c:v>
                </c:pt>
                <c:pt idx="561">
                  <c:v>14.812751081547844</c:v>
                </c:pt>
                <c:pt idx="562">
                  <c:v>15.142515268531278</c:v>
                </c:pt>
                <c:pt idx="563">
                  <c:v>15.122011821526879</c:v>
                </c:pt>
                <c:pt idx="564">
                  <c:v>15.130814584502509</c:v>
                </c:pt>
                <c:pt idx="565">
                  <c:v>15.208391957759829</c:v>
                </c:pt>
                <c:pt idx="566">
                  <c:v>15.340919067086396</c:v>
                </c:pt>
                <c:pt idx="567">
                  <c:v>15.298362145680224</c:v>
                </c:pt>
                <c:pt idx="568">
                  <c:v>15.378131539416485</c:v>
                </c:pt>
                <c:pt idx="569">
                  <c:v>15.44468601559679</c:v>
                </c:pt>
                <c:pt idx="570">
                  <c:v>15.52543748365243</c:v>
                </c:pt>
                <c:pt idx="571">
                  <c:v>15.555347789096494</c:v>
                </c:pt>
                <c:pt idx="572">
                  <c:v>15.492028929159726</c:v>
                </c:pt>
                <c:pt idx="573">
                  <c:v>15.50221054337957</c:v>
                </c:pt>
                <c:pt idx="574">
                  <c:v>15.617461885554345</c:v>
                </c:pt>
                <c:pt idx="575">
                  <c:v>15.616991640769029</c:v>
                </c:pt>
                <c:pt idx="576">
                  <c:v>15.459086540687078</c:v>
                </c:pt>
                <c:pt idx="577">
                  <c:v>15.529253423193056</c:v>
                </c:pt>
                <c:pt idx="578">
                  <c:v>15.597734417393985</c:v>
                </c:pt>
                <c:pt idx="579">
                  <c:v>15.63703124489108</c:v>
                </c:pt>
                <c:pt idx="580">
                  <c:v>15.592825826717611</c:v>
                </c:pt>
                <c:pt idx="581">
                  <c:v>15.571657711593964</c:v>
                </c:pt>
                <c:pt idx="582">
                  <c:v>15.487815647297268</c:v>
                </c:pt>
                <c:pt idx="583">
                  <c:v>15.608391958594719</c:v>
                </c:pt>
                <c:pt idx="584">
                  <c:v>16.050063583119044</c:v>
                </c:pt>
                <c:pt idx="585">
                  <c:v>15.243625961016971</c:v>
                </c:pt>
                <c:pt idx="586">
                  <c:v>15.257709438242255</c:v>
                </c:pt>
                <c:pt idx="587">
                  <c:v>15.685198656443301</c:v>
                </c:pt>
                <c:pt idx="588">
                  <c:v>15.873597652666666</c:v>
                </c:pt>
                <c:pt idx="589">
                  <c:v>15.849613043131543</c:v>
                </c:pt>
                <c:pt idx="590">
                  <c:v>16.027254521027441</c:v>
                </c:pt>
                <c:pt idx="591">
                  <c:v>16.214920879695082</c:v>
                </c:pt>
                <c:pt idx="592">
                  <c:v>16.254216116635092</c:v>
                </c:pt>
                <c:pt idx="593">
                  <c:v>16.50687698570918</c:v>
                </c:pt>
                <c:pt idx="594">
                  <c:v>16.810638723287848</c:v>
                </c:pt>
                <c:pt idx="595">
                  <c:v>16.523691005984404</c:v>
                </c:pt>
                <c:pt idx="596">
                  <c:v>16.512691888248021</c:v>
                </c:pt>
                <c:pt idx="597">
                  <c:v>16.524091020712742</c:v>
                </c:pt>
                <c:pt idx="598">
                  <c:v>16.522252012992357</c:v>
                </c:pt>
                <c:pt idx="599">
                  <c:v>16.313811543586006</c:v>
                </c:pt>
                <c:pt idx="600">
                  <c:v>16.357170225875002</c:v>
                </c:pt>
                <c:pt idx="601">
                  <c:v>16.55221450043512</c:v>
                </c:pt>
                <c:pt idx="602">
                  <c:v>16.527285180400082</c:v>
                </c:pt>
                <c:pt idx="603">
                  <c:v>16.562010945047067</c:v>
                </c:pt>
                <c:pt idx="604">
                  <c:v>16.641675673463141</c:v>
                </c:pt>
                <c:pt idx="605">
                  <c:v>16.850175610270313</c:v>
                </c:pt>
                <c:pt idx="606">
                  <c:v>16.592065526964731</c:v>
                </c:pt>
                <c:pt idx="607">
                  <c:v>16.768045977011326</c:v>
                </c:pt>
                <c:pt idx="608">
                  <c:v>16.855569731322039</c:v>
                </c:pt>
                <c:pt idx="609">
                  <c:v>16.990541164362142</c:v>
                </c:pt>
                <c:pt idx="610">
                  <c:v>16.94732159648456</c:v>
                </c:pt>
                <c:pt idx="611">
                  <c:v>16.931430093882305</c:v>
                </c:pt>
                <c:pt idx="612">
                  <c:v>16.976514329604264</c:v>
                </c:pt>
                <c:pt idx="613">
                  <c:v>17.043254371065608</c:v>
                </c:pt>
                <c:pt idx="614">
                  <c:v>17.071174947704158</c:v>
                </c:pt>
                <c:pt idx="615">
                  <c:v>17.26790348223259</c:v>
                </c:pt>
                <c:pt idx="616">
                  <c:v>17.83482112142288</c:v>
                </c:pt>
                <c:pt idx="617">
                  <c:v>17.717960885997151</c:v>
                </c:pt>
                <c:pt idx="618">
                  <c:v>17.762476530228156</c:v>
                </c:pt>
                <c:pt idx="619">
                  <c:v>17.598286292717507</c:v>
                </c:pt>
                <c:pt idx="620">
                  <c:v>17.450329575769565</c:v>
                </c:pt>
                <c:pt idx="621">
                  <c:v>17.375008901934578</c:v>
                </c:pt>
                <c:pt idx="622">
                  <c:v>17.423835953296198</c:v>
                </c:pt>
                <c:pt idx="623">
                  <c:v>17.485434871762109</c:v>
                </c:pt>
                <c:pt idx="624">
                  <c:v>17.436611033048084</c:v>
                </c:pt>
                <c:pt idx="625">
                  <c:v>17.655626076181747</c:v>
                </c:pt>
                <c:pt idx="626">
                  <c:v>17.647035635792747</c:v>
                </c:pt>
                <c:pt idx="627">
                  <c:v>18.194838097381002</c:v>
                </c:pt>
                <c:pt idx="628">
                  <c:v>18.484745038531415</c:v>
                </c:pt>
                <c:pt idx="629">
                  <c:v>18.353237152066939</c:v>
                </c:pt>
                <c:pt idx="630">
                  <c:v>18.248784836186339</c:v>
                </c:pt>
                <c:pt idx="631">
                  <c:v>18.450804828836908</c:v>
                </c:pt>
                <c:pt idx="632">
                  <c:v>18.414907366941314</c:v>
                </c:pt>
                <c:pt idx="633">
                  <c:v>18.432498484644771</c:v>
                </c:pt>
                <c:pt idx="634">
                  <c:v>18.406240162481854</c:v>
                </c:pt>
                <c:pt idx="635">
                  <c:v>18.469477423505388</c:v>
                </c:pt>
                <c:pt idx="636">
                  <c:v>18.463991051265523</c:v>
                </c:pt>
                <c:pt idx="637">
                  <c:v>18.166736285237569</c:v>
                </c:pt>
                <c:pt idx="638">
                  <c:v>18.191865463435764</c:v>
                </c:pt>
                <c:pt idx="639">
                  <c:v>18.225941246838062</c:v>
                </c:pt>
                <c:pt idx="640">
                  <c:v>18.302555443526849</c:v>
                </c:pt>
                <c:pt idx="641">
                  <c:v>18.330674669326058</c:v>
                </c:pt>
                <c:pt idx="642">
                  <c:v>18.420637756842122</c:v>
                </c:pt>
                <c:pt idx="643">
                  <c:v>18.330274612215039</c:v>
                </c:pt>
                <c:pt idx="644">
                  <c:v>18.38322202132191</c:v>
                </c:pt>
                <c:pt idx="645">
                  <c:v>18.445592335378862</c:v>
                </c:pt>
                <c:pt idx="646">
                  <c:v>18.617960262880409</c:v>
                </c:pt>
                <c:pt idx="647">
                  <c:v>18.651544464811359</c:v>
                </c:pt>
                <c:pt idx="648">
                  <c:v>18.638366698586644</c:v>
                </c:pt>
                <c:pt idx="649">
                  <c:v>18.692631724784253</c:v>
                </c:pt>
                <c:pt idx="650">
                  <c:v>19.073771061652415</c:v>
                </c:pt>
                <c:pt idx="651">
                  <c:v>19.124962113531812</c:v>
                </c:pt>
                <c:pt idx="652">
                  <c:v>18.9977898178524</c:v>
                </c:pt>
                <c:pt idx="653">
                  <c:v>18.855951530786879</c:v>
                </c:pt>
                <c:pt idx="654">
                  <c:v>18.99572401910298</c:v>
                </c:pt>
                <c:pt idx="655">
                  <c:v>19.05851393287351</c:v>
                </c:pt>
                <c:pt idx="656">
                  <c:v>19.112643105733973</c:v>
                </c:pt>
                <c:pt idx="657">
                  <c:v>19.120038637265868</c:v>
                </c:pt>
                <c:pt idx="658">
                  <c:v>18.981501620037736</c:v>
                </c:pt>
                <c:pt idx="659">
                  <c:v>19.047528335261486</c:v>
                </c:pt>
                <c:pt idx="660">
                  <c:v>19.170205155124904</c:v>
                </c:pt>
                <c:pt idx="661">
                  <c:v>19.341685332781697</c:v>
                </c:pt>
                <c:pt idx="662">
                  <c:v>19.29300442827968</c:v>
                </c:pt>
                <c:pt idx="663">
                  <c:v>19.370049629476327</c:v>
                </c:pt>
                <c:pt idx="664">
                  <c:v>19.36708792435897</c:v>
                </c:pt>
                <c:pt idx="665">
                  <c:v>19.445077106931159</c:v>
                </c:pt>
                <c:pt idx="666">
                  <c:v>19.496052295319508</c:v>
                </c:pt>
                <c:pt idx="667">
                  <c:v>19.512209663411916</c:v>
                </c:pt>
                <c:pt idx="668">
                  <c:v>19.466662345605151</c:v>
                </c:pt>
                <c:pt idx="669">
                  <c:v>20.455271908045557</c:v>
                </c:pt>
                <c:pt idx="670">
                  <c:v>20.074307359284013</c:v>
                </c:pt>
                <c:pt idx="671">
                  <c:v>19.819871753039482</c:v>
                </c:pt>
                <c:pt idx="672">
                  <c:v>19.759540491143682</c:v>
                </c:pt>
                <c:pt idx="673">
                  <c:v>19.824536500647291</c:v>
                </c:pt>
                <c:pt idx="674">
                  <c:v>20.05148648481925</c:v>
                </c:pt>
                <c:pt idx="675">
                  <c:v>20.007028843525568</c:v>
                </c:pt>
                <c:pt idx="676">
                  <c:v>20.052973347260156</c:v>
                </c:pt>
                <c:pt idx="677">
                  <c:v>19.980731573337543</c:v>
                </c:pt>
                <c:pt idx="678">
                  <c:v>19.9038053654211</c:v>
                </c:pt>
                <c:pt idx="679">
                  <c:v>19.75658488369077</c:v>
                </c:pt>
                <c:pt idx="680">
                  <c:v>19.708248534613915</c:v>
                </c:pt>
                <c:pt idx="681">
                  <c:v>19.747487363004751</c:v>
                </c:pt>
                <c:pt idx="682">
                  <c:v>19.707167052197565</c:v>
                </c:pt>
                <c:pt idx="683">
                  <c:v>19.707597576624384</c:v>
                </c:pt>
                <c:pt idx="684">
                  <c:v>19.731019414109454</c:v>
                </c:pt>
                <c:pt idx="685">
                  <c:v>19.554371827619761</c:v>
                </c:pt>
                <c:pt idx="686">
                  <c:v>19.595878140342474</c:v>
                </c:pt>
                <c:pt idx="687">
                  <c:v>19.560529697217714</c:v>
                </c:pt>
                <c:pt idx="688">
                  <c:v>19.447847676810433</c:v>
                </c:pt>
                <c:pt idx="689">
                  <c:v>19.266330197397892</c:v>
                </c:pt>
                <c:pt idx="690">
                  <c:v>19.177761880074186</c:v>
                </c:pt>
                <c:pt idx="691">
                  <c:v>19.975282954902003</c:v>
                </c:pt>
                <c:pt idx="692">
                  <c:v>19.05744726088275</c:v>
                </c:pt>
                <c:pt idx="693">
                  <c:v>18.711306235902033</c:v>
                </c:pt>
                <c:pt idx="694">
                  <c:v>18.440907543262806</c:v>
                </c:pt>
                <c:pt idx="695">
                  <c:v>18.402368536415175</c:v>
                </c:pt>
                <c:pt idx="696">
                  <c:v>18.235630275790413</c:v>
                </c:pt>
                <c:pt idx="697">
                  <c:v>17.962799525082204</c:v>
                </c:pt>
                <c:pt idx="698">
                  <c:v>17.909287313445152</c:v>
                </c:pt>
                <c:pt idx="699">
                  <c:v>17.984702565228062</c:v>
                </c:pt>
                <c:pt idx="700">
                  <c:v>17.964934442134329</c:v>
                </c:pt>
                <c:pt idx="701">
                  <c:v>17.879671987496423</c:v>
                </c:pt>
                <c:pt idx="702">
                  <c:v>17.930391717594315</c:v>
                </c:pt>
                <c:pt idx="703">
                  <c:v>18.199142853830413</c:v>
                </c:pt>
                <c:pt idx="704">
                  <c:v>18.374675117378576</c:v>
                </c:pt>
                <c:pt idx="705">
                  <c:v>18.339399040781746</c:v>
                </c:pt>
                <c:pt idx="706">
                  <c:v>18.446013064088721</c:v>
                </c:pt>
                <c:pt idx="707">
                  <c:v>18.589703189595578</c:v>
                </c:pt>
                <c:pt idx="708">
                  <c:v>18.439725039603463</c:v>
                </c:pt>
                <c:pt idx="709">
                  <c:v>18.481985684653708</c:v>
                </c:pt>
                <c:pt idx="710">
                  <c:v>17.698369061077088</c:v>
                </c:pt>
                <c:pt idx="711">
                  <c:v>18.403667393296693</c:v>
                </c:pt>
                <c:pt idx="712">
                  <c:v>17.945376460422903</c:v>
                </c:pt>
                <c:pt idx="713">
                  <c:v>17.961649121303708</c:v>
                </c:pt>
                <c:pt idx="714">
                  <c:v>17.938562510115464</c:v>
                </c:pt>
                <c:pt idx="715">
                  <c:v>17.872732927681042</c:v>
                </c:pt>
                <c:pt idx="716">
                  <c:v>17.975302316970915</c:v>
                </c:pt>
                <c:pt idx="717">
                  <c:v>18.202924644234102</c:v>
                </c:pt>
                <c:pt idx="718">
                  <c:v>18.256663975080283</c:v>
                </c:pt>
                <c:pt idx="719">
                  <c:v>18.24101575742716</c:v>
                </c:pt>
                <c:pt idx="720">
                  <c:v>18.163144157820597</c:v>
                </c:pt>
                <c:pt idx="721">
                  <c:v>18.267527388309919</c:v>
                </c:pt>
                <c:pt idx="722">
                  <c:v>17.80530410594297</c:v>
                </c:pt>
                <c:pt idx="723">
                  <c:v>17.763191011217266</c:v>
                </c:pt>
                <c:pt idx="724">
                  <c:v>18.132684364884796</c:v>
                </c:pt>
                <c:pt idx="725">
                  <c:v>18.405110589720486</c:v>
                </c:pt>
                <c:pt idx="726">
                  <c:v>18.430515186459338</c:v>
                </c:pt>
                <c:pt idx="727">
                  <c:v>18.50807485261997</c:v>
                </c:pt>
                <c:pt idx="728">
                  <c:v>18.387310195717731</c:v>
                </c:pt>
                <c:pt idx="729">
                  <c:v>18.591595599481725</c:v>
                </c:pt>
                <c:pt idx="730">
                  <c:v>18.485365889858738</c:v>
                </c:pt>
                <c:pt idx="731">
                  <c:v>17.412673764291235</c:v>
                </c:pt>
                <c:pt idx="732">
                  <c:v>18.055541939574852</c:v>
                </c:pt>
                <c:pt idx="733">
                  <c:v>17.570020741440608</c:v>
                </c:pt>
                <c:pt idx="734">
                  <c:v>17.531744913578219</c:v>
                </c:pt>
                <c:pt idx="735">
                  <c:v>17.32895008270031</c:v>
                </c:pt>
                <c:pt idx="736">
                  <c:v>17.47646050954069</c:v>
                </c:pt>
                <c:pt idx="737">
                  <c:v>17.600543084393024</c:v>
                </c:pt>
                <c:pt idx="738">
                  <c:v>17.737719928931853</c:v>
                </c:pt>
                <c:pt idx="739">
                  <c:v>17.819565648798971</c:v>
                </c:pt>
                <c:pt idx="740">
                  <c:v>17.942591237499734</c:v>
                </c:pt>
                <c:pt idx="741">
                  <c:v>17.924174489192534</c:v>
                </c:pt>
                <c:pt idx="742">
                  <c:v>17.736912118635633</c:v>
                </c:pt>
                <c:pt idx="743">
                  <c:v>17.794256749253222</c:v>
                </c:pt>
                <c:pt idx="744">
                  <c:v>17.912166041520507</c:v>
                </c:pt>
                <c:pt idx="745">
                  <c:v>17.929999781305902</c:v>
                </c:pt>
                <c:pt idx="746">
                  <c:v>18.005771305247769</c:v>
                </c:pt>
                <c:pt idx="747">
                  <c:v>17.942305059991522</c:v>
                </c:pt>
                <c:pt idx="748">
                  <c:v>18.009105425742206</c:v>
                </c:pt>
                <c:pt idx="749">
                  <c:v>18.206645144978353</c:v>
                </c:pt>
                <c:pt idx="750">
                  <c:v>18.191776038250453</c:v>
                </c:pt>
                <c:pt idx="751">
                  <c:v>18.311220526943451</c:v>
                </c:pt>
                <c:pt idx="752">
                  <c:v>19.082231085039211</c:v>
                </c:pt>
                <c:pt idx="753">
                  <c:v>18.365760209726638</c:v>
                </c:pt>
                <c:pt idx="754">
                  <c:v>18.171956552322122</c:v>
                </c:pt>
                <c:pt idx="755">
                  <c:v>18.301957123334088</c:v>
                </c:pt>
                <c:pt idx="756">
                  <c:v>18.587475159671456</c:v>
                </c:pt>
                <c:pt idx="757">
                  <c:v>18.566054437515156</c:v>
                </c:pt>
                <c:pt idx="758">
                  <c:v>18.83754353358426</c:v>
                </c:pt>
                <c:pt idx="759">
                  <c:v>18.874756197189711</c:v>
                </c:pt>
                <c:pt idx="760">
                  <c:v>18.979354658608159</c:v>
                </c:pt>
                <c:pt idx="761">
                  <c:v>19.21493793042449</c:v>
                </c:pt>
                <c:pt idx="762">
                  <c:v>19.488712478006519</c:v>
                </c:pt>
                <c:pt idx="763">
                  <c:v>19.604982521274977</c:v>
                </c:pt>
                <c:pt idx="764">
                  <c:v>19.833048402489652</c:v>
                </c:pt>
                <c:pt idx="765">
                  <c:v>19.915758702525999</c:v>
                </c:pt>
                <c:pt idx="766">
                  <c:v>20.052213416484278</c:v>
                </c:pt>
                <c:pt idx="767">
                  <c:v>20.361509886381775</c:v>
                </c:pt>
                <c:pt idx="768">
                  <c:v>20.490055399904811</c:v>
                </c:pt>
                <c:pt idx="769">
                  <c:v>20.256548374342756</c:v>
                </c:pt>
                <c:pt idx="770">
                  <c:v>19.921278044571039</c:v>
                </c:pt>
                <c:pt idx="771">
                  <c:v>19.872986020908762</c:v>
                </c:pt>
                <c:pt idx="772">
                  <c:v>19.976743013067146</c:v>
                </c:pt>
                <c:pt idx="773">
                  <c:v>19.952974811835141</c:v>
                </c:pt>
                <c:pt idx="774">
                  <c:v>19.368344348247845</c:v>
                </c:pt>
                <c:pt idx="775">
                  <c:v>19.54929202528028</c:v>
                </c:pt>
                <c:pt idx="776">
                  <c:v>19.148215720696822</c:v>
                </c:pt>
                <c:pt idx="777">
                  <c:v>18.773764320593621</c:v>
                </c:pt>
                <c:pt idx="778">
                  <c:v>18.46469129268408</c:v>
                </c:pt>
                <c:pt idx="779">
                  <c:v>18.611612568715177</c:v>
                </c:pt>
                <c:pt idx="780">
                  <c:v>18.671497125534323</c:v>
                </c:pt>
                <c:pt idx="781">
                  <c:v>18.440797696092616</c:v>
                </c:pt>
                <c:pt idx="782">
                  <c:v>18.701221992287252</c:v>
                </c:pt>
                <c:pt idx="783">
                  <c:v>18.831230521021006</c:v>
                </c:pt>
                <c:pt idx="784">
                  <c:v>19.008128954679933</c:v>
                </c:pt>
                <c:pt idx="785">
                  <c:v>18.65187970313449</c:v>
                </c:pt>
                <c:pt idx="786">
                  <c:v>18.809618953270192</c:v>
                </c:pt>
                <c:pt idx="787">
                  <c:v>18.680151482922842</c:v>
                </c:pt>
                <c:pt idx="788">
                  <c:v>18.514496566362567</c:v>
                </c:pt>
                <c:pt idx="789">
                  <c:v>18.406779587452824</c:v>
                </c:pt>
                <c:pt idx="790">
                  <c:v>18.604920938844337</c:v>
                </c:pt>
                <c:pt idx="791">
                  <c:v>18.437761165208489</c:v>
                </c:pt>
                <c:pt idx="792">
                  <c:v>18.793196031861491</c:v>
                </c:pt>
                <c:pt idx="793">
                  <c:v>19.215722902349889</c:v>
                </c:pt>
                <c:pt idx="794">
                  <c:v>19.322039735571078</c:v>
                </c:pt>
                <c:pt idx="795">
                  <c:v>18.920151175061303</c:v>
                </c:pt>
                <c:pt idx="796">
                  <c:v>20.20415361010193</c:v>
                </c:pt>
                <c:pt idx="797">
                  <c:v>19.885976829271769</c:v>
                </c:pt>
                <c:pt idx="798">
                  <c:v>19.749906013904443</c:v>
                </c:pt>
                <c:pt idx="799">
                  <c:v>19.677561200726725</c:v>
                </c:pt>
                <c:pt idx="800">
                  <c:v>19.64814939466833</c:v>
                </c:pt>
                <c:pt idx="801">
                  <c:v>19.82582691918288</c:v>
                </c:pt>
                <c:pt idx="802">
                  <c:v>19.977185571702673</c:v>
                </c:pt>
                <c:pt idx="803">
                  <c:v>19.717234508647753</c:v>
                </c:pt>
                <c:pt idx="804">
                  <c:v>19.491395336239471</c:v>
                </c:pt>
                <c:pt idx="805">
                  <c:v>19.360804991708449</c:v>
                </c:pt>
                <c:pt idx="806">
                  <c:v>19.208058054783972</c:v>
                </c:pt>
                <c:pt idx="807">
                  <c:v>19.018112379682947</c:v>
                </c:pt>
                <c:pt idx="808">
                  <c:v>19.202905205087497</c:v>
                </c:pt>
                <c:pt idx="809">
                  <c:v>19.359593838305088</c:v>
                </c:pt>
                <c:pt idx="810">
                  <c:v>19.163740706599576</c:v>
                </c:pt>
                <c:pt idx="811">
                  <c:v>19.375935512265336</c:v>
                </c:pt>
                <c:pt idx="812">
                  <c:v>19.396809222772113</c:v>
                </c:pt>
                <c:pt idx="813">
                  <c:v>19.595048198168172</c:v>
                </c:pt>
                <c:pt idx="814">
                  <c:v>19.574591500070866</c:v>
                </c:pt>
                <c:pt idx="815">
                  <c:v>19.507672604659927</c:v>
                </c:pt>
                <c:pt idx="816">
                  <c:v>19.361278950028893</c:v>
                </c:pt>
                <c:pt idx="817">
                  <c:v>19.388339810364755</c:v>
                </c:pt>
                <c:pt idx="818">
                  <c:v>20.670160248560187</c:v>
                </c:pt>
                <c:pt idx="819">
                  <c:v>19.974161075800279</c:v>
                </c:pt>
                <c:pt idx="820">
                  <c:v>19.859941300069963</c:v>
                </c:pt>
                <c:pt idx="821">
                  <c:v>19.960130594009442</c:v>
                </c:pt>
                <c:pt idx="822">
                  <c:v>20.003984944999011</c:v>
                </c:pt>
                <c:pt idx="823">
                  <c:v>19.828166694711541</c:v>
                </c:pt>
                <c:pt idx="824">
                  <c:v>19.907862306944239</c:v>
                </c:pt>
                <c:pt idx="825">
                  <c:v>20.127465494447506</c:v>
                </c:pt>
                <c:pt idx="826">
                  <c:v>20.308090220326172</c:v>
                </c:pt>
                <c:pt idx="827">
                  <c:v>20.557289584797346</c:v>
                </c:pt>
                <c:pt idx="828">
                  <c:v>20.40486191437429</c:v>
                </c:pt>
                <c:pt idx="829">
                  <c:v>20.476841325741177</c:v>
                </c:pt>
                <c:pt idx="830">
                  <c:v>20.511600624431299</c:v>
                </c:pt>
                <c:pt idx="831">
                  <c:v>20.520399633771106</c:v>
                </c:pt>
                <c:pt idx="832">
                  <c:v>20.653920621857388</c:v>
                </c:pt>
                <c:pt idx="833">
                  <c:v>20.866686593862255</c:v>
                </c:pt>
                <c:pt idx="834">
                  <c:v>21.01928868623742</c:v>
                </c:pt>
                <c:pt idx="835">
                  <c:v>21.418948202954017</c:v>
                </c:pt>
                <c:pt idx="836">
                  <c:v>21.402154943470379</c:v>
                </c:pt>
                <c:pt idx="837">
                  <c:v>21.416030389331858</c:v>
                </c:pt>
                <c:pt idx="838">
                  <c:v>21.60493362601969</c:v>
                </c:pt>
                <c:pt idx="839">
                  <c:v>22.046628136197626</c:v>
                </c:pt>
                <c:pt idx="840">
                  <c:v>22.448399874774513</c:v>
                </c:pt>
                <c:pt idx="841">
                  <c:v>23.195985772644505</c:v>
                </c:pt>
                <c:pt idx="842">
                  <c:v>23.135557514205885</c:v>
                </c:pt>
                <c:pt idx="843">
                  <c:v>23.152180832414277</c:v>
                </c:pt>
                <c:pt idx="844">
                  <c:v>23.431893044951273</c:v>
                </c:pt>
                <c:pt idx="845">
                  <c:v>23.907641022428781</c:v>
                </c:pt>
                <c:pt idx="846">
                  <c:v>24.457835489270661</c:v>
                </c:pt>
                <c:pt idx="847">
                  <c:v>24.704043900775037</c:v>
                </c:pt>
                <c:pt idx="848">
                  <c:v>24.519366627010825</c:v>
                </c:pt>
                <c:pt idx="849">
                  <c:v>23.226305685821554</c:v>
                </c:pt>
                <c:pt idx="850">
                  <c:v>22.871484996940882</c:v>
                </c:pt>
                <c:pt idx="851">
                  <c:v>23.538920439939986</c:v>
                </c:pt>
                <c:pt idx="852">
                  <c:v>23.400961999015024</c:v>
                </c:pt>
                <c:pt idx="853">
                  <c:v>23.607477836634445</c:v>
                </c:pt>
                <c:pt idx="854">
                  <c:v>24.350315474784448</c:v>
                </c:pt>
                <c:pt idx="855">
                  <c:v>24.213671257162567</c:v>
                </c:pt>
                <c:pt idx="856">
                  <c:v>24.857090840820916</c:v>
                </c:pt>
                <c:pt idx="857">
                  <c:v>24.696537716578291</c:v>
                </c:pt>
                <c:pt idx="858">
                  <c:v>24.002234968677001</c:v>
                </c:pt>
                <c:pt idx="859">
                  <c:v>24.648864793575083</c:v>
                </c:pt>
                <c:pt idx="860">
                  <c:v>25.156708227614335</c:v>
                </c:pt>
                <c:pt idx="861">
                  <c:v>25.745681709882138</c:v>
                </c:pt>
                <c:pt idx="862">
                  <c:v>25.554261057837024</c:v>
                </c:pt>
                <c:pt idx="863">
                  <c:v>25.370328849450615</c:v>
                </c:pt>
                <c:pt idx="864">
                  <c:v>25.378029631423679</c:v>
                </c:pt>
                <c:pt idx="865">
                  <c:v>25.569130432785585</c:v>
                </c:pt>
                <c:pt idx="866">
                  <c:v>25.710041410513906</c:v>
                </c:pt>
                <c:pt idx="867">
                  <c:v>25.454401402056668</c:v>
                </c:pt>
                <c:pt idx="868">
                  <c:v>24.688545868971463</c:v>
                </c:pt>
                <c:pt idx="869">
                  <c:v>23.915297084578235</c:v>
                </c:pt>
                <c:pt idx="870">
                  <c:v>24.265228651863467</c:v>
                </c:pt>
                <c:pt idx="871">
                  <c:v>24.271097020655873</c:v>
                </c:pt>
                <c:pt idx="872">
                  <c:v>24.471130803387211</c:v>
                </c:pt>
                <c:pt idx="873">
                  <c:v>24.289911209953374</c:v>
                </c:pt>
                <c:pt idx="874">
                  <c:v>24.046034412556395</c:v>
                </c:pt>
                <c:pt idx="875">
                  <c:v>24.411859343835054</c:v>
                </c:pt>
                <c:pt idx="876">
                  <c:v>24.191046646588816</c:v>
                </c:pt>
                <c:pt idx="877">
                  <c:v>23.950440714325161</c:v>
                </c:pt>
                <c:pt idx="878">
                  <c:v>24.619002618448214</c:v>
                </c:pt>
                <c:pt idx="879">
                  <c:v>24.223434319186786</c:v>
                </c:pt>
                <c:pt idx="880">
                  <c:v>23.899036253639835</c:v>
                </c:pt>
                <c:pt idx="881">
                  <c:v>23.731200148719687</c:v>
                </c:pt>
                <c:pt idx="882">
                  <c:v>23.161475823489813</c:v>
                </c:pt>
                <c:pt idx="883">
                  <c:v>23.404735473899478</c:v>
                </c:pt>
                <c:pt idx="884">
                  <c:v>23.935689046859952</c:v>
                </c:pt>
                <c:pt idx="885">
                  <c:v>23.648338446030166</c:v>
                </c:pt>
                <c:pt idx="886">
                  <c:v>23.622095916350304</c:v>
                </c:pt>
                <c:pt idx="887">
                  <c:v>23.54576226466979</c:v>
                </c:pt>
                <c:pt idx="888">
                  <c:v>23.840406342614749</c:v>
                </c:pt>
                <c:pt idx="889">
                  <c:v>24.053929483889647</c:v>
                </c:pt>
                <c:pt idx="890">
                  <c:v>23.781996876871027</c:v>
                </c:pt>
                <c:pt idx="891">
                  <c:v>24.273173364746022</c:v>
                </c:pt>
                <c:pt idx="892">
                  <c:v>23.720435286101278</c:v>
                </c:pt>
                <c:pt idx="893">
                  <c:v>23.590128553495475</c:v>
                </c:pt>
                <c:pt idx="894">
                  <c:v>23.486090070329738</c:v>
                </c:pt>
                <c:pt idx="895">
                  <c:v>23.45450896917384</c:v>
                </c:pt>
                <c:pt idx="896">
                  <c:v>23.048477991181976</c:v>
                </c:pt>
                <c:pt idx="897">
                  <c:v>22.959187897641907</c:v>
                </c:pt>
                <c:pt idx="898">
                  <c:v>23.074389603131628</c:v>
                </c:pt>
                <c:pt idx="899">
                  <c:v>23.030634433558291</c:v>
                </c:pt>
                <c:pt idx="900">
                  <c:v>22.768511966019759</c:v>
                </c:pt>
                <c:pt idx="901">
                  <c:v>22.570891310747889</c:v>
                </c:pt>
                <c:pt idx="902">
                  <c:v>23.041434447194867</c:v>
                </c:pt>
                <c:pt idx="903">
                  <c:v>22.682485742053373</c:v>
                </c:pt>
                <c:pt idx="904">
                  <c:v>22.919560047340738</c:v>
                </c:pt>
                <c:pt idx="905">
                  <c:v>22.993030090124474</c:v>
                </c:pt>
                <c:pt idx="906">
                  <c:v>24.024723591730773</c:v>
                </c:pt>
                <c:pt idx="907">
                  <c:v>23.841897528434213</c:v>
                </c:pt>
                <c:pt idx="908">
                  <c:v>23.618666874294458</c:v>
                </c:pt>
                <c:pt idx="909">
                  <c:v>23.656233323064384</c:v>
                </c:pt>
                <c:pt idx="910">
                  <c:v>23.413786556033902</c:v>
                </c:pt>
                <c:pt idx="911">
                  <c:v>22.98360577819869</c:v>
                </c:pt>
                <c:pt idx="912">
                  <c:v>23.079199251197949</c:v>
                </c:pt>
                <c:pt idx="913">
                  <c:v>23.37053723235277</c:v>
                </c:pt>
                <c:pt idx="914">
                  <c:v>23.685640017522442</c:v>
                </c:pt>
                <c:pt idx="915">
                  <c:v>23.953664263407141</c:v>
                </c:pt>
                <c:pt idx="916">
                  <c:v>23.972765397001417</c:v>
                </c:pt>
                <c:pt idx="917">
                  <c:v>23.443020022450263</c:v>
                </c:pt>
                <c:pt idx="918">
                  <c:v>23.694515889348008</c:v>
                </c:pt>
                <c:pt idx="919">
                  <c:v>23.450796497977198</c:v>
                </c:pt>
                <c:pt idx="920">
                  <c:v>23.62461888819249</c:v>
                </c:pt>
                <c:pt idx="921">
                  <c:v>23.373456723679617</c:v>
                </c:pt>
                <c:pt idx="922">
                  <c:v>23.364628305517961</c:v>
                </c:pt>
                <c:pt idx="923">
                  <c:v>23.222024183531111</c:v>
                </c:pt>
                <c:pt idx="924">
                  <c:v>22.783846535248255</c:v>
                </c:pt>
                <c:pt idx="925">
                  <c:v>24.124747424433224</c:v>
                </c:pt>
                <c:pt idx="926">
                  <c:v>23.420039754425236</c:v>
                </c:pt>
                <c:pt idx="927">
                  <c:v>23.434478227058644</c:v>
                </c:pt>
                <c:pt idx="928">
                  <c:v>22.929590179743801</c:v>
                </c:pt>
                <c:pt idx="929">
                  <c:v>23.217459899904362</c:v>
                </c:pt>
                <c:pt idx="930">
                  <c:v>23.210388281166324</c:v>
                </c:pt>
                <c:pt idx="931">
                  <c:v>23.138957175351575</c:v>
                </c:pt>
                <c:pt idx="932">
                  <c:v>23.241486673443674</c:v>
                </c:pt>
                <c:pt idx="933">
                  <c:v>22.816157507456623</c:v>
                </c:pt>
                <c:pt idx="934">
                  <c:v>22.963956239994207</c:v>
                </c:pt>
                <c:pt idx="935">
                  <c:v>23.175600082178455</c:v>
                </c:pt>
                <c:pt idx="936">
                  <c:v>23.630128797350203</c:v>
                </c:pt>
                <c:pt idx="937">
                  <c:v>23.948038188574536</c:v>
                </c:pt>
                <c:pt idx="938">
                  <c:v>23.627914192441853</c:v>
                </c:pt>
                <c:pt idx="939">
                  <c:v>23.791620245174993</c:v>
                </c:pt>
                <c:pt idx="940">
                  <c:v>23.796721478648827</c:v>
                </c:pt>
                <c:pt idx="941">
                  <c:v>23.566822905171499</c:v>
                </c:pt>
                <c:pt idx="942">
                  <c:v>23.27431372380584</c:v>
                </c:pt>
                <c:pt idx="943">
                  <c:v>22.950391013607316</c:v>
                </c:pt>
                <c:pt idx="944">
                  <c:v>23.065442109573372</c:v>
                </c:pt>
                <c:pt idx="945">
                  <c:v>23.02052268614986</c:v>
                </c:pt>
                <c:pt idx="946">
                  <c:v>22.912588527680587</c:v>
                </c:pt>
                <c:pt idx="947">
                  <c:v>23.684848005247318</c:v>
                </c:pt>
                <c:pt idx="948">
                  <c:v>23.122895885011012</c:v>
                </c:pt>
                <c:pt idx="949">
                  <c:v>23.139205510059419</c:v>
                </c:pt>
                <c:pt idx="950">
                  <c:v>23.227314400085135</c:v>
                </c:pt>
                <c:pt idx="951">
                  <c:v>22.830860232471956</c:v>
                </c:pt>
                <c:pt idx="952">
                  <c:v>22.448062494742942</c:v>
                </c:pt>
                <c:pt idx="953">
                  <c:v>22.223347088562726</c:v>
                </c:pt>
                <c:pt idx="954">
                  <c:v>22.050164619902098</c:v>
                </c:pt>
                <c:pt idx="955">
                  <c:v>21.947948328211009</c:v>
                </c:pt>
                <c:pt idx="956">
                  <c:v>22.075655680585726</c:v>
                </c:pt>
                <c:pt idx="957">
                  <c:v>22.253926762294192</c:v>
                </c:pt>
                <c:pt idx="958">
                  <c:v>22.114717665996029</c:v>
                </c:pt>
                <c:pt idx="959">
                  <c:v>21.993892223556124</c:v>
                </c:pt>
                <c:pt idx="960">
                  <c:v>22.153193074331316</c:v>
                </c:pt>
                <c:pt idx="961">
                  <c:v>21.90317960592181</c:v>
                </c:pt>
                <c:pt idx="962">
                  <c:v>21.8619193674472</c:v>
                </c:pt>
                <c:pt idx="963">
                  <c:v>21.473270695709235</c:v>
                </c:pt>
                <c:pt idx="964">
                  <c:v>21.706326018235682</c:v>
                </c:pt>
                <c:pt idx="965">
                  <c:v>21.999503545002359</c:v>
                </c:pt>
                <c:pt idx="966">
                  <c:v>21.816909360693057</c:v>
                </c:pt>
                <c:pt idx="967">
                  <c:v>23.426766347857548</c:v>
                </c:pt>
                <c:pt idx="968">
                  <c:v>23.315668255871298</c:v>
                </c:pt>
                <c:pt idx="969">
                  <c:v>22.952589921585457</c:v>
                </c:pt>
                <c:pt idx="970">
                  <c:v>22.55031993529586</c:v>
                </c:pt>
                <c:pt idx="971">
                  <c:v>22.531412829069488</c:v>
                </c:pt>
                <c:pt idx="972">
                  <c:v>22.315051391471457</c:v>
                </c:pt>
                <c:pt idx="973">
                  <c:v>22.123275354970755</c:v>
                </c:pt>
                <c:pt idx="974">
                  <c:v>21.808920631718557</c:v>
                </c:pt>
                <c:pt idx="975">
                  <c:v>21.308164302897811</c:v>
                </c:pt>
                <c:pt idx="976">
                  <c:v>21.112045302097279</c:v>
                </c:pt>
                <c:pt idx="977">
                  <c:v>20.60965508537841</c:v>
                </c:pt>
                <c:pt idx="978">
                  <c:v>19.654251365474355</c:v>
                </c:pt>
                <c:pt idx="979">
                  <c:v>19.408982918847528</c:v>
                </c:pt>
                <c:pt idx="980">
                  <c:v>19.10029613316922</c:v>
                </c:pt>
                <c:pt idx="981">
                  <c:v>19.016710595883016</c:v>
                </c:pt>
                <c:pt idx="982">
                  <c:v>18.626949860515182</c:v>
                </c:pt>
                <c:pt idx="983">
                  <c:v>18.602001480477217</c:v>
                </c:pt>
                <c:pt idx="984">
                  <c:v>18.923913135853493</c:v>
                </c:pt>
                <c:pt idx="985">
                  <c:v>19.081690445184229</c:v>
                </c:pt>
                <c:pt idx="986">
                  <c:v>19.133760756694439</c:v>
                </c:pt>
                <c:pt idx="987">
                  <c:v>18.133068428789596</c:v>
                </c:pt>
                <c:pt idx="988">
                  <c:v>20.225308026198974</c:v>
                </c:pt>
                <c:pt idx="989">
                  <c:v>19.693113272225958</c:v>
                </c:pt>
                <c:pt idx="990">
                  <c:v>19.743436367999287</c:v>
                </c:pt>
                <c:pt idx="991">
                  <c:v>19.829647057550019</c:v>
                </c:pt>
                <c:pt idx="992">
                  <c:v>20.384344478601125</c:v>
                </c:pt>
                <c:pt idx="993">
                  <c:v>20.111688530977492</c:v>
                </c:pt>
                <c:pt idx="994">
                  <c:v>20.204662799348995</c:v>
                </c:pt>
                <c:pt idx="995">
                  <c:v>20.565761199681976</c:v>
                </c:pt>
                <c:pt idx="996">
                  <c:v>20.551310246778723</c:v>
                </c:pt>
                <c:pt idx="997">
                  <c:v>20.56052377287644</c:v>
                </c:pt>
                <c:pt idx="998">
                  <c:v>20.438361274497435</c:v>
                </c:pt>
                <c:pt idx="999">
                  <c:v>19.995684651036683</c:v>
                </c:pt>
                <c:pt idx="1000">
                  <c:v>20.215817803174069</c:v>
                </c:pt>
                <c:pt idx="1001">
                  <c:v>20.051774390796901</c:v>
                </c:pt>
                <c:pt idx="1002">
                  <c:v>20.087119471819996</c:v>
                </c:pt>
                <c:pt idx="1003">
                  <c:v>20.058566796901978</c:v>
                </c:pt>
                <c:pt idx="1004">
                  <c:v>19.992563748491293</c:v>
                </c:pt>
                <c:pt idx="1005">
                  <c:v>19.732603741396517</c:v>
                </c:pt>
                <c:pt idx="1006">
                  <c:v>19.742510334384306</c:v>
                </c:pt>
                <c:pt idx="1007">
                  <c:v>18.933604277497111</c:v>
                </c:pt>
                <c:pt idx="1008">
                  <c:v>20.352336243184233</c:v>
                </c:pt>
                <c:pt idx="1009">
                  <c:v>19.693149964440462</c:v>
                </c:pt>
                <c:pt idx="1010">
                  <c:v>19.494013103566886</c:v>
                </c:pt>
                <c:pt idx="1011">
                  <c:v>19.480612126325873</c:v>
                </c:pt>
                <c:pt idx="1012">
                  <c:v>19.406929016963566</c:v>
                </c:pt>
                <c:pt idx="1013">
                  <c:v>19.38049700155949</c:v>
                </c:pt>
                <c:pt idx="1014">
                  <c:v>19.232737464072851</c:v>
                </c:pt>
                <c:pt idx="1015">
                  <c:v>18.870296524479414</c:v>
                </c:pt>
                <c:pt idx="1016">
                  <c:v>18.623396533310189</c:v>
                </c:pt>
                <c:pt idx="1017">
                  <c:v>18.444696964341691</c:v>
                </c:pt>
                <c:pt idx="1018">
                  <c:v>18.562816655107991</c:v>
                </c:pt>
                <c:pt idx="1019">
                  <c:v>18.437618535418729</c:v>
                </c:pt>
                <c:pt idx="1020">
                  <c:v>18.04658893790592</c:v>
                </c:pt>
                <c:pt idx="1021">
                  <c:v>17.994176591555771</c:v>
                </c:pt>
                <c:pt idx="1022">
                  <c:v>17.85130527252657</c:v>
                </c:pt>
                <c:pt idx="1023">
                  <c:v>18.130782977978232</c:v>
                </c:pt>
                <c:pt idx="1024">
                  <c:v>17.900010225215201</c:v>
                </c:pt>
                <c:pt idx="1025">
                  <c:v>17.751942768506904</c:v>
                </c:pt>
                <c:pt idx="1026">
                  <c:v>17.870158590130977</c:v>
                </c:pt>
                <c:pt idx="1027">
                  <c:v>17.787861035916293</c:v>
                </c:pt>
                <c:pt idx="1028">
                  <c:v>17.824762045152049</c:v>
                </c:pt>
                <c:pt idx="1029">
                  <c:v>17.481890170274529</c:v>
                </c:pt>
                <c:pt idx="1030">
                  <c:v>16.477434711217406</c:v>
                </c:pt>
                <c:pt idx="1031">
                  <c:v>17.667847804226167</c:v>
                </c:pt>
                <c:pt idx="1032">
                  <c:v>17.527403690322835</c:v>
                </c:pt>
                <c:pt idx="1033">
                  <c:v>17.395680941208141</c:v>
                </c:pt>
                <c:pt idx="1034">
                  <c:v>17.34187062069465</c:v>
                </c:pt>
                <c:pt idx="1035">
                  <c:v>17.505952926209481</c:v>
                </c:pt>
                <c:pt idx="1036">
                  <c:v>17.646437631356516</c:v>
                </c:pt>
                <c:pt idx="1037">
                  <c:v>17.455426453078037</c:v>
                </c:pt>
                <c:pt idx="1038">
                  <c:v>17.143481839583981</c:v>
                </c:pt>
                <c:pt idx="1039">
                  <c:v>17.411657546323251</c:v>
                </c:pt>
                <c:pt idx="1040">
                  <c:v>17.243255730461335</c:v>
                </c:pt>
                <c:pt idx="1041">
                  <c:v>17.071674569822317</c:v>
                </c:pt>
                <c:pt idx="1042">
                  <c:v>17.21099290090082</c:v>
                </c:pt>
                <c:pt idx="1043">
                  <c:v>16.912225551621969</c:v>
                </c:pt>
                <c:pt idx="1044">
                  <c:v>17.013786351990017</c:v>
                </c:pt>
                <c:pt idx="1045">
                  <c:v>17.0882184663072</c:v>
                </c:pt>
                <c:pt idx="1046">
                  <c:v>17.475501460629935</c:v>
                </c:pt>
                <c:pt idx="1047">
                  <c:v>17.461245388830122</c:v>
                </c:pt>
                <c:pt idx="1048">
                  <c:v>17.550679051202231</c:v>
                </c:pt>
                <c:pt idx="1049">
                  <c:v>17.468980887910675</c:v>
                </c:pt>
                <c:pt idx="1050">
                  <c:v>17.604447217830398</c:v>
                </c:pt>
                <c:pt idx="1051">
                  <c:v>18.543500773911603</c:v>
                </c:pt>
                <c:pt idx="1052">
                  <c:v>17.873474775365544</c:v>
                </c:pt>
                <c:pt idx="1053">
                  <c:v>17.314413349748911</c:v>
                </c:pt>
                <c:pt idx="1054">
                  <c:v>17.110279899347123</c:v>
                </c:pt>
                <c:pt idx="1055">
                  <c:v>17.223101549621298</c:v>
                </c:pt>
                <c:pt idx="1056">
                  <c:v>17.396422106591253</c:v>
                </c:pt>
                <c:pt idx="1057">
                  <c:v>17.278728957277792</c:v>
                </c:pt>
                <c:pt idx="1058">
                  <c:v>17.653212358148448</c:v>
                </c:pt>
                <c:pt idx="1059">
                  <c:v>18.099381155432127</c:v>
                </c:pt>
                <c:pt idx="1060">
                  <c:v>18.303664369101231</c:v>
                </c:pt>
                <c:pt idx="1061">
                  <c:v>18.323499232042035</c:v>
                </c:pt>
                <c:pt idx="1062">
                  <c:v>17.690435720400846</c:v>
                </c:pt>
                <c:pt idx="1063">
                  <c:v>17.655270021035939</c:v>
                </c:pt>
                <c:pt idx="1064">
                  <c:v>17.428264944424384</c:v>
                </c:pt>
                <c:pt idx="1065">
                  <c:v>17.753842711860852</c:v>
                </c:pt>
                <c:pt idx="1066">
                  <c:v>17.758200204273191</c:v>
                </c:pt>
                <c:pt idx="1067">
                  <c:v>17.788131252443055</c:v>
                </c:pt>
                <c:pt idx="1068">
                  <c:v>17.564486476809218</c:v>
                </c:pt>
                <c:pt idx="1069">
                  <c:v>17.565038724352167</c:v>
                </c:pt>
                <c:pt idx="1070">
                  <c:v>17.301381160574472</c:v>
                </c:pt>
                <c:pt idx="1071">
                  <c:v>17.197864916425161</c:v>
                </c:pt>
                <c:pt idx="1072">
                  <c:v>16.861777811823053</c:v>
                </c:pt>
                <c:pt idx="1073">
                  <c:v>17.150388787311982</c:v>
                </c:pt>
                <c:pt idx="1074">
                  <c:v>19.329898090403198</c:v>
                </c:pt>
                <c:pt idx="1075">
                  <c:v>18.723370446795197</c:v>
                </c:pt>
                <c:pt idx="1076">
                  <c:v>17.970327926865615</c:v>
                </c:pt>
                <c:pt idx="1077">
                  <c:v>17.594459799806195</c:v>
                </c:pt>
                <c:pt idx="1078">
                  <c:v>17.287577518350385</c:v>
                </c:pt>
                <c:pt idx="1079">
                  <c:v>17.305528364804662</c:v>
                </c:pt>
                <c:pt idx="1080">
                  <c:v>17.105769119449615</c:v>
                </c:pt>
                <c:pt idx="1081">
                  <c:v>16.921417898180128</c:v>
                </c:pt>
                <c:pt idx="1082">
                  <c:v>17.065587392351745</c:v>
                </c:pt>
                <c:pt idx="1083">
                  <c:v>16.809159820632591</c:v>
                </c:pt>
                <c:pt idx="1084">
                  <c:v>16.697552776745802</c:v>
                </c:pt>
                <c:pt idx="1085">
                  <c:v>16.816896984831306</c:v>
                </c:pt>
                <c:pt idx="1086">
                  <c:v>16.882888316685204</c:v>
                </c:pt>
                <c:pt idx="1087">
                  <c:v>17.021791810106723</c:v>
                </c:pt>
                <c:pt idx="1088">
                  <c:v>16.910885215695057</c:v>
                </c:pt>
                <c:pt idx="1089">
                  <c:v>16.605438617146287</c:v>
                </c:pt>
                <c:pt idx="1090">
                  <c:v>16.227874359076864</c:v>
                </c:pt>
                <c:pt idx="1091">
                  <c:v>16.517937310775675</c:v>
                </c:pt>
                <c:pt idx="1092">
                  <c:v>16.362077617284736</c:v>
                </c:pt>
                <c:pt idx="1093">
                  <c:v>16.398749886217516</c:v>
                </c:pt>
                <c:pt idx="1094">
                  <c:v>16.224870994562309</c:v>
                </c:pt>
                <c:pt idx="1095">
                  <c:v>17.402390406624093</c:v>
                </c:pt>
                <c:pt idx="1096">
                  <c:v>18.884993229837235</c:v>
                </c:pt>
                <c:pt idx="1097">
                  <c:v>17.704519829558841</c:v>
                </c:pt>
                <c:pt idx="1098">
                  <c:v>17.446190104158291</c:v>
                </c:pt>
                <c:pt idx="1099">
                  <c:v>17.150588268502595</c:v>
                </c:pt>
                <c:pt idx="1100">
                  <c:v>17.067017056154366</c:v>
                </c:pt>
                <c:pt idx="1101">
                  <c:v>16.917240672780789</c:v>
                </c:pt>
                <c:pt idx="1102">
                  <c:v>17.939534132452387</c:v>
                </c:pt>
                <c:pt idx="1103">
                  <c:v>17.779858864439316</c:v>
                </c:pt>
                <c:pt idx="1104">
                  <c:v>17.005976217296368</c:v>
                </c:pt>
                <c:pt idx="1105">
                  <c:v>17.669471016208213</c:v>
                </c:pt>
                <c:pt idx="1106">
                  <c:v>18.971776302394243</c:v>
                </c:pt>
                <c:pt idx="1107">
                  <c:v>18.45761429271105</c:v>
                </c:pt>
                <c:pt idx="1108">
                  <c:v>17.968591375599022</c:v>
                </c:pt>
                <c:pt idx="1109">
                  <c:v>18.078279524604362</c:v>
                </c:pt>
                <c:pt idx="1110">
                  <c:v>18.226174464089379</c:v>
                </c:pt>
                <c:pt idx="1111">
                  <c:v>17.819493896271553</c:v>
                </c:pt>
                <c:pt idx="1112">
                  <c:v>17.774683190269613</c:v>
                </c:pt>
                <c:pt idx="1113">
                  <c:v>17.393991325432687</c:v>
                </c:pt>
                <c:pt idx="1114">
                  <c:v>17.434292246961753</c:v>
                </c:pt>
                <c:pt idx="1115">
                  <c:v>17.254062598812588</c:v>
                </c:pt>
                <c:pt idx="1116">
                  <c:v>17.930389372342816</c:v>
                </c:pt>
                <c:pt idx="1117">
                  <c:v>19.325018655000342</c:v>
                </c:pt>
                <c:pt idx="1118">
                  <c:v>18.997646486848602</c:v>
                </c:pt>
                <c:pt idx="1119">
                  <c:v>18.395468464961791</c:v>
                </c:pt>
                <c:pt idx="1120">
                  <c:v>18.401260216764701</c:v>
                </c:pt>
                <c:pt idx="1121">
                  <c:v>18.209735391561544</c:v>
                </c:pt>
                <c:pt idx="1122">
                  <c:v>18.095304206329036</c:v>
                </c:pt>
                <c:pt idx="1123">
                  <c:v>18.09429588794551</c:v>
                </c:pt>
                <c:pt idx="1124">
                  <c:v>17.923917029887857</c:v>
                </c:pt>
                <c:pt idx="1125">
                  <c:v>18.196973708501755</c:v>
                </c:pt>
                <c:pt idx="1126">
                  <c:v>18.13710210915696</c:v>
                </c:pt>
                <c:pt idx="1127">
                  <c:v>18.091873267574083</c:v>
                </c:pt>
                <c:pt idx="1128">
                  <c:v>18.173520487053853</c:v>
                </c:pt>
                <c:pt idx="1129">
                  <c:v>18.017172461197934</c:v>
                </c:pt>
                <c:pt idx="1130">
                  <c:v>17.884310889702096</c:v>
                </c:pt>
                <c:pt idx="1131">
                  <c:v>17.950800830295027</c:v>
                </c:pt>
                <c:pt idx="1132">
                  <c:v>17.558647781184241</c:v>
                </c:pt>
                <c:pt idx="1133">
                  <c:v>17.409298403824625</c:v>
                </c:pt>
                <c:pt idx="1134">
                  <c:v>17.366112817002108</c:v>
                </c:pt>
                <c:pt idx="1135">
                  <c:v>17.388922197790674</c:v>
                </c:pt>
                <c:pt idx="1136">
                  <c:v>17.245771683196367</c:v>
                </c:pt>
                <c:pt idx="1137">
                  <c:v>17.194377291589106</c:v>
                </c:pt>
                <c:pt idx="1138">
                  <c:v>17.101719623246005</c:v>
                </c:pt>
                <c:pt idx="1139">
                  <c:v>17.247543859814446</c:v>
                </c:pt>
                <c:pt idx="1140">
                  <c:v>19.524616485686167</c:v>
                </c:pt>
                <c:pt idx="1141">
                  <c:v>19.390975846090281</c:v>
                </c:pt>
                <c:pt idx="1142">
                  <c:v>19.420484261194282</c:v>
                </c:pt>
                <c:pt idx="1143">
                  <c:v>19.190390763337973</c:v>
                </c:pt>
                <c:pt idx="1144">
                  <c:v>18.779374148806738</c:v>
                </c:pt>
                <c:pt idx="1145">
                  <c:v>18.628641109926455</c:v>
                </c:pt>
                <c:pt idx="1146">
                  <c:v>18.501188459235728</c:v>
                </c:pt>
                <c:pt idx="1147">
                  <c:v>18.308261470462497</c:v>
                </c:pt>
                <c:pt idx="1148">
                  <c:v>18.177746866439474</c:v>
                </c:pt>
                <c:pt idx="1149">
                  <c:v>18.357121175461419</c:v>
                </c:pt>
                <c:pt idx="1150">
                  <c:v>18.274778405974885</c:v>
                </c:pt>
                <c:pt idx="1151">
                  <c:v>18.630907669152474</c:v>
                </c:pt>
                <c:pt idx="1152">
                  <c:v>18.651900433693356</c:v>
                </c:pt>
                <c:pt idx="1153">
                  <c:v>18.555794945815052</c:v>
                </c:pt>
                <c:pt idx="1154">
                  <c:v>18.711693352288385</c:v>
                </c:pt>
                <c:pt idx="1155">
                  <c:v>18.683761784816191</c:v>
                </c:pt>
                <c:pt idx="1156">
                  <c:v>18.64299990188524</c:v>
                </c:pt>
                <c:pt idx="1157">
                  <c:v>18.424981671746927</c:v>
                </c:pt>
                <c:pt idx="1158">
                  <c:v>18.649230308452971</c:v>
                </c:pt>
                <c:pt idx="1159">
                  <c:v>18.540152674453786</c:v>
                </c:pt>
                <c:pt idx="1160">
                  <c:v>18.626777185478311</c:v>
                </c:pt>
                <c:pt idx="1161">
                  <c:v>19.725539199610548</c:v>
                </c:pt>
                <c:pt idx="1162">
                  <c:v>19.226455636391478</c:v>
                </c:pt>
                <c:pt idx="1163">
                  <c:v>19.022369574392119</c:v>
                </c:pt>
                <c:pt idx="1164">
                  <c:v>18.912192079503338</c:v>
                </c:pt>
                <c:pt idx="1165">
                  <c:v>18.521285481406423</c:v>
                </c:pt>
                <c:pt idx="1166">
                  <c:v>18.29219120801999</c:v>
                </c:pt>
                <c:pt idx="1167">
                  <c:v>17.986848583385555</c:v>
                </c:pt>
                <c:pt idx="1168">
                  <c:v>17.855441146600896</c:v>
                </c:pt>
                <c:pt idx="1169">
                  <c:v>18.014569122000555</c:v>
                </c:pt>
                <c:pt idx="1170">
                  <c:v>17.766812132852184</c:v>
                </c:pt>
                <c:pt idx="1171">
                  <c:v>17.979889771000281</c:v>
                </c:pt>
                <c:pt idx="1172">
                  <c:v>18.160992767527013</c:v>
                </c:pt>
                <c:pt idx="1173">
                  <c:v>18.302354557621317</c:v>
                </c:pt>
                <c:pt idx="1174">
                  <c:v>18.370773672289715</c:v>
                </c:pt>
                <c:pt idx="1175">
                  <c:v>18.383791425563725</c:v>
                </c:pt>
                <c:pt idx="1176">
                  <c:v>18.103144500478962</c:v>
                </c:pt>
                <c:pt idx="1177">
                  <c:v>18.133752333236718</c:v>
                </c:pt>
                <c:pt idx="1178">
                  <c:v>18.028833779466076</c:v>
                </c:pt>
                <c:pt idx="1179">
                  <c:v>17.56981488583147</c:v>
                </c:pt>
                <c:pt idx="1180">
                  <c:v>17.769933393551153</c:v>
                </c:pt>
                <c:pt idx="1181">
                  <c:v>19.109056359668998</c:v>
                </c:pt>
                <c:pt idx="1182">
                  <c:v>18.981441632705579</c:v>
                </c:pt>
                <c:pt idx="1183">
                  <c:v>18.683625482302045</c:v>
                </c:pt>
                <c:pt idx="1184">
                  <c:v>18.408152026636685</c:v>
                </c:pt>
                <c:pt idx="1185">
                  <c:v>18.237527832773999</c:v>
                </c:pt>
                <c:pt idx="1186">
                  <c:v>18.3133365806829</c:v>
                </c:pt>
                <c:pt idx="1187">
                  <c:v>18.082060872187888</c:v>
                </c:pt>
                <c:pt idx="1188">
                  <c:v>18.044775901379396</c:v>
                </c:pt>
                <c:pt idx="1189">
                  <c:v>17.623190931378598</c:v>
                </c:pt>
                <c:pt idx="1190">
                  <c:v>17.572031174239267</c:v>
                </c:pt>
                <c:pt idx="1191">
                  <c:v>17.297593202558662</c:v>
                </c:pt>
                <c:pt idx="1192">
                  <c:v>17.180624829464577</c:v>
                </c:pt>
                <c:pt idx="1193">
                  <c:v>16.891239161589557</c:v>
                </c:pt>
                <c:pt idx="1194">
                  <c:v>16.551944247741591</c:v>
                </c:pt>
                <c:pt idx="1195">
                  <c:v>16.393222809419974</c:v>
                </c:pt>
                <c:pt idx="1196">
                  <c:v>15.890365446645822</c:v>
                </c:pt>
                <c:pt idx="1197">
                  <c:v>15.844975289542969</c:v>
                </c:pt>
                <c:pt idx="1198">
                  <c:v>15.666657368797933</c:v>
                </c:pt>
                <c:pt idx="1199">
                  <c:v>15.833447280851594</c:v>
                </c:pt>
                <c:pt idx="1200">
                  <c:v>15.576498735732711</c:v>
                </c:pt>
                <c:pt idx="1201">
                  <c:v>15.259844612513703</c:v>
                </c:pt>
                <c:pt idx="1202">
                  <c:v>14.869464613091708</c:v>
                </c:pt>
                <c:pt idx="1203">
                  <c:v>15.879165978755994</c:v>
                </c:pt>
                <c:pt idx="1204">
                  <c:v>15.577931846550333</c:v>
                </c:pt>
                <c:pt idx="1205">
                  <c:v>15.630896566151677</c:v>
                </c:pt>
                <c:pt idx="1206">
                  <c:v>15.317212280607329</c:v>
                </c:pt>
                <c:pt idx="1207">
                  <c:v>15.318774232715972</c:v>
                </c:pt>
                <c:pt idx="1208">
                  <c:v>15.051160222465791</c:v>
                </c:pt>
                <c:pt idx="1209">
                  <c:v>15.240825896479747</c:v>
                </c:pt>
                <c:pt idx="1210">
                  <c:v>15.566639689267344</c:v>
                </c:pt>
                <c:pt idx="1211">
                  <c:v>15.543432697075723</c:v>
                </c:pt>
                <c:pt idx="1212">
                  <c:v>15.586208801362535</c:v>
                </c:pt>
                <c:pt idx="1213">
                  <c:v>15.671639264015324</c:v>
                </c:pt>
                <c:pt idx="1214">
                  <c:v>15.412565215030535</c:v>
                </c:pt>
                <c:pt idx="1215">
                  <c:v>15.392428265801222</c:v>
                </c:pt>
                <c:pt idx="1216">
                  <c:v>15.302428788350189</c:v>
                </c:pt>
                <c:pt idx="1217">
                  <c:v>15.090086273648813</c:v>
                </c:pt>
                <c:pt idx="1218">
                  <c:v>14.694547180494608</c:v>
                </c:pt>
                <c:pt idx="1219">
                  <c:v>14.608651686527894</c:v>
                </c:pt>
                <c:pt idx="1220">
                  <c:v>14.411937939896816</c:v>
                </c:pt>
                <c:pt idx="1221">
                  <c:v>14.082202962995101</c:v>
                </c:pt>
                <c:pt idx="1222">
                  <c:v>13.769096550287992</c:v>
                </c:pt>
                <c:pt idx="1223">
                  <c:v>14.758108260754563</c:v>
                </c:pt>
                <c:pt idx="1224">
                  <c:v>15.01713983121649</c:v>
                </c:pt>
                <c:pt idx="1225">
                  <c:v>15.055974630292768</c:v>
                </c:pt>
                <c:pt idx="1226">
                  <c:v>14.890877281717293</c:v>
                </c:pt>
                <c:pt idx="1227">
                  <c:v>14.59346467157892</c:v>
                </c:pt>
                <c:pt idx="1228">
                  <c:v>14.123721258983133</c:v>
                </c:pt>
                <c:pt idx="1229">
                  <c:v>14.258526228562856</c:v>
                </c:pt>
                <c:pt idx="1230">
                  <c:v>14.198842599049792</c:v>
                </c:pt>
                <c:pt idx="1231">
                  <c:v>13.754798837767586</c:v>
                </c:pt>
                <c:pt idx="1232">
                  <c:v>13.643358394305766</c:v>
                </c:pt>
                <c:pt idx="1233">
                  <c:v>12.557933320924095</c:v>
                </c:pt>
                <c:pt idx="1234">
                  <c:v>12.311831930595824</c:v>
                </c:pt>
                <c:pt idx="1235">
                  <c:v>11.760587846718018</c:v>
                </c:pt>
                <c:pt idx="1236">
                  <c:v>11.93280175886537</c:v>
                </c:pt>
                <c:pt idx="1237">
                  <c:v>12.282030876378741</c:v>
                </c:pt>
                <c:pt idx="1238">
                  <c:v>12.131104023145225</c:v>
                </c:pt>
                <c:pt idx="1239">
                  <c:v>12.353784603646417</c:v>
                </c:pt>
                <c:pt idx="1240">
                  <c:v>12.376486370948232</c:v>
                </c:pt>
                <c:pt idx="1241">
                  <c:v>12.42644958272545</c:v>
                </c:pt>
                <c:pt idx="1242">
                  <c:v>12.097542851595353</c:v>
                </c:pt>
                <c:pt idx="1243">
                  <c:v>11.913810894303955</c:v>
                </c:pt>
                <c:pt idx="1244">
                  <c:v>11.361838638393902</c:v>
                </c:pt>
                <c:pt idx="1245">
                  <c:v>13.438082062552379</c:v>
                </c:pt>
                <c:pt idx="1246">
                  <c:v>13.064018610272274</c:v>
                </c:pt>
                <c:pt idx="1247">
                  <c:v>12.945561841943263</c:v>
                </c:pt>
                <c:pt idx="1248">
                  <c:v>13.478922419030296</c:v>
                </c:pt>
                <c:pt idx="1249">
                  <c:v>13.736351571380002</c:v>
                </c:pt>
                <c:pt idx="1250">
                  <c:v>13.393862547870977</c:v>
                </c:pt>
                <c:pt idx="1251">
                  <c:v>13.273220418431897</c:v>
                </c:pt>
                <c:pt idx="1252">
                  <c:v>12.972765919155462</c:v>
                </c:pt>
                <c:pt idx="1253">
                  <c:v>12.621928693056807</c:v>
                </c:pt>
                <c:pt idx="1254">
                  <c:v>12.937765192117856</c:v>
                </c:pt>
                <c:pt idx="1255">
                  <c:v>12.99967770193647</c:v>
                </c:pt>
                <c:pt idx="1256">
                  <c:v>12.727328558189905</c:v>
                </c:pt>
                <c:pt idx="1257">
                  <c:v>12.305066256086338</c:v>
                </c:pt>
                <c:pt idx="1258">
                  <c:v>12.541193201732817</c:v>
                </c:pt>
                <c:pt idx="1259">
                  <c:v>12.287587842377341</c:v>
                </c:pt>
                <c:pt idx="1260">
                  <c:v>12.126384501587337</c:v>
                </c:pt>
                <c:pt idx="1261">
                  <c:v>11.979221069994161</c:v>
                </c:pt>
                <c:pt idx="1262">
                  <c:v>12.026290262358602</c:v>
                </c:pt>
                <c:pt idx="1263">
                  <c:v>11.90080973796579</c:v>
                </c:pt>
                <c:pt idx="1264">
                  <c:v>11.679337605372318</c:v>
                </c:pt>
                <c:pt idx="1265">
                  <c:v>12.715429480166032</c:v>
                </c:pt>
                <c:pt idx="1266">
                  <c:v>12.203560566606233</c:v>
                </c:pt>
                <c:pt idx="1267">
                  <c:v>12.096563812890544</c:v>
                </c:pt>
                <c:pt idx="1268">
                  <c:v>11.953894516630358</c:v>
                </c:pt>
                <c:pt idx="1269">
                  <c:v>11.964658099679042</c:v>
                </c:pt>
                <c:pt idx="1270">
                  <c:v>12.094709809336594</c:v>
                </c:pt>
                <c:pt idx="1271">
                  <c:v>11.960803311385419</c:v>
                </c:pt>
                <c:pt idx="1272">
                  <c:v>11.739801247528433</c:v>
                </c:pt>
                <c:pt idx="1273">
                  <c:v>11.580886023506906</c:v>
                </c:pt>
                <c:pt idx="1274">
                  <c:v>11.604336148456557</c:v>
                </c:pt>
                <c:pt idx="1275">
                  <c:v>11.762922302190582</c:v>
                </c:pt>
                <c:pt idx="1276">
                  <c:v>11.794746369674073</c:v>
                </c:pt>
                <c:pt idx="1277">
                  <c:v>11.66331380903636</c:v>
                </c:pt>
                <c:pt idx="1278">
                  <c:v>11.772553646722768</c:v>
                </c:pt>
                <c:pt idx="1279">
                  <c:v>11.67417581501719</c:v>
                </c:pt>
                <c:pt idx="1280">
                  <c:v>11.498307038040561</c:v>
                </c:pt>
                <c:pt idx="1281">
                  <c:v>11.536166862641249</c:v>
                </c:pt>
                <c:pt idx="1282">
                  <c:v>11.624684021064006</c:v>
                </c:pt>
                <c:pt idx="1283">
                  <c:v>11.470186859859348</c:v>
                </c:pt>
                <c:pt idx="1284">
                  <c:v>11.310356554619631</c:v>
                </c:pt>
                <c:pt idx="1285">
                  <c:v>11.283224452394421</c:v>
                </c:pt>
                <c:pt idx="1286">
                  <c:v>12.57747257281425</c:v>
                </c:pt>
                <c:pt idx="1287">
                  <c:v>12.238100545693783</c:v>
                </c:pt>
                <c:pt idx="1288">
                  <c:v>12.105721311589258</c:v>
                </c:pt>
                <c:pt idx="1289">
                  <c:v>11.879248584054903</c:v>
                </c:pt>
                <c:pt idx="1290">
                  <c:v>12.166176730914696</c:v>
                </c:pt>
                <c:pt idx="1291">
                  <c:v>12.011222265160576</c:v>
                </c:pt>
                <c:pt idx="1292">
                  <c:v>11.664822865714603</c:v>
                </c:pt>
                <c:pt idx="1293">
                  <c:v>11.636920139598418</c:v>
                </c:pt>
                <c:pt idx="1294">
                  <c:v>11.502584664110755</c:v>
                </c:pt>
                <c:pt idx="1295">
                  <c:v>11.406461455350859</c:v>
                </c:pt>
                <c:pt idx="1296">
                  <c:v>11.202466314972648</c:v>
                </c:pt>
                <c:pt idx="1297">
                  <c:v>11.596344327794331</c:v>
                </c:pt>
                <c:pt idx="1298">
                  <c:v>11.520948588998763</c:v>
                </c:pt>
                <c:pt idx="1299">
                  <c:v>11.722910183758671</c:v>
                </c:pt>
                <c:pt idx="1300">
                  <c:v>11.708906530810683</c:v>
                </c:pt>
                <c:pt idx="1301">
                  <c:v>11.508450691479759</c:v>
                </c:pt>
                <c:pt idx="1302">
                  <c:v>11.671691917502036</c:v>
                </c:pt>
                <c:pt idx="1303">
                  <c:v>11.57556503085218</c:v>
                </c:pt>
                <c:pt idx="1304">
                  <c:v>11.415600605652461</c:v>
                </c:pt>
                <c:pt idx="1305">
                  <c:v>11.394938511812978</c:v>
                </c:pt>
                <c:pt idx="1306">
                  <c:v>11.555568713239236</c:v>
                </c:pt>
                <c:pt idx="1307">
                  <c:v>11.79164069268746</c:v>
                </c:pt>
                <c:pt idx="1308">
                  <c:v>12.794953727921349</c:v>
                </c:pt>
                <c:pt idx="1309">
                  <c:v>12.435081053523456</c:v>
                </c:pt>
                <c:pt idx="1310">
                  <c:v>12.187175675319748</c:v>
                </c:pt>
                <c:pt idx="1311">
                  <c:v>12.504768493269545</c:v>
                </c:pt>
                <c:pt idx="1312">
                  <c:v>12.632454084569737</c:v>
                </c:pt>
                <c:pt idx="1313">
                  <c:v>12.332619417361808</c:v>
                </c:pt>
                <c:pt idx="1314">
                  <c:v>12.322046628275981</c:v>
                </c:pt>
                <c:pt idx="1315">
                  <c:v>12.125316734800249</c:v>
                </c:pt>
                <c:pt idx="1316">
                  <c:v>12.291706710084123</c:v>
                </c:pt>
                <c:pt idx="1317">
                  <c:v>12.004121435760528</c:v>
                </c:pt>
                <c:pt idx="1318">
                  <c:v>12.076688522949272</c:v>
                </c:pt>
                <c:pt idx="1319">
                  <c:v>12.063575576238458</c:v>
                </c:pt>
                <c:pt idx="1320">
                  <c:v>11.906686334280277</c:v>
                </c:pt>
                <c:pt idx="1321">
                  <c:v>11.508387539681285</c:v>
                </c:pt>
                <c:pt idx="1322">
                  <c:v>11.472572219336259</c:v>
                </c:pt>
                <c:pt idx="1323">
                  <c:v>11.516868158427208</c:v>
                </c:pt>
                <c:pt idx="1324">
                  <c:v>11.479575969014405</c:v>
                </c:pt>
                <c:pt idx="1325">
                  <c:v>11.259915208941852</c:v>
                </c:pt>
                <c:pt idx="1326">
                  <c:v>10.924692836859329</c:v>
                </c:pt>
                <c:pt idx="1327">
                  <c:v>10.98330276021025</c:v>
                </c:pt>
                <c:pt idx="1328">
                  <c:v>11.366864180406422</c:v>
                </c:pt>
                <c:pt idx="1329">
                  <c:v>11.035964082634417</c:v>
                </c:pt>
                <c:pt idx="1330">
                  <c:v>11.06527580970549</c:v>
                </c:pt>
                <c:pt idx="1331">
                  <c:v>12.495129154286323</c:v>
                </c:pt>
                <c:pt idx="1332">
                  <c:v>12.202873418152512</c:v>
                </c:pt>
                <c:pt idx="1333">
                  <c:v>12.278313716347968</c:v>
                </c:pt>
                <c:pt idx="1334">
                  <c:v>12.399057361667248</c:v>
                </c:pt>
                <c:pt idx="1335">
                  <c:v>12.329079491907846</c:v>
                </c:pt>
                <c:pt idx="1336">
                  <c:v>12.214653606094412</c:v>
                </c:pt>
                <c:pt idx="1337">
                  <c:v>12.202540905290645</c:v>
                </c:pt>
                <c:pt idx="1338">
                  <c:v>11.996395992420847</c:v>
                </c:pt>
                <c:pt idx="1339">
                  <c:v>11.910080033775317</c:v>
                </c:pt>
                <c:pt idx="1340">
                  <c:v>11.911118353888511</c:v>
                </c:pt>
                <c:pt idx="1341">
                  <c:v>12.13920137664331</c:v>
                </c:pt>
                <c:pt idx="1342">
                  <c:v>12.280516324686381</c:v>
                </c:pt>
                <c:pt idx="1343">
                  <c:v>12.317347439584303</c:v>
                </c:pt>
                <c:pt idx="1344">
                  <c:v>12.273737693726025</c:v>
                </c:pt>
                <c:pt idx="1345">
                  <c:v>12.099120822380316</c:v>
                </c:pt>
                <c:pt idx="1346">
                  <c:v>12.294650892260709</c:v>
                </c:pt>
                <c:pt idx="1347">
                  <c:v>12.641291893528505</c:v>
                </c:pt>
                <c:pt idx="1348">
                  <c:v>12.755385994070529</c:v>
                </c:pt>
                <c:pt idx="1349">
                  <c:v>12.746017061940249</c:v>
                </c:pt>
                <c:pt idx="1350">
                  <c:v>13.00483247918292</c:v>
                </c:pt>
                <c:pt idx="1351">
                  <c:v>13.061774631316588</c:v>
                </c:pt>
                <c:pt idx="1352">
                  <c:v>14.387913797003218</c:v>
                </c:pt>
                <c:pt idx="1353">
                  <c:v>14.096071206112228</c:v>
                </c:pt>
                <c:pt idx="1354">
                  <c:v>14.120968655937792</c:v>
                </c:pt>
                <c:pt idx="1355">
                  <c:v>13.766918378846796</c:v>
                </c:pt>
                <c:pt idx="1356">
                  <c:v>13.608830174854699</c:v>
                </c:pt>
                <c:pt idx="1357">
                  <c:v>13.063221675114724</c:v>
                </c:pt>
                <c:pt idx="1358">
                  <c:v>13.007959369987557</c:v>
                </c:pt>
                <c:pt idx="1359">
                  <c:v>12.898917341243802</c:v>
                </c:pt>
                <c:pt idx="1360">
                  <c:v>12.832013442244605</c:v>
                </c:pt>
                <c:pt idx="1361">
                  <c:v>13.159031184800993</c:v>
                </c:pt>
                <c:pt idx="1362">
                  <c:v>13.22354349813277</c:v>
                </c:pt>
                <c:pt idx="1363">
                  <c:v>13.255862760028137</c:v>
                </c:pt>
                <c:pt idx="1364">
                  <c:v>13.268016683940289</c:v>
                </c:pt>
                <c:pt idx="1365">
                  <c:v>13.140816316212858</c:v>
                </c:pt>
                <c:pt idx="1366">
                  <c:v>12.964780449923484</c:v>
                </c:pt>
                <c:pt idx="1367">
                  <c:v>12.908097456515451</c:v>
                </c:pt>
                <c:pt idx="1368">
                  <c:v>13.044920281653555</c:v>
                </c:pt>
                <c:pt idx="1369">
                  <c:v>12.96557572182801</c:v>
                </c:pt>
                <c:pt idx="1370">
                  <c:v>12.966984208148757</c:v>
                </c:pt>
                <c:pt idx="1371">
                  <c:v>13.105738189925676</c:v>
                </c:pt>
                <c:pt idx="1372">
                  <c:v>13.178303804377796</c:v>
                </c:pt>
                <c:pt idx="1373">
                  <c:v>13.661455964592228</c:v>
                </c:pt>
                <c:pt idx="1374">
                  <c:v>13.869149057111617</c:v>
                </c:pt>
                <c:pt idx="1375">
                  <c:v>13.452038376460916</c:v>
                </c:pt>
                <c:pt idx="1376">
                  <c:v>13.697289705953487</c:v>
                </c:pt>
                <c:pt idx="1377">
                  <c:v>13.605695811093694</c:v>
                </c:pt>
                <c:pt idx="1378">
                  <c:v>13.621547150882993</c:v>
                </c:pt>
                <c:pt idx="1379">
                  <c:v>13.809088803035891</c:v>
                </c:pt>
                <c:pt idx="1380">
                  <c:v>13.634027032847893</c:v>
                </c:pt>
                <c:pt idx="1381">
                  <c:v>13.516980608976866</c:v>
                </c:pt>
                <c:pt idx="1382">
                  <c:v>13.549594890430795</c:v>
                </c:pt>
                <c:pt idx="1383">
                  <c:v>13.505648657233078</c:v>
                </c:pt>
                <c:pt idx="1384">
                  <c:v>13.477650123965546</c:v>
                </c:pt>
                <c:pt idx="1385">
                  <c:v>14.058361757194842</c:v>
                </c:pt>
                <c:pt idx="1386">
                  <c:v>14.130939622794333</c:v>
                </c:pt>
                <c:pt idx="1387">
                  <c:v>14.175289780924821</c:v>
                </c:pt>
                <c:pt idx="1388">
                  <c:v>14.110385295158004</c:v>
                </c:pt>
                <c:pt idx="1389">
                  <c:v>14.126199126925437</c:v>
                </c:pt>
                <c:pt idx="1390">
                  <c:v>14.291726122285636</c:v>
                </c:pt>
                <c:pt idx="1391">
                  <c:v>14.200717787184674</c:v>
                </c:pt>
                <c:pt idx="1392">
                  <c:v>14.08574142034775</c:v>
                </c:pt>
                <c:pt idx="1393">
                  <c:v>13.895114671155453</c:v>
                </c:pt>
                <c:pt idx="1394">
                  <c:v>13.785820558791386</c:v>
                </c:pt>
                <c:pt idx="1395">
                  <c:v>14.080894733080246</c:v>
                </c:pt>
                <c:pt idx="1396">
                  <c:v>15.07923646874978</c:v>
                </c:pt>
                <c:pt idx="1397">
                  <c:v>15.025807342816092</c:v>
                </c:pt>
                <c:pt idx="1398">
                  <c:v>15.072132530095447</c:v>
                </c:pt>
                <c:pt idx="1399">
                  <c:v>15.215885613285854</c:v>
                </c:pt>
                <c:pt idx="1400">
                  <c:v>15.029734970041705</c:v>
                </c:pt>
                <c:pt idx="1401">
                  <c:v>15.249333439405078</c:v>
                </c:pt>
                <c:pt idx="1402">
                  <c:v>15.325495093822452</c:v>
                </c:pt>
                <c:pt idx="1403">
                  <c:v>15.454727686651603</c:v>
                </c:pt>
                <c:pt idx="1404">
                  <c:v>15.224612167895344</c:v>
                </c:pt>
                <c:pt idx="1405">
                  <c:v>15.259806714518351</c:v>
                </c:pt>
                <c:pt idx="1406">
                  <c:v>15.671508789709781</c:v>
                </c:pt>
                <c:pt idx="1407">
                  <c:v>15.443576325397526</c:v>
                </c:pt>
                <c:pt idx="1408">
                  <c:v>15.394753167225504</c:v>
                </c:pt>
                <c:pt idx="1409">
                  <c:v>15.034913652054151</c:v>
                </c:pt>
                <c:pt idx="1410">
                  <c:v>14.834141371342341</c:v>
                </c:pt>
                <c:pt idx="1411">
                  <c:v>14.984094229451088</c:v>
                </c:pt>
                <c:pt idx="1412">
                  <c:v>15.132032379891106</c:v>
                </c:pt>
                <c:pt idx="1413">
                  <c:v>15.224322472171965</c:v>
                </c:pt>
                <c:pt idx="1414">
                  <c:v>15.214352759122669</c:v>
                </c:pt>
                <c:pt idx="1415">
                  <c:v>15.387288761014483</c:v>
                </c:pt>
                <c:pt idx="1416">
                  <c:v>15.882808102824182</c:v>
                </c:pt>
                <c:pt idx="1417">
                  <c:v>16.476507017163836</c:v>
                </c:pt>
                <c:pt idx="1418">
                  <c:v>16.164131339747602</c:v>
                </c:pt>
                <c:pt idx="1419">
                  <c:v>15.659236769000277</c:v>
                </c:pt>
                <c:pt idx="1420">
                  <c:v>15.774273228986594</c:v>
                </c:pt>
                <c:pt idx="1421">
                  <c:v>15.664895141355128</c:v>
                </c:pt>
                <c:pt idx="1422">
                  <c:v>15.57929877700883</c:v>
                </c:pt>
                <c:pt idx="1423">
                  <c:v>15.79453541515514</c:v>
                </c:pt>
                <c:pt idx="1424">
                  <c:v>16.056893424204734</c:v>
                </c:pt>
                <c:pt idx="1425">
                  <c:v>16.299542975699143</c:v>
                </c:pt>
                <c:pt idx="1426">
                  <c:v>16.674830381008007</c:v>
                </c:pt>
                <c:pt idx="1427">
                  <c:v>16.694637878845512</c:v>
                </c:pt>
                <c:pt idx="1428">
                  <c:v>16.684274622118654</c:v>
                </c:pt>
                <c:pt idx="1429">
                  <c:v>16.542101947849677</c:v>
                </c:pt>
                <c:pt idx="1430">
                  <c:v>16.531472635998249</c:v>
                </c:pt>
                <c:pt idx="1431">
                  <c:v>16.773424090505845</c:v>
                </c:pt>
                <c:pt idx="1432">
                  <c:v>17.08418153786069</c:v>
                </c:pt>
                <c:pt idx="1433">
                  <c:v>16.978065023365382</c:v>
                </c:pt>
                <c:pt idx="1434">
                  <c:v>17.021386217001467</c:v>
                </c:pt>
                <c:pt idx="1435">
                  <c:v>17.206500897877198</c:v>
                </c:pt>
                <c:pt idx="1436">
                  <c:v>17.441705722407999</c:v>
                </c:pt>
                <c:pt idx="1437">
                  <c:v>17.550493090947803</c:v>
                </c:pt>
                <c:pt idx="1438">
                  <c:v>17.667805204408715</c:v>
                </c:pt>
                <c:pt idx="1439">
                  <c:v>18.220304765073209</c:v>
                </c:pt>
                <c:pt idx="1440">
                  <c:v>17.89201995313195</c:v>
                </c:pt>
                <c:pt idx="1441">
                  <c:v>17.765999539682806</c:v>
                </c:pt>
                <c:pt idx="1442">
                  <c:v>18.18750426382622</c:v>
                </c:pt>
                <c:pt idx="1443">
                  <c:v>18.376386456493783</c:v>
                </c:pt>
                <c:pt idx="1444">
                  <c:v>18.71054619212649</c:v>
                </c:pt>
                <c:pt idx="1445">
                  <c:v>19.1288859120558</c:v>
                </c:pt>
                <c:pt idx="1446">
                  <c:v>18.642195247959716</c:v>
                </c:pt>
                <c:pt idx="1447">
                  <c:v>18.480971306030177</c:v>
                </c:pt>
                <c:pt idx="1448">
                  <c:v>18.237428719583523</c:v>
                </c:pt>
                <c:pt idx="1449">
                  <c:v>18.193023313953301</c:v>
                </c:pt>
                <c:pt idx="1450">
                  <c:v>18.39061733444132</c:v>
                </c:pt>
                <c:pt idx="1451">
                  <c:v>18.517139141855957</c:v>
                </c:pt>
                <c:pt idx="1452">
                  <c:v>18.625293791552203</c:v>
                </c:pt>
                <c:pt idx="1453">
                  <c:v>18.70261033900578</c:v>
                </c:pt>
                <c:pt idx="1454">
                  <c:v>18.61279967359771</c:v>
                </c:pt>
                <c:pt idx="1455">
                  <c:v>18.369696370120909</c:v>
                </c:pt>
                <c:pt idx="1456">
                  <c:v>18.45142837864304</c:v>
                </c:pt>
                <c:pt idx="1457">
                  <c:v>18.676394821135617</c:v>
                </c:pt>
                <c:pt idx="1458">
                  <c:v>18.373317231294735</c:v>
                </c:pt>
                <c:pt idx="1459">
                  <c:v>18.73692479425468</c:v>
                </c:pt>
                <c:pt idx="1460">
                  <c:v>18.863600733530411</c:v>
                </c:pt>
                <c:pt idx="1461">
                  <c:v>18.930967413934898</c:v>
                </c:pt>
                <c:pt idx="1462">
                  <c:v>19.045392268378478</c:v>
                </c:pt>
                <c:pt idx="1463">
                  <c:v>19.244730224574482</c:v>
                </c:pt>
                <c:pt idx="1464">
                  <c:v>19.495673251118866</c:v>
                </c:pt>
                <c:pt idx="1465">
                  <c:v>19.452476799528188</c:v>
                </c:pt>
                <c:pt idx="1466">
                  <c:v>19.496723472087588</c:v>
                </c:pt>
                <c:pt idx="1467">
                  <c:v>19.134374654641714</c:v>
                </c:pt>
                <c:pt idx="1468">
                  <c:v>19.050684673163374</c:v>
                </c:pt>
                <c:pt idx="1469">
                  <c:v>19.087033985438975</c:v>
                </c:pt>
                <c:pt idx="1470">
                  <c:v>18.58294905658564</c:v>
                </c:pt>
                <c:pt idx="1471">
                  <c:v>18.521934876485307</c:v>
                </c:pt>
                <c:pt idx="1472">
                  <c:v>18.470276337081987</c:v>
                </c:pt>
                <c:pt idx="1473">
                  <c:v>18.234532615643705</c:v>
                </c:pt>
                <c:pt idx="1474">
                  <c:v>17.94210384580099</c:v>
                </c:pt>
                <c:pt idx="1475">
                  <c:v>18.024076033775657</c:v>
                </c:pt>
                <c:pt idx="1476">
                  <c:v>18.124740360965138</c:v>
                </c:pt>
                <c:pt idx="1477">
                  <c:v>17.975297051315479</c:v>
                </c:pt>
                <c:pt idx="1478">
                  <c:v>17.544985862763223</c:v>
                </c:pt>
                <c:pt idx="1479">
                  <c:v>18.213300238491271</c:v>
                </c:pt>
                <c:pt idx="1480">
                  <c:v>18.119451211080069</c:v>
                </c:pt>
                <c:pt idx="1481">
                  <c:v>18.136786077159826</c:v>
                </c:pt>
                <c:pt idx="1482">
                  <c:v>18.337677146015338</c:v>
                </c:pt>
                <c:pt idx="1483">
                  <c:v>18.447177373871547</c:v>
                </c:pt>
                <c:pt idx="1484">
                  <c:v>18.441079749010601</c:v>
                </c:pt>
                <c:pt idx="1485">
                  <c:v>18.817758542069988</c:v>
                </c:pt>
                <c:pt idx="1486">
                  <c:v>19.054918237009044</c:v>
                </c:pt>
                <c:pt idx="1487">
                  <c:v>19.221430101381383</c:v>
                </c:pt>
                <c:pt idx="1488">
                  <c:v>19.498142996435124</c:v>
                </c:pt>
                <c:pt idx="1489">
                  <c:v>19.438643482905107</c:v>
                </c:pt>
                <c:pt idx="1490">
                  <c:v>17.790258415441425</c:v>
                </c:pt>
                <c:pt idx="1491">
                  <c:v>18.102601350286456</c:v>
                </c:pt>
                <c:pt idx="1492">
                  <c:v>18.461900981995178</c:v>
                </c:pt>
                <c:pt idx="1493">
                  <c:v>18.406025565975693</c:v>
                </c:pt>
                <c:pt idx="1494">
                  <c:v>19.006452525548081</c:v>
                </c:pt>
                <c:pt idx="1495">
                  <c:v>19.078937458639295</c:v>
                </c:pt>
                <c:pt idx="1496">
                  <c:v>19.074521090524307</c:v>
                </c:pt>
                <c:pt idx="1497">
                  <c:v>19.097993960996163</c:v>
                </c:pt>
                <c:pt idx="1498">
                  <c:v>19.361638821144318</c:v>
                </c:pt>
                <c:pt idx="1499">
                  <c:v>19.272633531123581</c:v>
                </c:pt>
                <c:pt idx="1500">
                  <c:v>19.390908483800061</c:v>
                </c:pt>
                <c:pt idx="1501">
                  <c:v>17.996946280606661</c:v>
                </c:pt>
                <c:pt idx="1502">
                  <c:v>17.409346926091601</c:v>
                </c:pt>
                <c:pt idx="1503">
                  <c:v>17.851414276729002</c:v>
                </c:pt>
                <c:pt idx="1504">
                  <c:v>17.700146451971641</c:v>
                </c:pt>
                <c:pt idx="1505">
                  <c:v>17.676721826301183</c:v>
                </c:pt>
                <c:pt idx="1506">
                  <c:v>17.595741876463986</c:v>
                </c:pt>
                <c:pt idx="1507">
                  <c:v>17.751936325413372</c:v>
                </c:pt>
                <c:pt idx="1508">
                  <c:v>17.594500559461462</c:v>
                </c:pt>
                <c:pt idx="1509">
                  <c:v>17.543052745592661</c:v>
                </c:pt>
                <c:pt idx="1510">
                  <c:v>17.773082509857471</c:v>
                </c:pt>
                <c:pt idx="1511">
                  <c:v>17.946693382684117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C4EB-42CD-AD23-1403467BE27D}"/>
            </c:ext>
          </c:extLst>
        </c:ser>
        <c:ser>
          <c:idx val="5"/>
          <c:order val="3"/>
          <c:tx>
            <c:strRef>
              <c:f>'M12'!$Y$6</c:f>
              <c:strCache>
                <c:ptCount val="1"/>
                <c:pt idx="0">
                  <c:v>10%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val>
            <c:numRef>
              <c:f>'M12'!$Y$7:$Y$1621</c:f>
              <c:numCache>
                <c:formatCode>0.00</c:formatCode>
                <c:ptCount val="161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0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>
                  <c:v>0</c:v>
                </c:pt>
                <c:pt idx="778">
                  <c:v>0</c:v>
                </c:pt>
                <c:pt idx="779">
                  <c:v>0</c:v>
                </c:pt>
                <c:pt idx="780">
                  <c:v>0</c:v>
                </c:pt>
                <c:pt idx="781">
                  <c:v>0</c:v>
                </c:pt>
                <c:pt idx="782">
                  <c:v>0</c:v>
                </c:pt>
                <c:pt idx="783">
                  <c:v>0</c:v>
                </c:pt>
                <c:pt idx="784">
                  <c:v>0</c:v>
                </c:pt>
                <c:pt idx="785">
                  <c:v>0</c:v>
                </c:pt>
                <c:pt idx="786">
                  <c:v>0</c:v>
                </c:pt>
                <c:pt idx="787">
                  <c:v>0</c:v>
                </c:pt>
                <c:pt idx="788">
                  <c:v>0</c:v>
                </c:pt>
                <c:pt idx="789">
                  <c:v>0</c:v>
                </c:pt>
                <c:pt idx="790">
                  <c:v>0</c:v>
                </c:pt>
                <c:pt idx="791">
                  <c:v>0</c:v>
                </c:pt>
                <c:pt idx="792">
                  <c:v>0</c:v>
                </c:pt>
                <c:pt idx="793">
                  <c:v>0</c:v>
                </c:pt>
                <c:pt idx="794">
                  <c:v>0</c:v>
                </c:pt>
                <c:pt idx="795">
                  <c:v>0</c:v>
                </c:pt>
                <c:pt idx="796">
                  <c:v>0</c:v>
                </c:pt>
                <c:pt idx="797">
                  <c:v>0</c:v>
                </c:pt>
                <c:pt idx="798">
                  <c:v>0</c:v>
                </c:pt>
                <c:pt idx="799">
                  <c:v>0</c:v>
                </c:pt>
                <c:pt idx="800">
                  <c:v>0</c:v>
                </c:pt>
                <c:pt idx="801">
                  <c:v>0</c:v>
                </c:pt>
                <c:pt idx="802">
                  <c:v>0</c:v>
                </c:pt>
                <c:pt idx="803">
                  <c:v>0</c:v>
                </c:pt>
                <c:pt idx="804">
                  <c:v>0</c:v>
                </c:pt>
                <c:pt idx="805">
                  <c:v>0</c:v>
                </c:pt>
                <c:pt idx="806">
                  <c:v>0</c:v>
                </c:pt>
                <c:pt idx="807">
                  <c:v>0</c:v>
                </c:pt>
                <c:pt idx="808">
                  <c:v>0</c:v>
                </c:pt>
                <c:pt idx="809">
                  <c:v>0</c:v>
                </c:pt>
                <c:pt idx="810">
                  <c:v>0</c:v>
                </c:pt>
                <c:pt idx="811">
                  <c:v>0</c:v>
                </c:pt>
                <c:pt idx="812">
                  <c:v>0</c:v>
                </c:pt>
                <c:pt idx="813">
                  <c:v>0</c:v>
                </c:pt>
                <c:pt idx="814">
                  <c:v>0</c:v>
                </c:pt>
                <c:pt idx="815">
                  <c:v>0</c:v>
                </c:pt>
                <c:pt idx="816">
                  <c:v>0</c:v>
                </c:pt>
                <c:pt idx="817">
                  <c:v>0</c:v>
                </c:pt>
                <c:pt idx="818">
                  <c:v>0</c:v>
                </c:pt>
                <c:pt idx="819">
                  <c:v>0</c:v>
                </c:pt>
                <c:pt idx="820">
                  <c:v>0</c:v>
                </c:pt>
                <c:pt idx="821">
                  <c:v>0</c:v>
                </c:pt>
                <c:pt idx="822">
                  <c:v>0</c:v>
                </c:pt>
                <c:pt idx="823">
                  <c:v>0</c:v>
                </c:pt>
                <c:pt idx="824">
                  <c:v>0</c:v>
                </c:pt>
                <c:pt idx="825">
                  <c:v>0</c:v>
                </c:pt>
                <c:pt idx="826">
                  <c:v>0</c:v>
                </c:pt>
                <c:pt idx="827">
                  <c:v>0</c:v>
                </c:pt>
                <c:pt idx="828">
                  <c:v>0</c:v>
                </c:pt>
                <c:pt idx="829">
                  <c:v>0</c:v>
                </c:pt>
                <c:pt idx="830">
                  <c:v>0</c:v>
                </c:pt>
                <c:pt idx="831">
                  <c:v>0</c:v>
                </c:pt>
                <c:pt idx="832">
                  <c:v>0</c:v>
                </c:pt>
                <c:pt idx="833">
                  <c:v>0</c:v>
                </c:pt>
                <c:pt idx="834">
                  <c:v>0</c:v>
                </c:pt>
                <c:pt idx="835">
                  <c:v>0</c:v>
                </c:pt>
                <c:pt idx="836">
                  <c:v>0</c:v>
                </c:pt>
                <c:pt idx="837">
                  <c:v>0</c:v>
                </c:pt>
                <c:pt idx="838">
                  <c:v>0</c:v>
                </c:pt>
                <c:pt idx="839">
                  <c:v>0</c:v>
                </c:pt>
                <c:pt idx="840">
                  <c:v>0</c:v>
                </c:pt>
                <c:pt idx="841">
                  <c:v>0</c:v>
                </c:pt>
                <c:pt idx="842">
                  <c:v>0</c:v>
                </c:pt>
                <c:pt idx="843">
                  <c:v>0</c:v>
                </c:pt>
                <c:pt idx="844">
                  <c:v>0</c:v>
                </c:pt>
                <c:pt idx="845">
                  <c:v>0</c:v>
                </c:pt>
                <c:pt idx="846">
                  <c:v>0</c:v>
                </c:pt>
                <c:pt idx="847">
                  <c:v>0</c:v>
                </c:pt>
                <c:pt idx="848">
                  <c:v>0</c:v>
                </c:pt>
                <c:pt idx="849">
                  <c:v>0</c:v>
                </c:pt>
                <c:pt idx="850">
                  <c:v>0</c:v>
                </c:pt>
                <c:pt idx="851">
                  <c:v>0</c:v>
                </c:pt>
                <c:pt idx="852">
                  <c:v>0</c:v>
                </c:pt>
                <c:pt idx="853">
                  <c:v>0</c:v>
                </c:pt>
                <c:pt idx="854">
                  <c:v>0</c:v>
                </c:pt>
                <c:pt idx="855">
                  <c:v>0</c:v>
                </c:pt>
                <c:pt idx="856">
                  <c:v>0</c:v>
                </c:pt>
                <c:pt idx="857">
                  <c:v>0</c:v>
                </c:pt>
                <c:pt idx="858">
                  <c:v>0</c:v>
                </c:pt>
                <c:pt idx="859">
                  <c:v>0</c:v>
                </c:pt>
                <c:pt idx="860">
                  <c:v>0</c:v>
                </c:pt>
                <c:pt idx="861">
                  <c:v>0</c:v>
                </c:pt>
                <c:pt idx="862">
                  <c:v>0</c:v>
                </c:pt>
                <c:pt idx="863">
                  <c:v>0</c:v>
                </c:pt>
                <c:pt idx="864">
                  <c:v>0</c:v>
                </c:pt>
                <c:pt idx="865">
                  <c:v>0</c:v>
                </c:pt>
                <c:pt idx="866">
                  <c:v>0</c:v>
                </c:pt>
                <c:pt idx="867">
                  <c:v>0</c:v>
                </c:pt>
                <c:pt idx="868">
                  <c:v>0</c:v>
                </c:pt>
                <c:pt idx="869">
                  <c:v>0</c:v>
                </c:pt>
                <c:pt idx="870">
                  <c:v>0</c:v>
                </c:pt>
                <c:pt idx="871">
                  <c:v>0</c:v>
                </c:pt>
                <c:pt idx="872">
                  <c:v>0</c:v>
                </c:pt>
                <c:pt idx="873">
                  <c:v>0</c:v>
                </c:pt>
                <c:pt idx="874">
                  <c:v>0</c:v>
                </c:pt>
                <c:pt idx="875">
                  <c:v>0</c:v>
                </c:pt>
                <c:pt idx="876">
                  <c:v>0</c:v>
                </c:pt>
                <c:pt idx="877">
                  <c:v>0</c:v>
                </c:pt>
                <c:pt idx="878">
                  <c:v>0</c:v>
                </c:pt>
                <c:pt idx="879">
                  <c:v>0</c:v>
                </c:pt>
                <c:pt idx="880">
                  <c:v>0</c:v>
                </c:pt>
                <c:pt idx="881">
                  <c:v>0</c:v>
                </c:pt>
                <c:pt idx="882">
                  <c:v>0</c:v>
                </c:pt>
                <c:pt idx="883">
                  <c:v>0</c:v>
                </c:pt>
                <c:pt idx="884">
                  <c:v>0</c:v>
                </c:pt>
                <c:pt idx="885">
                  <c:v>0</c:v>
                </c:pt>
                <c:pt idx="886">
                  <c:v>0</c:v>
                </c:pt>
                <c:pt idx="887">
                  <c:v>0</c:v>
                </c:pt>
                <c:pt idx="888">
                  <c:v>0</c:v>
                </c:pt>
                <c:pt idx="889">
                  <c:v>0</c:v>
                </c:pt>
                <c:pt idx="890">
                  <c:v>0</c:v>
                </c:pt>
                <c:pt idx="891">
                  <c:v>0</c:v>
                </c:pt>
                <c:pt idx="892">
                  <c:v>0</c:v>
                </c:pt>
                <c:pt idx="893">
                  <c:v>0</c:v>
                </c:pt>
                <c:pt idx="894">
                  <c:v>0</c:v>
                </c:pt>
                <c:pt idx="895">
                  <c:v>0</c:v>
                </c:pt>
                <c:pt idx="896">
                  <c:v>0</c:v>
                </c:pt>
                <c:pt idx="897">
                  <c:v>0</c:v>
                </c:pt>
                <c:pt idx="898">
                  <c:v>0</c:v>
                </c:pt>
                <c:pt idx="899">
                  <c:v>0</c:v>
                </c:pt>
                <c:pt idx="900">
                  <c:v>0</c:v>
                </c:pt>
                <c:pt idx="901">
                  <c:v>0</c:v>
                </c:pt>
                <c:pt idx="902">
                  <c:v>0</c:v>
                </c:pt>
                <c:pt idx="903">
                  <c:v>0</c:v>
                </c:pt>
                <c:pt idx="904">
                  <c:v>0</c:v>
                </c:pt>
                <c:pt idx="905">
                  <c:v>0</c:v>
                </c:pt>
                <c:pt idx="906">
                  <c:v>0</c:v>
                </c:pt>
                <c:pt idx="907">
                  <c:v>0</c:v>
                </c:pt>
                <c:pt idx="908">
                  <c:v>0</c:v>
                </c:pt>
                <c:pt idx="909">
                  <c:v>0</c:v>
                </c:pt>
                <c:pt idx="910">
                  <c:v>0</c:v>
                </c:pt>
                <c:pt idx="911">
                  <c:v>0</c:v>
                </c:pt>
                <c:pt idx="912">
                  <c:v>0</c:v>
                </c:pt>
                <c:pt idx="913">
                  <c:v>0</c:v>
                </c:pt>
                <c:pt idx="914">
                  <c:v>0</c:v>
                </c:pt>
                <c:pt idx="915">
                  <c:v>0</c:v>
                </c:pt>
                <c:pt idx="916">
                  <c:v>0</c:v>
                </c:pt>
                <c:pt idx="917">
                  <c:v>0</c:v>
                </c:pt>
                <c:pt idx="918">
                  <c:v>0</c:v>
                </c:pt>
                <c:pt idx="919">
                  <c:v>0</c:v>
                </c:pt>
                <c:pt idx="920">
                  <c:v>0</c:v>
                </c:pt>
                <c:pt idx="921">
                  <c:v>0</c:v>
                </c:pt>
                <c:pt idx="922">
                  <c:v>0</c:v>
                </c:pt>
                <c:pt idx="923">
                  <c:v>0</c:v>
                </c:pt>
                <c:pt idx="924">
                  <c:v>0</c:v>
                </c:pt>
                <c:pt idx="925">
                  <c:v>0</c:v>
                </c:pt>
                <c:pt idx="926">
                  <c:v>0</c:v>
                </c:pt>
                <c:pt idx="927">
                  <c:v>0</c:v>
                </c:pt>
                <c:pt idx="928">
                  <c:v>0</c:v>
                </c:pt>
                <c:pt idx="929">
                  <c:v>0</c:v>
                </c:pt>
                <c:pt idx="930">
                  <c:v>0</c:v>
                </c:pt>
                <c:pt idx="931">
                  <c:v>0</c:v>
                </c:pt>
                <c:pt idx="932">
                  <c:v>0</c:v>
                </c:pt>
                <c:pt idx="933">
                  <c:v>0</c:v>
                </c:pt>
                <c:pt idx="934">
                  <c:v>0</c:v>
                </c:pt>
                <c:pt idx="935">
                  <c:v>0</c:v>
                </c:pt>
                <c:pt idx="936">
                  <c:v>0</c:v>
                </c:pt>
                <c:pt idx="937">
                  <c:v>0</c:v>
                </c:pt>
                <c:pt idx="938">
                  <c:v>0</c:v>
                </c:pt>
                <c:pt idx="939">
                  <c:v>0</c:v>
                </c:pt>
                <c:pt idx="940">
                  <c:v>0</c:v>
                </c:pt>
                <c:pt idx="941">
                  <c:v>0</c:v>
                </c:pt>
                <c:pt idx="942">
                  <c:v>0</c:v>
                </c:pt>
                <c:pt idx="943">
                  <c:v>0</c:v>
                </c:pt>
                <c:pt idx="944">
                  <c:v>0</c:v>
                </c:pt>
                <c:pt idx="945">
                  <c:v>0</c:v>
                </c:pt>
                <c:pt idx="946">
                  <c:v>0</c:v>
                </c:pt>
                <c:pt idx="947">
                  <c:v>0</c:v>
                </c:pt>
                <c:pt idx="948">
                  <c:v>0</c:v>
                </c:pt>
                <c:pt idx="949">
                  <c:v>0</c:v>
                </c:pt>
                <c:pt idx="950">
                  <c:v>0</c:v>
                </c:pt>
                <c:pt idx="951">
                  <c:v>0</c:v>
                </c:pt>
                <c:pt idx="952">
                  <c:v>0</c:v>
                </c:pt>
                <c:pt idx="953">
                  <c:v>0</c:v>
                </c:pt>
                <c:pt idx="954">
                  <c:v>0</c:v>
                </c:pt>
                <c:pt idx="955">
                  <c:v>0</c:v>
                </c:pt>
                <c:pt idx="956">
                  <c:v>0</c:v>
                </c:pt>
                <c:pt idx="957">
                  <c:v>0</c:v>
                </c:pt>
                <c:pt idx="958">
                  <c:v>0</c:v>
                </c:pt>
                <c:pt idx="959">
                  <c:v>0</c:v>
                </c:pt>
                <c:pt idx="960">
                  <c:v>0</c:v>
                </c:pt>
                <c:pt idx="961">
                  <c:v>0</c:v>
                </c:pt>
                <c:pt idx="962">
                  <c:v>0</c:v>
                </c:pt>
                <c:pt idx="963">
                  <c:v>0</c:v>
                </c:pt>
                <c:pt idx="964">
                  <c:v>0</c:v>
                </c:pt>
                <c:pt idx="965">
                  <c:v>0</c:v>
                </c:pt>
                <c:pt idx="966">
                  <c:v>0</c:v>
                </c:pt>
                <c:pt idx="967">
                  <c:v>0</c:v>
                </c:pt>
                <c:pt idx="968">
                  <c:v>0</c:v>
                </c:pt>
                <c:pt idx="969">
                  <c:v>0</c:v>
                </c:pt>
                <c:pt idx="970">
                  <c:v>0</c:v>
                </c:pt>
                <c:pt idx="971">
                  <c:v>0</c:v>
                </c:pt>
                <c:pt idx="972">
                  <c:v>0</c:v>
                </c:pt>
                <c:pt idx="973">
                  <c:v>0</c:v>
                </c:pt>
                <c:pt idx="974">
                  <c:v>0</c:v>
                </c:pt>
                <c:pt idx="975">
                  <c:v>0</c:v>
                </c:pt>
                <c:pt idx="976">
                  <c:v>0</c:v>
                </c:pt>
                <c:pt idx="977">
                  <c:v>0</c:v>
                </c:pt>
                <c:pt idx="978">
                  <c:v>0</c:v>
                </c:pt>
                <c:pt idx="979">
                  <c:v>0</c:v>
                </c:pt>
                <c:pt idx="980">
                  <c:v>0</c:v>
                </c:pt>
                <c:pt idx="981">
                  <c:v>0</c:v>
                </c:pt>
                <c:pt idx="982">
                  <c:v>0</c:v>
                </c:pt>
                <c:pt idx="983">
                  <c:v>0</c:v>
                </c:pt>
                <c:pt idx="984">
                  <c:v>0</c:v>
                </c:pt>
                <c:pt idx="985">
                  <c:v>0</c:v>
                </c:pt>
                <c:pt idx="986">
                  <c:v>0</c:v>
                </c:pt>
                <c:pt idx="987">
                  <c:v>0</c:v>
                </c:pt>
                <c:pt idx="988">
                  <c:v>0</c:v>
                </c:pt>
                <c:pt idx="989">
                  <c:v>0</c:v>
                </c:pt>
                <c:pt idx="990">
                  <c:v>0</c:v>
                </c:pt>
                <c:pt idx="991">
                  <c:v>0</c:v>
                </c:pt>
                <c:pt idx="992">
                  <c:v>0</c:v>
                </c:pt>
                <c:pt idx="993">
                  <c:v>0</c:v>
                </c:pt>
                <c:pt idx="994">
                  <c:v>0</c:v>
                </c:pt>
                <c:pt idx="995">
                  <c:v>0</c:v>
                </c:pt>
                <c:pt idx="996">
                  <c:v>0</c:v>
                </c:pt>
                <c:pt idx="997">
                  <c:v>0</c:v>
                </c:pt>
                <c:pt idx="998">
                  <c:v>0</c:v>
                </c:pt>
                <c:pt idx="999">
                  <c:v>0</c:v>
                </c:pt>
                <c:pt idx="1000">
                  <c:v>0</c:v>
                </c:pt>
                <c:pt idx="1001">
                  <c:v>0</c:v>
                </c:pt>
                <c:pt idx="1002">
                  <c:v>0</c:v>
                </c:pt>
                <c:pt idx="1003">
                  <c:v>0</c:v>
                </c:pt>
                <c:pt idx="1004">
                  <c:v>0</c:v>
                </c:pt>
                <c:pt idx="1005">
                  <c:v>0</c:v>
                </c:pt>
                <c:pt idx="1006">
                  <c:v>0</c:v>
                </c:pt>
                <c:pt idx="1007">
                  <c:v>0</c:v>
                </c:pt>
                <c:pt idx="1008">
                  <c:v>0</c:v>
                </c:pt>
                <c:pt idx="1009">
                  <c:v>0</c:v>
                </c:pt>
                <c:pt idx="1010">
                  <c:v>0</c:v>
                </c:pt>
                <c:pt idx="1011">
                  <c:v>0</c:v>
                </c:pt>
                <c:pt idx="1012">
                  <c:v>0</c:v>
                </c:pt>
                <c:pt idx="1013">
                  <c:v>0</c:v>
                </c:pt>
                <c:pt idx="1014">
                  <c:v>0</c:v>
                </c:pt>
                <c:pt idx="1015">
                  <c:v>0</c:v>
                </c:pt>
                <c:pt idx="1016">
                  <c:v>0</c:v>
                </c:pt>
                <c:pt idx="1017">
                  <c:v>0</c:v>
                </c:pt>
                <c:pt idx="1018">
                  <c:v>0</c:v>
                </c:pt>
                <c:pt idx="1019">
                  <c:v>0</c:v>
                </c:pt>
                <c:pt idx="1020">
                  <c:v>0</c:v>
                </c:pt>
                <c:pt idx="1021">
                  <c:v>0</c:v>
                </c:pt>
                <c:pt idx="1022">
                  <c:v>0</c:v>
                </c:pt>
                <c:pt idx="1023">
                  <c:v>0</c:v>
                </c:pt>
                <c:pt idx="1024">
                  <c:v>0</c:v>
                </c:pt>
                <c:pt idx="1025">
                  <c:v>0</c:v>
                </c:pt>
                <c:pt idx="1026">
                  <c:v>0</c:v>
                </c:pt>
                <c:pt idx="1027">
                  <c:v>0</c:v>
                </c:pt>
                <c:pt idx="1028">
                  <c:v>0</c:v>
                </c:pt>
                <c:pt idx="1029">
                  <c:v>0</c:v>
                </c:pt>
                <c:pt idx="1030">
                  <c:v>0</c:v>
                </c:pt>
                <c:pt idx="1031">
                  <c:v>0</c:v>
                </c:pt>
                <c:pt idx="1032">
                  <c:v>0</c:v>
                </c:pt>
                <c:pt idx="1033">
                  <c:v>0</c:v>
                </c:pt>
                <c:pt idx="1034">
                  <c:v>0</c:v>
                </c:pt>
                <c:pt idx="1035">
                  <c:v>0</c:v>
                </c:pt>
                <c:pt idx="1036">
                  <c:v>0</c:v>
                </c:pt>
                <c:pt idx="1037">
                  <c:v>0</c:v>
                </c:pt>
                <c:pt idx="1038">
                  <c:v>0</c:v>
                </c:pt>
                <c:pt idx="1039">
                  <c:v>0</c:v>
                </c:pt>
                <c:pt idx="1040">
                  <c:v>0</c:v>
                </c:pt>
                <c:pt idx="1041">
                  <c:v>0</c:v>
                </c:pt>
                <c:pt idx="1042">
                  <c:v>0</c:v>
                </c:pt>
                <c:pt idx="1043">
                  <c:v>0</c:v>
                </c:pt>
                <c:pt idx="1044">
                  <c:v>0</c:v>
                </c:pt>
                <c:pt idx="1045">
                  <c:v>0</c:v>
                </c:pt>
                <c:pt idx="1046">
                  <c:v>0</c:v>
                </c:pt>
                <c:pt idx="1047">
                  <c:v>0</c:v>
                </c:pt>
                <c:pt idx="1048">
                  <c:v>0</c:v>
                </c:pt>
                <c:pt idx="1049">
                  <c:v>0</c:v>
                </c:pt>
                <c:pt idx="1050">
                  <c:v>0</c:v>
                </c:pt>
                <c:pt idx="1051">
                  <c:v>0</c:v>
                </c:pt>
                <c:pt idx="1052">
                  <c:v>0</c:v>
                </c:pt>
                <c:pt idx="1053">
                  <c:v>0</c:v>
                </c:pt>
                <c:pt idx="1054">
                  <c:v>0</c:v>
                </c:pt>
                <c:pt idx="1055">
                  <c:v>0</c:v>
                </c:pt>
                <c:pt idx="1056">
                  <c:v>0</c:v>
                </c:pt>
                <c:pt idx="1057">
                  <c:v>0</c:v>
                </c:pt>
                <c:pt idx="1058">
                  <c:v>0</c:v>
                </c:pt>
                <c:pt idx="1059">
                  <c:v>0</c:v>
                </c:pt>
                <c:pt idx="1060">
                  <c:v>0</c:v>
                </c:pt>
                <c:pt idx="1061">
                  <c:v>0</c:v>
                </c:pt>
                <c:pt idx="1062">
                  <c:v>0</c:v>
                </c:pt>
                <c:pt idx="1063">
                  <c:v>0</c:v>
                </c:pt>
                <c:pt idx="1064">
                  <c:v>0</c:v>
                </c:pt>
                <c:pt idx="1065">
                  <c:v>0</c:v>
                </c:pt>
                <c:pt idx="1066">
                  <c:v>0</c:v>
                </c:pt>
                <c:pt idx="1067">
                  <c:v>0</c:v>
                </c:pt>
                <c:pt idx="1068">
                  <c:v>0</c:v>
                </c:pt>
                <c:pt idx="1069">
                  <c:v>0</c:v>
                </c:pt>
                <c:pt idx="1070">
                  <c:v>0</c:v>
                </c:pt>
                <c:pt idx="1071">
                  <c:v>0</c:v>
                </c:pt>
                <c:pt idx="1072">
                  <c:v>0</c:v>
                </c:pt>
                <c:pt idx="1073">
                  <c:v>0</c:v>
                </c:pt>
                <c:pt idx="1074">
                  <c:v>0</c:v>
                </c:pt>
                <c:pt idx="1075">
                  <c:v>0</c:v>
                </c:pt>
                <c:pt idx="1076">
                  <c:v>0</c:v>
                </c:pt>
                <c:pt idx="1077">
                  <c:v>0</c:v>
                </c:pt>
                <c:pt idx="1078">
                  <c:v>0</c:v>
                </c:pt>
                <c:pt idx="1079">
                  <c:v>0</c:v>
                </c:pt>
                <c:pt idx="1080">
                  <c:v>0</c:v>
                </c:pt>
                <c:pt idx="1081">
                  <c:v>0</c:v>
                </c:pt>
                <c:pt idx="1082">
                  <c:v>0</c:v>
                </c:pt>
                <c:pt idx="1083">
                  <c:v>0</c:v>
                </c:pt>
                <c:pt idx="1084">
                  <c:v>0</c:v>
                </c:pt>
                <c:pt idx="1085">
                  <c:v>0</c:v>
                </c:pt>
                <c:pt idx="1086">
                  <c:v>0</c:v>
                </c:pt>
                <c:pt idx="1087">
                  <c:v>0</c:v>
                </c:pt>
                <c:pt idx="1088">
                  <c:v>0</c:v>
                </c:pt>
                <c:pt idx="1089">
                  <c:v>0</c:v>
                </c:pt>
                <c:pt idx="1090">
                  <c:v>0</c:v>
                </c:pt>
                <c:pt idx="1091">
                  <c:v>0</c:v>
                </c:pt>
                <c:pt idx="1092">
                  <c:v>0</c:v>
                </c:pt>
                <c:pt idx="1093">
                  <c:v>0</c:v>
                </c:pt>
                <c:pt idx="1094">
                  <c:v>0</c:v>
                </c:pt>
                <c:pt idx="1095">
                  <c:v>0</c:v>
                </c:pt>
                <c:pt idx="1096">
                  <c:v>0</c:v>
                </c:pt>
                <c:pt idx="1097">
                  <c:v>0</c:v>
                </c:pt>
                <c:pt idx="1098">
                  <c:v>0</c:v>
                </c:pt>
                <c:pt idx="1099">
                  <c:v>0</c:v>
                </c:pt>
                <c:pt idx="1100">
                  <c:v>0</c:v>
                </c:pt>
                <c:pt idx="1101">
                  <c:v>0</c:v>
                </c:pt>
                <c:pt idx="1102">
                  <c:v>0</c:v>
                </c:pt>
                <c:pt idx="1103">
                  <c:v>0</c:v>
                </c:pt>
                <c:pt idx="1104">
                  <c:v>0</c:v>
                </c:pt>
                <c:pt idx="1105">
                  <c:v>0</c:v>
                </c:pt>
                <c:pt idx="1106">
                  <c:v>0</c:v>
                </c:pt>
                <c:pt idx="1107">
                  <c:v>0</c:v>
                </c:pt>
                <c:pt idx="1108">
                  <c:v>0</c:v>
                </c:pt>
                <c:pt idx="1109">
                  <c:v>0</c:v>
                </c:pt>
                <c:pt idx="1110">
                  <c:v>0</c:v>
                </c:pt>
                <c:pt idx="1111">
                  <c:v>0</c:v>
                </c:pt>
                <c:pt idx="1112">
                  <c:v>0</c:v>
                </c:pt>
                <c:pt idx="1113">
                  <c:v>0</c:v>
                </c:pt>
                <c:pt idx="1114">
                  <c:v>0</c:v>
                </c:pt>
                <c:pt idx="1115">
                  <c:v>0</c:v>
                </c:pt>
                <c:pt idx="1116">
                  <c:v>0</c:v>
                </c:pt>
                <c:pt idx="1117">
                  <c:v>0</c:v>
                </c:pt>
                <c:pt idx="1118">
                  <c:v>0</c:v>
                </c:pt>
                <c:pt idx="1119">
                  <c:v>0</c:v>
                </c:pt>
                <c:pt idx="1120">
                  <c:v>0</c:v>
                </c:pt>
                <c:pt idx="1121">
                  <c:v>0</c:v>
                </c:pt>
                <c:pt idx="1122">
                  <c:v>0</c:v>
                </c:pt>
                <c:pt idx="1123">
                  <c:v>0</c:v>
                </c:pt>
                <c:pt idx="1124">
                  <c:v>0</c:v>
                </c:pt>
                <c:pt idx="1125">
                  <c:v>0</c:v>
                </c:pt>
                <c:pt idx="1126">
                  <c:v>0</c:v>
                </c:pt>
                <c:pt idx="1127">
                  <c:v>0</c:v>
                </c:pt>
                <c:pt idx="1128">
                  <c:v>0</c:v>
                </c:pt>
                <c:pt idx="1129">
                  <c:v>0</c:v>
                </c:pt>
                <c:pt idx="1130">
                  <c:v>0</c:v>
                </c:pt>
                <c:pt idx="1131">
                  <c:v>0</c:v>
                </c:pt>
                <c:pt idx="1132">
                  <c:v>0</c:v>
                </c:pt>
                <c:pt idx="1133">
                  <c:v>0</c:v>
                </c:pt>
                <c:pt idx="1134">
                  <c:v>0</c:v>
                </c:pt>
                <c:pt idx="1135">
                  <c:v>0</c:v>
                </c:pt>
                <c:pt idx="1136">
                  <c:v>0</c:v>
                </c:pt>
                <c:pt idx="1137">
                  <c:v>0</c:v>
                </c:pt>
                <c:pt idx="1138">
                  <c:v>0</c:v>
                </c:pt>
                <c:pt idx="1139">
                  <c:v>0</c:v>
                </c:pt>
                <c:pt idx="1140">
                  <c:v>0</c:v>
                </c:pt>
                <c:pt idx="1141">
                  <c:v>0</c:v>
                </c:pt>
                <c:pt idx="1142">
                  <c:v>0</c:v>
                </c:pt>
                <c:pt idx="1143">
                  <c:v>0</c:v>
                </c:pt>
                <c:pt idx="1144">
                  <c:v>0</c:v>
                </c:pt>
                <c:pt idx="1145">
                  <c:v>0</c:v>
                </c:pt>
                <c:pt idx="1146">
                  <c:v>0</c:v>
                </c:pt>
                <c:pt idx="1147">
                  <c:v>0</c:v>
                </c:pt>
                <c:pt idx="1148">
                  <c:v>0</c:v>
                </c:pt>
                <c:pt idx="1149">
                  <c:v>0</c:v>
                </c:pt>
                <c:pt idx="1150">
                  <c:v>0</c:v>
                </c:pt>
                <c:pt idx="1151">
                  <c:v>0</c:v>
                </c:pt>
                <c:pt idx="1152">
                  <c:v>0</c:v>
                </c:pt>
                <c:pt idx="1153">
                  <c:v>0</c:v>
                </c:pt>
                <c:pt idx="1154">
                  <c:v>0</c:v>
                </c:pt>
                <c:pt idx="1155">
                  <c:v>0</c:v>
                </c:pt>
                <c:pt idx="1156">
                  <c:v>0</c:v>
                </c:pt>
                <c:pt idx="1157">
                  <c:v>0</c:v>
                </c:pt>
                <c:pt idx="1158">
                  <c:v>0</c:v>
                </c:pt>
                <c:pt idx="1159">
                  <c:v>0</c:v>
                </c:pt>
                <c:pt idx="1160">
                  <c:v>0</c:v>
                </c:pt>
                <c:pt idx="1161">
                  <c:v>0</c:v>
                </c:pt>
                <c:pt idx="1162">
                  <c:v>0</c:v>
                </c:pt>
                <c:pt idx="1163">
                  <c:v>0</c:v>
                </c:pt>
                <c:pt idx="1164">
                  <c:v>0</c:v>
                </c:pt>
                <c:pt idx="1165">
                  <c:v>0</c:v>
                </c:pt>
                <c:pt idx="1166">
                  <c:v>0</c:v>
                </c:pt>
                <c:pt idx="1167">
                  <c:v>0</c:v>
                </c:pt>
                <c:pt idx="1168">
                  <c:v>0</c:v>
                </c:pt>
                <c:pt idx="1169">
                  <c:v>0</c:v>
                </c:pt>
                <c:pt idx="1170">
                  <c:v>0</c:v>
                </c:pt>
                <c:pt idx="1171">
                  <c:v>0</c:v>
                </c:pt>
                <c:pt idx="1172">
                  <c:v>0</c:v>
                </c:pt>
                <c:pt idx="1173">
                  <c:v>0</c:v>
                </c:pt>
                <c:pt idx="1174">
                  <c:v>0</c:v>
                </c:pt>
                <c:pt idx="1175">
                  <c:v>0</c:v>
                </c:pt>
                <c:pt idx="1176">
                  <c:v>0</c:v>
                </c:pt>
                <c:pt idx="1177">
                  <c:v>0</c:v>
                </c:pt>
                <c:pt idx="1178">
                  <c:v>0</c:v>
                </c:pt>
                <c:pt idx="1179">
                  <c:v>0</c:v>
                </c:pt>
                <c:pt idx="1180">
                  <c:v>0</c:v>
                </c:pt>
                <c:pt idx="1181">
                  <c:v>0</c:v>
                </c:pt>
                <c:pt idx="1182">
                  <c:v>0</c:v>
                </c:pt>
                <c:pt idx="1183">
                  <c:v>0</c:v>
                </c:pt>
                <c:pt idx="1184">
                  <c:v>0</c:v>
                </c:pt>
                <c:pt idx="1185">
                  <c:v>0</c:v>
                </c:pt>
                <c:pt idx="1186">
                  <c:v>0</c:v>
                </c:pt>
                <c:pt idx="1187">
                  <c:v>0</c:v>
                </c:pt>
                <c:pt idx="1188">
                  <c:v>0</c:v>
                </c:pt>
                <c:pt idx="1189">
                  <c:v>0</c:v>
                </c:pt>
                <c:pt idx="1190">
                  <c:v>0</c:v>
                </c:pt>
                <c:pt idx="1191">
                  <c:v>0</c:v>
                </c:pt>
                <c:pt idx="1192">
                  <c:v>0</c:v>
                </c:pt>
                <c:pt idx="1193">
                  <c:v>0</c:v>
                </c:pt>
                <c:pt idx="1194">
                  <c:v>0</c:v>
                </c:pt>
                <c:pt idx="1195">
                  <c:v>0</c:v>
                </c:pt>
                <c:pt idx="1196">
                  <c:v>0</c:v>
                </c:pt>
                <c:pt idx="1197">
                  <c:v>0</c:v>
                </c:pt>
                <c:pt idx="1198">
                  <c:v>0</c:v>
                </c:pt>
                <c:pt idx="1199">
                  <c:v>0</c:v>
                </c:pt>
                <c:pt idx="1200">
                  <c:v>0</c:v>
                </c:pt>
                <c:pt idx="1201">
                  <c:v>0</c:v>
                </c:pt>
                <c:pt idx="1202">
                  <c:v>0</c:v>
                </c:pt>
                <c:pt idx="1203">
                  <c:v>0</c:v>
                </c:pt>
                <c:pt idx="1204">
                  <c:v>0</c:v>
                </c:pt>
                <c:pt idx="1205">
                  <c:v>0</c:v>
                </c:pt>
                <c:pt idx="1206">
                  <c:v>0</c:v>
                </c:pt>
                <c:pt idx="1207">
                  <c:v>0</c:v>
                </c:pt>
                <c:pt idx="1208">
                  <c:v>0</c:v>
                </c:pt>
                <c:pt idx="1209">
                  <c:v>0</c:v>
                </c:pt>
                <c:pt idx="1210">
                  <c:v>0</c:v>
                </c:pt>
                <c:pt idx="1211">
                  <c:v>0</c:v>
                </c:pt>
                <c:pt idx="1212">
                  <c:v>0</c:v>
                </c:pt>
                <c:pt idx="1213">
                  <c:v>0</c:v>
                </c:pt>
                <c:pt idx="1214">
                  <c:v>0</c:v>
                </c:pt>
                <c:pt idx="1215">
                  <c:v>0</c:v>
                </c:pt>
                <c:pt idx="1216">
                  <c:v>0</c:v>
                </c:pt>
                <c:pt idx="1217">
                  <c:v>0</c:v>
                </c:pt>
                <c:pt idx="1218">
                  <c:v>0</c:v>
                </c:pt>
                <c:pt idx="1219">
                  <c:v>0</c:v>
                </c:pt>
                <c:pt idx="1220">
                  <c:v>0</c:v>
                </c:pt>
                <c:pt idx="1221">
                  <c:v>0</c:v>
                </c:pt>
                <c:pt idx="1222">
                  <c:v>0</c:v>
                </c:pt>
                <c:pt idx="1223">
                  <c:v>0</c:v>
                </c:pt>
                <c:pt idx="1224">
                  <c:v>0</c:v>
                </c:pt>
                <c:pt idx="1225">
                  <c:v>0</c:v>
                </c:pt>
                <c:pt idx="1226">
                  <c:v>0</c:v>
                </c:pt>
                <c:pt idx="1227">
                  <c:v>0</c:v>
                </c:pt>
                <c:pt idx="1228">
                  <c:v>0</c:v>
                </c:pt>
                <c:pt idx="1229">
                  <c:v>0</c:v>
                </c:pt>
                <c:pt idx="1230">
                  <c:v>0</c:v>
                </c:pt>
                <c:pt idx="1231">
                  <c:v>0</c:v>
                </c:pt>
                <c:pt idx="1232">
                  <c:v>0</c:v>
                </c:pt>
                <c:pt idx="1233">
                  <c:v>0</c:v>
                </c:pt>
                <c:pt idx="1234">
                  <c:v>0</c:v>
                </c:pt>
                <c:pt idx="1235">
                  <c:v>0</c:v>
                </c:pt>
                <c:pt idx="1236">
                  <c:v>0</c:v>
                </c:pt>
                <c:pt idx="1237">
                  <c:v>0</c:v>
                </c:pt>
                <c:pt idx="1238">
                  <c:v>0</c:v>
                </c:pt>
                <c:pt idx="1239">
                  <c:v>0</c:v>
                </c:pt>
                <c:pt idx="1240">
                  <c:v>0</c:v>
                </c:pt>
                <c:pt idx="1241">
                  <c:v>0</c:v>
                </c:pt>
                <c:pt idx="1242">
                  <c:v>0</c:v>
                </c:pt>
                <c:pt idx="1243">
                  <c:v>0</c:v>
                </c:pt>
                <c:pt idx="1244">
                  <c:v>0</c:v>
                </c:pt>
                <c:pt idx="1245">
                  <c:v>0</c:v>
                </c:pt>
                <c:pt idx="1246">
                  <c:v>0</c:v>
                </c:pt>
                <c:pt idx="1247">
                  <c:v>0</c:v>
                </c:pt>
                <c:pt idx="1248">
                  <c:v>0</c:v>
                </c:pt>
                <c:pt idx="1249">
                  <c:v>0</c:v>
                </c:pt>
                <c:pt idx="1250">
                  <c:v>0</c:v>
                </c:pt>
                <c:pt idx="1251">
                  <c:v>0</c:v>
                </c:pt>
                <c:pt idx="1252">
                  <c:v>0</c:v>
                </c:pt>
                <c:pt idx="1253">
                  <c:v>0</c:v>
                </c:pt>
                <c:pt idx="1254">
                  <c:v>0</c:v>
                </c:pt>
                <c:pt idx="1255">
                  <c:v>0</c:v>
                </c:pt>
                <c:pt idx="1256">
                  <c:v>0</c:v>
                </c:pt>
                <c:pt idx="1257">
                  <c:v>0</c:v>
                </c:pt>
                <c:pt idx="1258">
                  <c:v>0</c:v>
                </c:pt>
                <c:pt idx="1259">
                  <c:v>0</c:v>
                </c:pt>
                <c:pt idx="1260">
                  <c:v>0</c:v>
                </c:pt>
                <c:pt idx="1261">
                  <c:v>0</c:v>
                </c:pt>
                <c:pt idx="1262">
                  <c:v>0</c:v>
                </c:pt>
                <c:pt idx="1263">
                  <c:v>0</c:v>
                </c:pt>
                <c:pt idx="1264">
                  <c:v>0</c:v>
                </c:pt>
                <c:pt idx="1265">
                  <c:v>0</c:v>
                </c:pt>
                <c:pt idx="1266">
                  <c:v>0</c:v>
                </c:pt>
                <c:pt idx="1267">
                  <c:v>0</c:v>
                </c:pt>
                <c:pt idx="1268">
                  <c:v>0</c:v>
                </c:pt>
                <c:pt idx="1269">
                  <c:v>0</c:v>
                </c:pt>
                <c:pt idx="1270">
                  <c:v>0</c:v>
                </c:pt>
                <c:pt idx="1271">
                  <c:v>0</c:v>
                </c:pt>
                <c:pt idx="1272">
                  <c:v>0</c:v>
                </c:pt>
                <c:pt idx="1273">
                  <c:v>0</c:v>
                </c:pt>
                <c:pt idx="1274">
                  <c:v>0</c:v>
                </c:pt>
                <c:pt idx="1275">
                  <c:v>0</c:v>
                </c:pt>
                <c:pt idx="1276">
                  <c:v>0</c:v>
                </c:pt>
                <c:pt idx="1277">
                  <c:v>0</c:v>
                </c:pt>
                <c:pt idx="1278">
                  <c:v>0</c:v>
                </c:pt>
                <c:pt idx="1279">
                  <c:v>0</c:v>
                </c:pt>
                <c:pt idx="1280">
                  <c:v>0</c:v>
                </c:pt>
                <c:pt idx="1281">
                  <c:v>0</c:v>
                </c:pt>
                <c:pt idx="1282">
                  <c:v>0</c:v>
                </c:pt>
                <c:pt idx="1283">
                  <c:v>0</c:v>
                </c:pt>
                <c:pt idx="1284">
                  <c:v>0</c:v>
                </c:pt>
                <c:pt idx="1285">
                  <c:v>0</c:v>
                </c:pt>
                <c:pt idx="1286">
                  <c:v>0</c:v>
                </c:pt>
                <c:pt idx="1287">
                  <c:v>0</c:v>
                </c:pt>
                <c:pt idx="1288">
                  <c:v>0</c:v>
                </c:pt>
                <c:pt idx="1289">
                  <c:v>0</c:v>
                </c:pt>
                <c:pt idx="1290">
                  <c:v>0</c:v>
                </c:pt>
                <c:pt idx="1291">
                  <c:v>0</c:v>
                </c:pt>
                <c:pt idx="1292">
                  <c:v>0</c:v>
                </c:pt>
                <c:pt idx="1293">
                  <c:v>0</c:v>
                </c:pt>
                <c:pt idx="1294">
                  <c:v>0</c:v>
                </c:pt>
                <c:pt idx="1295">
                  <c:v>0</c:v>
                </c:pt>
                <c:pt idx="1296">
                  <c:v>0</c:v>
                </c:pt>
                <c:pt idx="1297">
                  <c:v>0</c:v>
                </c:pt>
                <c:pt idx="1298">
                  <c:v>0</c:v>
                </c:pt>
                <c:pt idx="1299">
                  <c:v>0</c:v>
                </c:pt>
                <c:pt idx="1300">
                  <c:v>0</c:v>
                </c:pt>
                <c:pt idx="1301">
                  <c:v>0</c:v>
                </c:pt>
                <c:pt idx="1302">
                  <c:v>0</c:v>
                </c:pt>
                <c:pt idx="1303">
                  <c:v>0</c:v>
                </c:pt>
                <c:pt idx="1304">
                  <c:v>0</c:v>
                </c:pt>
                <c:pt idx="1305">
                  <c:v>0</c:v>
                </c:pt>
                <c:pt idx="1306">
                  <c:v>0</c:v>
                </c:pt>
                <c:pt idx="1307">
                  <c:v>0</c:v>
                </c:pt>
                <c:pt idx="1308">
                  <c:v>0</c:v>
                </c:pt>
                <c:pt idx="1309">
                  <c:v>0</c:v>
                </c:pt>
                <c:pt idx="1310">
                  <c:v>0</c:v>
                </c:pt>
                <c:pt idx="1311">
                  <c:v>0</c:v>
                </c:pt>
                <c:pt idx="1312">
                  <c:v>0</c:v>
                </c:pt>
                <c:pt idx="1313">
                  <c:v>0</c:v>
                </c:pt>
                <c:pt idx="1314">
                  <c:v>0</c:v>
                </c:pt>
                <c:pt idx="1315">
                  <c:v>0</c:v>
                </c:pt>
                <c:pt idx="1316">
                  <c:v>0</c:v>
                </c:pt>
                <c:pt idx="1317">
                  <c:v>0</c:v>
                </c:pt>
                <c:pt idx="1318">
                  <c:v>0</c:v>
                </c:pt>
                <c:pt idx="1319">
                  <c:v>0</c:v>
                </c:pt>
                <c:pt idx="1320">
                  <c:v>0</c:v>
                </c:pt>
                <c:pt idx="1321">
                  <c:v>0</c:v>
                </c:pt>
                <c:pt idx="1322">
                  <c:v>0</c:v>
                </c:pt>
                <c:pt idx="1323">
                  <c:v>0</c:v>
                </c:pt>
                <c:pt idx="1324">
                  <c:v>0</c:v>
                </c:pt>
                <c:pt idx="1325">
                  <c:v>0</c:v>
                </c:pt>
                <c:pt idx="1326">
                  <c:v>0</c:v>
                </c:pt>
                <c:pt idx="1327">
                  <c:v>0</c:v>
                </c:pt>
                <c:pt idx="1328">
                  <c:v>0</c:v>
                </c:pt>
                <c:pt idx="1329">
                  <c:v>0</c:v>
                </c:pt>
                <c:pt idx="1330">
                  <c:v>0</c:v>
                </c:pt>
                <c:pt idx="1331">
                  <c:v>0</c:v>
                </c:pt>
                <c:pt idx="1332">
                  <c:v>0</c:v>
                </c:pt>
                <c:pt idx="1333">
                  <c:v>0</c:v>
                </c:pt>
                <c:pt idx="1334">
                  <c:v>0</c:v>
                </c:pt>
                <c:pt idx="1335">
                  <c:v>0</c:v>
                </c:pt>
                <c:pt idx="1336">
                  <c:v>0</c:v>
                </c:pt>
                <c:pt idx="1337">
                  <c:v>0</c:v>
                </c:pt>
                <c:pt idx="1338">
                  <c:v>0</c:v>
                </c:pt>
                <c:pt idx="1339">
                  <c:v>0</c:v>
                </c:pt>
                <c:pt idx="1340">
                  <c:v>0</c:v>
                </c:pt>
                <c:pt idx="1341">
                  <c:v>0</c:v>
                </c:pt>
                <c:pt idx="1342">
                  <c:v>0</c:v>
                </c:pt>
                <c:pt idx="1343">
                  <c:v>0</c:v>
                </c:pt>
                <c:pt idx="1344">
                  <c:v>0</c:v>
                </c:pt>
                <c:pt idx="1345">
                  <c:v>0</c:v>
                </c:pt>
                <c:pt idx="1346">
                  <c:v>0</c:v>
                </c:pt>
                <c:pt idx="1347">
                  <c:v>0</c:v>
                </c:pt>
                <c:pt idx="1348">
                  <c:v>0</c:v>
                </c:pt>
                <c:pt idx="1349">
                  <c:v>0</c:v>
                </c:pt>
                <c:pt idx="1350">
                  <c:v>0</c:v>
                </c:pt>
                <c:pt idx="1351">
                  <c:v>0</c:v>
                </c:pt>
                <c:pt idx="1352">
                  <c:v>0</c:v>
                </c:pt>
                <c:pt idx="1353">
                  <c:v>0</c:v>
                </c:pt>
                <c:pt idx="1354">
                  <c:v>0</c:v>
                </c:pt>
                <c:pt idx="1355">
                  <c:v>0</c:v>
                </c:pt>
                <c:pt idx="1356">
                  <c:v>0</c:v>
                </c:pt>
                <c:pt idx="1357">
                  <c:v>0</c:v>
                </c:pt>
                <c:pt idx="1358">
                  <c:v>0</c:v>
                </c:pt>
                <c:pt idx="1359">
                  <c:v>0</c:v>
                </c:pt>
                <c:pt idx="1360">
                  <c:v>0</c:v>
                </c:pt>
                <c:pt idx="1361">
                  <c:v>0</c:v>
                </c:pt>
                <c:pt idx="1362">
                  <c:v>0</c:v>
                </c:pt>
                <c:pt idx="1363">
                  <c:v>0</c:v>
                </c:pt>
                <c:pt idx="1364">
                  <c:v>0</c:v>
                </c:pt>
                <c:pt idx="1365">
                  <c:v>0</c:v>
                </c:pt>
                <c:pt idx="1366">
                  <c:v>0</c:v>
                </c:pt>
                <c:pt idx="1367">
                  <c:v>0</c:v>
                </c:pt>
                <c:pt idx="1368">
                  <c:v>0</c:v>
                </c:pt>
                <c:pt idx="1369">
                  <c:v>0</c:v>
                </c:pt>
                <c:pt idx="1370">
                  <c:v>0</c:v>
                </c:pt>
                <c:pt idx="1371">
                  <c:v>0</c:v>
                </c:pt>
                <c:pt idx="1372">
                  <c:v>0</c:v>
                </c:pt>
                <c:pt idx="1373">
                  <c:v>0</c:v>
                </c:pt>
                <c:pt idx="1374">
                  <c:v>0</c:v>
                </c:pt>
                <c:pt idx="1375">
                  <c:v>0</c:v>
                </c:pt>
                <c:pt idx="1376">
                  <c:v>0</c:v>
                </c:pt>
                <c:pt idx="1377">
                  <c:v>0</c:v>
                </c:pt>
                <c:pt idx="1378">
                  <c:v>0</c:v>
                </c:pt>
                <c:pt idx="1379">
                  <c:v>0</c:v>
                </c:pt>
                <c:pt idx="1380">
                  <c:v>0</c:v>
                </c:pt>
                <c:pt idx="1381">
                  <c:v>0</c:v>
                </c:pt>
                <c:pt idx="1382">
                  <c:v>0</c:v>
                </c:pt>
                <c:pt idx="1383">
                  <c:v>0</c:v>
                </c:pt>
                <c:pt idx="1384">
                  <c:v>0</c:v>
                </c:pt>
                <c:pt idx="1385">
                  <c:v>0</c:v>
                </c:pt>
                <c:pt idx="1386">
                  <c:v>0</c:v>
                </c:pt>
                <c:pt idx="1387">
                  <c:v>0</c:v>
                </c:pt>
                <c:pt idx="1388">
                  <c:v>0</c:v>
                </c:pt>
                <c:pt idx="1389">
                  <c:v>0</c:v>
                </c:pt>
                <c:pt idx="1390">
                  <c:v>0</c:v>
                </c:pt>
                <c:pt idx="1391">
                  <c:v>0</c:v>
                </c:pt>
                <c:pt idx="1392">
                  <c:v>0</c:v>
                </c:pt>
                <c:pt idx="1393">
                  <c:v>0</c:v>
                </c:pt>
                <c:pt idx="1394">
                  <c:v>0</c:v>
                </c:pt>
                <c:pt idx="1395">
                  <c:v>0</c:v>
                </c:pt>
                <c:pt idx="1396">
                  <c:v>0</c:v>
                </c:pt>
                <c:pt idx="1397">
                  <c:v>0</c:v>
                </c:pt>
                <c:pt idx="1398">
                  <c:v>0</c:v>
                </c:pt>
                <c:pt idx="1399">
                  <c:v>0</c:v>
                </c:pt>
                <c:pt idx="1400">
                  <c:v>0</c:v>
                </c:pt>
                <c:pt idx="1401">
                  <c:v>0</c:v>
                </c:pt>
                <c:pt idx="1402">
                  <c:v>0</c:v>
                </c:pt>
                <c:pt idx="1403">
                  <c:v>0</c:v>
                </c:pt>
                <c:pt idx="1404">
                  <c:v>0</c:v>
                </c:pt>
                <c:pt idx="1405">
                  <c:v>0</c:v>
                </c:pt>
                <c:pt idx="1406">
                  <c:v>0</c:v>
                </c:pt>
                <c:pt idx="1407">
                  <c:v>0</c:v>
                </c:pt>
                <c:pt idx="1408">
                  <c:v>0</c:v>
                </c:pt>
                <c:pt idx="1409">
                  <c:v>0</c:v>
                </c:pt>
                <c:pt idx="1410">
                  <c:v>0</c:v>
                </c:pt>
                <c:pt idx="1411">
                  <c:v>0</c:v>
                </c:pt>
                <c:pt idx="1412">
                  <c:v>0</c:v>
                </c:pt>
                <c:pt idx="1413">
                  <c:v>0</c:v>
                </c:pt>
                <c:pt idx="1414">
                  <c:v>0</c:v>
                </c:pt>
                <c:pt idx="1415">
                  <c:v>0</c:v>
                </c:pt>
                <c:pt idx="1416">
                  <c:v>0</c:v>
                </c:pt>
                <c:pt idx="1417">
                  <c:v>0</c:v>
                </c:pt>
                <c:pt idx="1418">
                  <c:v>0</c:v>
                </c:pt>
                <c:pt idx="1419">
                  <c:v>0</c:v>
                </c:pt>
                <c:pt idx="1420">
                  <c:v>0</c:v>
                </c:pt>
                <c:pt idx="1421">
                  <c:v>0</c:v>
                </c:pt>
                <c:pt idx="1422">
                  <c:v>0</c:v>
                </c:pt>
                <c:pt idx="1423">
                  <c:v>0</c:v>
                </c:pt>
                <c:pt idx="1424">
                  <c:v>0</c:v>
                </c:pt>
                <c:pt idx="1425">
                  <c:v>0</c:v>
                </c:pt>
                <c:pt idx="1426">
                  <c:v>0</c:v>
                </c:pt>
                <c:pt idx="1427">
                  <c:v>0</c:v>
                </c:pt>
                <c:pt idx="1428">
                  <c:v>0</c:v>
                </c:pt>
                <c:pt idx="1429">
                  <c:v>0</c:v>
                </c:pt>
                <c:pt idx="1430">
                  <c:v>0</c:v>
                </c:pt>
                <c:pt idx="1431">
                  <c:v>0</c:v>
                </c:pt>
                <c:pt idx="1432">
                  <c:v>0</c:v>
                </c:pt>
                <c:pt idx="1433">
                  <c:v>0</c:v>
                </c:pt>
                <c:pt idx="1434">
                  <c:v>0</c:v>
                </c:pt>
                <c:pt idx="1435">
                  <c:v>0</c:v>
                </c:pt>
                <c:pt idx="1436">
                  <c:v>0</c:v>
                </c:pt>
                <c:pt idx="1437">
                  <c:v>0</c:v>
                </c:pt>
                <c:pt idx="1438">
                  <c:v>0</c:v>
                </c:pt>
                <c:pt idx="1439">
                  <c:v>0</c:v>
                </c:pt>
                <c:pt idx="1440">
                  <c:v>0</c:v>
                </c:pt>
                <c:pt idx="1441">
                  <c:v>0</c:v>
                </c:pt>
                <c:pt idx="1442">
                  <c:v>0</c:v>
                </c:pt>
                <c:pt idx="1443">
                  <c:v>0</c:v>
                </c:pt>
                <c:pt idx="1444">
                  <c:v>0</c:v>
                </c:pt>
                <c:pt idx="1445">
                  <c:v>0</c:v>
                </c:pt>
                <c:pt idx="1446">
                  <c:v>0</c:v>
                </c:pt>
                <c:pt idx="1447">
                  <c:v>0</c:v>
                </c:pt>
                <c:pt idx="1448">
                  <c:v>0</c:v>
                </c:pt>
                <c:pt idx="1449">
                  <c:v>0</c:v>
                </c:pt>
                <c:pt idx="1450">
                  <c:v>0</c:v>
                </c:pt>
                <c:pt idx="1451">
                  <c:v>0</c:v>
                </c:pt>
                <c:pt idx="1452">
                  <c:v>0</c:v>
                </c:pt>
                <c:pt idx="1453">
                  <c:v>0</c:v>
                </c:pt>
                <c:pt idx="1454">
                  <c:v>0</c:v>
                </c:pt>
                <c:pt idx="1455">
                  <c:v>0</c:v>
                </c:pt>
                <c:pt idx="1456">
                  <c:v>0</c:v>
                </c:pt>
                <c:pt idx="1457">
                  <c:v>0</c:v>
                </c:pt>
                <c:pt idx="1458">
                  <c:v>0</c:v>
                </c:pt>
                <c:pt idx="1459">
                  <c:v>0</c:v>
                </c:pt>
                <c:pt idx="1460">
                  <c:v>0</c:v>
                </c:pt>
                <c:pt idx="1461">
                  <c:v>0</c:v>
                </c:pt>
                <c:pt idx="1462">
                  <c:v>0</c:v>
                </c:pt>
                <c:pt idx="1463">
                  <c:v>0</c:v>
                </c:pt>
                <c:pt idx="1464">
                  <c:v>0</c:v>
                </c:pt>
                <c:pt idx="1465">
                  <c:v>0</c:v>
                </c:pt>
                <c:pt idx="1466">
                  <c:v>0</c:v>
                </c:pt>
                <c:pt idx="1467">
                  <c:v>0</c:v>
                </c:pt>
                <c:pt idx="1468">
                  <c:v>0</c:v>
                </c:pt>
                <c:pt idx="1469">
                  <c:v>0</c:v>
                </c:pt>
                <c:pt idx="1470">
                  <c:v>0</c:v>
                </c:pt>
                <c:pt idx="1471">
                  <c:v>0</c:v>
                </c:pt>
                <c:pt idx="1472">
                  <c:v>0</c:v>
                </c:pt>
                <c:pt idx="1473">
                  <c:v>0</c:v>
                </c:pt>
                <c:pt idx="1474">
                  <c:v>0</c:v>
                </c:pt>
                <c:pt idx="1475">
                  <c:v>0</c:v>
                </c:pt>
                <c:pt idx="1476">
                  <c:v>0</c:v>
                </c:pt>
                <c:pt idx="1477">
                  <c:v>0</c:v>
                </c:pt>
                <c:pt idx="1478">
                  <c:v>0</c:v>
                </c:pt>
                <c:pt idx="1479">
                  <c:v>0</c:v>
                </c:pt>
                <c:pt idx="1480">
                  <c:v>0</c:v>
                </c:pt>
                <c:pt idx="1481">
                  <c:v>0</c:v>
                </c:pt>
                <c:pt idx="1482">
                  <c:v>0</c:v>
                </c:pt>
                <c:pt idx="1483">
                  <c:v>0</c:v>
                </c:pt>
                <c:pt idx="1484">
                  <c:v>0</c:v>
                </c:pt>
                <c:pt idx="1485">
                  <c:v>0</c:v>
                </c:pt>
                <c:pt idx="1486">
                  <c:v>0</c:v>
                </c:pt>
                <c:pt idx="1487">
                  <c:v>0</c:v>
                </c:pt>
                <c:pt idx="1488">
                  <c:v>0</c:v>
                </c:pt>
                <c:pt idx="1489">
                  <c:v>0</c:v>
                </c:pt>
                <c:pt idx="1490">
                  <c:v>0</c:v>
                </c:pt>
                <c:pt idx="1491">
                  <c:v>0</c:v>
                </c:pt>
                <c:pt idx="1492">
                  <c:v>0</c:v>
                </c:pt>
                <c:pt idx="1493">
                  <c:v>0</c:v>
                </c:pt>
                <c:pt idx="1494">
                  <c:v>0</c:v>
                </c:pt>
                <c:pt idx="1495">
                  <c:v>0</c:v>
                </c:pt>
                <c:pt idx="1496">
                  <c:v>0</c:v>
                </c:pt>
                <c:pt idx="1497">
                  <c:v>0</c:v>
                </c:pt>
                <c:pt idx="1498">
                  <c:v>0</c:v>
                </c:pt>
                <c:pt idx="1499">
                  <c:v>0</c:v>
                </c:pt>
                <c:pt idx="1500">
                  <c:v>0</c:v>
                </c:pt>
                <c:pt idx="1501">
                  <c:v>0</c:v>
                </c:pt>
                <c:pt idx="1502">
                  <c:v>0</c:v>
                </c:pt>
                <c:pt idx="1503">
                  <c:v>0</c:v>
                </c:pt>
                <c:pt idx="1504">
                  <c:v>0</c:v>
                </c:pt>
                <c:pt idx="1505">
                  <c:v>0</c:v>
                </c:pt>
                <c:pt idx="1506">
                  <c:v>0</c:v>
                </c:pt>
                <c:pt idx="1507">
                  <c:v>0</c:v>
                </c:pt>
                <c:pt idx="1508">
                  <c:v>0</c:v>
                </c:pt>
                <c:pt idx="1509">
                  <c:v>0</c:v>
                </c:pt>
                <c:pt idx="1510">
                  <c:v>0</c:v>
                </c:pt>
                <c:pt idx="151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C4EB-42CD-AD23-1403467BE27D}"/>
            </c:ext>
          </c:extLst>
        </c:ser>
        <c:ser>
          <c:idx val="6"/>
          <c:order val="4"/>
          <c:tx>
            <c:strRef>
              <c:f>'M12'!$Z$6</c:f>
              <c:strCache>
                <c:ptCount val="1"/>
                <c:pt idx="0">
                  <c:v>90%</c:v>
                </c:pt>
              </c:strCache>
            </c:strRef>
          </c:tx>
          <c:spPr>
            <a:ln w="28575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'M12'!$Z$7:$Z$1621</c:f>
              <c:numCache>
                <c:formatCode>0.00</c:formatCode>
                <c:ptCount val="161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0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>
                  <c:v>0</c:v>
                </c:pt>
                <c:pt idx="778">
                  <c:v>0</c:v>
                </c:pt>
                <c:pt idx="779">
                  <c:v>0</c:v>
                </c:pt>
                <c:pt idx="780">
                  <c:v>0</c:v>
                </c:pt>
                <c:pt idx="781">
                  <c:v>0</c:v>
                </c:pt>
                <c:pt idx="782">
                  <c:v>0</c:v>
                </c:pt>
                <c:pt idx="783">
                  <c:v>0</c:v>
                </c:pt>
                <c:pt idx="784">
                  <c:v>0</c:v>
                </c:pt>
                <c:pt idx="785">
                  <c:v>0</c:v>
                </c:pt>
                <c:pt idx="786">
                  <c:v>0</c:v>
                </c:pt>
                <c:pt idx="787">
                  <c:v>0</c:v>
                </c:pt>
                <c:pt idx="788">
                  <c:v>0</c:v>
                </c:pt>
                <c:pt idx="789">
                  <c:v>0</c:v>
                </c:pt>
                <c:pt idx="790">
                  <c:v>0</c:v>
                </c:pt>
                <c:pt idx="791">
                  <c:v>0</c:v>
                </c:pt>
                <c:pt idx="792">
                  <c:v>0</c:v>
                </c:pt>
                <c:pt idx="793">
                  <c:v>0</c:v>
                </c:pt>
                <c:pt idx="794">
                  <c:v>0</c:v>
                </c:pt>
                <c:pt idx="795">
                  <c:v>0</c:v>
                </c:pt>
                <c:pt idx="796">
                  <c:v>0</c:v>
                </c:pt>
                <c:pt idx="797">
                  <c:v>0</c:v>
                </c:pt>
                <c:pt idx="798">
                  <c:v>0</c:v>
                </c:pt>
                <c:pt idx="799">
                  <c:v>0</c:v>
                </c:pt>
                <c:pt idx="800">
                  <c:v>0</c:v>
                </c:pt>
                <c:pt idx="801">
                  <c:v>0</c:v>
                </c:pt>
                <c:pt idx="802">
                  <c:v>0</c:v>
                </c:pt>
                <c:pt idx="803">
                  <c:v>0</c:v>
                </c:pt>
                <c:pt idx="804">
                  <c:v>0</c:v>
                </c:pt>
                <c:pt idx="805">
                  <c:v>0</c:v>
                </c:pt>
                <c:pt idx="806">
                  <c:v>0</c:v>
                </c:pt>
                <c:pt idx="807">
                  <c:v>0</c:v>
                </c:pt>
                <c:pt idx="808">
                  <c:v>0</c:v>
                </c:pt>
                <c:pt idx="809">
                  <c:v>0</c:v>
                </c:pt>
                <c:pt idx="810">
                  <c:v>0</c:v>
                </c:pt>
                <c:pt idx="811">
                  <c:v>0</c:v>
                </c:pt>
                <c:pt idx="812">
                  <c:v>0</c:v>
                </c:pt>
                <c:pt idx="813">
                  <c:v>0</c:v>
                </c:pt>
                <c:pt idx="814">
                  <c:v>0</c:v>
                </c:pt>
                <c:pt idx="815">
                  <c:v>0</c:v>
                </c:pt>
                <c:pt idx="816">
                  <c:v>0</c:v>
                </c:pt>
                <c:pt idx="817">
                  <c:v>0</c:v>
                </c:pt>
                <c:pt idx="818">
                  <c:v>0</c:v>
                </c:pt>
                <c:pt idx="819">
                  <c:v>0</c:v>
                </c:pt>
                <c:pt idx="820">
                  <c:v>0</c:v>
                </c:pt>
                <c:pt idx="821">
                  <c:v>0</c:v>
                </c:pt>
                <c:pt idx="822">
                  <c:v>0</c:v>
                </c:pt>
                <c:pt idx="823">
                  <c:v>0</c:v>
                </c:pt>
                <c:pt idx="824">
                  <c:v>0</c:v>
                </c:pt>
                <c:pt idx="825">
                  <c:v>0</c:v>
                </c:pt>
                <c:pt idx="826">
                  <c:v>0</c:v>
                </c:pt>
                <c:pt idx="827">
                  <c:v>0</c:v>
                </c:pt>
                <c:pt idx="828">
                  <c:v>0</c:v>
                </c:pt>
                <c:pt idx="829">
                  <c:v>0</c:v>
                </c:pt>
                <c:pt idx="830">
                  <c:v>0</c:v>
                </c:pt>
                <c:pt idx="831">
                  <c:v>0</c:v>
                </c:pt>
                <c:pt idx="832">
                  <c:v>0</c:v>
                </c:pt>
                <c:pt idx="833">
                  <c:v>0</c:v>
                </c:pt>
                <c:pt idx="834">
                  <c:v>0</c:v>
                </c:pt>
                <c:pt idx="835">
                  <c:v>0</c:v>
                </c:pt>
                <c:pt idx="836">
                  <c:v>0</c:v>
                </c:pt>
                <c:pt idx="837">
                  <c:v>0</c:v>
                </c:pt>
                <c:pt idx="838">
                  <c:v>0</c:v>
                </c:pt>
                <c:pt idx="839">
                  <c:v>0</c:v>
                </c:pt>
                <c:pt idx="840">
                  <c:v>0</c:v>
                </c:pt>
                <c:pt idx="841">
                  <c:v>0</c:v>
                </c:pt>
                <c:pt idx="842">
                  <c:v>0</c:v>
                </c:pt>
                <c:pt idx="843">
                  <c:v>0</c:v>
                </c:pt>
                <c:pt idx="844">
                  <c:v>0</c:v>
                </c:pt>
                <c:pt idx="845">
                  <c:v>0</c:v>
                </c:pt>
                <c:pt idx="846">
                  <c:v>0</c:v>
                </c:pt>
                <c:pt idx="847">
                  <c:v>0</c:v>
                </c:pt>
                <c:pt idx="848">
                  <c:v>0</c:v>
                </c:pt>
                <c:pt idx="849">
                  <c:v>0</c:v>
                </c:pt>
                <c:pt idx="850">
                  <c:v>0</c:v>
                </c:pt>
                <c:pt idx="851">
                  <c:v>0</c:v>
                </c:pt>
                <c:pt idx="852">
                  <c:v>0</c:v>
                </c:pt>
                <c:pt idx="853">
                  <c:v>0</c:v>
                </c:pt>
                <c:pt idx="854">
                  <c:v>0</c:v>
                </c:pt>
                <c:pt idx="855">
                  <c:v>0</c:v>
                </c:pt>
                <c:pt idx="856">
                  <c:v>0</c:v>
                </c:pt>
                <c:pt idx="857">
                  <c:v>0</c:v>
                </c:pt>
                <c:pt idx="858">
                  <c:v>0</c:v>
                </c:pt>
                <c:pt idx="859">
                  <c:v>0</c:v>
                </c:pt>
                <c:pt idx="860">
                  <c:v>0</c:v>
                </c:pt>
                <c:pt idx="861">
                  <c:v>0</c:v>
                </c:pt>
                <c:pt idx="862">
                  <c:v>0</c:v>
                </c:pt>
                <c:pt idx="863">
                  <c:v>0</c:v>
                </c:pt>
                <c:pt idx="864">
                  <c:v>0</c:v>
                </c:pt>
                <c:pt idx="865">
                  <c:v>0</c:v>
                </c:pt>
                <c:pt idx="866">
                  <c:v>0</c:v>
                </c:pt>
                <c:pt idx="867">
                  <c:v>0</c:v>
                </c:pt>
                <c:pt idx="868">
                  <c:v>0</c:v>
                </c:pt>
                <c:pt idx="869">
                  <c:v>0</c:v>
                </c:pt>
                <c:pt idx="870">
                  <c:v>0</c:v>
                </c:pt>
                <c:pt idx="871">
                  <c:v>0</c:v>
                </c:pt>
                <c:pt idx="872">
                  <c:v>0</c:v>
                </c:pt>
                <c:pt idx="873">
                  <c:v>0</c:v>
                </c:pt>
                <c:pt idx="874">
                  <c:v>0</c:v>
                </c:pt>
                <c:pt idx="875">
                  <c:v>0</c:v>
                </c:pt>
                <c:pt idx="876">
                  <c:v>0</c:v>
                </c:pt>
                <c:pt idx="877">
                  <c:v>0</c:v>
                </c:pt>
                <c:pt idx="878">
                  <c:v>0</c:v>
                </c:pt>
                <c:pt idx="879">
                  <c:v>0</c:v>
                </c:pt>
                <c:pt idx="880">
                  <c:v>0</c:v>
                </c:pt>
                <c:pt idx="881">
                  <c:v>0</c:v>
                </c:pt>
                <c:pt idx="882">
                  <c:v>0</c:v>
                </c:pt>
                <c:pt idx="883">
                  <c:v>0</c:v>
                </c:pt>
                <c:pt idx="884">
                  <c:v>0</c:v>
                </c:pt>
                <c:pt idx="885">
                  <c:v>0</c:v>
                </c:pt>
                <c:pt idx="886">
                  <c:v>0</c:v>
                </c:pt>
                <c:pt idx="887">
                  <c:v>0</c:v>
                </c:pt>
                <c:pt idx="888">
                  <c:v>0</c:v>
                </c:pt>
                <c:pt idx="889">
                  <c:v>0</c:v>
                </c:pt>
                <c:pt idx="890">
                  <c:v>0</c:v>
                </c:pt>
                <c:pt idx="891">
                  <c:v>0</c:v>
                </c:pt>
                <c:pt idx="892">
                  <c:v>0</c:v>
                </c:pt>
                <c:pt idx="893">
                  <c:v>0</c:v>
                </c:pt>
                <c:pt idx="894">
                  <c:v>0</c:v>
                </c:pt>
                <c:pt idx="895">
                  <c:v>0</c:v>
                </c:pt>
                <c:pt idx="896">
                  <c:v>0</c:v>
                </c:pt>
                <c:pt idx="897">
                  <c:v>0</c:v>
                </c:pt>
                <c:pt idx="898">
                  <c:v>0</c:v>
                </c:pt>
                <c:pt idx="899">
                  <c:v>0</c:v>
                </c:pt>
                <c:pt idx="900">
                  <c:v>0</c:v>
                </c:pt>
                <c:pt idx="901">
                  <c:v>0</c:v>
                </c:pt>
                <c:pt idx="902">
                  <c:v>0</c:v>
                </c:pt>
                <c:pt idx="903">
                  <c:v>0</c:v>
                </c:pt>
                <c:pt idx="904">
                  <c:v>0</c:v>
                </c:pt>
                <c:pt idx="905">
                  <c:v>0</c:v>
                </c:pt>
                <c:pt idx="906">
                  <c:v>0</c:v>
                </c:pt>
                <c:pt idx="907">
                  <c:v>0</c:v>
                </c:pt>
                <c:pt idx="908">
                  <c:v>0</c:v>
                </c:pt>
                <c:pt idx="909">
                  <c:v>0</c:v>
                </c:pt>
                <c:pt idx="910">
                  <c:v>0</c:v>
                </c:pt>
                <c:pt idx="911">
                  <c:v>0</c:v>
                </c:pt>
                <c:pt idx="912">
                  <c:v>0</c:v>
                </c:pt>
                <c:pt idx="913">
                  <c:v>0</c:v>
                </c:pt>
                <c:pt idx="914">
                  <c:v>0</c:v>
                </c:pt>
                <c:pt idx="915">
                  <c:v>0</c:v>
                </c:pt>
                <c:pt idx="916">
                  <c:v>0</c:v>
                </c:pt>
                <c:pt idx="917">
                  <c:v>0</c:v>
                </c:pt>
                <c:pt idx="918">
                  <c:v>0</c:v>
                </c:pt>
                <c:pt idx="919">
                  <c:v>0</c:v>
                </c:pt>
                <c:pt idx="920">
                  <c:v>0</c:v>
                </c:pt>
                <c:pt idx="921">
                  <c:v>0</c:v>
                </c:pt>
                <c:pt idx="922">
                  <c:v>0</c:v>
                </c:pt>
                <c:pt idx="923">
                  <c:v>0</c:v>
                </c:pt>
                <c:pt idx="924">
                  <c:v>0</c:v>
                </c:pt>
                <c:pt idx="925">
                  <c:v>0</c:v>
                </c:pt>
                <c:pt idx="926">
                  <c:v>0</c:v>
                </c:pt>
                <c:pt idx="927">
                  <c:v>0</c:v>
                </c:pt>
                <c:pt idx="928">
                  <c:v>0</c:v>
                </c:pt>
                <c:pt idx="929">
                  <c:v>0</c:v>
                </c:pt>
                <c:pt idx="930">
                  <c:v>0</c:v>
                </c:pt>
                <c:pt idx="931">
                  <c:v>0</c:v>
                </c:pt>
                <c:pt idx="932">
                  <c:v>0</c:v>
                </c:pt>
                <c:pt idx="933">
                  <c:v>0</c:v>
                </c:pt>
                <c:pt idx="934">
                  <c:v>0</c:v>
                </c:pt>
                <c:pt idx="935">
                  <c:v>0</c:v>
                </c:pt>
                <c:pt idx="936">
                  <c:v>0</c:v>
                </c:pt>
                <c:pt idx="937">
                  <c:v>0</c:v>
                </c:pt>
                <c:pt idx="938">
                  <c:v>0</c:v>
                </c:pt>
                <c:pt idx="939">
                  <c:v>0</c:v>
                </c:pt>
                <c:pt idx="940">
                  <c:v>0</c:v>
                </c:pt>
                <c:pt idx="941">
                  <c:v>0</c:v>
                </c:pt>
                <c:pt idx="942">
                  <c:v>0</c:v>
                </c:pt>
                <c:pt idx="943">
                  <c:v>0</c:v>
                </c:pt>
                <c:pt idx="944">
                  <c:v>0</c:v>
                </c:pt>
                <c:pt idx="945">
                  <c:v>0</c:v>
                </c:pt>
                <c:pt idx="946">
                  <c:v>0</c:v>
                </c:pt>
                <c:pt idx="947">
                  <c:v>0</c:v>
                </c:pt>
                <c:pt idx="948">
                  <c:v>0</c:v>
                </c:pt>
                <c:pt idx="949">
                  <c:v>0</c:v>
                </c:pt>
                <c:pt idx="950">
                  <c:v>0</c:v>
                </c:pt>
                <c:pt idx="951">
                  <c:v>0</c:v>
                </c:pt>
                <c:pt idx="952">
                  <c:v>0</c:v>
                </c:pt>
                <c:pt idx="953">
                  <c:v>0</c:v>
                </c:pt>
                <c:pt idx="954">
                  <c:v>0</c:v>
                </c:pt>
                <c:pt idx="955">
                  <c:v>0</c:v>
                </c:pt>
                <c:pt idx="956">
                  <c:v>0</c:v>
                </c:pt>
                <c:pt idx="957">
                  <c:v>0</c:v>
                </c:pt>
                <c:pt idx="958">
                  <c:v>0</c:v>
                </c:pt>
                <c:pt idx="959">
                  <c:v>0</c:v>
                </c:pt>
                <c:pt idx="960">
                  <c:v>0</c:v>
                </c:pt>
                <c:pt idx="961">
                  <c:v>0</c:v>
                </c:pt>
                <c:pt idx="962">
                  <c:v>0</c:v>
                </c:pt>
                <c:pt idx="963">
                  <c:v>0</c:v>
                </c:pt>
                <c:pt idx="964">
                  <c:v>0</c:v>
                </c:pt>
                <c:pt idx="965">
                  <c:v>0</c:v>
                </c:pt>
                <c:pt idx="966">
                  <c:v>0</c:v>
                </c:pt>
                <c:pt idx="967">
                  <c:v>0</c:v>
                </c:pt>
                <c:pt idx="968">
                  <c:v>0</c:v>
                </c:pt>
                <c:pt idx="969">
                  <c:v>0</c:v>
                </c:pt>
                <c:pt idx="970">
                  <c:v>0</c:v>
                </c:pt>
                <c:pt idx="971">
                  <c:v>0</c:v>
                </c:pt>
                <c:pt idx="972">
                  <c:v>0</c:v>
                </c:pt>
                <c:pt idx="973">
                  <c:v>0</c:v>
                </c:pt>
                <c:pt idx="974">
                  <c:v>0</c:v>
                </c:pt>
                <c:pt idx="975">
                  <c:v>0</c:v>
                </c:pt>
                <c:pt idx="976">
                  <c:v>0</c:v>
                </c:pt>
                <c:pt idx="977">
                  <c:v>0</c:v>
                </c:pt>
                <c:pt idx="978">
                  <c:v>0</c:v>
                </c:pt>
                <c:pt idx="979">
                  <c:v>0</c:v>
                </c:pt>
                <c:pt idx="980">
                  <c:v>0</c:v>
                </c:pt>
                <c:pt idx="981">
                  <c:v>0</c:v>
                </c:pt>
                <c:pt idx="982">
                  <c:v>0</c:v>
                </c:pt>
                <c:pt idx="983">
                  <c:v>0</c:v>
                </c:pt>
                <c:pt idx="984">
                  <c:v>0</c:v>
                </c:pt>
                <c:pt idx="985">
                  <c:v>0</c:v>
                </c:pt>
                <c:pt idx="986">
                  <c:v>0</c:v>
                </c:pt>
                <c:pt idx="987">
                  <c:v>0</c:v>
                </c:pt>
                <c:pt idx="988">
                  <c:v>0</c:v>
                </c:pt>
                <c:pt idx="989">
                  <c:v>0</c:v>
                </c:pt>
                <c:pt idx="990">
                  <c:v>0</c:v>
                </c:pt>
                <c:pt idx="991">
                  <c:v>0</c:v>
                </c:pt>
                <c:pt idx="992">
                  <c:v>0</c:v>
                </c:pt>
                <c:pt idx="993">
                  <c:v>0</c:v>
                </c:pt>
                <c:pt idx="994">
                  <c:v>0</c:v>
                </c:pt>
                <c:pt idx="995">
                  <c:v>0</c:v>
                </c:pt>
                <c:pt idx="996">
                  <c:v>0</c:v>
                </c:pt>
                <c:pt idx="997">
                  <c:v>0</c:v>
                </c:pt>
                <c:pt idx="998">
                  <c:v>0</c:v>
                </c:pt>
                <c:pt idx="999">
                  <c:v>0</c:v>
                </c:pt>
                <c:pt idx="1000">
                  <c:v>0</c:v>
                </c:pt>
                <c:pt idx="1001">
                  <c:v>0</c:v>
                </c:pt>
                <c:pt idx="1002">
                  <c:v>0</c:v>
                </c:pt>
                <c:pt idx="1003">
                  <c:v>0</c:v>
                </c:pt>
                <c:pt idx="1004">
                  <c:v>0</c:v>
                </c:pt>
                <c:pt idx="1005">
                  <c:v>0</c:v>
                </c:pt>
                <c:pt idx="1006">
                  <c:v>0</c:v>
                </c:pt>
                <c:pt idx="1007">
                  <c:v>0</c:v>
                </c:pt>
                <c:pt idx="1008">
                  <c:v>0</c:v>
                </c:pt>
                <c:pt idx="1009">
                  <c:v>0</c:v>
                </c:pt>
                <c:pt idx="1010">
                  <c:v>0</c:v>
                </c:pt>
                <c:pt idx="1011">
                  <c:v>0</c:v>
                </c:pt>
                <c:pt idx="1012">
                  <c:v>0</c:v>
                </c:pt>
                <c:pt idx="1013">
                  <c:v>0</c:v>
                </c:pt>
                <c:pt idx="1014">
                  <c:v>0</c:v>
                </c:pt>
                <c:pt idx="1015">
                  <c:v>0</c:v>
                </c:pt>
                <c:pt idx="1016">
                  <c:v>0</c:v>
                </c:pt>
                <c:pt idx="1017">
                  <c:v>0</c:v>
                </c:pt>
                <c:pt idx="1018">
                  <c:v>0</c:v>
                </c:pt>
                <c:pt idx="1019">
                  <c:v>0</c:v>
                </c:pt>
                <c:pt idx="1020">
                  <c:v>0</c:v>
                </c:pt>
                <c:pt idx="1021">
                  <c:v>0</c:v>
                </c:pt>
                <c:pt idx="1022">
                  <c:v>0</c:v>
                </c:pt>
                <c:pt idx="1023">
                  <c:v>0</c:v>
                </c:pt>
                <c:pt idx="1024">
                  <c:v>0</c:v>
                </c:pt>
                <c:pt idx="1025">
                  <c:v>0</c:v>
                </c:pt>
                <c:pt idx="1026">
                  <c:v>0</c:v>
                </c:pt>
                <c:pt idx="1027">
                  <c:v>0</c:v>
                </c:pt>
                <c:pt idx="1028">
                  <c:v>0</c:v>
                </c:pt>
                <c:pt idx="1029">
                  <c:v>0</c:v>
                </c:pt>
                <c:pt idx="1030">
                  <c:v>0</c:v>
                </c:pt>
                <c:pt idx="1031">
                  <c:v>0</c:v>
                </c:pt>
                <c:pt idx="1032">
                  <c:v>0</c:v>
                </c:pt>
                <c:pt idx="1033">
                  <c:v>0</c:v>
                </c:pt>
                <c:pt idx="1034">
                  <c:v>0</c:v>
                </c:pt>
                <c:pt idx="1035">
                  <c:v>0</c:v>
                </c:pt>
                <c:pt idx="1036">
                  <c:v>0</c:v>
                </c:pt>
                <c:pt idx="1037">
                  <c:v>0</c:v>
                </c:pt>
                <c:pt idx="1038">
                  <c:v>0</c:v>
                </c:pt>
                <c:pt idx="1039">
                  <c:v>0</c:v>
                </c:pt>
                <c:pt idx="1040">
                  <c:v>0</c:v>
                </c:pt>
                <c:pt idx="1041">
                  <c:v>0</c:v>
                </c:pt>
                <c:pt idx="1042">
                  <c:v>0</c:v>
                </c:pt>
                <c:pt idx="1043">
                  <c:v>0</c:v>
                </c:pt>
                <c:pt idx="1044">
                  <c:v>0</c:v>
                </c:pt>
                <c:pt idx="1045">
                  <c:v>0</c:v>
                </c:pt>
                <c:pt idx="1046">
                  <c:v>0</c:v>
                </c:pt>
                <c:pt idx="1047">
                  <c:v>0</c:v>
                </c:pt>
                <c:pt idx="1048">
                  <c:v>0</c:v>
                </c:pt>
                <c:pt idx="1049">
                  <c:v>0</c:v>
                </c:pt>
                <c:pt idx="1050">
                  <c:v>0</c:v>
                </c:pt>
                <c:pt idx="1051">
                  <c:v>0</c:v>
                </c:pt>
                <c:pt idx="1052">
                  <c:v>0</c:v>
                </c:pt>
                <c:pt idx="1053">
                  <c:v>0</c:v>
                </c:pt>
                <c:pt idx="1054">
                  <c:v>0</c:v>
                </c:pt>
                <c:pt idx="1055">
                  <c:v>0</c:v>
                </c:pt>
                <c:pt idx="1056">
                  <c:v>0</c:v>
                </c:pt>
                <c:pt idx="1057">
                  <c:v>0</c:v>
                </c:pt>
                <c:pt idx="1058">
                  <c:v>0</c:v>
                </c:pt>
                <c:pt idx="1059">
                  <c:v>0</c:v>
                </c:pt>
                <c:pt idx="1060">
                  <c:v>0</c:v>
                </c:pt>
                <c:pt idx="1061">
                  <c:v>0</c:v>
                </c:pt>
                <c:pt idx="1062">
                  <c:v>0</c:v>
                </c:pt>
                <c:pt idx="1063">
                  <c:v>0</c:v>
                </c:pt>
                <c:pt idx="1064">
                  <c:v>0</c:v>
                </c:pt>
                <c:pt idx="1065">
                  <c:v>0</c:v>
                </c:pt>
                <c:pt idx="1066">
                  <c:v>0</c:v>
                </c:pt>
                <c:pt idx="1067">
                  <c:v>0</c:v>
                </c:pt>
                <c:pt idx="1068">
                  <c:v>0</c:v>
                </c:pt>
                <c:pt idx="1069">
                  <c:v>0</c:v>
                </c:pt>
                <c:pt idx="1070">
                  <c:v>0</c:v>
                </c:pt>
                <c:pt idx="1071">
                  <c:v>0</c:v>
                </c:pt>
                <c:pt idx="1072">
                  <c:v>0</c:v>
                </c:pt>
                <c:pt idx="1073">
                  <c:v>0</c:v>
                </c:pt>
                <c:pt idx="1074">
                  <c:v>0</c:v>
                </c:pt>
                <c:pt idx="1075">
                  <c:v>0</c:v>
                </c:pt>
                <c:pt idx="1076">
                  <c:v>0</c:v>
                </c:pt>
                <c:pt idx="1077">
                  <c:v>0</c:v>
                </c:pt>
                <c:pt idx="1078">
                  <c:v>0</c:v>
                </c:pt>
                <c:pt idx="1079">
                  <c:v>0</c:v>
                </c:pt>
                <c:pt idx="1080">
                  <c:v>0</c:v>
                </c:pt>
                <c:pt idx="1081">
                  <c:v>0</c:v>
                </c:pt>
                <c:pt idx="1082">
                  <c:v>0</c:v>
                </c:pt>
                <c:pt idx="1083">
                  <c:v>0</c:v>
                </c:pt>
                <c:pt idx="1084">
                  <c:v>0</c:v>
                </c:pt>
                <c:pt idx="1085">
                  <c:v>0</c:v>
                </c:pt>
                <c:pt idx="1086">
                  <c:v>0</c:v>
                </c:pt>
                <c:pt idx="1087">
                  <c:v>0</c:v>
                </c:pt>
                <c:pt idx="1088">
                  <c:v>0</c:v>
                </c:pt>
                <c:pt idx="1089">
                  <c:v>0</c:v>
                </c:pt>
                <c:pt idx="1090">
                  <c:v>0</c:v>
                </c:pt>
                <c:pt idx="1091">
                  <c:v>0</c:v>
                </c:pt>
                <c:pt idx="1092">
                  <c:v>0</c:v>
                </c:pt>
                <c:pt idx="1093">
                  <c:v>0</c:v>
                </c:pt>
                <c:pt idx="1094">
                  <c:v>0</c:v>
                </c:pt>
                <c:pt idx="1095">
                  <c:v>0</c:v>
                </c:pt>
                <c:pt idx="1096">
                  <c:v>0</c:v>
                </c:pt>
                <c:pt idx="1097">
                  <c:v>0</c:v>
                </c:pt>
                <c:pt idx="1098">
                  <c:v>0</c:v>
                </c:pt>
                <c:pt idx="1099">
                  <c:v>0</c:v>
                </c:pt>
                <c:pt idx="1100">
                  <c:v>0</c:v>
                </c:pt>
                <c:pt idx="1101">
                  <c:v>0</c:v>
                </c:pt>
                <c:pt idx="1102">
                  <c:v>0</c:v>
                </c:pt>
                <c:pt idx="1103">
                  <c:v>0</c:v>
                </c:pt>
                <c:pt idx="1104">
                  <c:v>0</c:v>
                </c:pt>
                <c:pt idx="1105">
                  <c:v>0</c:v>
                </c:pt>
                <c:pt idx="1106">
                  <c:v>0</c:v>
                </c:pt>
                <c:pt idx="1107">
                  <c:v>0</c:v>
                </c:pt>
                <c:pt idx="1108">
                  <c:v>0</c:v>
                </c:pt>
                <c:pt idx="1109">
                  <c:v>0</c:v>
                </c:pt>
                <c:pt idx="1110">
                  <c:v>0</c:v>
                </c:pt>
                <c:pt idx="1111">
                  <c:v>0</c:v>
                </c:pt>
                <c:pt idx="1112">
                  <c:v>0</c:v>
                </c:pt>
                <c:pt idx="1113">
                  <c:v>0</c:v>
                </c:pt>
                <c:pt idx="1114">
                  <c:v>0</c:v>
                </c:pt>
                <c:pt idx="1115">
                  <c:v>0</c:v>
                </c:pt>
                <c:pt idx="1116">
                  <c:v>0</c:v>
                </c:pt>
                <c:pt idx="1117">
                  <c:v>0</c:v>
                </c:pt>
                <c:pt idx="1118">
                  <c:v>0</c:v>
                </c:pt>
                <c:pt idx="1119">
                  <c:v>0</c:v>
                </c:pt>
                <c:pt idx="1120">
                  <c:v>0</c:v>
                </c:pt>
                <c:pt idx="1121">
                  <c:v>0</c:v>
                </c:pt>
                <c:pt idx="1122">
                  <c:v>0</c:v>
                </c:pt>
                <c:pt idx="1123">
                  <c:v>0</c:v>
                </c:pt>
                <c:pt idx="1124">
                  <c:v>0</c:v>
                </c:pt>
                <c:pt idx="1125">
                  <c:v>0</c:v>
                </c:pt>
                <c:pt idx="1126">
                  <c:v>0</c:v>
                </c:pt>
                <c:pt idx="1127">
                  <c:v>0</c:v>
                </c:pt>
                <c:pt idx="1128">
                  <c:v>0</c:v>
                </c:pt>
                <c:pt idx="1129">
                  <c:v>0</c:v>
                </c:pt>
                <c:pt idx="1130">
                  <c:v>0</c:v>
                </c:pt>
                <c:pt idx="1131">
                  <c:v>0</c:v>
                </c:pt>
                <c:pt idx="1132">
                  <c:v>0</c:v>
                </c:pt>
                <c:pt idx="1133">
                  <c:v>0</c:v>
                </c:pt>
                <c:pt idx="1134">
                  <c:v>0</c:v>
                </c:pt>
                <c:pt idx="1135">
                  <c:v>0</c:v>
                </c:pt>
                <c:pt idx="1136">
                  <c:v>0</c:v>
                </c:pt>
                <c:pt idx="1137">
                  <c:v>0</c:v>
                </c:pt>
                <c:pt idx="1138">
                  <c:v>0</c:v>
                </c:pt>
                <c:pt idx="1139">
                  <c:v>0</c:v>
                </c:pt>
                <c:pt idx="1140">
                  <c:v>0</c:v>
                </c:pt>
                <c:pt idx="1141">
                  <c:v>0</c:v>
                </c:pt>
                <c:pt idx="1142">
                  <c:v>0</c:v>
                </c:pt>
                <c:pt idx="1143">
                  <c:v>0</c:v>
                </c:pt>
                <c:pt idx="1144">
                  <c:v>0</c:v>
                </c:pt>
                <c:pt idx="1145">
                  <c:v>0</c:v>
                </c:pt>
                <c:pt idx="1146">
                  <c:v>0</c:v>
                </c:pt>
                <c:pt idx="1147">
                  <c:v>0</c:v>
                </c:pt>
                <c:pt idx="1148">
                  <c:v>0</c:v>
                </c:pt>
                <c:pt idx="1149">
                  <c:v>0</c:v>
                </c:pt>
                <c:pt idx="1150">
                  <c:v>0</c:v>
                </c:pt>
                <c:pt idx="1151">
                  <c:v>0</c:v>
                </c:pt>
                <c:pt idx="1152">
                  <c:v>0</c:v>
                </c:pt>
                <c:pt idx="1153">
                  <c:v>0</c:v>
                </c:pt>
                <c:pt idx="1154">
                  <c:v>0</c:v>
                </c:pt>
                <c:pt idx="1155">
                  <c:v>0</c:v>
                </c:pt>
                <c:pt idx="1156">
                  <c:v>0</c:v>
                </c:pt>
                <c:pt idx="1157">
                  <c:v>0</c:v>
                </c:pt>
                <c:pt idx="1158">
                  <c:v>0</c:v>
                </c:pt>
                <c:pt idx="1159">
                  <c:v>0</c:v>
                </c:pt>
                <c:pt idx="1160">
                  <c:v>0</c:v>
                </c:pt>
                <c:pt idx="1161">
                  <c:v>0</c:v>
                </c:pt>
                <c:pt idx="1162">
                  <c:v>0</c:v>
                </c:pt>
                <c:pt idx="1163">
                  <c:v>0</c:v>
                </c:pt>
                <c:pt idx="1164">
                  <c:v>0</c:v>
                </c:pt>
                <c:pt idx="1165">
                  <c:v>0</c:v>
                </c:pt>
                <c:pt idx="1166">
                  <c:v>0</c:v>
                </c:pt>
                <c:pt idx="1167">
                  <c:v>0</c:v>
                </c:pt>
                <c:pt idx="1168">
                  <c:v>0</c:v>
                </c:pt>
                <c:pt idx="1169">
                  <c:v>0</c:v>
                </c:pt>
                <c:pt idx="1170">
                  <c:v>0</c:v>
                </c:pt>
                <c:pt idx="1171">
                  <c:v>0</c:v>
                </c:pt>
                <c:pt idx="1172">
                  <c:v>0</c:v>
                </c:pt>
                <c:pt idx="1173">
                  <c:v>0</c:v>
                </c:pt>
                <c:pt idx="1174">
                  <c:v>0</c:v>
                </c:pt>
                <c:pt idx="1175">
                  <c:v>0</c:v>
                </c:pt>
                <c:pt idx="1176">
                  <c:v>0</c:v>
                </c:pt>
                <c:pt idx="1177">
                  <c:v>0</c:v>
                </c:pt>
                <c:pt idx="1178">
                  <c:v>0</c:v>
                </c:pt>
                <c:pt idx="1179">
                  <c:v>0</c:v>
                </c:pt>
                <c:pt idx="1180">
                  <c:v>0</c:v>
                </c:pt>
                <c:pt idx="1181">
                  <c:v>0</c:v>
                </c:pt>
                <c:pt idx="1182">
                  <c:v>0</c:v>
                </c:pt>
                <c:pt idx="1183">
                  <c:v>0</c:v>
                </c:pt>
                <c:pt idx="1184">
                  <c:v>0</c:v>
                </c:pt>
                <c:pt idx="1185">
                  <c:v>0</c:v>
                </c:pt>
                <c:pt idx="1186">
                  <c:v>0</c:v>
                </c:pt>
                <c:pt idx="1187">
                  <c:v>0</c:v>
                </c:pt>
                <c:pt idx="1188">
                  <c:v>0</c:v>
                </c:pt>
                <c:pt idx="1189">
                  <c:v>0</c:v>
                </c:pt>
                <c:pt idx="1190">
                  <c:v>0</c:v>
                </c:pt>
                <c:pt idx="1191">
                  <c:v>0</c:v>
                </c:pt>
                <c:pt idx="1192">
                  <c:v>0</c:v>
                </c:pt>
                <c:pt idx="1193">
                  <c:v>0</c:v>
                </c:pt>
                <c:pt idx="1194">
                  <c:v>0</c:v>
                </c:pt>
                <c:pt idx="1195">
                  <c:v>0</c:v>
                </c:pt>
                <c:pt idx="1196">
                  <c:v>0</c:v>
                </c:pt>
                <c:pt idx="1197">
                  <c:v>0</c:v>
                </c:pt>
                <c:pt idx="1198">
                  <c:v>0</c:v>
                </c:pt>
                <c:pt idx="1199">
                  <c:v>0</c:v>
                </c:pt>
                <c:pt idx="1200">
                  <c:v>0</c:v>
                </c:pt>
                <c:pt idx="1201">
                  <c:v>0</c:v>
                </c:pt>
                <c:pt idx="1202">
                  <c:v>0</c:v>
                </c:pt>
                <c:pt idx="1203">
                  <c:v>0</c:v>
                </c:pt>
                <c:pt idx="1204">
                  <c:v>0</c:v>
                </c:pt>
                <c:pt idx="1205">
                  <c:v>0</c:v>
                </c:pt>
                <c:pt idx="1206">
                  <c:v>0</c:v>
                </c:pt>
                <c:pt idx="1207">
                  <c:v>0</c:v>
                </c:pt>
                <c:pt idx="1208">
                  <c:v>0</c:v>
                </c:pt>
                <c:pt idx="1209">
                  <c:v>0</c:v>
                </c:pt>
                <c:pt idx="1210">
                  <c:v>0</c:v>
                </c:pt>
                <c:pt idx="1211">
                  <c:v>0</c:v>
                </c:pt>
                <c:pt idx="1212">
                  <c:v>0</c:v>
                </c:pt>
                <c:pt idx="1213">
                  <c:v>0</c:v>
                </c:pt>
                <c:pt idx="1214">
                  <c:v>0</c:v>
                </c:pt>
                <c:pt idx="1215">
                  <c:v>0</c:v>
                </c:pt>
                <c:pt idx="1216">
                  <c:v>0</c:v>
                </c:pt>
                <c:pt idx="1217">
                  <c:v>0</c:v>
                </c:pt>
                <c:pt idx="1218">
                  <c:v>0</c:v>
                </c:pt>
                <c:pt idx="1219">
                  <c:v>0</c:v>
                </c:pt>
                <c:pt idx="1220">
                  <c:v>0</c:v>
                </c:pt>
                <c:pt idx="1221">
                  <c:v>0</c:v>
                </c:pt>
                <c:pt idx="1222">
                  <c:v>0</c:v>
                </c:pt>
                <c:pt idx="1223">
                  <c:v>0</c:v>
                </c:pt>
                <c:pt idx="1224">
                  <c:v>0</c:v>
                </c:pt>
                <c:pt idx="1225">
                  <c:v>0</c:v>
                </c:pt>
                <c:pt idx="1226">
                  <c:v>0</c:v>
                </c:pt>
                <c:pt idx="1227">
                  <c:v>0</c:v>
                </c:pt>
                <c:pt idx="1228">
                  <c:v>0</c:v>
                </c:pt>
                <c:pt idx="1229">
                  <c:v>0</c:v>
                </c:pt>
                <c:pt idx="1230">
                  <c:v>0</c:v>
                </c:pt>
                <c:pt idx="1231">
                  <c:v>0</c:v>
                </c:pt>
                <c:pt idx="1232">
                  <c:v>0</c:v>
                </c:pt>
                <c:pt idx="1233">
                  <c:v>0</c:v>
                </c:pt>
                <c:pt idx="1234">
                  <c:v>0</c:v>
                </c:pt>
                <c:pt idx="1235">
                  <c:v>0</c:v>
                </c:pt>
                <c:pt idx="1236">
                  <c:v>0</c:v>
                </c:pt>
                <c:pt idx="1237">
                  <c:v>0</c:v>
                </c:pt>
                <c:pt idx="1238">
                  <c:v>0</c:v>
                </c:pt>
                <c:pt idx="1239">
                  <c:v>0</c:v>
                </c:pt>
                <c:pt idx="1240">
                  <c:v>0</c:v>
                </c:pt>
                <c:pt idx="1241">
                  <c:v>0</c:v>
                </c:pt>
                <c:pt idx="1242">
                  <c:v>0</c:v>
                </c:pt>
                <c:pt idx="1243">
                  <c:v>0</c:v>
                </c:pt>
                <c:pt idx="1244">
                  <c:v>0</c:v>
                </c:pt>
                <c:pt idx="1245">
                  <c:v>0</c:v>
                </c:pt>
                <c:pt idx="1246">
                  <c:v>0</c:v>
                </c:pt>
                <c:pt idx="1247">
                  <c:v>0</c:v>
                </c:pt>
                <c:pt idx="1248">
                  <c:v>0</c:v>
                </c:pt>
                <c:pt idx="1249">
                  <c:v>0</c:v>
                </c:pt>
                <c:pt idx="1250">
                  <c:v>0</c:v>
                </c:pt>
                <c:pt idx="1251">
                  <c:v>0</c:v>
                </c:pt>
                <c:pt idx="1252">
                  <c:v>0</c:v>
                </c:pt>
                <c:pt idx="1253">
                  <c:v>0</c:v>
                </c:pt>
                <c:pt idx="1254">
                  <c:v>0</c:v>
                </c:pt>
                <c:pt idx="1255">
                  <c:v>0</c:v>
                </c:pt>
                <c:pt idx="1256">
                  <c:v>0</c:v>
                </c:pt>
                <c:pt idx="1257">
                  <c:v>0</c:v>
                </c:pt>
                <c:pt idx="1258">
                  <c:v>0</c:v>
                </c:pt>
                <c:pt idx="1259">
                  <c:v>0</c:v>
                </c:pt>
                <c:pt idx="1260">
                  <c:v>0</c:v>
                </c:pt>
                <c:pt idx="1261">
                  <c:v>0</c:v>
                </c:pt>
                <c:pt idx="1262">
                  <c:v>0</c:v>
                </c:pt>
                <c:pt idx="1263">
                  <c:v>0</c:v>
                </c:pt>
                <c:pt idx="1264">
                  <c:v>0</c:v>
                </c:pt>
                <c:pt idx="1265">
                  <c:v>0</c:v>
                </c:pt>
                <c:pt idx="1266">
                  <c:v>0</c:v>
                </c:pt>
                <c:pt idx="1267">
                  <c:v>0</c:v>
                </c:pt>
                <c:pt idx="1268">
                  <c:v>0</c:v>
                </c:pt>
                <c:pt idx="1269">
                  <c:v>0</c:v>
                </c:pt>
                <c:pt idx="1270">
                  <c:v>0</c:v>
                </c:pt>
                <c:pt idx="1271">
                  <c:v>0</c:v>
                </c:pt>
                <c:pt idx="1272">
                  <c:v>0</c:v>
                </c:pt>
                <c:pt idx="1273">
                  <c:v>0</c:v>
                </c:pt>
                <c:pt idx="1274">
                  <c:v>0</c:v>
                </c:pt>
                <c:pt idx="1275">
                  <c:v>0</c:v>
                </c:pt>
                <c:pt idx="1276">
                  <c:v>0</c:v>
                </c:pt>
                <c:pt idx="1277">
                  <c:v>0</c:v>
                </c:pt>
                <c:pt idx="1278">
                  <c:v>0</c:v>
                </c:pt>
                <c:pt idx="1279">
                  <c:v>0</c:v>
                </c:pt>
                <c:pt idx="1280">
                  <c:v>0</c:v>
                </c:pt>
                <c:pt idx="1281">
                  <c:v>0</c:v>
                </c:pt>
                <c:pt idx="1282">
                  <c:v>0</c:v>
                </c:pt>
                <c:pt idx="1283">
                  <c:v>0</c:v>
                </c:pt>
                <c:pt idx="1284">
                  <c:v>0</c:v>
                </c:pt>
                <c:pt idx="1285">
                  <c:v>0</c:v>
                </c:pt>
                <c:pt idx="1286">
                  <c:v>0</c:v>
                </c:pt>
                <c:pt idx="1287">
                  <c:v>0</c:v>
                </c:pt>
                <c:pt idx="1288">
                  <c:v>0</c:v>
                </c:pt>
                <c:pt idx="1289">
                  <c:v>0</c:v>
                </c:pt>
                <c:pt idx="1290">
                  <c:v>0</c:v>
                </c:pt>
                <c:pt idx="1291">
                  <c:v>0</c:v>
                </c:pt>
                <c:pt idx="1292">
                  <c:v>0</c:v>
                </c:pt>
                <c:pt idx="1293">
                  <c:v>0</c:v>
                </c:pt>
                <c:pt idx="1294">
                  <c:v>0</c:v>
                </c:pt>
                <c:pt idx="1295">
                  <c:v>0</c:v>
                </c:pt>
                <c:pt idx="1296">
                  <c:v>0</c:v>
                </c:pt>
                <c:pt idx="1297">
                  <c:v>0</c:v>
                </c:pt>
                <c:pt idx="1298">
                  <c:v>0</c:v>
                </c:pt>
                <c:pt idx="1299">
                  <c:v>0</c:v>
                </c:pt>
                <c:pt idx="1300">
                  <c:v>0</c:v>
                </c:pt>
                <c:pt idx="1301">
                  <c:v>0</c:v>
                </c:pt>
                <c:pt idx="1302">
                  <c:v>0</c:v>
                </c:pt>
                <c:pt idx="1303">
                  <c:v>0</c:v>
                </c:pt>
                <c:pt idx="1304">
                  <c:v>0</c:v>
                </c:pt>
                <c:pt idx="1305">
                  <c:v>0</c:v>
                </c:pt>
                <c:pt idx="1306">
                  <c:v>0</c:v>
                </c:pt>
                <c:pt idx="1307">
                  <c:v>0</c:v>
                </c:pt>
                <c:pt idx="1308">
                  <c:v>0</c:v>
                </c:pt>
                <c:pt idx="1309">
                  <c:v>0</c:v>
                </c:pt>
                <c:pt idx="1310">
                  <c:v>0</c:v>
                </c:pt>
                <c:pt idx="1311">
                  <c:v>0</c:v>
                </c:pt>
                <c:pt idx="1312">
                  <c:v>0</c:v>
                </c:pt>
                <c:pt idx="1313">
                  <c:v>0</c:v>
                </c:pt>
                <c:pt idx="1314">
                  <c:v>0</c:v>
                </c:pt>
                <c:pt idx="1315">
                  <c:v>0</c:v>
                </c:pt>
                <c:pt idx="1316">
                  <c:v>0</c:v>
                </c:pt>
                <c:pt idx="1317">
                  <c:v>0</c:v>
                </c:pt>
                <c:pt idx="1318">
                  <c:v>0</c:v>
                </c:pt>
                <c:pt idx="1319">
                  <c:v>0</c:v>
                </c:pt>
                <c:pt idx="1320">
                  <c:v>0</c:v>
                </c:pt>
                <c:pt idx="1321">
                  <c:v>0</c:v>
                </c:pt>
                <c:pt idx="1322">
                  <c:v>0</c:v>
                </c:pt>
                <c:pt idx="1323">
                  <c:v>0</c:v>
                </c:pt>
                <c:pt idx="1324">
                  <c:v>0</c:v>
                </c:pt>
                <c:pt idx="1325">
                  <c:v>0</c:v>
                </c:pt>
                <c:pt idx="1326">
                  <c:v>0</c:v>
                </c:pt>
                <c:pt idx="1327">
                  <c:v>0</c:v>
                </c:pt>
                <c:pt idx="1328">
                  <c:v>0</c:v>
                </c:pt>
                <c:pt idx="1329">
                  <c:v>0</c:v>
                </c:pt>
                <c:pt idx="1330">
                  <c:v>0</c:v>
                </c:pt>
                <c:pt idx="1331">
                  <c:v>0</c:v>
                </c:pt>
                <c:pt idx="1332">
                  <c:v>0</c:v>
                </c:pt>
                <c:pt idx="1333">
                  <c:v>0</c:v>
                </c:pt>
                <c:pt idx="1334">
                  <c:v>0</c:v>
                </c:pt>
                <c:pt idx="1335">
                  <c:v>0</c:v>
                </c:pt>
                <c:pt idx="1336">
                  <c:v>0</c:v>
                </c:pt>
                <c:pt idx="1337">
                  <c:v>0</c:v>
                </c:pt>
                <c:pt idx="1338">
                  <c:v>0</c:v>
                </c:pt>
                <c:pt idx="1339">
                  <c:v>0</c:v>
                </c:pt>
                <c:pt idx="1340">
                  <c:v>0</c:v>
                </c:pt>
                <c:pt idx="1341">
                  <c:v>0</c:v>
                </c:pt>
                <c:pt idx="1342">
                  <c:v>0</c:v>
                </c:pt>
                <c:pt idx="1343">
                  <c:v>0</c:v>
                </c:pt>
                <c:pt idx="1344">
                  <c:v>0</c:v>
                </c:pt>
                <c:pt idx="1345">
                  <c:v>0</c:v>
                </c:pt>
                <c:pt idx="1346">
                  <c:v>0</c:v>
                </c:pt>
                <c:pt idx="1347">
                  <c:v>0</c:v>
                </c:pt>
                <c:pt idx="1348">
                  <c:v>0</c:v>
                </c:pt>
                <c:pt idx="1349">
                  <c:v>0</c:v>
                </c:pt>
                <c:pt idx="1350">
                  <c:v>0</c:v>
                </c:pt>
                <c:pt idx="1351">
                  <c:v>0</c:v>
                </c:pt>
                <c:pt idx="1352">
                  <c:v>0</c:v>
                </c:pt>
                <c:pt idx="1353">
                  <c:v>0</c:v>
                </c:pt>
                <c:pt idx="1354">
                  <c:v>0</c:v>
                </c:pt>
                <c:pt idx="1355">
                  <c:v>0</c:v>
                </c:pt>
                <c:pt idx="1356">
                  <c:v>0</c:v>
                </c:pt>
                <c:pt idx="1357">
                  <c:v>0</c:v>
                </c:pt>
                <c:pt idx="1358">
                  <c:v>0</c:v>
                </c:pt>
                <c:pt idx="1359">
                  <c:v>0</c:v>
                </c:pt>
                <c:pt idx="1360">
                  <c:v>0</c:v>
                </c:pt>
                <c:pt idx="1361">
                  <c:v>0</c:v>
                </c:pt>
                <c:pt idx="1362">
                  <c:v>0</c:v>
                </c:pt>
                <c:pt idx="1363">
                  <c:v>0</c:v>
                </c:pt>
                <c:pt idx="1364">
                  <c:v>0</c:v>
                </c:pt>
                <c:pt idx="1365">
                  <c:v>0</c:v>
                </c:pt>
                <c:pt idx="1366">
                  <c:v>0</c:v>
                </c:pt>
                <c:pt idx="1367">
                  <c:v>0</c:v>
                </c:pt>
                <c:pt idx="1368">
                  <c:v>0</c:v>
                </c:pt>
                <c:pt idx="1369">
                  <c:v>0</c:v>
                </c:pt>
                <c:pt idx="1370">
                  <c:v>0</c:v>
                </c:pt>
                <c:pt idx="1371">
                  <c:v>0</c:v>
                </c:pt>
                <c:pt idx="1372">
                  <c:v>0</c:v>
                </c:pt>
                <c:pt idx="1373">
                  <c:v>0</c:v>
                </c:pt>
                <c:pt idx="1374">
                  <c:v>0</c:v>
                </c:pt>
                <c:pt idx="1375">
                  <c:v>0</c:v>
                </c:pt>
                <c:pt idx="1376">
                  <c:v>0</c:v>
                </c:pt>
                <c:pt idx="1377">
                  <c:v>0</c:v>
                </c:pt>
                <c:pt idx="1378">
                  <c:v>0</c:v>
                </c:pt>
                <c:pt idx="1379">
                  <c:v>0</c:v>
                </c:pt>
                <c:pt idx="1380">
                  <c:v>0</c:v>
                </c:pt>
                <c:pt idx="1381">
                  <c:v>0</c:v>
                </c:pt>
                <c:pt idx="1382">
                  <c:v>0</c:v>
                </c:pt>
                <c:pt idx="1383">
                  <c:v>0</c:v>
                </c:pt>
                <c:pt idx="1384">
                  <c:v>0</c:v>
                </c:pt>
                <c:pt idx="1385">
                  <c:v>0</c:v>
                </c:pt>
                <c:pt idx="1386">
                  <c:v>0</c:v>
                </c:pt>
                <c:pt idx="1387">
                  <c:v>0</c:v>
                </c:pt>
                <c:pt idx="1388">
                  <c:v>0</c:v>
                </c:pt>
                <c:pt idx="1389">
                  <c:v>0</c:v>
                </c:pt>
                <c:pt idx="1390">
                  <c:v>0</c:v>
                </c:pt>
                <c:pt idx="1391">
                  <c:v>0</c:v>
                </c:pt>
                <c:pt idx="1392">
                  <c:v>0</c:v>
                </c:pt>
                <c:pt idx="1393">
                  <c:v>0</c:v>
                </c:pt>
                <c:pt idx="1394">
                  <c:v>0</c:v>
                </c:pt>
                <c:pt idx="1395">
                  <c:v>0</c:v>
                </c:pt>
                <c:pt idx="1396">
                  <c:v>0</c:v>
                </c:pt>
                <c:pt idx="1397">
                  <c:v>0</c:v>
                </c:pt>
                <c:pt idx="1398">
                  <c:v>0</c:v>
                </c:pt>
                <c:pt idx="1399">
                  <c:v>0</c:v>
                </c:pt>
                <c:pt idx="1400">
                  <c:v>0</c:v>
                </c:pt>
                <c:pt idx="1401">
                  <c:v>0</c:v>
                </c:pt>
                <c:pt idx="1402">
                  <c:v>0</c:v>
                </c:pt>
                <c:pt idx="1403">
                  <c:v>0</c:v>
                </c:pt>
                <c:pt idx="1404">
                  <c:v>0</c:v>
                </c:pt>
                <c:pt idx="1405">
                  <c:v>0</c:v>
                </c:pt>
                <c:pt idx="1406">
                  <c:v>0</c:v>
                </c:pt>
                <c:pt idx="1407">
                  <c:v>0</c:v>
                </c:pt>
                <c:pt idx="1408">
                  <c:v>0</c:v>
                </c:pt>
                <c:pt idx="1409">
                  <c:v>0</c:v>
                </c:pt>
                <c:pt idx="1410">
                  <c:v>0</c:v>
                </c:pt>
                <c:pt idx="1411">
                  <c:v>0</c:v>
                </c:pt>
                <c:pt idx="1412">
                  <c:v>0</c:v>
                </c:pt>
                <c:pt idx="1413">
                  <c:v>0</c:v>
                </c:pt>
                <c:pt idx="1414">
                  <c:v>0</c:v>
                </c:pt>
                <c:pt idx="1415">
                  <c:v>0</c:v>
                </c:pt>
                <c:pt idx="1416">
                  <c:v>0</c:v>
                </c:pt>
                <c:pt idx="1417">
                  <c:v>0</c:v>
                </c:pt>
                <c:pt idx="1418">
                  <c:v>0</c:v>
                </c:pt>
                <c:pt idx="1419">
                  <c:v>0</c:v>
                </c:pt>
                <c:pt idx="1420">
                  <c:v>0</c:v>
                </c:pt>
                <c:pt idx="1421">
                  <c:v>0</c:v>
                </c:pt>
                <c:pt idx="1422">
                  <c:v>0</c:v>
                </c:pt>
                <c:pt idx="1423">
                  <c:v>0</c:v>
                </c:pt>
                <c:pt idx="1424">
                  <c:v>0</c:v>
                </c:pt>
                <c:pt idx="1425">
                  <c:v>0</c:v>
                </c:pt>
                <c:pt idx="1426">
                  <c:v>0</c:v>
                </c:pt>
                <c:pt idx="1427">
                  <c:v>0</c:v>
                </c:pt>
                <c:pt idx="1428">
                  <c:v>0</c:v>
                </c:pt>
                <c:pt idx="1429">
                  <c:v>0</c:v>
                </c:pt>
                <c:pt idx="1430">
                  <c:v>0</c:v>
                </c:pt>
                <c:pt idx="1431">
                  <c:v>0</c:v>
                </c:pt>
                <c:pt idx="1432">
                  <c:v>0</c:v>
                </c:pt>
                <c:pt idx="1433">
                  <c:v>0</c:v>
                </c:pt>
                <c:pt idx="1434">
                  <c:v>0</c:v>
                </c:pt>
                <c:pt idx="1435">
                  <c:v>0</c:v>
                </c:pt>
                <c:pt idx="1436">
                  <c:v>0</c:v>
                </c:pt>
                <c:pt idx="1437">
                  <c:v>0</c:v>
                </c:pt>
                <c:pt idx="1438">
                  <c:v>0</c:v>
                </c:pt>
                <c:pt idx="1439">
                  <c:v>0</c:v>
                </c:pt>
                <c:pt idx="1440">
                  <c:v>0</c:v>
                </c:pt>
                <c:pt idx="1441">
                  <c:v>0</c:v>
                </c:pt>
                <c:pt idx="1442">
                  <c:v>0</c:v>
                </c:pt>
                <c:pt idx="1443">
                  <c:v>0</c:v>
                </c:pt>
                <c:pt idx="1444">
                  <c:v>0</c:v>
                </c:pt>
                <c:pt idx="1445">
                  <c:v>0</c:v>
                </c:pt>
                <c:pt idx="1446">
                  <c:v>0</c:v>
                </c:pt>
                <c:pt idx="1447">
                  <c:v>0</c:v>
                </c:pt>
                <c:pt idx="1448">
                  <c:v>0</c:v>
                </c:pt>
                <c:pt idx="1449">
                  <c:v>0</c:v>
                </c:pt>
                <c:pt idx="1450">
                  <c:v>0</c:v>
                </c:pt>
                <c:pt idx="1451">
                  <c:v>0</c:v>
                </c:pt>
                <c:pt idx="1452">
                  <c:v>0</c:v>
                </c:pt>
                <c:pt idx="1453">
                  <c:v>0</c:v>
                </c:pt>
                <c:pt idx="1454">
                  <c:v>0</c:v>
                </c:pt>
                <c:pt idx="1455">
                  <c:v>0</c:v>
                </c:pt>
                <c:pt idx="1456">
                  <c:v>0</c:v>
                </c:pt>
                <c:pt idx="1457">
                  <c:v>0</c:v>
                </c:pt>
                <c:pt idx="1458">
                  <c:v>0</c:v>
                </c:pt>
                <c:pt idx="1459">
                  <c:v>0</c:v>
                </c:pt>
                <c:pt idx="1460">
                  <c:v>0</c:v>
                </c:pt>
                <c:pt idx="1461">
                  <c:v>0</c:v>
                </c:pt>
                <c:pt idx="1462">
                  <c:v>0</c:v>
                </c:pt>
                <c:pt idx="1463">
                  <c:v>0</c:v>
                </c:pt>
                <c:pt idx="1464">
                  <c:v>0</c:v>
                </c:pt>
                <c:pt idx="1465">
                  <c:v>0</c:v>
                </c:pt>
                <c:pt idx="1466">
                  <c:v>0</c:v>
                </c:pt>
                <c:pt idx="1467">
                  <c:v>0</c:v>
                </c:pt>
                <c:pt idx="1468">
                  <c:v>0</c:v>
                </c:pt>
                <c:pt idx="1469">
                  <c:v>0</c:v>
                </c:pt>
                <c:pt idx="1470">
                  <c:v>0</c:v>
                </c:pt>
                <c:pt idx="1471">
                  <c:v>0</c:v>
                </c:pt>
                <c:pt idx="1472">
                  <c:v>0</c:v>
                </c:pt>
                <c:pt idx="1473">
                  <c:v>0</c:v>
                </c:pt>
                <c:pt idx="1474">
                  <c:v>0</c:v>
                </c:pt>
                <c:pt idx="1475">
                  <c:v>0</c:v>
                </c:pt>
                <c:pt idx="1476">
                  <c:v>0</c:v>
                </c:pt>
                <c:pt idx="1477">
                  <c:v>0</c:v>
                </c:pt>
                <c:pt idx="1478">
                  <c:v>0</c:v>
                </c:pt>
                <c:pt idx="1479">
                  <c:v>0</c:v>
                </c:pt>
                <c:pt idx="1480">
                  <c:v>0</c:v>
                </c:pt>
                <c:pt idx="1481">
                  <c:v>0</c:v>
                </c:pt>
                <c:pt idx="1482">
                  <c:v>0</c:v>
                </c:pt>
                <c:pt idx="1483">
                  <c:v>0</c:v>
                </c:pt>
                <c:pt idx="1484">
                  <c:v>0</c:v>
                </c:pt>
                <c:pt idx="1485">
                  <c:v>0</c:v>
                </c:pt>
                <c:pt idx="1486">
                  <c:v>0</c:v>
                </c:pt>
                <c:pt idx="1487">
                  <c:v>0</c:v>
                </c:pt>
                <c:pt idx="1488">
                  <c:v>0</c:v>
                </c:pt>
                <c:pt idx="1489">
                  <c:v>0</c:v>
                </c:pt>
                <c:pt idx="1490">
                  <c:v>0</c:v>
                </c:pt>
                <c:pt idx="1491">
                  <c:v>0</c:v>
                </c:pt>
                <c:pt idx="1492">
                  <c:v>0</c:v>
                </c:pt>
                <c:pt idx="1493">
                  <c:v>0</c:v>
                </c:pt>
                <c:pt idx="1494">
                  <c:v>0</c:v>
                </c:pt>
                <c:pt idx="1495">
                  <c:v>0</c:v>
                </c:pt>
                <c:pt idx="1496">
                  <c:v>0</c:v>
                </c:pt>
                <c:pt idx="1497">
                  <c:v>0</c:v>
                </c:pt>
                <c:pt idx="1498">
                  <c:v>0</c:v>
                </c:pt>
                <c:pt idx="1499">
                  <c:v>0</c:v>
                </c:pt>
                <c:pt idx="1500">
                  <c:v>0</c:v>
                </c:pt>
                <c:pt idx="1501">
                  <c:v>0</c:v>
                </c:pt>
                <c:pt idx="1502">
                  <c:v>0</c:v>
                </c:pt>
                <c:pt idx="1503">
                  <c:v>0</c:v>
                </c:pt>
                <c:pt idx="1504">
                  <c:v>0</c:v>
                </c:pt>
                <c:pt idx="1505">
                  <c:v>0</c:v>
                </c:pt>
                <c:pt idx="1506">
                  <c:v>0</c:v>
                </c:pt>
                <c:pt idx="1507">
                  <c:v>0</c:v>
                </c:pt>
                <c:pt idx="1508">
                  <c:v>0</c:v>
                </c:pt>
                <c:pt idx="1509">
                  <c:v>0</c:v>
                </c:pt>
                <c:pt idx="1510">
                  <c:v>0</c:v>
                </c:pt>
                <c:pt idx="151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C4EB-42CD-AD23-1403467BE27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613658000"/>
        <c:axId val="1613658328"/>
      </c:lineChart>
      <c:dateAx>
        <c:axId val="1613658000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en-US" sz="10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13658328"/>
        <c:crosses val="autoZero"/>
        <c:auto val="1"/>
        <c:lblOffset val="100"/>
        <c:baseTimeUnit val="days"/>
      </c:dateAx>
      <c:valAx>
        <c:axId val="1613658328"/>
        <c:scaling>
          <c:orientation val="minMax"/>
          <c:max val="3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en-US" sz="10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13658000"/>
        <c:crosses val="autoZero"/>
        <c:crossBetween val="between"/>
      </c:valAx>
      <c:valAx>
        <c:axId val="2134953792"/>
        <c:scaling>
          <c:orientation val="minMax"/>
        </c:scaling>
        <c:delete val="0"/>
        <c:axPos val="r"/>
        <c:numFmt formatCode="0%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en-US" sz="10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34952808"/>
        <c:crosses val="max"/>
        <c:crossBetween val="between"/>
      </c:valAx>
      <c:catAx>
        <c:axId val="2134952808"/>
        <c:scaling>
          <c:orientation val="minMax"/>
        </c:scaling>
        <c:delete val="1"/>
        <c:axPos val="b"/>
        <c:majorTickMark val="out"/>
        <c:minorTickMark val="none"/>
        <c:tickLblPos val="nextTo"/>
        <c:crossAx val="2134953792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lang="en-US" sz="1000" b="0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lang="en-US" sz="1000" b="0" i="0" u="none" strike="noStrike" kern="1200" baseline="0">
          <a:solidFill>
            <a:schemeClr val="tx1"/>
          </a:solidFill>
          <a:latin typeface="+mn-lt"/>
          <a:ea typeface="+mn-ea"/>
          <a:cs typeface="+mn-cs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0</xdr:colOff>
      <xdr:row>14</xdr:row>
      <xdr:rowOff>114300</xdr:rowOff>
    </xdr:from>
    <xdr:to>
      <xdr:col>18</xdr:col>
      <xdr:colOff>342899</xdr:colOff>
      <xdr:row>60</xdr:row>
      <xdr:rowOff>57150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5671D1B-AF59-4575-958B-FE2E6D856D2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3E6F6A-5F6D-4630-AA3D-5881516011E2}">
  <sheetPr codeName="Sheet8"/>
  <dimension ref="B3:J2154"/>
  <sheetViews>
    <sheetView workbookViewId="0">
      <selection activeCell="I35" sqref="I35"/>
    </sheetView>
  </sheetViews>
  <sheetFormatPr defaultRowHeight="15.75" x14ac:dyDescent="0.25"/>
  <cols>
    <col min="1" max="1" width="9" style="4"/>
    <col min="2" max="2" width="17.375" style="4" bestFit="1" customWidth="1"/>
    <col min="3" max="3" width="12.5" style="4" bestFit="1" customWidth="1"/>
    <col min="4" max="4" width="13.125" style="4" bestFit="1" customWidth="1"/>
    <col min="5" max="5" width="12.5" style="4" bestFit="1" customWidth="1"/>
    <col min="6" max="6" width="11.875" style="4" bestFit="1" customWidth="1"/>
    <col min="7" max="7" width="12.75" style="4" bestFit="1" customWidth="1"/>
    <col min="8" max="10" width="12.5" style="4" bestFit="1" customWidth="1"/>
    <col min="11" max="16384" width="9" style="4"/>
  </cols>
  <sheetData>
    <row r="3" spans="2:10" x14ac:dyDescent="0.25">
      <c r="B3" t="s">
        <v>21</v>
      </c>
      <c r="C3"/>
      <c r="D3"/>
      <c r="E3"/>
      <c r="F3"/>
      <c r="G3"/>
      <c r="H3"/>
      <c r="I3"/>
      <c r="J3"/>
    </row>
    <row r="4" spans="2:10" ht="16.5" thickBot="1" x14ac:dyDescent="0.3">
      <c r="B4"/>
      <c r="C4"/>
      <c r="D4"/>
      <c r="E4"/>
      <c r="F4"/>
      <c r="G4"/>
      <c r="H4"/>
      <c r="I4"/>
      <c r="J4"/>
    </row>
    <row r="5" spans="2:10" x14ac:dyDescent="0.25">
      <c r="B5" s="20" t="s">
        <v>22</v>
      </c>
      <c r="C5" s="20"/>
      <c r="D5"/>
      <c r="E5"/>
      <c r="F5"/>
      <c r="G5"/>
      <c r="H5"/>
      <c r="I5"/>
      <c r="J5"/>
    </row>
    <row r="6" spans="2:10" x14ac:dyDescent="0.25">
      <c r="B6" t="s">
        <v>23</v>
      </c>
      <c r="C6">
        <v>0.99847267293128861</v>
      </c>
      <c r="D6"/>
      <c r="E6"/>
      <c r="F6"/>
      <c r="G6"/>
      <c r="H6"/>
      <c r="I6"/>
      <c r="J6"/>
    </row>
    <row r="7" spans="2:10" x14ac:dyDescent="0.25">
      <c r="B7" t="s">
        <v>24</v>
      </c>
      <c r="C7">
        <v>0.99694767859055211</v>
      </c>
      <c r="D7"/>
      <c r="E7"/>
      <c r="F7"/>
      <c r="G7"/>
      <c r="H7"/>
      <c r="I7"/>
      <c r="J7"/>
    </row>
    <row r="8" spans="2:10" x14ac:dyDescent="0.25">
      <c r="B8" t="s">
        <v>25</v>
      </c>
      <c r="C8">
        <v>0.99631807618578427</v>
      </c>
      <c r="D8"/>
      <c r="E8"/>
      <c r="F8"/>
      <c r="G8"/>
      <c r="H8"/>
      <c r="I8"/>
      <c r="J8"/>
    </row>
    <row r="9" spans="2:10" x14ac:dyDescent="0.25">
      <c r="B9" t="s">
        <v>26</v>
      </c>
      <c r="C9">
        <v>0.97443167272798825</v>
      </c>
      <c r="D9"/>
      <c r="E9"/>
      <c r="F9"/>
      <c r="G9"/>
      <c r="H9"/>
      <c r="I9"/>
      <c r="J9"/>
    </row>
    <row r="10" spans="2:10" ht="16.5" thickBot="1" x14ac:dyDescent="0.3">
      <c r="B10" s="5" t="s">
        <v>27</v>
      </c>
      <c r="C10" s="5">
        <v>1601</v>
      </c>
      <c r="D10"/>
      <c r="E10"/>
      <c r="F10"/>
      <c r="G10"/>
      <c r="H10"/>
      <c r="I10"/>
      <c r="J10"/>
    </row>
    <row r="11" spans="2:10" x14ac:dyDescent="0.25">
      <c r="B11"/>
      <c r="C11"/>
      <c r="D11"/>
      <c r="E11"/>
      <c r="F11"/>
      <c r="G11"/>
      <c r="H11"/>
      <c r="I11"/>
      <c r="J11"/>
    </row>
    <row r="12" spans="2:10" ht="16.5" thickBot="1" x14ac:dyDescent="0.3">
      <c r="B12" t="s">
        <v>28</v>
      </c>
      <c r="C12"/>
      <c r="D12"/>
      <c r="E12"/>
      <c r="F12"/>
      <c r="G12"/>
      <c r="H12"/>
      <c r="I12"/>
      <c r="J12"/>
    </row>
    <row r="13" spans="2:10" x14ac:dyDescent="0.25">
      <c r="B13" s="21"/>
      <c r="C13" s="21" t="s">
        <v>33</v>
      </c>
      <c r="D13" s="21" t="s">
        <v>34</v>
      </c>
      <c r="E13" s="21" t="s">
        <v>35</v>
      </c>
      <c r="F13" s="21" t="s">
        <v>36</v>
      </c>
      <c r="G13" s="21" t="s">
        <v>37</v>
      </c>
      <c r="H13"/>
      <c r="I13"/>
      <c r="J13"/>
    </row>
    <row r="14" spans="2:10" x14ac:dyDescent="0.25">
      <c r="B14" t="s">
        <v>29</v>
      </c>
      <c r="C14">
        <v>3</v>
      </c>
      <c r="D14">
        <v>495589.00422246527</v>
      </c>
      <c r="E14">
        <v>165196.33474082177</v>
      </c>
      <c r="F14">
        <v>173979.31788971127</v>
      </c>
      <c r="G14">
        <v>0</v>
      </c>
      <c r="H14"/>
      <c r="I14"/>
      <c r="J14"/>
    </row>
    <row r="15" spans="2:10" x14ac:dyDescent="0.25">
      <c r="B15" t="s">
        <v>30</v>
      </c>
      <c r="C15">
        <v>1598</v>
      </c>
      <c r="D15">
        <v>1517.3283015351135</v>
      </c>
      <c r="E15">
        <v>0.94951708481546526</v>
      </c>
      <c r="F15"/>
      <c r="G15"/>
      <c r="H15"/>
      <c r="I15"/>
      <c r="J15"/>
    </row>
    <row r="16" spans="2:10" ht="16.5" thickBot="1" x14ac:dyDescent="0.3">
      <c r="B16" s="5" t="s">
        <v>31</v>
      </c>
      <c r="C16" s="5">
        <v>1601</v>
      </c>
      <c r="D16" s="5">
        <v>497106.33252400038</v>
      </c>
      <c r="E16" s="5"/>
      <c r="F16" s="5"/>
      <c r="G16" s="5"/>
      <c r="H16"/>
      <c r="I16"/>
      <c r="J16"/>
    </row>
    <row r="17" spans="2:10" ht="16.5" thickBot="1" x14ac:dyDescent="0.3">
      <c r="B17"/>
      <c r="C17"/>
      <c r="D17"/>
      <c r="E17"/>
      <c r="F17"/>
      <c r="G17"/>
      <c r="H17"/>
      <c r="I17"/>
      <c r="J17"/>
    </row>
    <row r="18" spans="2:10" x14ac:dyDescent="0.25">
      <c r="B18" s="21"/>
      <c r="C18" s="21" t="s">
        <v>38</v>
      </c>
      <c r="D18" s="21" t="s">
        <v>26</v>
      </c>
      <c r="E18" s="21" t="s">
        <v>39</v>
      </c>
      <c r="F18" s="21" t="s">
        <v>40</v>
      </c>
      <c r="G18" s="21" t="s">
        <v>41</v>
      </c>
      <c r="H18" s="21" t="s">
        <v>42</v>
      </c>
      <c r="I18" s="21" t="s">
        <v>43</v>
      </c>
      <c r="J18" s="21" t="s">
        <v>44</v>
      </c>
    </row>
    <row r="19" spans="2:10" x14ac:dyDescent="0.25">
      <c r="B19" t="s">
        <v>32</v>
      </c>
      <c r="C19">
        <v>0</v>
      </c>
      <c r="D19" t="e">
        <v>#N/A</v>
      </c>
      <c r="E19" t="e">
        <v>#N/A</v>
      </c>
      <c r="F19" t="e">
        <v>#N/A</v>
      </c>
      <c r="G19" t="e">
        <v>#N/A</v>
      </c>
      <c r="H19" t="e">
        <v>#N/A</v>
      </c>
      <c r="I19" t="e">
        <v>#N/A</v>
      </c>
      <c r="J19" t="e">
        <v>#N/A</v>
      </c>
    </row>
    <row r="20" spans="2:10" x14ac:dyDescent="0.25">
      <c r="B20" t="s">
        <v>53</v>
      </c>
      <c r="C20">
        <v>0.20011062556757875</v>
      </c>
      <c r="D20">
        <v>4.6231955435883688E-3</v>
      </c>
      <c r="E20">
        <v>43.284049675359313</v>
      </c>
      <c r="F20">
        <v>1.6501112896146355E-271</v>
      </c>
      <c r="G20">
        <v>0.1910424604455693</v>
      </c>
      <c r="H20">
        <v>0.2091787906895882</v>
      </c>
      <c r="I20">
        <v>0.1910424604455693</v>
      </c>
      <c r="J20">
        <v>0.2091787906895882</v>
      </c>
    </row>
    <row r="21" spans="2:10" x14ac:dyDescent="0.25">
      <c r="B21" t="s">
        <v>56</v>
      </c>
      <c r="C21">
        <v>9.6039604516132748E-2</v>
      </c>
      <c r="D21">
        <v>2.9241324606937426E-3</v>
      </c>
      <c r="E21">
        <v>32.843794119144526</v>
      </c>
      <c r="F21">
        <v>3.1680632590554786E-181</v>
      </c>
      <c r="G21">
        <v>9.0304066025018559E-2</v>
      </c>
      <c r="H21">
        <v>0.10177514300724694</v>
      </c>
      <c r="I21">
        <v>9.0304066025018559E-2</v>
      </c>
      <c r="J21">
        <v>0.10177514300724694</v>
      </c>
    </row>
    <row r="22" spans="2:10" ht="16.5" thickBot="1" x14ac:dyDescent="0.3">
      <c r="B22" s="5" t="s">
        <v>54</v>
      </c>
      <c r="C22" s="5">
        <v>1.676628366737708</v>
      </c>
      <c r="D22" s="5">
        <v>7.3325998295731595E-2</v>
      </c>
      <c r="E22" s="5">
        <v>22.86540116338664</v>
      </c>
      <c r="F22" s="5">
        <v>2.4185526788959802E-100</v>
      </c>
      <c r="G22" s="5">
        <v>1.5328031155639754</v>
      </c>
      <c r="H22" s="5">
        <v>1.8204536179114406</v>
      </c>
      <c r="I22" s="5">
        <v>1.5328031155639754</v>
      </c>
      <c r="J22" s="5">
        <v>1.8204536179114406</v>
      </c>
    </row>
    <row r="23" spans="2:10" x14ac:dyDescent="0.25">
      <c r="F23" s="28"/>
    </row>
    <row r="24" spans="2:10" x14ac:dyDescent="0.25">
      <c r="F24" s="26"/>
    </row>
    <row r="25" spans="2:10" x14ac:dyDescent="0.25">
      <c r="F25" s="26"/>
    </row>
    <row r="29" spans="2:10" x14ac:dyDescent="0.25">
      <c r="B29" s="25"/>
      <c r="C29" s="25"/>
      <c r="D29" s="25"/>
      <c r="E29" s="25"/>
      <c r="F29" s="25"/>
      <c r="G29" s="25"/>
      <c r="H29" s="25"/>
    </row>
    <row r="36" spans="2:8" x14ac:dyDescent="0.25">
      <c r="B36" s="12"/>
      <c r="C36" s="12"/>
      <c r="D36" s="12"/>
      <c r="E36" s="12"/>
      <c r="F36" s="12"/>
      <c r="G36" s="12"/>
      <c r="H36" s="12"/>
    </row>
    <row r="37" spans="2:8" x14ac:dyDescent="0.25">
      <c r="B37" s="12"/>
      <c r="C37" s="12"/>
      <c r="D37" s="12"/>
      <c r="E37" s="12"/>
      <c r="F37" s="12"/>
      <c r="G37" s="12"/>
      <c r="H37" s="12"/>
    </row>
    <row r="38" spans="2:8" x14ac:dyDescent="0.25">
      <c r="B38" s="12"/>
      <c r="C38" s="12"/>
      <c r="D38" s="12"/>
      <c r="E38" s="12"/>
    </row>
    <row r="39" spans="2:8" x14ac:dyDescent="0.25">
      <c r="B39" s="12"/>
      <c r="C39" s="12"/>
      <c r="D39" s="12"/>
      <c r="E39" s="12"/>
    </row>
    <row r="40" spans="2:8" x14ac:dyDescent="0.25">
      <c r="B40" s="12"/>
      <c r="C40" s="12"/>
      <c r="D40" s="12"/>
      <c r="E40" s="12"/>
    </row>
    <row r="41" spans="2:8" x14ac:dyDescent="0.25">
      <c r="B41" s="12"/>
      <c r="C41" s="12"/>
      <c r="D41" s="12"/>
      <c r="E41" s="12"/>
    </row>
    <row r="42" spans="2:8" x14ac:dyDescent="0.25">
      <c r="B42" s="12"/>
      <c r="C42" s="12"/>
      <c r="D42" s="12"/>
      <c r="E42" s="12"/>
    </row>
    <row r="43" spans="2:8" x14ac:dyDescent="0.25">
      <c r="B43" s="12"/>
      <c r="C43" s="12"/>
      <c r="D43" s="12"/>
      <c r="E43" s="12"/>
    </row>
    <row r="44" spans="2:8" x14ac:dyDescent="0.25">
      <c r="B44" s="12"/>
      <c r="C44" s="12"/>
      <c r="D44" s="12"/>
      <c r="E44" s="12"/>
    </row>
    <row r="45" spans="2:8" x14ac:dyDescent="0.25">
      <c r="B45" s="12"/>
      <c r="C45" s="12"/>
      <c r="D45" s="12"/>
      <c r="E45" s="12"/>
    </row>
    <row r="46" spans="2:8" x14ac:dyDescent="0.25">
      <c r="B46" s="12"/>
      <c r="C46" s="12"/>
      <c r="D46" s="12"/>
      <c r="E46" s="12"/>
    </row>
    <row r="47" spans="2:8" x14ac:dyDescent="0.25">
      <c r="B47" s="12"/>
      <c r="C47" s="12"/>
      <c r="D47" s="12"/>
      <c r="E47" s="12"/>
    </row>
    <row r="48" spans="2:8" x14ac:dyDescent="0.25">
      <c r="B48" s="12"/>
      <c r="C48" s="12"/>
      <c r="D48" s="12"/>
      <c r="E48" s="12"/>
    </row>
    <row r="49" spans="2:5" x14ac:dyDescent="0.25">
      <c r="B49" s="12"/>
      <c r="C49" s="12"/>
      <c r="D49" s="12"/>
      <c r="E49" s="12"/>
    </row>
    <row r="50" spans="2:5" x14ac:dyDescent="0.25">
      <c r="B50" s="12"/>
      <c r="C50" s="12"/>
      <c r="D50" s="12"/>
      <c r="E50" s="12"/>
    </row>
    <row r="51" spans="2:5" x14ac:dyDescent="0.25">
      <c r="B51" s="12"/>
      <c r="C51" s="12"/>
      <c r="D51" s="12"/>
      <c r="E51" s="12"/>
    </row>
    <row r="52" spans="2:5" x14ac:dyDescent="0.25">
      <c r="B52" s="12"/>
      <c r="C52" s="12"/>
      <c r="D52" s="12"/>
      <c r="E52" s="12"/>
    </row>
    <row r="53" spans="2:5" x14ac:dyDescent="0.25">
      <c r="B53" s="12"/>
      <c r="C53" s="12"/>
      <c r="D53" s="12"/>
      <c r="E53" s="12"/>
    </row>
    <row r="54" spans="2:5" x14ac:dyDescent="0.25">
      <c r="B54" s="12"/>
      <c r="C54" s="12"/>
      <c r="D54" s="12"/>
      <c r="E54" s="12"/>
    </row>
    <row r="55" spans="2:5" x14ac:dyDescent="0.25">
      <c r="B55" s="12"/>
      <c r="C55" s="12"/>
      <c r="D55" s="12"/>
      <c r="E55" s="12"/>
    </row>
    <row r="56" spans="2:5" x14ac:dyDescent="0.25">
      <c r="B56" s="12"/>
      <c r="C56" s="12"/>
      <c r="D56" s="12"/>
      <c r="E56" s="12"/>
    </row>
    <row r="57" spans="2:5" x14ac:dyDescent="0.25">
      <c r="B57" s="12"/>
      <c r="C57" s="12"/>
      <c r="D57" s="12"/>
      <c r="E57" s="12"/>
    </row>
    <row r="58" spans="2:5" x14ac:dyDescent="0.25">
      <c r="B58" s="12"/>
      <c r="C58" s="12"/>
      <c r="D58" s="12"/>
      <c r="E58" s="12"/>
    </row>
    <row r="59" spans="2:5" x14ac:dyDescent="0.25">
      <c r="B59" s="12"/>
      <c r="C59" s="12"/>
      <c r="D59" s="12"/>
      <c r="E59" s="12"/>
    </row>
    <row r="60" spans="2:5" x14ac:dyDescent="0.25">
      <c r="B60" s="12"/>
      <c r="C60" s="12"/>
      <c r="D60" s="12"/>
      <c r="E60" s="12"/>
    </row>
    <row r="61" spans="2:5" x14ac:dyDescent="0.25">
      <c r="B61" s="12"/>
      <c r="C61" s="12"/>
      <c r="D61" s="12"/>
      <c r="E61" s="12"/>
    </row>
    <row r="62" spans="2:5" x14ac:dyDescent="0.25">
      <c r="B62" s="12"/>
      <c r="C62" s="12"/>
      <c r="D62" s="12"/>
      <c r="E62" s="12"/>
    </row>
    <row r="63" spans="2:5" x14ac:dyDescent="0.25">
      <c r="B63" s="12"/>
      <c r="C63" s="12"/>
      <c r="D63" s="12"/>
      <c r="E63" s="12"/>
    </row>
    <row r="64" spans="2:5" x14ac:dyDescent="0.25">
      <c r="B64" s="12"/>
      <c r="C64" s="12"/>
      <c r="D64" s="12"/>
      <c r="E64" s="12"/>
    </row>
    <row r="65" spans="2:5" x14ac:dyDescent="0.25">
      <c r="B65" s="12"/>
      <c r="C65" s="12"/>
      <c r="D65" s="12"/>
      <c r="E65" s="12"/>
    </row>
    <row r="66" spans="2:5" x14ac:dyDescent="0.25">
      <c r="B66" s="12"/>
      <c r="C66" s="12"/>
      <c r="D66" s="12"/>
      <c r="E66" s="12"/>
    </row>
    <row r="67" spans="2:5" x14ac:dyDescent="0.25">
      <c r="B67" s="12"/>
      <c r="C67" s="12"/>
      <c r="D67" s="12"/>
      <c r="E67" s="12"/>
    </row>
    <row r="68" spans="2:5" x14ac:dyDescent="0.25">
      <c r="B68" s="12"/>
      <c r="C68" s="12"/>
      <c r="D68" s="12"/>
      <c r="E68" s="12"/>
    </row>
    <row r="69" spans="2:5" x14ac:dyDescent="0.25">
      <c r="B69" s="12"/>
      <c r="C69" s="12"/>
      <c r="D69" s="12"/>
      <c r="E69" s="12"/>
    </row>
    <row r="70" spans="2:5" x14ac:dyDescent="0.25">
      <c r="B70" s="12"/>
      <c r="C70" s="12"/>
      <c r="D70" s="12"/>
      <c r="E70" s="12"/>
    </row>
    <row r="71" spans="2:5" x14ac:dyDescent="0.25">
      <c r="B71" s="12"/>
      <c r="C71" s="12"/>
      <c r="D71" s="12"/>
      <c r="E71" s="12"/>
    </row>
    <row r="72" spans="2:5" x14ac:dyDescent="0.25">
      <c r="B72" s="12"/>
      <c r="C72" s="12"/>
      <c r="D72" s="12"/>
      <c r="E72" s="12"/>
    </row>
    <row r="73" spans="2:5" x14ac:dyDescent="0.25">
      <c r="B73" s="12"/>
      <c r="C73" s="12"/>
      <c r="D73" s="12"/>
      <c r="E73" s="12"/>
    </row>
    <row r="74" spans="2:5" x14ac:dyDescent="0.25">
      <c r="B74" s="12"/>
      <c r="C74" s="12"/>
      <c r="D74" s="12"/>
      <c r="E74" s="12"/>
    </row>
    <row r="75" spans="2:5" x14ac:dyDescent="0.25">
      <c r="B75" s="12"/>
      <c r="C75" s="12"/>
      <c r="D75" s="12"/>
      <c r="E75" s="12"/>
    </row>
    <row r="76" spans="2:5" x14ac:dyDescent="0.25">
      <c r="B76" s="12"/>
      <c r="C76" s="12"/>
      <c r="D76" s="12"/>
      <c r="E76" s="12"/>
    </row>
    <row r="77" spans="2:5" x14ac:dyDescent="0.25">
      <c r="B77" s="12"/>
      <c r="C77" s="12"/>
      <c r="D77" s="12"/>
      <c r="E77" s="12"/>
    </row>
    <row r="78" spans="2:5" x14ac:dyDescent="0.25">
      <c r="B78" s="12"/>
      <c r="C78" s="12"/>
      <c r="D78" s="12"/>
      <c r="E78" s="12"/>
    </row>
    <row r="79" spans="2:5" x14ac:dyDescent="0.25">
      <c r="B79" s="12"/>
      <c r="C79" s="12"/>
      <c r="D79" s="12"/>
      <c r="E79" s="12"/>
    </row>
    <row r="80" spans="2:5" x14ac:dyDescent="0.25">
      <c r="B80" s="12"/>
      <c r="C80" s="12"/>
      <c r="D80" s="12"/>
      <c r="E80" s="12"/>
    </row>
    <row r="81" spans="2:5" x14ac:dyDescent="0.25">
      <c r="B81" s="12"/>
      <c r="C81" s="12"/>
      <c r="D81" s="12"/>
      <c r="E81" s="12"/>
    </row>
    <row r="82" spans="2:5" x14ac:dyDescent="0.25">
      <c r="B82" s="12"/>
      <c r="C82" s="12"/>
      <c r="D82" s="12"/>
      <c r="E82" s="12"/>
    </row>
    <row r="83" spans="2:5" x14ac:dyDescent="0.25">
      <c r="B83" s="12"/>
      <c r="C83" s="12"/>
      <c r="D83" s="12"/>
      <c r="E83" s="12"/>
    </row>
    <row r="84" spans="2:5" x14ac:dyDescent="0.25">
      <c r="B84" s="12"/>
      <c r="C84" s="12"/>
      <c r="D84" s="12"/>
      <c r="E84" s="12"/>
    </row>
    <row r="85" spans="2:5" x14ac:dyDescent="0.25">
      <c r="B85" s="12"/>
      <c r="C85" s="12"/>
      <c r="D85" s="12"/>
      <c r="E85" s="12"/>
    </row>
    <row r="86" spans="2:5" x14ac:dyDescent="0.25">
      <c r="B86" s="12"/>
      <c r="C86" s="12"/>
      <c r="D86" s="12"/>
      <c r="E86" s="12"/>
    </row>
    <row r="87" spans="2:5" x14ac:dyDescent="0.25">
      <c r="B87" s="12"/>
      <c r="C87" s="12"/>
      <c r="D87" s="12"/>
      <c r="E87" s="12"/>
    </row>
    <row r="88" spans="2:5" x14ac:dyDescent="0.25">
      <c r="B88" s="12"/>
      <c r="C88" s="12"/>
      <c r="D88" s="12"/>
      <c r="E88" s="12"/>
    </row>
    <row r="89" spans="2:5" x14ac:dyDescent="0.25">
      <c r="B89" s="12"/>
      <c r="C89" s="12"/>
      <c r="D89" s="12"/>
      <c r="E89" s="12"/>
    </row>
    <row r="90" spans="2:5" x14ac:dyDescent="0.25">
      <c r="B90" s="12"/>
      <c r="C90" s="12"/>
      <c r="D90" s="12"/>
      <c r="E90" s="12"/>
    </row>
    <row r="91" spans="2:5" x14ac:dyDescent="0.25">
      <c r="B91" s="12"/>
      <c r="C91" s="12"/>
      <c r="D91" s="12"/>
      <c r="E91" s="12"/>
    </row>
    <row r="92" spans="2:5" x14ac:dyDescent="0.25">
      <c r="B92" s="12"/>
      <c r="C92" s="12"/>
      <c r="D92" s="12"/>
      <c r="E92" s="12"/>
    </row>
    <row r="93" spans="2:5" x14ac:dyDescent="0.25">
      <c r="B93" s="12"/>
      <c r="C93" s="12"/>
      <c r="D93" s="12"/>
      <c r="E93" s="12"/>
    </row>
    <row r="94" spans="2:5" x14ac:dyDescent="0.25">
      <c r="B94" s="12"/>
      <c r="C94" s="12"/>
      <c r="D94" s="12"/>
      <c r="E94" s="12"/>
    </row>
    <row r="95" spans="2:5" x14ac:dyDescent="0.25">
      <c r="B95" s="12"/>
      <c r="C95" s="12"/>
      <c r="D95" s="12"/>
      <c r="E95" s="12"/>
    </row>
    <row r="96" spans="2:5" x14ac:dyDescent="0.25">
      <c r="B96" s="12"/>
      <c r="C96" s="12"/>
      <c r="D96" s="12"/>
      <c r="E96" s="12"/>
    </row>
    <row r="97" spans="2:5" x14ac:dyDescent="0.25">
      <c r="B97" s="12"/>
      <c r="C97" s="12"/>
      <c r="D97" s="12"/>
      <c r="E97" s="12"/>
    </row>
    <row r="98" spans="2:5" x14ac:dyDescent="0.25">
      <c r="B98" s="12"/>
      <c r="C98" s="12"/>
      <c r="D98" s="12"/>
      <c r="E98" s="12"/>
    </row>
    <row r="99" spans="2:5" x14ac:dyDescent="0.25">
      <c r="B99" s="12"/>
      <c r="C99" s="12"/>
      <c r="D99" s="12"/>
      <c r="E99" s="12"/>
    </row>
    <row r="100" spans="2:5" x14ac:dyDescent="0.25">
      <c r="B100" s="12"/>
      <c r="C100" s="12"/>
      <c r="D100" s="12"/>
      <c r="E100" s="12"/>
    </row>
    <row r="101" spans="2:5" x14ac:dyDescent="0.25">
      <c r="B101" s="12"/>
      <c r="C101" s="12"/>
      <c r="D101" s="12"/>
      <c r="E101" s="12"/>
    </row>
    <row r="102" spans="2:5" x14ac:dyDescent="0.25">
      <c r="B102" s="12"/>
      <c r="C102" s="12"/>
      <c r="D102" s="12"/>
      <c r="E102" s="12"/>
    </row>
    <row r="103" spans="2:5" x14ac:dyDescent="0.25">
      <c r="B103" s="12"/>
      <c r="C103" s="12"/>
      <c r="D103" s="12"/>
      <c r="E103" s="12"/>
    </row>
    <row r="104" spans="2:5" x14ac:dyDescent="0.25">
      <c r="B104" s="12"/>
      <c r="C104" s="12"/>
      <c r="D104" s="12"/>
      <c r="E104" s="12"/>
    </row>
    <row r="105" spans="2:5" x14ac:dyDescent="0.25">
      <c r="B105" s="12"/>
      <c r="C105" s="12"/>
      <c r="D105" s="12"/>
      <c r="E105" s="12"/>
    </row>
    <row r="106" spans="2:5" x14ac:dyDescent="0.25">
      <c r="B106" s="12"/>
      <c r="C106" s="12"/>
      <c r="D106" s="12"/>
      <c r="E106" s="12"/>
    </row>
    <row r="107" spans="2:5" x14ac:dyDescent="0.25">
      <c r="B107" s="12"/>
      <c r="C107" s="12"/>
      <c r="D107" s="12"/>
      <c r="E107" s="12"/>
    </row>
    <row r="108" spans="2:5" x14ac:dyDescent="0.25">
      <c r="B108" s="12"/>
      <c r="C108" s="12"/>
      <c r="D108" s="12"/>
      <c r="E108" s="12"/>
    </row>
    <row r="109" spans="2:5" x14ac:dyDescent="0.25">
      <c r="B109" s="12"/>
      <c r="C109" s="12"/>
      <c r="D109" s="12"/>
      <c r="E109" s="12"/>
    </row>
    <row r="110" spans="2:5" x14ac:dyDescent="0.25">
      <c r="B110" s="12"/>
      <c r="C110" s="12"/>
      <c r="D110" s="12"/>
      <c r="E110" s="12"/>
    </row>
    <row r="111" spans="2:5" x14ac:dyDescent="0.25">
      <c r="B111" s="12"/>
      <c r="C111" s="12"/>
      <c r="D111" s="12"/>
      <c r="E111" s="12"/>
    </row>
    <row r="112" spans="2:5" x14ac:dyDescent="0.25">
      <c r="B112" s="12"/>
      <c r="C112" s="12"/>
      <c r="D112" s="12"/>
      <c r="E112" s="12"/>
    </row>
    <row r="113" spans="2:5" x14ac:dyDescent="0.25">
      <c r="B113" s="12"/>
      <c r="C113" s="12"/>
      <c r="D113" s="12"/>
      <c r="E113" s="12"/>
    </row>
    <row r="114" spans="2:5" x14ac:dyDescent="0.25">
      <c r="B114" s="12"/>
      <c r="C114" s="12"/>
      <c r="D114" s="12"/>
      <c r="E114" s="12"/>
    </row>
    <row r="115" spans="2:5" x14ac:dyDescent="0.25">
      <c r="B115" s="12"/>
      <c r="C115" s="12"/>
      <c r="D115" s="12"/>
      <c r="E115" s="12"/>
    </row>
    <row r="116" spans="2:5" x14ac:dyDescent="0.25">
      <c r="B116" s="12"/>
      <c r="C116" s="12"/>
      <c r="D116" s="12"/>
      <c r="E116" s="12"/>
    </row>
    <row r="117" spans="2:5" x14ac:dyDescent="0.25">
      <c r="B117" s="12"/>
      <c r="C117" s="12"/>
      <c r="D117" s="12"/>
      <c r="E117" s="12"/>
    </row>
    <row r="118" spans="2:5" x14ac:dyDescent="0.25">
      <c r="B118" s="12"/>
      <c r="C118" s="12"/>
      <c r="D118" s="12"/>
      <c r="E118" s="12"/>
    </row>
    <row r="119" spans="2:5" x14ac:dyDescent="0.25">
      <c r="B119" s="12"/>
      <c r="C119" s="12"/>
      <c r="D119" s="12"/>
      <c r="E119" s="12"/>
    </row>
    <row r="120" spans="2:5" x14ac:dyDescent="0.25">
      <c r="B120" s="12"/>
      <c r="C120" s="12"/>
      <c r="D120" s="12"/>
      <c r="E120" s="12"/>
    </row>
    <row r="121" spans="2:5" x14ac:dyDescent="0.25">
      <c r="B121" s="12"/>
      <c r="C121" s="12"/>
      <c r="D121" s="12"/>
      <c r="E121" s="12"/>
    </row>
    <row r="122" spans="2:5" x14ac:dyDescent="0.25">
      <c r="B122" s="12"/>
      <c r="C122" s="12"/>
      <c r="D122" s="12"/>
      <c r="E122" s="12"/>
    </row>
    <row r="123" spans="2:5" x14ac:dyDescent="0.25">
      <c r="B123" s="12"/>
      <c r="C123" s="12"/>
      <c r="D123" s="12"/>
      <c r="E123" s="12"/>
    </row>
    <row r="124" spans="2:5" x14ac:dyDescent="0.25">
      <c r="B124" s="12"/>
      <c r="C124" s="12"/>
      <c r="D124" s="12"/>
      <c r="E124" s="12"/>
    </row>
    <row r="125" spans="2:5" x14ac:dyDescent="0.25">
      <c r="B125" s="12"/>
      <c r="C125" s="12"/>
      <c r="D125" s="12"/>
      <c r="E125" s="12"/>
    </row>
    <row r="126" spans="2:5" x14ac:dyDescent="0.25">
      <c r="B126" s="12"/>
      <c r="C126" s="12"/>
      <c r="D126" s="12"/>
      <c r="E126" s="12"/>
    </row>
    <row r="127" spans="2:5" x14ac:dyDescent="0.25">
      <c r="B127" s="12"/>
      <c r="C127" s="12"/>
      <c r="D127" s="12"/>
      <c r="E127" s="12"/>
    </row>
    <row r="128" spans="2:5" x14ac:dyDescent="0.25">
      <c r="B128" s="12"/>
      <c r="C128" s="12"/>
      <c r="D128" s="12"/>
      <c r="E128" s="12"/>
    </row>
    <row r="129" spans="2:5" x14ac:dyDescent="0.25">
      <c r="B129" s="12"/>
      <c r="C129" s="12"/>
      <c r="D129" s="12"/>
      <c r="E129" s="12"/>
    </row>
    <row r="130" spans="2:5" x14ac:dyDescent="0.25">
      <c r="B130" s="12"/>
      <c r="C130" s="12"/>
      <c r="D130" s="12"/>
      <c r="E130" s="12"/>
    </row>
    <row r="131" spans="2:5" x14ac:dyDescent="0.25">
      <c r="B131" s="12"/>
      <c r="C131" s="12"/>
      <c r="D131" s="12"/>
      <c r="E131" s="12"/>
    </row>
    <row r="132" spans="2:5" x14ac:dyDescent="0.25">
      <c r="B132" s="12"/>
      <c r="C132" s="12"/>
      <c r="D132" s="12"/>
      <c r="E132" s="12"/>
    </row>
    <row r="133" spans="2:5" x14ac:dyDescent="0.25">
      <c r="B133" s="12"/>
      <c r="C133" s="12"/>
      <c r="D133" s="12"/>
      <c r="E133" s="12"/>
    </row>
    <row r="134" spans="2:5" x14ac:dyDescent="0.25">
      <c r="B134" s="12"/>
      <c r="C134" s="12"/>
      <c r="D134" s="12"/>
      <c r="E134" s="12"/>
    </row>
    <row r="135" spans="2:5" x14ac:dyDescent="0.25">
      <c r="B135" s="12"/>
      <c r="C135" s="12"/>
      <c r="D135" s="12"/>
      <c r="E135" s="12"/>
    </row>
    <row r="136" spans="2:5" x14ac:dyDescent="0.25">
      <c r="B136" s="12"/>
      <c r="C136" s="12"/>
      <c r="D136" s="12"/>
      <c r="E136" s="12"/>
    </row>
    <row r="137" spans="2:5" x14ac:dyDescent="0.25">
      <c r="B137" s="12"/>
      <c r="C137" s="12"/>
      <c r="D137" s="12"/>
      <c r="E137" s="12"/>
    </row>
    <row r="138" spans="2:5" x14ac:dyDescent="0.25">
      <c r="B138" s="12"/>
      <c r="C138" s="12"/>
      <c r="D138" s="12"/>
      <c r="E138" s="12"/>
    </row>
    <row r="139" spans="2:5" x14ac:dyDescent="0.25">
      <c r="B139" s="12"/>
      <c r="C139" s="12"/>
      <c r="D139" s="12"/>
      <c r="E139" s="12"/>
    </row>
    <row r="140" spans="2:5" x14ac:dyDescent="0.25">
      <c r="B140" s="12"/>
      <c r="C140" s="12"/>
      <c r="D140" s="12"/>
      <c r="E140" s="12"/>
    </row>
    <row r="141" spans="2:5" x14ac:dyDescent="0.25">
      <c r="B141" s="12"/>
      <c r="C141" s="12"/>
      <c r="D141" s="12"/>
      <c r="E141" s="12"/>
    </row>
    <row r="142" spans="2:5" x14ac:dyDescent="0.25">
      <c r="B142" s="12"/>
      <c r="C142" s="12"/>
      <c r="D142" s="12"/>
      <c r="E142" s="12"/>
    </row>
    <row r="143" spans="2:5" x14ac:dyDescent="0.25">
      <c r="B143" s="12"/>
      <c r="C143" s="12"/>
      <c r="D143" s="12"/>
      <c r="E143" s="12"/>
    </row>
    <row r="144" spans="2:5" x14ac:dyDescent="0.25">
      <c r="B144" s="12"/>
      <c r="C144" s="12"/>
      <c r="D144" s="12"/>
      <c r="E144" s="12"/>
    </row>
    <row r="145" spans="2:5" x14ac:dyDescent="0.25">
      <c r="B145" s="12"/>
      <c r="C145" s="12"/>
      <c r="D145" s="12"/>
      <c r="E145" s="12"/>
    </row>
    <row r="146" spans="2:5" x14ac:dyDescent="0.25">
      <c r="B146" s="12"/>
      <c r="C146" s="12"/>
      <c r="D146" s="12"/>
      <c r="E146" s="12"/>
    </row>
    <row r="147" spans="2:5" x14ac:dyDescent="0.25">
      <c r="B147" s="12"/>
      <c r="C147" s="12"/>
      <c r="D147" s="12"/>
      <c r="E147" s="12"/>
    </row>
    <row r="148" spans="2:5" x14ac:dyDescent="0.25">
      <c r="B148" s="12"/>
      <c r="C148" s="12"/>
      <c r="D148" s="12"/>
      <c r="E148" s="12"/>
    </row>
    <row r="149" spans="2:5" x14ac:dyDescent="0.25">
      <c r="B149" s="12"/>
      <c r="C149" s="12"/>
      <c r="D149" s="12"/>
      <c r="E149" s="12"/>
    </row>
    <row r="150" spans="2:5" x14ac:dyDescent="0.25">
      <c r="B150" s="12"/>
      <c r="C150" s="12"/>
      <c r="D150" s="12"/>
      <c r="E150" s="12"/>
    </row>
    <row r="151" spans="2:5" x14ac:dyDescent="0.25">
      <c r="B151" s="12"/>
      <c r="C151" s="12"/>
      <c r="D151" s="12"/>
      <c r="E151" s="12"/>
    </row>
    <row r="152" spans="2:5" x14ac:dyDescent="0.25">
      <c r="B152" s="12"/>
      <c r="C152" s="12"/>
      <c r="D152" s="12"/>
      <c r="E152" s="12"/>
    </row>
    <row r="153" spans="2:5" x14ac:dyDescent="0.25">
      <c r="B153" s="12"/>
      <c r="C153" s="12"/>
      <c r="D153" s="12"/>
      <c r="E153" s="12"/>
    </row>
    <row r="154" spans="2:5" x14ac:dyDescent="0.25">
      <c r="B154" s="12"/>
      <c r="C154" s="12"/>
      <c r="D154" s="12"/>
      <c r="E154" s="12"/>
    </row>
    <row r="155" spans="2:5" x14ac:dyDescent="0.25">
      <c r="B155" s="12"/>
      <c r="C155" s="12"/>
      <c r="D155" s="12"/>
      <c r="E155" s="12"/>
    </row>
    <row r="156" spans="2:5" x14ac:dyDescent="0.25">
      <c r="B156" s="12"/>
      <c r="C156" s="12"/>
      <c r="D156" s="12"/>
      <c r="E156" s="12"/>
    </row>
    <row r="157" spans="2:5" x14ac:dyDescent="0.25">
      <c r="B157" s="12"/>
      <c r="C157" s="12"/>
      <c r="D157" s="12"/>
      <c r="E157" s="12"/>
    </row>
    <row r="158" spans="2:5" x14ac:dyDescent="0.25">
      <c r="B158" s="12"/>
      <c r="C158" s="12"/>
      <c r="D158" s="12"/>
      <c r="E158" s="12"/>
    </row>
    <row r="159" spans="2:5" x14ac:dyDescent="0.25">
      <c r="B159" s="12"/>
      <c r="C159" s="12"/>
      <c r="D159" s="12"/>
      <c r="E159" s="12"/>
    </row>
    <row r="160" spans="2:5" x14ac:dyDescent="0.25">
      <c r="B160" s="12"/>
      <c r="C160" s="12"/>
      <c r="D160" s="12"/>
      <c r="E160" s="12"/>
    </row>
    <row r="161" spans="2:5" x14ac:dyDescent="0.25">
      <c r="B161" s="12"/>
      <c r="C161" s="12"/>
      <c r="D161" s="12"/>
      <c r="E161" s="12"/>
    </row>
    <row r="162" spans="2:5" x14ac:dyDescent="0.25">
      <c r="B162" s="12"/>
      <c r="C162" s="12"/>
      <c r="D162" s="12"/>
      <c r="E162" s="12"/>
    </row>
    <row r="163" spans="2:5" x14ac:dyDescent="0.25">
      <c r="B163" s="12"/>
      <c r="C163" s="12"/>
      <c r="D163" s="12"/>
      <c r="E163" s="12"/>
    </row>
    <row r="164" spans="2:5" x14ac:dyDescent="0.25">
      <c r="B164" s="12"/>
      <c r="C164" s="12"/>
      <c r="D164" s="12"/>
      <c r="E164" s="12"/>
    </row>
    <row r="165" spans="2:5" x14ac:dyDescent="0.25">
      <c r="B165" s="12"/>
      <c r="C165" s="12"/>
      <c r="D165" s="12"/>
      <c r="E165" s="12"/>
    </row>
    <row r="166" spans="2:5" x14ac:dyDescent="0.25">
      <c r="B166" s="12"/>
      <c r="C166" s="12"/>
      <c r="D166" s="12"/>
      <c r="E166" s="12"/>
    </row>
    <row r="167" spans="2:5" x14ac:dyDescent="0.25">
      <c r="B167" s="12"/>
      <c r="C167" s="12"/>
      <c r="D167" s="12"/>
      <c r="E167" s="12"/>
    </row>
    <row r="168" spans="2:5" x14ac:dyDescent="0.25">
      <c r="B168" s="12"/>
      <c r="C168" s="12"/>
      <c r="D168" s="12"/>
      <c r="E168" s="12"/>
    </row>
    <row r="169" spans="2:5" x14ac:dyDescent="0.25">
      <c r="B169" s="12"/>
      <c r="C169" s="12"/>
      <c r="D169" s="12"/>
      <c r="E169" s="12"/>
    </row>
    <row r="170" spans="2:5" x14ac:dyDescent="0.25">
      <c r="B170" s="12"/>
      <c r="C170" s="12"/>
      <c r="D170" s="12"/>
      <c r="E170" s="12"/>
    </row>
    <row r="171" spans="2:5" x14ac:dyDescent="0.25">
      <c r="B171" s="12"/>
      <c r="C171" s="12"/>
      <c r="D171" s="12"/>
      <c r="E171" s="12"/>
    </row>
    <row r="172" spans="2:5" x14ac:dyDescent="0.25">
      <c r="B172" s="12"/>
      <c r="C172" s="12"/>
      <c r="D172" s="12"/>
      <c r="E172" s="12"/>
    </row>
    <row r="173" spans="2:5" x14ac:dyDescent="0.25">
      <c r="B173" s="12"/>
      <c r="C173" s="12"/>
      <c r="D173" s="12"/>
      <c r="E173" s="12"/>
    </row>
    <row r="174" spans="2:5" x14ac:dyDescent="0.25">
      <c r="B174" s="12"/>
      <c r="C174" s="12"/>
      <c r="D174" s="12"/>
      <c r="E174" s="12"/>
    </row>
    <row r="175" spans="2:5" x14ac:dyDescent="0.25">
      <c r="B175" s="12"/>
      <c r="C175" s="12"/>
      <c r="D175" s="12"/>
      <c r="E175" s="12"/>
    </row>
    <row r="176" spans="2:5" x14ac:dyDescent="0.25">
      <c r="B176" s="12"/>
      <c r="C176" s="12"/>
      <c r="D176" s="12"/>
      <c r="E176" s="12"/>
    </row>
    <row r="177" spans="2:5" x14ac:dyDescent="0.25">
      <c r="B177" s="12"/>
      <c r="C177" s="12"/>
      <c r="D177" s="12"/>
      <c r="E177" s="12"/>
    </row>
    <row r="178" spans="2:5" x14ac:dyDescent="0.25">
      <c r="B178" s="12"/>
      <c r="C178" s="12"/>
      <c r="D178" s="12"/>
      <c r="E178" s="12"/>
    </row>
    <row r="179" spans="2:5" x14ac:dyDescent="0.25">
      <c r="B179" s="12"/>
      <c r="C179" s="12"/>
      <c r="D179" s="12"/>
      <c r="E179" s="12"/>
    </row>
    <row r="180" spans="2:5" x14ac:dyDescent="0.25">
      <c r="B180" s="12"/>
      <c r="C180" s="12"/>
      <c r="D180" s="12"/>
      <c r="E180" s="12"/>
    </row>
    <row r="181" spans="2:5" x14ac:dyDescent="0.25">
      <c r="B181" s="12"/>
      <c r="C181" s="12"/>
      <c r="D181" s="12"/>
      <c r="E181" s="12"/>
    </row>
    <row r="182" spans="2:5" x14ac:dyDescent="0.25">
      <c r="B182" s="12"/>
      <c r="C182" s="12"/>
      <c r="D182" s="12"/>
      <c r="E182" s="12"/>
    </row>
    <row r="183" spans="2:5" x14ac:dyDescent="0.25">
      <c r="B183" s="12"/>
      <c r="C183" s="12"/>
      <c r="D183" s="12"/>
      <c r="E183" s="12"/>
    </row>
    <row r="184" spans="2:5" x14ac:dyDescent="0.25">
      <c r="B184" s="12"/>
      <c r="C184" s="12"/>
      <c r="D184" s="12"/>
      <c r="E184" s="12"/>
    </row>
    <row r="185" spans="2:5" x14ac:dyDescent="0.25">
      <c r="B185" s="12"/>
      <c r="C185" s="12"/>
      <c r="D185" s="12"/>
      <c r="E185" s="12"/>
    </row>
    <row r="186" spans="2:5" x14ac:dyDescent="0.25">
      <c r="B186" s="12"/>
      <c r="C186" s="12"/>
      <c r="D186" s="12"/>
      <c r="E186" s="12"/>
    </row>
    <row r="187" spans="2:5" x14ac:dyDescent="0.25">
      <c r="B187" s="12"/>
      <c r="C187" s="12"/>
      <c r="D187" s="12"/>
      <c r="E187" s="12"/>
    </row>
    <row r="188" spans="2:5" x14ac:dyDescent="0.25">
      <c r="B188" s="12"/>
      <c r="C188" s="12"/>
      <c r="D188" s="12"/>
      <c r="E188" s="12"/>
    </row>
    <row r="189" spans="2:5" x14ac:dyDescent="0.25">
      <c r="B189" s="12"/>
      <c r="C189" s="12"/>
      <c r="D189" s="12"/>
      <c r="E189" s="12"/>
    </row>
    <row r="190" spans="2:5" x14ac:dyDescent="0.25">
      <c r="B190" s="12"/>
      <c r="C190" s="12"/>
      <c r="D190" s="12"/>
      <c r="E190" s="12"/>
    </row>
    <row r="191" spans="2:5" x14ac:dyDescent="0.25">
      <c r="B191" s="12"/>
      <c r="C191" s="12"/>
      <c r="D191" s="12"/>
      <c r="E191" s="12"/>
    </row>
    <row r="192" spans="2:5" x14ac:dyDescent="0.25">
      <c r="B192" s="12"/>
      <c r="C192" s="12"/>
      <c r="D192" s="12"/>
      <c r="E192" s="12"/>
    </row>
    <row r="193" spans="2:5" x14ac:dyDescent="0.25">
      <c r="B193" s="12"/>
      <c r="C193" s="12"/>
      <c r="D193" s="12"/>
      <c r="E193" s="12"/>
    </row>
    <row r="194" spans="2:5" x14ac:dyDescent="0.25">
      <c r="B194" s="12"/>
      <c r="C194" s="12"/>
      <c r="D194" s="12"/>
      <c r="E194" s="12"/>
    </row>
    <row r="195" spans="2:5" x14ac:dyDescent="0.25">
      <c r="B195" s="12"/>
      <c r="C195" s="12"/>
      <c r="D195" s="12"/>
      <c r="E195" s="12"/>
    </row>
    <row r="196" spans="2:5" x14ac:dyDescent="0.25">
      <c r="B196" s="12"/>
      <c r="C196" s="12"/>
      <c r="D196" s="12"/>
      <c r="E196" s="12"/>
    </row>
    <row r="197" spans="2:5" x14ac:dyDescent="0.25">
      <c r="B197" s="12"/>
      <c r="C197" s="12"/>
      <c r="D197" s="12"/>
      <c r="E197" s="12"/>
    </row>
    <row r="198" spans="2:5" x14ac:dyDescent="0.25">
      <c r="B198" s="12"/>
      <c r="C198" s="12"/>
      <c r="D198" s="12"/>
      <c r="E198" s="12"/>
    </row>
    <row r="199" spans="2:5" x14ac:dyDescent="0.25">
      <c r="B199" s="12"/>
      <c r="C199" s="12"/>
      <c r="D199" s="12"/>
      <c r="E199" s="12"/>
    </row>
    <row r="200" spans="2:5" x14ac:dyDescent="0.25">
      <c r="B200" s="12"/>
      <c r="C200" s="12"/>
      <c r="D200" s="12"/>
      <c r="E200" s="12"/>
    </row>
    <row r="201" spans="2:5" x14ac:dyDescent="0.25">
      <c r="B201" s="12"/>
      <c r="C201" s="12"/>
      <c r="D201" s="12"/>
      <c r="E201" s="12"/>
    </row>
    <row r="202" spans="2:5" x14ac:dyDescent="0.25">
      <c r="B202" s="12"/>
      <c r="C202" s="12"/>
      <c r="D202" s="12"/>
      <c r="E202" s="12"/>
    </row>
    <row r="203" spans="2:5" x14ac:dyDescent="0.25">
      <c r="B203" s="12"/>
      <c r="C203" s="12"/>
      <c r="D203" s="12"/>
      <c r="E203" s="12"/>
    </row>
    <row r="204" spans="2:5" x14ac:dyDescent="0.25">
      <c r="B204" s="12"/>
      <c r="C204" s="12"/>
      <c r="D204" s="12"/>
      <c r="E204" s="12"/>
    </row>
    <row r="205" spans="2:5" x14ac:dyDescent="0.25">
      <c r="B205" s="12"/>
      <c r="C205" s="12"/>
      <c r="D205" s="12"/>
      <c r="E205" s="12"/>
    </row>
    <row r="206" spans="2:5" x14ac:dyDescent="0.25">
      <c r="B206" s="12"/>
      <c r="C206" s="12"/>
      <c r="D206" s="12"/>
      <c r="E206" s="12"/>
    </row>
    <row r="207" spans="2:5" x14ac:dyDescent="0.25">
      <c r="B207" s="12"/>
      <c r="C207" s="12"/>
      <c r="D207" s="12"/>
      <c r="E207" s="12"/>
    </row>
    <row r="208" spans="2:5" x14ac:dyDescent="0.25">
      <c r="B208" s="12"/>
      <c r="C208" s="12"/>
      <c r="D208" s="12"/>
      <c r="E208" s="12"/>
    </row>
    <row r="209" spans="2:5" x14ac:dyDescent="0.25">
      <c r="B209" s="12"/>
      <c r="C209" s="12"/>
      <c r="D209" s="12"/>
      <c r="E209" s="12"/>
    </row>
    <row r="210" spans="2:5" x14ac:dyDescent="0.25">
      <c r="B210" s="12"/>
      <c r="C210" s="12"/>
      <c r="D210" s="12"/>
      <c r="E210" s="12"/>
    </row>
    <row r="211" spans="2:5" x14ac:dyDescent="0.25">
      <c r="B211" s="12"/>
      <c r="C211" s="12"/>
      <c r="D211" s="12"/>
      <c r="E211" s="12"/>
    </row>
    <row r="212" spans="2:5" x14ac:dyDescent="0.25">
      <c r="B212" s="12"/>
      <c r="C212" s="12"/>
      <c r="D212" s="12"/>
      <c r="E212" s="12"/>
    </row>
    <row r="213" spans="2:5" x14ac:dyDescent="0.25">
      <c r="B213" s="12"/>
      <c r="C213" s="12"/>
      <c r="D213" s="12"/>
      <c r="E213" s="12"/>
    </row>
    <row r="214" spans="2:5" x14ac:dyDescent="0.25">
      <c r="B214" s="12"/>
      <c r="C214" s="12"/>
      <c r="D214" s="12"/>
      <c r="E214" s="12"/>
    </row>
    <row r="215" spans="2:5" x14ac:dyDescent="0.25">
      <c r="B215" s="12"/>
      <c r="C215" s="12"/>
      <c r="D215" s="12"/>
      <c r="E215" s="12"/>
    </row>
    <row r="216" spans="2:5" x14ac:dyDescent="0.25">
      <c r="B216" s="12"/>
      <c r="C216" s="12"/>
      <c r="D216" s="12"/>
      <c r="E216" s="12"/>
    </row>
    <row r="217" spans="2:5" x14ac:dyDescent="0.25">
      <c r="B217" s="12"/>
      <c r="C217" s="12"/>
      <c r="D217" s="12"/>
      <c r="E217" s="12"/>
    </row>
    <row r="218" spans="2:5" x14ac:dyDescent="0.25">
      <c r="B218" s="12"/>
      <c r="C218" s="12"/>
      <c r="D218" s="12"/>
      <c r="E218" s="12"/>
    </row>
    <row r="219" spans="2:5" x14ac:dyDescent="0.25">
      <c r="B219" s="12"/>
      <c r="C219" s="12"/>
      <c r="D219" s="12"/>
      <c r="E219" s="12"/>
    </row>
    <row r="220" spans="2:5" x14ac:dyDescent="0.25">
      <c r="B220" s="12"/>
      <c r="C220" s="12"/>
      <c r="D220" s="12"/>
      <c r="E220" s="12"/>
    </row>
    <row r="221" spans="2:5" x14ac:dyDescent="0.25">
      <c r="B221" s="12"/>
      <c r="C221" s="12"/>
      <c r="D221" s="12"/>
      <c r="E221" s="12"/>
    </row>
    <row r="222" spans="2:5" x14ac:dyDescent="0.25">
      <c r="B222" s="12"/>
      <c r="C222" s="12"/>
      <c r="D222" s="12"/>
      <c r="E222" s="12"/>
    </row>
    <row r="223" spans="2:5" x14ac:dyDescent="0.25">
      <c r="B223" s="12"/>
      <c r="C223" s="12"/>
      <c r="D223" s="12"/>
      <c r="E223" s="12"/>
    </row>
    <row r="224" spans="2:5" x14ac:dyDescent="0.25">
      <c r="B224" s="12"/>
      <c r="C224" s="12"/>
      <c r="D224" s="12"/>
      <c r="E224" s="12"/>
    </row>
    <row r="225" spans="2:5" x14ac:dyDescent="0.25">
      <c r="B225" s="12"/>
      <c r="C225" s="12"/>
      <c r="D225" s="12"/>
      <c r="E225" s="12"/>
    </row>
    <row r="226" spans="2:5" x14ac:dyDescent="0.25">
      <c r="B226" s="12"/>
      <c r="C226" s="12"/>
      <c r="D226" s="12"/>
      <c r="E226" s="12"/>
    </row>
    <row r="227" spans="2:5" x14ac:dyDescent="0.25">
      <c r="B227" s="12"/>
      <c r="C227" s="12"/>
      <c r="D227" s="12"/>
      <c r="E227" s="12"/>
    </row>
    <row r="228" spans="2:5" x14ac:dyDescent="0.25">
      <c r="B228" s="12"/>
      <c r="C228" s="12"/>
      <c r="D228" s="12"/>
      <c r="E228" s="12"/>
    </row>
    <row r="229" spans="2:5" x14ac:dyDescent="0.25">
      <c r="B229" s="12"/>
      <c r="C229" s="12"/>
      <c r="D229" s="12"/>
      <c r="E229" s="12"/>
    </row>
    <row r="230" spans="2:5" x14ac:dyDescent="0.25">
      <c r="B230" s="12"/>
      <c r="C230" s="12"/>
      <c r="D230" s="12"/>
      <c r="E230" s="12"/>
    </row>
    <row r="231" spans="2:5" x14ac:dyDescent="0.25">
      <c r="B231" s="12"/>
      <c r="C231" s="12"/>
      <c r="D231" s="12"/>
      <c r="E231" s="12"/>
    </row>
    <row r="232" spans="2:5" x14ac:dyDescent="0.25">
      <c r="B232" s="12"/>
      <c r="C232" s="12"/>
      <c r="D232" s="12"/>
      <c r="E232" s="12"/>
    </row>
    <row r="233" spans="2:5" x14ac:dyDescent="0.25">
      <c r="B233" s="12"/>
      <c r="C233" s="12"/>
      <c r="D233" s="12"/>
      <c r="E233" s="12"/>
    </row>
    <row r="234" spans="2:5" x14ac:dyDescent="0.25">
      <c r="B234" s="12"/>
      <c r="C234" s="12"/>
      <c r="D234" s="12"/>
      <c r="E234" s="12"/>
    </row>
    <row r="235" spans="2:5" x14ac:dyDescent="0.25">
      <c r="B235" s="12"/>
      <c r="C235" s="12"/>
      <c r="D235" s="12"/>
      <c r="E235" s="12"/>
    </row>
    <row r="236" spans="2:5" x14ac:dyDescent="0.25">
      <c r="B236" s="12"/>
      <c r="C236" s="12"/>
      <c r="D236" s="12"/>
      <c r="E236" s="12"/>
    </row>
    <row r="237" spans="2:5" x14ac:dyDescent="0.25">
      <c r="B237" s="12"/>
      <c r="C237" s="12"/>
      <c r="D237" s="12"/>
      <c r="E237" s="12"/>
    </row>
    <row r="238" spans="2:5" x14ac:dyDescent="0.25">
      <c r="B238" s="12"/>
      <c r="C238" s="12"/>
      <c r="D238" s="12"/>
      <c r="E238" s="12"/>
    </row>
    <row r="239" spans="2:5" x14ac:dyDescent="0.25">
      <c r="B239" s="12"/>
      <c r="C239" s="12"/>
      <c r="D239" s="12"/>
      <c r="E239" s="12"/>
    </row>
    <row r="240" spans="2:5" x14ac:dyDescent="0.25">
      <c r="B240" s="12"/>
      <c r="C240" s="12"/>
      <c r="D240" s="12"/>
      <c r="E240" s="12"/>
    </row>
    <row r="241" spans="2:5" x14ac:dyDescent="0.25">
      <c r="B241" s="12"/>
      <c r="C241" s="12"/>
      <c r="D241" s="12"/>
      <c r="E241" s="12"/>
    </row>
    <row r="242" spans="2:5" x14ac:dyDescent="0.25">
      <c r="B242" s="12"/>
      <c r="C242" s="12"/>
      <c r="D242" s="12"/>
      <c r="E242" s="12"/>
    </row>
    <row r="243" spans="2:5" x14ac:dyDescent="0.25">
      <c r="B243" s="12"/>
      <c r="C243" s="12"/>
      <c r="D243" s="12"/>
      <c r="E243" s="12"/>
    </row>
    <row r="244" spans="2:5" x14ac:dyDescent="0.25">
      <c r="B244" s="12"/>
      <c r="C244" s="12"/>
      <c r="D244" s="12"/>
      <c r="E244" s="12"/>
    </row>
    <row r="245" spans="2:5" x14ac:dyDescent="0.25">
      <c r="B245" s="12"/>
      <c r="C245" s="12"/>
      <c r="D245" s="12"/>
      <c r="E245" s="12"/>
    </row>
    <row r="246" spans="2:5" x14ac:dyDescent="0.25">
      <c r="B246" s="12"/>
      <c r="C246" s="12"/>
      <c r="D246" s="12"/>
      <c r="E246" s="12"/>
    </row>
    <row r="247" spans="2:5" x14ac:dyDescent="0.25">
      <c r="B247" s="12"/>
      <c r="C247" s="12"/>
      <c r="D247" s="12"/>
      <c r="E247" s="12"/>
    </row>
    <row r="248" spans="2:5" x14ac:dyDescent="0.25">
      <c r="B248" s="12"/>
      <c r="C248" s="12"/>
      <c r="D248" s="12"/>
      <c r="E248" s="12"/>
    </row>
    <row r="249" spans="2:5" x14ac:dyDescent="0.25">
      <c r="B249" s="12"/>
      <c r="C249" s="12"/>
      <c r="D249" s="12"/>
      <c r="E249" s="12"/>
    </row>
    <row r="250" spans="2:5" x14ac:dyDescent="0.25">
      <c r="B250" s="12"/>
      <c r="C250" s="12"/>
      <c r="D250" s="12"/>
      <c r="E250" s="12"/>
    </row>
    <row r="251" spans="2:5" x14ac:dyDescent="0.25">
      <c r="B251" s="12"/>
      <c r="C251" s="12"/>
      <c r="D251" s="12"/>
      <c r="E251" s="12"/>
    </row>
    <row r="252" spans="2:5" x14ac:dyDescent="0.25">
      <c r="B252" s="12"/>
      <c r="C252" s="12"/>
      <c r="D252" s="12"/>
      <c r="E252" s="12"/>
    </row>
    <row r="253" spans="2:5" x14ac:dyDescent="0.25">
      <c r="B253" s="12"/>
      <c r="C253" s="12"/>
      <c r="D253" s="12"/>
      <c r="E253" s="12"/>
    </row>
    <row r="254" spans="2:5" x14ac:dyDescent="0.25">
      <c r="B254" s="12"/>
      <c r="C254" s="12"/>
      <c r="D254" s="12"/>
      <c r="E254" s="12"/>
    </row>
    <row r="255" spans="2:5" x14ac:dyDescent="0.25">
      <c r="B255" s="12"/>
      <c r="C255" s="12"/>
      <c r="D255" s="12"/>
      <c r="E255" s="12"/>
    </row>
    <row r="256" spans="2:5" x14ac:dyDescent="0.25">
      <c r="B256" s="12"/>
      <c r="C256" s="12"/>
      <c r="D256" s="12"/>
      <c r="E256" s="12"/>
    </row>
    <row r="257" spans="2:5" x14ac:dyDescent="0.25">
      <c r="B257" s="12"/>
      <c r="C257" s="12"/>
      <c r="D257" s="12"/>
      <c r="E257" s="12"/>
    </row>
    <row r="258" spans="2:5" x14ac:dyDescent="0.25">
      <c r="B258" s="12"/>
      <c r="C258" s="12"/>
      <c r="D258" s="12"/>
      <c r="E258" s="12"/>
    </row>
    <row r="259" spans="2:5" x14ac:dyDescent="0.25">
      <c r="B259" s="12"/>
      <c r="C259" s="12"/>
      <c r="D259" s="12"/>
      <c r="E259" s="12"/>
    </row>
    <row r="260" spans="2:5" x14ac:dyDescent="0.25">
      <c r="B260" s="12"/>
      <c r="C260" s="12"/>
      <c r="D260" s="12"/>
      <c r="E260" s="12"/>
    </row>
    <row r="261" spans="2:5" x14ac:dyDescent="0.25">
      <c r="B261" s="12"/>
      <c r="C261" s="12"/>
      <c r="D261" s="12"/>
      <c r="E261" s="12"/>
    </row>
    <row r="262" spans="2:5" x14ac:dyDescent="0.25">
      <c r="B262" s="12"/>
      <c r="C262" s="12"/>
      <c r="D262" s="12"/>
      <c r="E262" s="12"/>
    </row>
    <row r="263" spans="2:5" x14ac:dyDescent="0.25">
      <c r="B263" s="12"/>
      <c r="C263" s="12"/>
      <c r="D263" s="12"/>
      <c r="E263" s="12"/>
    </row>
    <row r="264" spans="2:5" x14ac:dyDescent="0.25">
      <c r="B264" s="12"/>
      <c r="C264" s="12"/>
      <c r="D264" s="12"/>
      <c r="E264" s="12"/>
    </row>
    <row r="265" spans="2:5" x14ac:dyDescent="0.25">
      <c r="B265" s="12"/>
      <c r="C265" s="12"/>
      <c r="D265" s="12"/>
      <c r="E265" s="12"/>
    </row>
    <row r="266" spans="2:5" x14ac:dyDescent="0.25">
      <c r="B266" s="12"/>
      <c r="C266" s="12"/>
      <c r="D266" s="12"/>
      <c r="E266" s="12"/>
    </row>
    <row r="267" spans="2:5" x14ac:dyDescent="0.25">
      <c r="B267" s="12"/>
      <c r="C267" s="12"/>
      <c r="D267" s="12"/>
      <c r="E267" s="12"/>
    </row>
    <row r="268" spans="2:5" x14ac:dyDescent="0.25">
      <c r="B268" s="12"/>
      <c r="C268" s="12"/>
      <c r="D268" s="12"/>
      <c r="E268" s="12"/>
    </row>
    <row r="269" spans="2:5" x14ac:dyDescent="0.25">
      <c r="B269" s="12"/>
      <c r="C269" s="12"/>
      <c r="D269" s="12"/>
      <c r="E269" s="12"/>
    </row>
    <row r="270" spans="2:5" x14ac:dyDescent="0.25">
      <c r="B270" s="12"/>
      <c r="C270" s="12"/>
      <c r="D270" s="12"/>
      <c r="E270" s="12"/>
    </row>
    <row r="271" spans="2:5" x14ac:dyDescent="0.25">
      <c r="B271" s="12"/>
      <c r="C271" s="12"/>
      <c r="D271" s="12"/>
      <c r="E271" s="12"/>
    </row>
    <row r="272" spans="2:5" x14ac:dyDescent="0.25">
      <c r="B272" s="12"/>
      <c r="C272" s="12"/>
      <c r="D272" s="12"/>
      <c r="E272" s="12"/>
    </row>
    <row r="273" spans="2:5" x14ac:dyDescent="0.25">
      <c r="B273" s="12"/>
      <c r="C273" s="12"/>
      <c r="D273" s="12"/>
      <c r="E273" s="12"/>
    </row>
    <row r="274" spans="2:5" x14ac:dyDescent="0.25">
      <c r="B274" s="12"/>
      <c r="C274" s="12"/>
      <c r="D274" s="12"/>
      <c r="E274" s="12"/>
    </row>
    <row r="275" spans="2:5" x14ac:dyDescent="0.25">
      <c r="B275" s="12"/>
      <c r="C275" s="12"/>
      <c r="D275" s="12"/>
      <c r="E275" s="12"/>
    </row>
    <row r="276" spans="2:5" x14ac:dyDescent="0.25">
      <c r="B276" s="12"/>
      <c r="C276" s="12"/>
      <c r="D276" s="12"/>
      <c r="E276" s="12"/>
    </row>
    <row r="277" spans="2:5" x14ac:dyDescent="0.25">
      <c r="B277" s="12"/>
      <c r="C277" s="12"/>
      <c r="D277" s="12"/>
      <c r="E277" s="12"/>
    </row>
    <row r="278" spans="2:5" x14ac:dyDescent="0.25">
      <c r="B278" s="12"/>
      <c r="C278" s="12"/>
      <c r="D278" s="12"/>
      <c r="E278" s="12"/>
    </row>
    <row r="279" spans="2:5" x14ac:dyDescent="0.25">
      <c r="B279" s="12"/>
      <c r="C279" s="12"/>
      <c r="D279" s="12"/>
      <c r="E279" s="12"/>
    </row>
    <row r="280" spans="2:5" x14ac:dyDescent="0.25">
      <c r="B280" s="12"/>
      <c r="C280" s="12"/>
      <c r="D280" s="12"/>
      <c r="E280" s="12"/>
    </row>
    <row r="281" spans="2:5" x14ac:dyDescent="0.25">
      <c r="B281" s="12"/>
      <c r="C281" s="12"/>
      <c r="D281" s="12"/>
      <c r="E281" s="12"/>
    </row>
    <row r="282" spans="2:5" x14ac:dyDescent="0.25">
      <c r="B282" s="12"/>
      <c r="C282" s="12"/>
      <c r="D282" s="12"/>
      <c r="E282" s="12"/>
    </row>
    <row r="283" spans="2:5" x14ac:dyDescent="0.25">
      <c r="B283" s="12"/>
      <c r="C283" s="12"/>
      <c r="D283" s="12"/>
      <c r="E283" s="12"/>
    </row>
    <row r="284" spans="2:5" x14ac:dyDescent="0.25">
      <c r="B284" s="12"/>
      <c r="C284" s="12"/>
      <c r="D284" s="12"/>
      <c r="E284" s="12"/>
    </row>
    <row r="285" spans="2:5" x14ac:dyDescent="0.25">
      <c r="B285" s="12"/>
      <c r="C285" s="12"/>
      <c r="D285" s="12"/>
      <c r="E285" s="12"/>
    </row>
    <row r="286" spans="2:5" x14ac:dyDescent="0.25">
      <c r="B286" s="12"/>
      <c r="C286" s="12"/>
      <c r="D286" s="12"/>
      <c r="E286" s="12"/>
    </row>
    <row r="287" spans="2:5" x14ac:dyDescent="0.25">
      <c r="B287" s="12"/>
      <c r="C287" s="12"/>
      <c r="D287" s="12"/>
      <c r="E287" s="12"/>
    </row>
    <row r="288" spans="2:5" x14ac:dyDescent="0.25">
      <c r="B288" s="12"/>
      <c r="C288" s="12"/>
      <c r="D288" s="12"/>
      <c r="E288" s="12"/>
    </row>
    <row r="289" spans="2:5" x14ac:dyDescent="0.25">
      <c r="B289" s="12"/>
      <c r="C289" s="12"/>
      <c r="D289" s="12"/>
      <c r="E289" s="12"/>
    </row>
    <row r="290" spans="2:5" x14ac:dyDescent="0.25">
      <c r="B290" s="12"/>
      <c r="C290" s="12"/>
      <c r="D290" s="12"/>
      <c r="E290" s="12"/>
    </row>
    <row r="291" spans="2:5" x14ac:dyDescent="0.25">
      <c r="B291" s="12"/>
      <c r="C291" s="12"/>
      <c r="D291" s="12"/>
      <c r="E291" s="12"/>
    </row>
    <row r="292" spans="2:5" x14ac:dyDescent="0.25">
      <c r="B292" s="12"/>
      <c r="C292" s="12"/>
      <c r="D292" s="12"/>
      <c r="E292" s="12"/>
    </row>
    <row r="293" spans="2:5" x14ac:dyDescent="0.25">
      <c r="B293" s="12"/>
      <c r="C293" s="12"/>
      <c r="D293" s="12"/>
      <c r="E293" s="12"/>
    </row>
    <row r="294" spans="2:5" x14ac:dyDescent="0.25">
      <c r="B294" s="12"/>
      <c r="C294" s="12"/>
      <c r="D294" s="12"/>
      <c r="E294" s="12"/>
    </row>
    <row r="295" spans="2:5" x14ac:dyDescent="0.25">
      <c r="B295" s="12"/>
      <c r="C295" s="12"/>
      <c r="D295" s="12"/>
      <c r="E295" s="12"/>
    </row>
    <row r="296" spans="2:5" x14ac:dyDescent="0.25">
      <c r="B296" s="12"/>
      <c r="C296" s="12"/>
      <c r="D296" s="12"/>
      <c r="E296" s="12"/>
    </row>
    <row r="297" spans="2:5" x14ac:dyDescent="0.25">
      <c r="B297" s="12"/>
      <c r="C297" s="12"/>
      <c r="D297" s="12"/>
      <c r="E297" s="12"/>
    </row>
    <row r="298" spans="2:5" x14ac:dyDescent="0.25">
      <c r="B298" s="12"/>
      <c r="C298" s="12"/>
      <c r="D298" s="12"/>
      <c r="E298" s="12"/>
    </row>
    <row r="299" spans="2:5" x14ac:dyDescent="0.25">
      <c r="B299" s="12"/>
      <c r="C299" s="12"/>
      <c r="D299" s="12"/>
      <c r="E299" s="12"/>
    </row>
    <row r="300" spans="2:5" x14ac:dyDescent="0.25">
      <c r="B300" s="12"/>
      <c r="C300" s="12"/>
      <c r="D300" s="12"/>
      <c r="E300" s="12"/>
    </row>
    <row r="301" spans="2:5" x14ac:dyDescent="0.25">
      <c r="B301" s="12"/>
      <c r="C301" s="12"/>
      <c r="D301" s="12"/>
      <c r="E301" s="12"/>
    </row>
    <row r="302" spans="2:5" x14ac:dyDescent="0.25">
      <c r="B302" s="12"/>
      <c r="C302" s="12"/>
      <c r="D302" s="12"/>
      <c r="E302" s="12"/>
    </row>
    <row r="303" spans="2:5" x14ac:dyDescent="0.25">
      <c r="B303" s="12"/>
      <c r="C303" s="12"/>
      <c r="D303" s="12"/>
      <c r="E303" s="12"/>
    </row>
    <row r="304" spans="2:5" x14ac:dyDescent="0.25">
      <c r="B304" s="12"/>
      <c r="C304" s="12"/>
      <c r="D304" s="12"/>
      <c r="E304" s="12"/>
    </row>
    <row r="305" spans="2:5" x14ac:dyDescent="0.25">
      <c r="B305" s="12"/>
      <c r="C305" s="12"/>
      <c r="D305" s="12"/>
      <c r="E305" s="12"/>
    </row>
    <row r="306" spans="2:5" x14ac:dyDescent="0.25">
      <c r="B306" s="12"/>
      <c r="C306" s="12"/>
      <c r="D306" s="12"/>
      <c r="E306" s="12"/>
    </row>
    <row r="307" spans="2:5" x14ac:dyDescent="0.25">
      <c r="B307" s="12"/>
      <c r="C307" s="12"/>
      <c r="D307" s="12"/>
      <c r="E307" s="12"/>
    </row>
    <row r="308" spans="2:5" x14ac:dyDescent="0.25">
      <c r="B308" s="12"/>
      <c r="C308" s="12"/>
      <c r="D308" s="12"/>
      <c r="E308" s="12"/>
    </row>
    <row r="309" spans="2:5" x14ac:dyDescent="0.25">
      <c r="B309" s="12"/>
      <c r="C309" s="12"/>
      <c r="D309" s="12"/>
      <c r="E309" s="12"/>
    </row>
    <row r="310" spans="2:5" x14ac:dyDescent="0.25">
      <c r="B310" s="12"/>
      <c r="C310" s="12"/>
      <c r="D310" s="12"/>
      <c r="E310" s="12"/>
    </row>
    <row r="311" spans="2:5" x14ac:dyDescent="0.25">
      <c r="B311" s="12"/>
      <c r="C311" s="12"/>
      <c r="D311" s="12"/>
      <c r="E311" s="12"/>
    </row>
    <row r="312" spans="2:5" x14ac:dyDescent="0.25">
      <c r="B312" s="12"/>
      <c r="C312" s="12"/>
      <c r="D312" s="12"/>
      <c r="E312" s="12"/>
    </row>
    <row r="313" spans="2:5" x14ac:dyDescent="0.25">
      <c r="B313" s="12"/>
      <c r="C313" s="12"/>
      <c r="D313" s="12"/>
      <c r="E313" s="12"/>
    </row>
    <row r="314" spans="2:5" x14ac:dyDescent="0.25">
      <c r="B314" s="12"/>
      <c r="C314" s="12"/>
      <c r="D314" s="12"/>
      <c r="E314" s="12"/>
    </row>
    <row r="315" spans="2:5" x14ac:dyDescent="0.25">
      <c r="B315" s="12"/>
      <c r="C315" s="12"/>
      <c r="D315" s="12"/>
      <c r="E315" s="12"/>
    </row>
    <row r="316" spans="2:5" x14ac:dyDescent="0.25">
      <c r="B316" s="12"/>
      <c r="C316" s="12"/>
      <c r="D316" s="12"/>
      <c r="E316" s="12"/>
    </row>
    <row r="317" spans="2:5" x14ac:dyDescent="0.25">
      <c r="B317" s="12"/>
      <c r="C317" s="12"/>
      <c r="D317" s="12"/>
      <c r="E317" s="12"/>
    </row>
    <row r="318" spans="2:5" x14ac:dyDescent="0.25">
      <c r="B318" s="12"/>
      <c r="C318" s="12"/>
      <c r="D318" s="12"/>
      <c r="E318" s="12"/>
    </row>
    <row r="319" spans="2:5" x14ac:dyDescent="0.25">
      <c r="B319" s="12"/>
      <c r="C319" s="12"/>
      <c r="D319" s="12"/>
      <c r="E319" s="12"/>
    </row>
    <row r="320" spans="2:5" x14ac:dyDescent="0.25">
      <c r="B320" s="12"/>
      <c r="C320" s="12"/>
      <c r="D320" s="12"/>
      <c r="E320" s="12"/>
    </row>
    <row r="321" spans="2:5" x14ac:dyDescent="0.25">
      <c r="B321" s="12"/>
      <c r="C321" s="12"/>
      <c r="D321" s="12"/>
      <c r="E321" s="12"/>
    </row>
    <row r="322" spans="2:5" x14ac:dyDescent="0.25">
      <c r="B322" s="12"/>
      <c r="C322" s="12"/>
      <c r="D322" s="12"/>
      <c r="E322" s="12"/>
    </row>
    <row r="323" spans="2:5" x14ac:dyDescent="0.25">
      <c r="B323" s="12"/>
      <c r="C323" s="12"/>
      <c r="D323" s="12"/>
      <c r="E323" s="12"/>
    </row>
    <row r="324" spans="2:5" x14ac:dyDescent="0.25">
      <c r="B324" s="12"/>
      <c r="C324" s="12"/>
      <c r="D324" s="12"/>
      <c r="E324" s="12"/>
    </row>
    <row r="325" spans="2:5" x14ac:dyDescent="0.25">
      <c r="B325" s="12"/>
      <c r="C325" s="12"/>
      <c r="D325" s="12"/>
      <c r="E325" s="12"/>
    </row>
    <row r="326" spans="2:5" x14ac:dyDescent="0.25">
      <c r="B326" s="12"/>
      <c r="C326" s="12"/>
      <c r="D326" s="12"/>
      <c r="E326" s="12"/>
    </row>
    <row r="327" spans="2:5" x14ac:dyDescent="0.25">
      <c r="B327" s="12"/>
      <c r="C327" s="12"/>
      <c r="D327" s="12"/>
      <c r="E327" s="12"/>
    </row>
    <row r="328" spans="2:5" x14ac:dyDescent="0.25">
      <c r="B328" s="12"/>
      <c r="C328" s="12"/>
      <c r="D328" s="12"/>
      <c r="E328" s="12"/>
    </row>
    <row r="329" spans="2:5" x14ac:dyDescent="0.25">
      <c r="B329" s="12"/>
      <c r="C329" s="12"/>
      <c r="D329" s="12"/>
      <c r="E329" s="12"/>
    </row>
    <row r="330" spans="2:5" x14ac:dyDescent="0.25">
      <c r="B330" s="12"/>
      <c r="C330" s="12"/>
      <c r="D330" s="12"/>
      <c r="E330" s="12"/>
    </row>
    <row r="331" spans="2:5" x14ac:dyDescent="0.25">
      <c r="B331" s="12"/>
      <c r="C331" s="12"/>
      <c r="D331" s="12"/>
      <c r="E331" s="12"/>
    </row>
    <row r="332" spans="2:5" x14ac:dyDescent="0.25">
      <c r="B332" s="12"/>
      <c r="C332" s="12"/>
      <c r="D332" s="12"/>
      <c r="E332" s="12"/>
    </row>
    <row r="333" spans="2:5" x14ac:dyDescent="0.25">
      <c r="B333" s="12"/>
      <c r="C333" s="12"/>
      <c r="D333" s="12"/>
      <c r="E333" s="12"/>
    </row>
    <row r="334" spans="2:5" x14ac:dyDescent="0.25">
      <c r="B334" s="12"/>
      <c r="C334" s="12"/>
      <c r="D334" s="12"/>
      <c r="E334" s="12"/>
    </row>
    <row r="335" spans="2:5" x14ac:dyDescent="0.25">
      <c r="B335" s="12"/>
      <c r="C335" s="12"/>
      <c r="D335" s="12"/>
      <c r="E335" s="12"/>
    </row>
    <row r="336" spans="2:5" x14ac:dyDescent="0.25">
      <c r="B336" s="12"/>
      <c r="C336" s="12"/>
      <c r="D336" s="12"/>
      <c r="E336" s="12"/>
    </row>
    <row r="337" spans="2:5" x14ac:dyDescent="0.25">
      <c r="B337" s="12"/>
      <c r="C337" s="12"/>
      <c r="D337" s="12"/>
      <c r="E337" s="12"/>
    </row>
    <row r="338" spans="2:5" x14ac:dyDescent="0.25">
      <c r="B338" s="12"/>
      <c r="C338" s="12"/>
      <c r="D338" s="12"/>
      <c r="E338" s="12"/>
    </row>
    <row r="339" spans="2:5" x14ac:dyDescent="0.25">
      <c r="B339" s="12"/>
      <c r="C339" s="12"/>
      <c r="D339" s="12"/>
      <c r="E339" s="12"/>
    </row>
    <row r="340" spans="2:5" x14ac:dyDescent="0.25">
      <c r="B340" s="12"/>
      <c r="C340" s="12"/>
      <c r="D340" s="12"/>
      <c r="E340" s="12"/>
    </row>
    <row r="341" spans="2:5" x14ac:dyDescent="0.25">
      <c r="B341" s="12"/>
      <c r="C341" s="12"/>
      <c r="D341" s="12"/>
      <c r="E341" s="12"/>
    </row>
    <row r="342" spans="2:5" x14ac:dyDescent="0.25">
      <c r="B342" s="12"/>
      <c r="C342" s="12"/>
      <c r="D342" s="12"/>
      <c r="E342" s="12"/>
    </row>
    <row r="343" spans="2:5" x14ac:dyDescent="0.25">
      <c r="B343" s="12"/>
      <c r="C343" s="12"/>
      <c r="D343" s="12"/>
      <c r="E343" s="12"/>
    </row>
    <row r="344" spans="2:5" x14ac:dyDescent="0.25">
      <c r="B344" s="12"/>
      <c r="C344" s="12"/>
      <c r="D344" s="12"/>
      <c r="E344" s="12"/>
    </row>
    <row r="345" spans="2:5" x14ac:dyDescent="0.25">
      <c r="B345" s="12"/>
      <c r="C345" s="12"/>
      <c r="D345" s="12"/>
      <c r="E345" s="12"/>
    </row>
    <row r="346" spans="2:5" x14ac:dyDescent="0.25">
      <c r="B346" s="12"/>
      <c r="C346" s="12"/>
      <c r="D346" s="12"/>
      <c r="E346" s="12"/>
    </row>
    <row r="347" spans="2:5" x14ac:dyDescent="0.25">
      <c r="B347" s="12"/>
      <c r="C347" s="12"/>
      <c r="D347" s="12"/>
      <c r="E347" s="12"/>
    </row>
    <row r="348" spans="2:5" x14ac:dyDescent="0.25">
      <c r="B348" s="12"/>
      <c r="C348" s="12"/>
      <c r="D348" s="12"/>
      <c r="E348" s="12"/>
    </row>
    <row r="349" spans="2:5" x14ac:dyDescent="0.25">
      <c r="B349" s="12"/>
      <c r="C349" s="12"/>
      <c r="D349" s="12"/>
      <c r="E349" s="12"/>
    </row>
    <row r="350" spans="2:5" x14ac:dyDescent="0.25">
      <c r="B350" s="12"/>
      <c r="C350" s="12"/>
      <c r="D350" s="12"/>
      <c r="E350" s="12"/>
    </row>
    <row r="351" spans="2:5" x14ac:dyDescent="0.25">
      <c r="B351" s="12"/>
      <c r="C351" s="12"/>
      <c r="D351" s="12"/>
      <c r="E351" s="12"/>
    </row>
    <row r="352" spans="2:5" x14ac:dyDescent="0.25">
      <c r="B352" s="12"/>
      <c r="C352" s="12"/>
      <c r="D352" s="12"/>
      <c r="E352" s="12"/>
    </row>
    <row r="353" spans="2:5" x14ac:dyDescent="0.25">
      <c r="B353" s="12"/>
      <c r="C353" s="12"/>
      <c r="D353" s="12"/>
      <c r="E353" s="12"/>
    </row>
    <row r="354" spans="2:5" x14ac:dyDescent="0.25">
      <c r="B354" s="12"/>
      <c r="C354" s="12"/>
      <c r="D354" s="12"/>
      <c r="E354" s="12"/>
    </row>
    <row r="355" spans="2:5" x14ac:dyDescent="0.25">
      <c r="B355" s="12"/>
      <c r="C355" s="12"/>
      <c r="D355" s="12"/>
      <c r="E355" s="12"/>
    </row>
    <row r="356" spans="2:5" x14ac:dyDescent="0.25">
      <c r="B356" s="12"/>
      <c r="C356" s="12"/>
      <c r="D356" s="12"/>
      <c r="E356" s="12"/>
    </row>
    <row r="357" spans="2:5" x14ac:dyDescent="0.25">
      <c r="B357" s="12"/>
      <c r="C357" s="12"/>
      <c r="D357" s="12"/>
      <c r="E357" s="12"/>
    </row>
    <row r="358" spans="2:5" x14ac:dyDescent="0.25">
      <c r="B358" s="12"/>
      <c r="C358" s="12"/>
      <c r="D358" s="12"/>
      <c r="E358" s="12"/>
    </row>
    <row r="359" spans="2:5" x14ac:dyDescent="0.25">
      <c r="B359" s="12"/>
      <c r="C359" s="12"/>
      <c r="D359" s="12"/>
      <c r="E359" s="12"/>
    </row>
    <row r="360" spans="2:5" x14ac:dyDescent="0.25">
      <c r="B360" s="12"/>
      <c r="C360" s="12"/>
      <c r="D360" s="12"/>
      <c r="E360" s="12"/>
    </row>
    <row r="361" spans="2:5" x14ac:dyDescent="0.25">
      <c r="B361" s="12"/>
      <c r="C361" s="12"/>
      <c r="D361" s="12"/>
      <c r="E361" s="12"/>
    </row>
    <row r="362" spans="2:5" x14ac:dyDescent="0.25">
      <c r="B362" s="12"/>
      <c r="C362" s="12"/>
      <c r="D362" s="12"/>
      <c r="E362" s="12"/>
    </row>
    <row r="363" spans="2:5" x14ac:dyDescent="0.25">
      <c r="B363" s="12"/>
      <c r="C363" s="12"/>
      <c r="D363" s="12"/>
      <c r="E363" s="12"/>
    </row>
    <row r="364" spans="2:5" x14ac:dyDescent="0.25">
      <c r="B364" s="12"/>
      <c r="C364" s="12"/>
      <c r="D364" s="12"/>
      <c r="E364" s="12"/>
    </row>
    <row r="365" spans="2:5" x14ac:dyDescent="0.25">
      <c r="B365" s="12"/>
      <c r="C365" s="12"/>
      <c r="D365" s="12"/>
      <c r="E365" s="12"/>
    </row>
    <row r="366" spans="2:5" x14ac:dyDescent="0.25">
      <c r="B366" s="12"/>
      <c r="C366" s="12"/>
      <c r="D366" s="12"/>
      <c r="E366" s="12"/>
    </row>
    <row r="367" spans="2:5" x14ac:dyDescent="0.25">
      <c r="B367" s="12"/>
      <c r="C367" s="12"/>
      <c r="D367" s="12"/>
      <c r="E367" s="12"/>
    </row>
    <row r="368" spans="2:5" x14ac:dyDescent="0.25">
      <c r="B368" s="12"/>
      <c r="C368" s="12"/>
      <c r="D368" s="12"/>
      <c r="E368" s="12"/>
    </row>
    <row r="369" spans="2:5" x14ac:dyDescent="0.25">
      <c r="B369" s="12"/>
      <c r="C369" s="12"/>
      <c r="D369" s="12"/>
      <c r="E369" s="12"/>
    </row>
    <row r="370" spans="2:5" x14ac:dyDescent="0.25">
      <c r="B370" s="12"/>
      <c r="C370" s="12"/>
      <c r="D370" s="12"/>
      <c r="E370" s="12"/>
    </row>
    <row r="371" spans="2:5" x14ac:dyDescent="0.25">
      <c r="B371" s="12"/>
      <c r="C371" s="12"/>
      <c r="D371" s="12"/>
      <c r="E371" s="12"/>
    </row>
    <row r="372" spans="2:5" x14ac:dyDescent="0.25">
      <c r="B372" s="12"/>
      <c r="C372" s="12"/>
      <c r="D372" s="12"/>
      <c r="E372" s="12"/>
    </row>
    <row r="373" spans="2:5" x14ac:dyDescent="0.25">
      <c r="B373" s="12"/>
      <c r="C373" s="12"/>
      <c r="D373" s="12"/>
      <c r="E373" s="12"/>
    </row>
    <row r="374" spans="2:5" x14ac:dyDescent="0.25">
      <c r="B374" s="12"/>
      <c r="C374" s="12"/>
      <c r="D374" s="12"/>
      <c r="E374" s="12"/>
    </row>
    <row r="375" spans="2:5" x14ac:dyDescent="0.25">
      <c r="B375" s="12"/>
      <c r="C375" s="12"/>
      <c r="D375" s="12"/>
      <c r="E375" s="12"/>
    </row>
    <row r="376" spans="2:5" x14ac:dyDescent="0.25">
      <c r="B376" s="12"/>
      <c r="C376" s="12"/>
      <c r="D376" s="12"/>
      <c r="E376" s="12"/>
    </row>
    <row r="377" spans="2:5" x14ac:dyDescent="0.25">
      <c r="B377" s="12"/>
      <c r="C377" s="12"/>
      <c r="D377" s="12"/>
      <c r="E377" s="12"/>
    </row>
    <row r="378" spans="2:5" x14ac:dyDescent="0.25">
      <c r="B378" s="12"/>
      <c r="C378" s="12"/>
      <c r="D378" s="12"/>
      <c r="E378" s="12"/>
    </row>
    <row r="379" spans="2:5" x14ac:dyDescent="0.25">
      <c r="B379" s="12"/>
      <c r="C379" s="12"/>
      <c r="D379" s="12"/>
      <c r="E379" s="12"/>
    </row>
    <row r="380" spans="2:5" x14ac:dyDescent="0.25">
      <c r="B380" s="12"/>
      <c r="C380" s="12"/>
      <c r="D380" s="12"/>
      <c r="E380" s="12"/>
    </row>
    <row r="381" spans="2:5" x14ac:dyDescent="0.25">
      <c r="B381" s="12"/>
      <c r="C381" s="12"/>
      <c r="D381" s="12"/>
      <c r="E381" s="12"/>
    </row>
    <row r="382" spans="2:5" x14ac:dyDescent="0.25">
      <c r="B382" s="12"/>
      <c r="C382" s="12"/>
      <c r="D382" s="12"/>
      <c r="E382" s="12"/>
    </row>
    <row r="383" spans="2:5" x14ac:dyDescent="0.25">
      <c r="B383" s="12"/>
      <c r="C383" s="12"/>
      <c r="D383" s="12"/>
      <c r="E383" s="12"/>
    </row>
    <row r="384" spans="2:5" x14ac:dyDescent="0.25">
      <c r="B384" s="12"/>
      <c r="C384" s="12"/>
      <c r="D384" s="12"/>
      <c r="E384" s="12"/>
    </row>
    <row r="385" spans="2:5" x14ac:dyDescent="0.25">
      <c r="B385" s="12"/>
      <c r="C385" s="12"/>
      <c r="D385" s="12"/>
      <c r="E385" s="12"/>
    </row>
    <row r="386" spans="2:5" x14ac:dyDescent="0.25">
      <c r="B386" s="12"/>
      <c r="C386" s="12"/>
      <c r="D386" s="12"/>
      <c r="E386" s="12"/>
    </row>
    <row r="387" spans="2:5" x14ac:dyDescent="0.25">
      <c r="B387" s="12"/>
      <c r="C387" s="12"/>
      <c r="D387" s="12"/>
      <c r="E387" s="12"/>
    </row>
    <row r="388" spans="2:5" x14ac:dyDescent="0.25">
      <c r="B388" s="12"/>
      <c r="C388" s="12"/>
      <c r="D388" s="12"/>
      <c r="E388" s="12"/>
    </row>
    <row r="389" spans="2:5" x14ac:dyDescent="0.25">
      <c r="B389" s="12"/>
      <c r="C389" s="12"/>
      <c r="D389" s="12"/>
      <c r="E389" s="12"/>
    </row>
    <row r="390" spans="2:5" x14ac:dyDescent="0.25">
      <c r="B390" s="12"/>
      <c r="C390" s="12"/>
      <c r="D390" s="12"/>
      <c r="E390" s="12"/>
    </row>
    <row r="391" spans="2:5" x14ac:dyDescent="0.25">
      <c r="B391" s="12"/>
      <c r="C391" s="12"/>
      <c r="D391" s="12"/>
      <c r="E391" s="12"/>
    </row>
    <row r="392" spans="2:5" x14ac:dyDescent="0.25">
      <c r="B392" s="12"/>
      <c r="C392" s="12"/>
      <c r="D392" s="12"/>
      <c r="E392" s="12"/>
    </row>
    <row r="393" spans="2:5" x14ac:dyDescent="0.25">
      <c r="B393" s="12"/>
      <c r="C393" s="12"/>
      <c r="D393" s="12"/>
      <c r="E393" s="12"/>
    </row>
    <row r="394" spans="2:5" x14ac:dyDescent="0.25">
      <c r="B394" s="12"/>
      <c r="C394" s="12"/>
      <c r="D394" s="12"/>
      <c r="E394" s="12"/>
    </row>
    <row r="395" spans="2:5" x14ac:dyDescent="0.25">
      <c r="B395" s="12"/>
      <c r="C395" s="12"/>
      <c r="D395" s="12"/>
      <c r="E395" s="12"/>
    </row>
    <row r="396" spans="2:5" x14ac:dyDescent="0.25">
      <c r="B396" s="12"/>
      <c r="C396" s="12"/>
      <c r="D396" s="12"/>
      <c r="E396" s="12"/>
    </row>
    <row r="397" spans="2:5" x14ac:dyDescent="0.25">
      <c r="B397" s="12"/>
      <c r="C397" s="12"/>
      <c r="D397" s="12"/>
      <c r="E397" s="12"/>
    </row>
    <row r="398" spans="2:5" x14ac:dyDescent="0.25">
      <c r="B398" s="12"/>
      <c r="C398" s="12"/>
      <c r="D398" s="12"/>
      <c r="E398" s="12"/>
    </row>
    <row r="399" spans="2:5" x14ac:dyDescent="0.25">
      <c r="B399" s="12"/>
      <c r="C399" s="12"/>
      <c r="D399" s="12"/>
      <c r="E399" s="12"/>
    </row>
    <row r="400" spans="2:5" x14ac:dyDescent="0.25">
      <c r="B400" s="12"/>
      <c r="C400" s="12"/>
      <c r="D400" s="12"/>
      <c r="E400" s="12"/>
    </row>
    <row r="401" spans="2:5" x14ac:dyDescent="0.25">
      <c r="B401" s="12"/>
      <c r="C401" s="12"/>
      <c r="D401" s="12"/>
      <c r="E401" s="12"/>
    </row>
    <row r="402" spans="2:5" x14ac:dyDescent="0.25">
      <c r="B402" s="12"/>
      <c r="C402" s="12"/>
      <c r="D402" s="12"/>
      <c r="E402" s="12"/>
    </row>
    <row r="403" spans="2:5" x14ac:dyDescent="0.25">
      <c r="B403" s="12"/>
      <c r="C403" s="12"/>
      <c r="D403" s="12"/>
      <c r="E403" s="12"/>
    </row>
    <row r="404" spans="2:5" x14ac:dyDescent="0.25">
      <c r="B404" s="12"/>
      <c r="C404" s="12"/>
      <c r="D404" s="12"/>
      <c r="E404" s="12"/>
    </row>
    <row r="405" spans="2:5" x14ac:dyDescent="0.25">
      <c r="B405" s="12"/>
      <c r="C405" s="12"/>
      <c r="D405" s="12"/>
      <c r="E405" s="12"/>
    </row>
    <row r="406" spans="2:5" x14ac:dyDescent="0.25">
      <c r="B406" s="12"/>
      <c r="C406" s="12"/>
      <c r="D406" s="12"/>
      <c r="E406" s="12"/>
    </row>
    <row r="407" spans="2:5" x14ac:dyDescent="0.25">
      <c r="B407" s="12"/>
      <c r="C407" s="12"/>
      <c r="D407" s="12"/>
      <c r="E407" s="12"/>
    </row>
    <row r="408" spans="2:5" x14ac:dyDescent="0.25">
      <c r="B408" s="12"/>
      <c r="C408" s="12"/>
      <c r="D408" s="12"/>
      <c r="E408" s="12"/>
    </row>
    <row r="409" spans="2:5" x14ac:dyDescent="0.25">
      <c r="B409" s="12"/>
      <c r="C409" s="12"/>
      <c r="D409" s="12"/>
      <c r="E409" s="12"/>
    </row>
    <row r="410" spans="2:5" x14ac:dyDescent="0.25">
      <c r="B410" s="12"/>
      <c r="C410" s="12"/>
      <c r="D410" s="12"/>
      <c r="E410" s="12"/>
    </row>
    <row r="411" spans="2:5" x14ac:dyDescent="0.25">
      <c r="B411" s="12"/>
      <c r="C411" s="12"/>
      <c r="D411" s="12"/>
      <c r="E411" s="12"/>
    </row>
    <row r="412" spans="2:5" x14ac:dyDescent="0.25">
      <c r="B412" s="12"/>
      <c r="C412" s="12"/>
      <c r="D412" s="12"/>
      <c r="E412" s="12"/>
    </row>
    <row r="413" spans="2:5" x14ac:dyDescent="0.25">
      <c r="B413" s="12"/>
      <c r="C413" s="12"/>
      <c r="D413" s="12"/>
      <c r="E413" s="12"/>
    </row>
    <row r="414" spans="2:5" x14ac:dyDescent="0.25">
      <c r="B414" s="12"/>
      <c r="C414" s="12"/>
      <c r="D414" s="12"/>
      <c r="E414" s="12"/>
    </row>
    <row r="415" spans="2:5" x14ac:dyDescent="0.25">
      <c r="B415" s="12"/>
      <c r="C415" s="12"/>
      <c r="D415" s="12"/>
      <c r="E415" s="12"/>
    </row>
    <row r="416" spans="2:5" x14ac:dyDescent="0.25">
      <c r="B416" s="12"/>
      <c r="C416" s="12"/>
      <c r="D416" s="12"/>
      <c r="E416" s="12"/>
    </row>
    <row r="417" spans="2:5" x14ac:dyDescent="0.25">
      <c r="B417" s="12"/>
      <c r="C417" s="12"/>
      <c r="D417" s="12"/>
      <c r="E417" s="12"/>
    </row>
    <row r="418" spans="2:5" x14ac:dyDescent="0.25">
      <c r="B418" s="12"/>
      <c r="C418" s="12"/>
      <c r="D418" s="12"/>
      <c r="E418" s="12"/>
    </row>
    <row r="419" spans="2:5" x14ac:dyDescent="0.25">
      <c r="B419" s="12"/>
      <c r="C419" s="12"/>
      <c r="D419" s="12"/>
      <c r="E419" s="12"/>
    </row>
    <row r="420" spans="2:5" x14ac:dyDescent="0.25">
      <c r="B420" s="12"/>
      <c r="C420" s="12"/>
      <c r="D420" s="12"/>
      <c r="E420" s="12"/>
    </row>
    <row r="421" spans="2:5" x14ac:dyDescent="0.25">
      <c r="B421" s="12"/>
      <c r="C421" s="12"/>
      <c r="D421" s="12"/>
      <c r="E421" s="12"/>
    </row>
    <row r="422" spans="2:5" x14ac:dyDescent="0.25">
      <c r="B422" s="12"/>
      <c r="C422" s="12"/>
      <c r="D422" s="12"/>
      <c r="E422" s="12"/>
    </row>
    <row r="423" spans="2:5" x14ac:dyDescent="0.25">
      <c r="B423" s="12"/>
      <c r="C423" s="12"/>
      <c r="D423" s="12"/>
      <c r="E423" s="12"/>
    </row>
    <row r="424" spans="2:5" x14ac:dyDescent="0.25">
      <c r="B424" s="12"/>
      <c r="C424" s="12"/>
      <c r="D424" s="12"/>
      <c r="E424" s="12"/>
    </row>
    <row r="425" spans="2:5" x14ac:dyDescent="0.25">
      <c r="B425" s="12"/>
      <c r="C425" s="12"/>
      <c r="D425" s="12"/>
      <c r="E425" s="12"/>
    </row>
    <row r="426" spans="2:5" x14ac:dyDescent="0.25">
      <c r="B426" s="12"/>
      <c r="C426" s="12"/>
      <c r="D426" s="12"/>
      <c r="E426" s="12"/>
    </row>
    <row r="427" spans="2:5" x14ac:dyDescent="0.25">
      <c r="B427" s="12"/>
      <c r="C427" s="12"/>
      <c r="D427" s="12"/>
      <c r="E427" s="12"/>
    </row>
    <row r="428" spans="2:5" x14ac:dyDescent="0.25">
      <c r="B428" s="12"/>
      <c r="C428" s="12"/>
      <c r="D428" s="12"/>
      <c r="E428" s="12"/>
    </row>
    <row r="429" spans="2:5" x14ac:dyDescent="0.25">
      <c r="B429" s="12"/>
      <c r="C429" s="12"/>
      <c r="D429" s="12"/>
      <c r="E429" s="12"/>
    </row>
    <row r="430" spans="2:5" x14ac:dyDescent="0.25">
      <c r="B430" s="12"/>
      <c r="C430" s="12"/>
      <c r="D430" s="12"/>
      <c r="E430" s="12"/>
    </row>
    <row r="431" spans="2:5" x14ac:dyDescent="0.25">
      <c r="B431" s="12"/>
      <c r="C431" s="12"/>
      <c r="D431" s="12"/>
      <c r="E431" s="12"/>
    </row>
    <row r="432" spans="2:5" x14ac:dyDescent="0.25">
      <c r="B432" s="12"/>
      <c r="C432" s="12"/>
      <c r="D432" s="12"/>
      <c r="E432" s="12"/>
    </row>
    <row r="433" spans="2:5" x14ac:dyDescent="0.25">
      <c r="B433" s="12"/>
      <c r="C433" s="12"/>
      <c r="D433" s="12"/>
      <c r="E433" s="12"/>
    </row>
    <row r="434" spans="2:5" x14ac:dyDescent="0.25">
      <c r="B434" s="12"/>
      <c r="C434" s="12"/>
      <c r="D434" s="12"/>
      <c r="E434" s="12"/>
    </row>
    <row r="435" spans="2:5" x14ac:dyDescent="0.25">
      <c r="B435" s="12"/>
      <c r="C435" s="12"/>
      <c r="D435" s="12"/>
      <c r="E435" s="12"/>
    </row>
    <row r="436" spans="2:5" x14ac:dyDescent="0.25">
      <c r="B436" s="12"/>
      <c r="C436" s="12"/>
      <c r="D436" s="12"/>
      <c r="E436" s="12"/>
    </row>
    <row r="437" spans="2:5" x14ac:dyDescent="0.25">
      <c r="B437" s="12"/>
      <c r="C437" s="12"/>
      <c r="D437" s="12"/>
      <c r="E437" s="12"/>
    </row>
    <row r="438" spans="2:5" x14ac:dyDescent="0.25">
      <c r="B438" s="12"/>
      <c r="C438" s="12"/>
      <c r="D438" s="12"/>
      <c r="E438" s="12"/>
    </row>
    <row r="439" spans="2:5" x14ac:dyDescent="0.25">
      <c r="B439" s="12"/>
      <c r="C439" s="12"/>
      <c r="D439" s="12"/>
      <c r="E439" s="12"/>
    </row>
    <row r="440" spans="2:5" x14ac:dyDescent="0.25">
      <c r="B440" s="12"/>
      <c r="C440" s="12"/>
      <c r="D440" s="12"/>
      <c r="E440" s="12"/>
    </row>
    <row r="441" spans="2:5" x14ac:dyDescent="0.25">
      <c r="B441" s="12"/>
      <c r="C441" s="12"/>
      <c r="D441" s="12"/>
      <c r="E441" s="12"/>
    </row>
    <row r="442" spans="2:5" x14ac:dyDescent="0.25">
      <c r="B442" s="12"/>
      <c r="C442" s="12"/>
      <c r="D442" s="12"/>
      <c r="E442" s="12"/>
    </row>
    <row r="443" spans="2:5" x14ac:dyDescent="0.25">
      <c r="B443" s="12"/>
      <c r="C443" s="12"/>
      <c r="D443" s="12"/>
      <c r="E443" s="12"/>
    </row>
    <row r="444" spans="2:5" x14ac:dyDescent="0.25">
      <c r="B444" s="12"/>
      <c r="C444" s="12"/>
      <c r="D444" s="12"/>
      <c r="E444" s="12"/>
    </row>
    <row r="445" spans="2:5" x14ac:dyDescent="0.25">
      <c r="B445" s="12"/>
      <c r="C445" s="12"/>
      <c r="D445" s="12"/>
      <c r="E445" s="12"/>
    </row>
    <row r="446" spans="2:5" x14ac:dyDescent="0.25">
      <c r="B446" s="12"/>
      <c r="C446" s="12"/>
      <c r="D446" s="12"/>
      <c r="E446" s="12"/>
    </row>
    <row r="447" spans="2:5" x14ac:dyDescent="0.25">
      <c r="B447" s="12"/>
      <c r="C447" s="12"/>
      <c r="D447" s="12"/>
      <c r="E447" s="12"/>
    </row>
    <row r="448" spans="2:5" x14ac:dyDescent="0.25">
      <c r="B448" s="12"/>
      <c r="C448" s="12"/>
      <c r="D448" s="12"/>
      <c r="E448" s="12"/>
    </row>
    <row r="449" spans="2:5" x14ac:dyDescent="0.25">
      <c r="B449" s="12"/>
      <c r="C449" s="12"/>
      <c r="D449" s="12"/>
      <c r="E449" s="12"/>
    </row>
    <row r="450" spans="2:5" x14ac:dyDescent="0.25">
      <c r="B450" s="12"/>
      <c r="C450" s="12"/>
      <c r="D450" s="12"/>
      <c r="E450" s="12"/>
    </row>
    <row r="451" spans="2:5" x14ac:dyDescent="0.25">
      <c r="B451" s="12"/>
      <c r="C451" s="12"/>
      <c r="D451" s="12"/>
      <c r="E451" s="12"/>
    </row>
    <row r="452" spans="2:5" x14ac:dyDescent="0.25">
      <c r="B452" s="12"/>
      <c r="C452" s="12"/>
      <c r="D452" s="12"/>
      <c r="E452" s="12"/>
    </row>
    <row r="453" spans="2:5" x14ac:dyDescent="0.25">
      <c r="B453" s="12"/>
      <c r="C453" s="12"/>
      <c r="D453" s="12"/>
      <c r="E453" s="12"/>
    </row>
    <row r="454" spans="2:5" x14ac:dyDescent="0.25">
      <c r="B454" s="12"/>
      <c r="C454" s="12"/>
      <c r="D454" s="12"/>
      <c r="E454" s="12"/>
    </row>
    <row r="455" spans="2:5" x14ac:dyDescent="0.25">
      <c r="B455" s="12"/>
      <c r="C455" s="12"/>
      <c r="D455" s="12"/>
      <c r="E455" s="12"/>
    </row>
    <row r="456" spans="2:5" x14ac:dyDescent="0.25">
      <c r="B456" s="12"/>
      <c r="C456" s="12"/>
      <c r="D456" s="12"/>
      <c r="E456" s="12"/>
    </row>
    <row r="457" spans="2:5" x14ac:dyDescent="0.25">
      <c r="B457" s="12"/>
      <c r="C457" s="12"/>
      <c r="D457" s="12"/>
      <c r="E457" s="12"/>
    </row>
    <row r="458" spans="2:5" x14ac:dyDescent="0.25">
      <c r="B458" s="12"/>
      <c r="C458" s="12"/>
      <c r="D458" s="12"/>
      <c r="E458" s="12"/>
    </row>
    <row r="459" spans="2:5" x14ac:dyDescent="0.25">
      <c r="B459" s="12"/>
      <c r="C459" s="12"/>
      <c r="D459" s="12"/>
      <c r="E459" s="12"/>
    </row>
    <row r="460" spans="2:5" x14ac:dyDescent="0.25">
      <c r="B460" s="12"/>
      <c r="C460" s="12"/>
      <c r="D460" s="12"/>
      <c r="E460" s="12"/>
    </row>
    <row r="461" spans="2:5" x14ac:dyDescent="0.25">
      <c r="B461" s="12"/>
      <c r="C461" s="12"/>
      <c r="D461" s="12"/>
      <c r="E461" s="12"/>
    </row>
    <row r="462" spans="2:5" x14ac:dyDescent="0.25">
      <c r="B462" s="12"/>
      <c r="C462" s="12"/>
      <c r="D462" s="12"/>
      <c r="E462" s="12"/>
    </row>
    <row r="463" spans="2:5" x14ac:dyDescent="0.25">
      <c r="B463" s="12"/>
      <c r="C463" s="12"/>
      <c r="D463" s="12"/>
      <c r="E463" s="12"/>
    </row>
    <row r="464" spans="2:5" x14ac:dyDescent="0.25">
      <c r="B464" s="12"/>
      <c r="C464" s="12"/>
      <c r="D464" s="12"/>
      <c r="E464" s="12"/>
    </row>
    <row r="465" spans="2:5" x14ac:dyDescent="0.25">
      <c r="B465" s="12"/>
      <c r="C465" s="12"/>
      <c r="D465" s="12"/>
      <c r="E465" s="12"/>
    </row>
    <row r="466" spans="2:5" x14ac:dyDescent="0.25">
      <c r="B466" s="12"/>
      <c r="C466" s="12"/>
      <c r="D466" s="12"/>
      <c r="E466" s="12"/>
    </row>
    <row r="467" spans="2:5" x14ac:dyDescent="0.25">
      <c r="B467" s="12"/>
      <c r="C467" s="12"/>
      <c r="D467" s="12"/>
      <c r="E467" s="12"/>
    </row>
    <row r="468" spans="2:5" x14ac:dyDescent="0.25">
      <c r="B468" s="12"/>
      <c r="C468" s="12"/>
      <c r="D468" s="12"/>
      <c r="E468" s="12"/>
    </row>
    <row r="469" spans="2:5" x14ac:dyDescent="0.25">
      <c r="B469" s="12"/>
      <c r="C469" s="12"/>
      <c r="D469" s="12"/>
      <c r="E469" s="12"/>
    </row>
    <row r="470" spans="2:5" x14ac:dyDescent="0.25">
      <c r="B470" s="12"/>
      <c r="C470" s="12"/>
      <c r="D470" s="12"/>
      <c r="E470" s="12"/>
    </row>
    <row r="471" spans="2:5" x14ac:dyDescent="0.25">
      <c r="B471" s="12"/>
      <c r="C471" s="12"/>
      <c r="D471" s="12"/>
      <c r="E471" s="12"/>
    </row>
    <row r="472" spans="2:5" x14ac:dyDescent="0.25">
      <c r="B472" s="12"/>
      <c r="C472" s="12"/>
      <c r="D472" s="12"/>
      <c r="E472" s="12"/>
    </row>
    <row r="473" spans="2:5" x14ac:dyDescent="0.25">
      <c r="B473" s="12"/>
      <c r="C473" s="12"/>
      <c r="D473" s="12"/>
      <c r="E473" s="12"/>
    </row>
    <row r="474" spans="2:5" x14ac:dyDescent="0.25">
      <c r="B474" s="12"/>
      <c r="C474" s="12"/>
      <c r="D474" s="12"/>
      <c r="E474" s="12"/>
    </row>
    <row r="475" spans="2:5" x14ac:dyDescent="0.25">
      <c r="B475" s="12"/>
      <c r="C475" s="12"/>
      <c r="D475" s="12"/>
      <c r="E475" s="12"/>
    </row>
    <row r="476" spans="2:5" x14ac:dyDescent="0.25">
      <c r="B476" s="12"/>
      <c r="C476" s="12"/>
      <c r="D476" s="12"/>
      <c r="E476" s="12"/>
    </row>
    <row r="477" spans="2:5" x14ac:dyDescent="0.25">
      <c r="B477" s="12"/>
      <c r="C477" s="12"/>
      <c r="D477" s="12"/>
      <c r="E477" s="12"/>
    </row>
    <row r="478" spans="2:5" x14ac:dyDescent="0.25">
      <c r="B478" s="12"/>
      <c r="C478" s="12"/>
      <c r="D478" s="12"/>
      <c r="E478" s="12"/>
    </row>
    <row r="479" spans="2:5" x14ac:dyDescent="0.25">
      <c r="B479" s="12"/>
      <c r="C479" s="12"/>
      <c r="D479" s="12"/>
      <c r="E479" s="12"/>
    </row>
    <row r="480" spans="2:5" x14ac:dyDescent="0.25">
      <c r="B480" s="12"/>
      <c r="C480" s="12"/>
      <c r="D480" s="12"/>
      <c r="E480" s="12"/>
    </row>
    <row r="481" spans="2:5" x14ac:dyDescent="0.25">
      <c r="B481" s="12"/>
      <c r="C481" s="12"/>
      <c r="D481" s="12"/>
      <c r="E481" s="12"/>
    </row>
    <row r="482" spans="2:5" x14ac:dyDescent="0.25">
      <c r="B482" s="12"/>
      <c r="C482" s="12"/>
      <c r="D482" s="12"/>
      <c r="E482" s="12"/>
    </row>
    <row r="483" spans="2:5" x14ac:dyDescent="0.25">
      <c r="B483" s="12"/>
      <c r="C483" s="12"/>
      <c r="D483" s="12"/>
      <c r="E483" s="12"/>
    </row>
    <row r="484" spans="2:5" x14ac:dyDescent="0.25">
      <c r="B484" s="12"/>
      <c r="C484" s="12"/>
      <c r="D484" s="12"/>
      <c r="E484" s="12"/>
    </row>
    <row r="485" spans="2:5" x14ac:dyDescent="0.25">
      <c r="B485" s="12"/>
      <c r="C485" s="12"/>
      <c r="D485" s="12"/>
      <c r="E485" s="12"/>
    </row>
    <row r="486" spans="2:5" x14ac:dyDescent="0.25">
      <c r="B486" s="12"/>
      <c r="C486" s="12"/>
      <c r="D486" s="12"/>
      <c r="E486" s="12"/>
    </row>
    <row r="487" spans="2:5" x14ac:dyDescent="0.25">
      <c r="B487" s="12"/>
      <c r="C487" s="12"/>
      <c r="D487" s="12"/>
      <c r="E487" s="12"/>
    </row>
    <row r="488" spans="2:5" x14ac:dyDescent="0.25">
      <c r="B488" s="12"/>
      <c r="C488" s="12"/>
      <c r="D488" s="12"/>
      <c r="E488" s="12"/>
    </row>
    <row r="489" spans="2:5" x14ac:dyDescent="0.25">
      <c r="B489" s="12"/>
      <c r="C489" s="12"/>
      <c r="D489" s="12"/>
      <c r="E489" s="12"/>
    </row>
    <row r="490" spans="2:5" x14ac:dyDescent="0.25">
      <c r="B490" s="12"/>
      <c r="C490" s="12"/>
      <c r="D490" s="12"/>
      <c r="E490" s="12"/>
    </row>
    <row r="491" spans="2:5" x14ac:dyDescent="0.25">
      <c r="B491" s="12"/>
      <c r="C491" s="12"/>
      <c r="D491" s="12"/>
      <c r="E491" s="12"/>
    </row>
    <row r="492" spans="2:5" x14ac:dyDescent="0.25">
      <c r="B492" s="12"/>
      <c r="C492" s="12"/>
      <c r="D492" s="12"/>
      <c r="E492" s="12"/>
    </row>
    <row r="493" spans="2:5" x14ac:dyDescent="0.25">
      <c r="B493" s="12"/>
      <c r="C493" s="12"/>
      <c r="D493" s="12"/>
      <c r="E493" s="12"/>
    </row>
    <row r="494" spans="2:5" x14ac:dyDescent="0.25">
      <c r="B494" s="12"/>
      <c r="C494" s="12"/>
      <c r="D494" s="12"/>
      <c r="E494" s="12"/>
    </row>
    <row r="495" spans="2:5" x14ac:dyDescent="0.25">
      <c r="B495" s="12"/>
      <c r="C495" s="12"/>
      <c r="D495" s="12"/>
      <c r="E495" s="12"/>
    </row>
    <row r="496" spans="2:5" x14ac:dyDescent="0.25">
      <c r="B496" s="12"/>
      <c r="C496" s="12"/>
      <c r="D496" s="12"/>
      <c r="E496" s="12"/>
    </row>
    <row r="497" spans="2:5" x14ac:dyDescent="0.25">
      <c r="B497" s="12"/>
      <c r="C497" s="12"/>
      <c r="D497" s="12"/>
      <c r="E497" s="12"/>
    </row>
    <row r="498" spans="2:5" x14ac:dyDescent="0.25">
      <c r="B498" s="12"/>
      <c r="C498" s="12"/>
      <c r="D498" s="12"/>
      <c r="E498" s="12"/>
    </row>
    <row r="499" spans="2:5" x14ac:dyDescent="0.25">
      <c r="B499" s="12"/>
      <c r="C499" s="12"/>
      <c r="D499" s="12"/>
      <c r="E499" s="12"/>
    </row>
    <row r="500" spans="2:5" x14ac:dyDescent="0.25">
      <c r="B500" s="12"/>
      <c r="C500" s="12"/>
      <c r="D500" s="12"/>
      <c r="E500" s="12"/>
    </row>
    <row r="501" spans="2:5" x14ac:dyDescent="0.25">
      <c r="B501" s="12"/>
      <c r="C501" s="12"/>
      <c r="D501" s="12"/>
      <c r="E501" s="12"/>
    </row>
    <row r="502" spans="2:5" x14ac:dyDescent="0.25">
      <c r="B502" s="12"/>
      <c r="C502" s="12"/>
      <c r="D502" s="12"/>
      <c r="E502" s="12"/>
    </row>
    <row r="503" spans="2:5" x14ac:dyDescent="0.25">
      <c r="B503" s="12"/>
      <c r="C503" s="12"/>
      <c r="D503" s="12"/>
      <c r="E503" s="12"/>
    </row>
    <row r="504" spans="2:5" x14ac:dyDescent="0.25">
      <c r="B504" s="12"/>
      <c r="C504" s="12"/>
      <c r="D504" s="12"/>
      <c r="E504" s="12"/>
    </row>
    <row r="505" spans="2:5" x14ac:dyDescent="0.25">
      <c r="B505" s="12"/>
      <c r="C505" s="12"/>
      <c r="D505" s="12"/>
      <c r="E505" s="12"/>
    </row>
    <row r="506" spans="2:5" x14ac:dyDescent="0.25">
      <c r="B506" s="12"/>
      <c r="C506" s="12"/>
      <c r="D506" s="12"/>
      <c r="E506" s="12"/>
    </row>
    <row r="507" spans="2:5" x14ac:dyDescent="0.25">
      <c r="B507" s="12"/>
      <c r="C507" s="12"/>
      <c r="D507" s="12"/>
      <c r="E507" s="12"/>
    </row>
    <row r="508" spans="2:5" x14ac:dyDescent="0.25">
      <c r="B508" s="12"/>
      <c r="C508" s="12"/>
      <c r="D508" s="12"/>
      <c r="E508" s="12"/>
    </row>
    <row r="509" spans="2:5" x14ac:dyDescent="0.25">
      <c r="B509" s="12"/>
      <c r="C509" s="12"/>
      <c r="D509" s="12"/>
      <c r="E509" s="12"/>
    </row>
    <row r="510" spans="2:5" x14ac:dyDescent="0.25">
      <c r="B510" s="12"/>
      <c r="C510" s="12"/>
      <c r="D510" s="12"/>
      <c r="E510" s="12"/>
    </row>
    <row r="511" spans="2:5" x14ac:dyDescent="0.25">
      <c r="B511" s="12"/>
      <c r="C511" s="12"/>
      <c r="D511" s="12"/>
      <c r="E511" s="12"/>
    </row>
    <row r="512" spans="2:5" x14ac:dyDescent="0.25">
      <c r="B512" s="12"/>
      <c r="C512" s="12"/>
      <c r="D512" s="12"/>
      <c r="E512" s="12"/>
    </row>
    <row r="513" spans="2:5" x14ac:dyDescent="0.25">
      <c r="B513" s="12"/>
      <c r="C513" s="12"/>
      <c r="D513" s="12"/>
      <c r="E513" s="12"/>
    </row>
    <row r="514" spans="2:5" x14ac:dyDescent="0.25">
      <c r="B514" s="12"/>
      <c r="C514" s="12"/>
      <c r="D514" s="12"/>
      <c r="E514" s="12"/>
    </row>
    <row r="515" spans="2:5" x14ac:dyDescent="0.25">
      <c r="B515" s="12"/>
      <c r="C515" s="12"/>
      <c r="D515" s="12"/>
      <c r="E515" s="12"/>
    </row>
    <row r="516" spans="2:5" x14ac:dyDescent="0.25">
      <c r="B516" s="12"/>
      <c r="C516" s="12"/>
      <c r="D516" s="12"/>
      <c r="E516" s="12"/>
    </row>
    <row r="517" spans="2:5" x14ac:dyDescent="0.25">
      <c r="B517" s="12"/>
      <c r="C517" s="12"/>
      <c r="D517" s="12"/>
      <c r="E517" s="12"/>
    </row>
    <row r="518" spans="2:5" x14ac:dyDescent="0.25">
      <c r="B518" s="12"/>
      <c r="C518" s="12"/>
      <c r="D518" s="12"/>
      <c r="E518" s="12"/>
    </row>
    <row r="519" spans="2:5" x14ac:dyDescent="0.25">
      <c r="B519" s="12"/>
      <c r="C519" s="12"/>
      <c r="D519" s="12"/>
      <c r="E519" s="12"/>
    </row>
    <row r="520" spans="2:5" x14ac:dyDescent="0.25">
      <c r="B520" s="12"/>
      <c r="C520" s="12"/>
      <c r="D520" s="12"/>
      <c r="E520" s="12"/>
    </row>
    <row r="521" spans="2:5" x14ac:dyDescent="0.25">
      <c r="B521" s="12"/>
      <c r="C521" s="12"/>
      <c r="D521" s="12"/>
      <c r="E521" s="12"/>
    </row>
    <row r="522" spans="2:5" x14ac:dyDescent="0.25">
      <c r="B522" s="12"/>
      <c r="C522" s="12"/>
      <c r="D522" s="12"/>
      <c r="E522" s="12"/>
    </row>
    <row r="523" spans="2:5" x14ac:dyDescent="0.25">
      <c r="B523" s="12"/>
      <c r="C523" s="12"/>
      <c r="D523" s="12"/>
      <c r="E523" s="12"/>
    </row>
    <row r="524" spans="2:5" x14ac:dyDescent="0.25">
      <c r="B524" s="12"/>
      <c r="C524" s="12"/>
      <c r="D524" s="12"/>
      <c r="E524" s="12"/>
    </row>
    <row r="525" spans="2:5" x14ac:dyDescent="0.25">
      <c r="B525" s="12"/>
      <c r="C525" s="12"/>
      <c r="D525" s="12"/>
      <c r="E525" s="12"/>
    </row>
    <row r="526" spans="2:5" x14ac:dyDescent="0.25">
      <c r="B526" s="12"/>
      <c r="C526" s="12"/>
      <c r="D526" s="12"/>
      <c r="E526" s="12"/>
    </row>
    <row r="527" spans="2:5" x14ac:dyDescent="0.25">
      <c r="B527" s="12"/>
      <c r="C527" s="12"/>
      <c r="D527" s="12"/>
      <c r="E527" s="12"/>
    </row>
    <row r="528" spans="2:5" x14ac:dyDescent="0.25">
      <c r="B528" s="12"/>
      <c r="C528" s="12"/>
      <c r="D528" s="12"/>
      <c r="E528" s="12"/>
    </row>
    <row r="529" spans="2:5" x14ac:dyDescent="0.25">
      <c r="B529" s="12"/>
      <c r="C529" s="12"/>
      <c r="D529" s="12"/>
      <c r="E529" s="12"/>
    </row>
    <row r="530" spans="2:5" x14ac:dyDescent="0.25">
      <c r="B530" s="12"/>
      <c r="C530" s="12"/>
      <c r="D530" s="12"/>
      <c r="E530" s="12"/>
    </row>
    <row r="531" spans="2:5" x14ac:dyDescent="0.25">
      <c r="B531" s="12"/>
      <c r="C531" s="12"/>
      <c r="D531" s="12"/>
      <c r="E531" s="12"/>
    </row>
    <row r="532" spans="2:5" x14ac:dyDescent="0.25">
      <c r="B532" s="12"/>
      <c r="C532" s="12"/>
      <c r="D532" s="12"/>
      <c r="E532" s="12"/>
    </row>
    <row r="533" spans="2:5" x14ac:dyDescent="0.25">
      <c r="B533" s="12"/>
      <c r="C533" s="12"/>
      <c r="D533" s="12"/>
      <c r="E533" s="12"/>
    </row>
    <row r="534" spans="2:5" x14ac:dyDescent="0.25">
      <c r="B534" s="12"/>
      <c r="C534" s="12"/>
      <c r="D534" s="12"/>
      <c r="E534" s="12"/>
    </row>
    <row r="535" spans="2:5" x14ac:dyDescent="0.25">
      <c r="B535" s="12"/>
      <c r="C535" s="12"/>
      <c r="D535" s="12"/>
      <c r="E535" s="12"/>
    </row>
    <row r="536" spans="2:5" x14ac:dyDescent="0.25">
      <c r="B536" s="12"/>
      <c r="C536" s="12"/>
      <c r="D536" s="12"/>
      <c r="E536" s="12"/>
    </row>
    <row r="537" spans="2:5" x14ac:dyDescent="0.25">
      <c r="B537" s="12"/>
      <c r="C537" s="12"/>
      <c r="D537" s="12"/>
      <c r="E537" s="12"/>
    </row>
    <row r="538" spans="2:5" x14ac:dyDescent="0.25">
      <c r="B538" s="12"/>
      <c r="C538" s="12"/>
      <c r="D538" s="12"/>
      <c r="E538" s="12"/>
    </row>
    <row r="539" spans="2:5" x14ac:dyDescent="0.25">
      <c r="B539" s="12"/>
      <c r="C539" s="12"/>
      <c r="D539" s="12"/>
      <c r="E539" s="12"/>
    </row>
    <row r="540" spans="2:5" x14ac:dyDescent="0.25">
      <c r="B540" s="12"/>
      <c r="C540" s="12"/>
      <c r="D540" s="12"/>
      <c r="E540" s="12"/>
    </row>
    <row r="541" spans="2:5" x14ac:dyDescent="0.25">
      <c r="B541" s="12"/>
      <c r="C541" s="12"/>
      <c r="D541" s="12"/>
      <c r="E541" s="12"/>
    </row>
    <row r="542" spans="2:5" x14ac:dyDescent="0.25">
      <c r="B542" s="12"/>
      <c r="C542" s="12"/>
      <c r="D542" s="12"/>
      <c r="E542" s="12"/>
    </row>
    <row r="543" spans="2:5" x14ac:dyDescent="0.25">
      <c r="B543" s="12"/>
      <c r="C543" s="12"/>
      <c r="D543" s="12"/>
      <c r="E543" s="12"/>
    </row>
    <row r="544" spans="2:5" x14ac:dyDescent="0.25">
      <c r="B544" s="12"/>
      <c r="C544" s="12"/>
      <c r="D544" s="12"/>
      <c r="E544" s="12"/>
    </row>
    <row r="545" spans="2:5" x14ac:dyDescent="0.25">
      <c r="B545" s="12"/>
      <c r="C545" s="12"/>
      <c r="D545" s="12"/>
      <c r="E545" s="12"/>
    </row>
    <row r="546" spans="2:5" x14ac:dyDescent="0.25">
      <c r="B546" s="12"/>
      <c r="C546" s="12"/>
      <c r="D546" s="12"/>
      <c r="E546" s="12"/>
    </row>
    <row r="547" spans="2:5" x14ac:dyDescent="0.25">
      <c r="B547" s="12"/>
      <c r="C547" s="12"/>
      <c r="D547" s="12"/>
      <c r="E547" s="12"/>
    </row>
    <row r="548" spans="2:5" x14ac:dyDescent="0.25">
      <c r="B548" s="12"/>
      <c r="C548" s="12"/>
      <c r="D548" s="12"/>
      <c r="E548" s="12"/>
    </row>
    <row r="549" spans="2:5" x14ac:dyDescent="0.25">
      <c r="B549" s="12"/>
      <c r="C549" s="12"/>
      <c r="D549" s="12"/>
      <c r="E549" s="12"/>
    </row>
    <row r="550" spans="2:5" x14ac:dyDescent="0.25">
      <c r="B550" s="12"/>
      <c r="C550" s="12"/>
      <c r="D550" s="12"/>
      <c r="E550" s="12"/>
    </row>
    <row r="551" spans="2:5" x14ac:dyDescent="0.25">
      <c r="B551" s="12"/>
      <c r="C551" s="12"/>
      <c r="D551" s="12"/>
      <c r="E551" s="12"/>
    </row>
    <row r="552" spans="2:5" x14ac:dyDescent="0.25">
      <c r="B552" s="12"/>
      <c r="C552" s="12"/>
      <c r="D552" s="12"/>
      <c r="E552" s="12"/>
    </row>
    <row r="553" spans="2:5" x14ac:dyDescent="0.25">
      <c r="B553" s="12"/>
      <c r="C553" s="12"/>
      <c r="D553" s="12"/>
      <c r="E553" s="12"/>
    </row>
    <row r="554" spans="2:5" x14ac:dyDescent="0.25">
      <c r="B554" s="12"/>
      <c r="C554" s="12"/>
      <c r="D554" s="12"/>
      <c r="E554" s="12"/>
    </row>
    <row r="555" spans="2:5" x14ac:dyDescent="0.25">
      <c r="B555" s="12"/>
      <c r="C555" s="12"/>
      <c r="D555" s="12"/>
      <c r="E555" s="12"/>
    </row>
    <row r="556" spans="2:5" x14ac:dyDescent="0.25">
      <c r="B556" s="12"/>
      <c r="C556" s="12"/>
      <c r="D556" s="12"/>
      <c r="E556" s="12"/>
    </row>
    <row r="557" spans="2:5" x14ac:dyDescent="0.25">
      <c r="B557" s="12"/>
      <c r="C557" s="12"/>
      <c r="D557" s="12"/>
      <c r="E557" s="12"/>
    </row>
    <row r="558" spans="2:5" x14ac:dyDescent="0.25">
      <c r="B558" s="12"/>
      <c r="C558" s="12"/>
      <c r="D558" s="12"/>
      <c r="E558" s="12"/>
    </row>
    <row r="559" spans="2:5" x14ac:dyDescent="0.25">
      <c r="B559" s="12"/>
      <c r="C559" s="12"/>
      <c r="D559" s="12"/>
      <c r="E559" s="12"/>
    </row>
    <row r="560" spans="2:5" x14ac:dyDescent="0.25">
      <c r="B560" s="12"/>
      <c r="C560" s="12"/>
      <c r="D560" s="12"/>
      <c r="E560" s="12"/>
    </row>
    <row r="561" spans="2:5" x14ac:dyDescent="0.25">
      <c r="B561" s="12"/>
      <c r="C561" s="12"/>
      <c r="D561" s="12"/>
      <c r="E561" s="12"/>
    </row>
    <row r="562" spans="2:5" x14ac:dyDescent="0.25">
      <c r="B562" s="12"/>
      <c r="C562" s="12"/>
      <c r="D562" s="12"/>
      <c r="E562" s="12"/>
    </row>
    <row r="563" spans="2:5" x14ac:dyDescent="0.25">
      <c r="B563" s="12"/>
      <c r="C563" s="12"/>
      <c r="D563" s="12"/>
      <c r="E563" s="12"/>
    </row>
    <row r="564" spans="2:5" x14ac:dyDescent="0.25">
      <c r="B564" s="12"/>
      <c r="C564" s="12"/>
      <c r="D564" s="12"/>
      <c r="E564" s="12"/>
    </row>
    <row r="565" spans="2:5" x14ac:dyDescent="0.25">
      <c r="B565" s="12"/>
      <c r="C565" s="12"/>
      <c r="D565" s="12"/>
      <c r="E565" s="12"/>
    </row>
    <row r="566" spans="2:5" x14ac:dyDescent="0.25">
      <c r="B566" s="12"/>
      <c r="C566" s="12"/>
      <c r="D566" s="12"/>
      <c r="E566" s="12"/>
    </row>
    <row r="567" spans="2:5" x14ac:dyDescent="0.25">
      <c r="B567" s="12"/>
      <c r="C567" s="12"/>
      <c r="D567" s="12"/>
      <c r="E567" s="12"/>
    </row>
    <row r="568" spans="2:5" x14ac:dyDescent="0.25">
      <c r="B568" s="12"/>
      <c r="C568" s="12"/>
      <c r="D568" s="12"/>
      <c r="E568" s="12"/>
    </row>
    <row r="569" spans="2:5" x14ac:dyDescent="0.25">
      <c r="B569" s="12"/>
      <c r="C569" s="12"/>
      <c r="D569" s="12"/>
      <c r="E569" s="12"/>
    </row>
    <row r="570" spans="2:5" x14ac:dyDescent="0.25">
      <c r="B570" s="12"/>
      <c r="C570" s="12"/>
      <c r="D570" s="12"/>
      <c r="E570" s="12"/>
    </row>
    <row r="571" spans="2:5" x14ac:dyDescent="0.25">
      <c r="B571" s="12"/>
      <c r="C571" s="12"/>
      <c r="D571" s="12"/>
      <c r="E571" s="12"/>
    </row>
    <row r="572" spans="2:5" x14ac:dyDescent="0.25">
      <c r="B572" s="12"/>
      <c r="C572" s="12"/>
      <c r="D572" s="12"/>
      <c r="E572" s="12"/>
    </row>
    <row r="573" spans="2:5" x14ac:dyDescent="0.25">
      <c r="B573" s="12"/>
      <c r="C573" s="12"/>
      <c r="D573" s="12"/>
      <c r="E573" s="12"/>
    </row>
    <row r="574" spans="2:5" x14ac:dyDescent="0.25">
      <c r="B574" s="12"/>
      <c r="C574" s="12"/>
      <c r="D574" s="12"/>
      <c r="E574" s="12"/>
    </row>
    <row r="575" spans="2:5" x14ac:dyDescent="0.25">
      <c r="B575" s="12"/>
      <c r="C575" s="12"/>
      <c r="D575" s="12"/>
      <c r="E575" s="12"/>
    </row>
    <row r="576" spans="2:5" x14ac:dyDescent="0.25">
      <c r="B576" s="12"/>
      <c r="C576" s="12"/>
      <c r="D576" s="12"/>
      <c r="E576" s="12"/>
    </row>
    <row r="577" spans="2:5" x14ac:dyDescent="0.25">
      <c r="B577" s="12"/>
      <c r="C577" s="12"/>
      <c r="D577" s="12"/>
      <c r="E577" s="12"/>
    </row>
    <row r="578" spans="2:5" x14ac:dyDescent="0.25">
      <c r="B578" s="12"/>
      <c r="C578" s="12"/>
      <c r="D578" s="12"/>
      <c r="E578" s="12"/>
    </row>
    <row r="579" spans="2:5" x14ac:dyDescent="0.25">
      <c r="B579" s="12"/>
      <c r="C579" s="12"/>
      <c r="D579" s="12"/>
      <c r="E579" s="12"/>
    </row>
    <row r="580" spans="2:5" x14ac:dyDescent="0.25">
      <c r="B580" s="12"/>
      <c r="C580" s="12"/>
      <c r="D580" s="12"/>
      <c r="E580" s="12"/>
    </row>
    <row r="581" spans="2:5" x14ac:dyDescent="0.25">
      <c r="B581" s="12"/>
      <c r="C581" s="12"/>
      <c r="D581" s="12"/>
      <c r="E581" s="12"/>
    </row>
    <row r="582" spans="2:5" x14ac:dyDescent="0.25">
      <c r="B582" s="12"/>
      <c r="C582" s="12"/>
      <c r="D582" s="12"/>
      <c r="E582" s="12"/>
    </row>
    <row r="583" spans="2:5" x14ac:dyDescent="0.25">
      <c r="B583" s="12"/>
      <c r="C583" s="12"/>
      <c r="D583" s="12"/>
      <c r="E583" s="12"/>
    </row>
    <row r="584" spans="2:5" x14ac:dyDescent="0.25">
      <c r="B584" s="12"/>
      <c r="C584" s="12"/>
      <c r="D584" s="12"/>
      <c r="E584" s="12"/>
    </row>
    <row r="585" spans="2:5" x14ac:dyDescent="0.25">
      <c r="B585" s="12"/>
      <c r="C585" s="12"/>
      <c r="D585" s="12"/>
      <c r="E585" s="12"/>
    </row>
    <row r="586" spans="2:5" x14ac:dyDescent="0.25">
      <c r="B586" s="12"/>
      <c r="C586" s="12"/>
      <c r="D586" s="12"/>
      <c r="E586" s="12"/>
    </row>
    <row r="587" spans="2:5" x14ac:dyDescent="0.25">
      <c r="B587" s="12"/>
      <c r="C587" s="12"/>
      <c r="D587" s="12"/>
      <c r="E587" s="12"/>
    </row>
    <row r="588" spans="2:5" x14ac:dyDescent="0.25">
      <c r="B588" s="12"/>
      <c r="C588" s="12"/>
      <c r="D588" s="12"/>
      <c r="E588" s="12"/>
    </row>
    <row r="589" spans="2:5" x14ac:dyDescent="0.25">
      <c r="B589" s="12"/>
      <c r="C589" s="12"/>
      <c r="D589" s="12"/>
      <c r="E589" s="12"/>
    </row>
    <row r="590" spans="2:5" x14ac:dyDescent="0.25">
      <c r="B590" s="12"/>
      <c r="C590" s="12"/>
      <c r="D590" s="12"/>
      <c r="E590" s="12"/>
    </row>
    <row r="591" spans="2:5" x14ac:dyDescent="0.25">
      <c r="B591" s="12"/>
      <c r="C591" s="12"/>
      <c r="D591" s="12"/>
      <c r="E591" s="12"/>
    </row>
    <row r="592" spans="2:5" x14ac:dyDescent="0.25">
      <c r="B592" s="12"/>
      <c r="C592" s="12"/>
      <c r="D592" s="12"/>
      <c r="E592" s="12"/>
    </row>
    <row r="593" spans="2:5" x14ac:dyDescent="0.25">
      <c r="B593" s="12"/>
      <c r="C593" s="12"/>
      <c r="D593" s="12"/>
      <c r="E593" s="12"/>
    </row>
    <row r="594" spans="2:5" x14ac:dyDescent="0.25">
      <c r="B594" s="12"/>
      <c r="C594" s="12"/>
      <c r="D594" s="12"/>
      <c r="E594" s="12"/>
    </row>
    <row r="595" spans="2:5" x14ac:dyDescent="0.25">
      <c r="B595" s="12"/>
      <c r="C595" s="12"/>
      <c r="D595" s="12"/>
      <c r="E595" s="12"/>
    </row>
    <row r="596" spans="2:5" x14ac:dyDescent="0.25">
      <c r="B596" s="12"/>
      <c r="C596" s="12"/>
      <c r="D596" s="12"/>
      <c r="E596" s="12"/>
    </row>
    <row r="597" spans="2:5" x14ac:dyDescent="0.25">
      <c r="B597" s="12"/>
      <c r="C597" s="12"/>
      <c r="D597" s="12"/>
      <c r="E597" s="12"/>
    </row>
    <row r="598" spans="2:5" x14ac:dyDescent="0.25">
      <c r="B598" s="12"/>
      <c r="C598" s="12"/>
      <c r="D598" s="12"/>
      <c r="E598" s="12"/>
    </row>
    <row r="599" spans="2:5" x14ac:dyDescent="0.25">
      <c r="B599" s="12"/>
      <c r="C599" s="12"/>
      <c r="D599" s="12"/>
      <c r="E599" s="12"/>
    </row>
    <row r="600" spans="2:5" x14ac:dyDescent="0.25">
      <c r="B600" s="12"/>
      <c r="C600" s="12"/>
      <c r="D600" s="12"/>
      <c r="E600" s="12"/>
    </row>
    <row r="601" spans="2:5" x14ac:dyDescent="0.25">
      <c r="B601" s="12"/>
      <c r="C601" s="12"/>
      <c r="D601" s="12"/>
      <c r="E601" s="12"/>
    </row>
    <row r="602" spans="2:5" x14ac:dyDescent="0.25">
      <c r="B602" s="12"/>
      <c r="C602" s="12"/>
      <c r="D602" s="12"/>
      <c r="E602" s="12"/>
    </row>
    <row r="603" spans="2:5" x14ac:dyDescent="0.25">
      <c r="B603" s="12"/>
      <c r="C603" s="12"/>
      <c r="D603" s="12"/>
      <c r="E603" s="12"/>
    </row>
    <row r="604" spans="2:5" x14ac:dyDescent="0.25">
      <c r="B604" s="12"/>
      <c r="C604" s="12"/>
      <c r="D604" s="12"/>
      <c r="E604" s="12"/>
    </row>
    <row r="605" spans="2:5" x14ac:dyDescent="0.25">
      <c r="B605" s="12"/>
      <c r="C605" s="12"/>
      <c r="D605" s="12"/>
      <c r="E605" s="12"/>
    </row>
    <row r="606" spans="2:5" x14ac:dyDescent="0.25">
      <c r="B606" s="12"/>
      <c r="C606" s="12"/>
      <c r="D606" s="12"/>
      <c r="E606" s="12"/>
    </row>
    <row r="607" spans="2:5" x14ac:dyDescent="0.25">
      <c r="B607" s="12"/>
      <c r="C607" s="12"/>
      <c r="D607" s="12"/>
      <c r="E607" s="12"/>
    </row>
    <row r="608" spans="2:5" x14ac:dyDescent="0.25">
      <c r="B608" s="12"/>
      <c r="C608" s="12"/>
      <c r="D608" s="12"/>
      <c r="E608" s="12"/>
    </row>
    <row r="609" spans="2:5" x14ac:dyDescent="0.25">
      <c r="B609" s="12"/>
      <c r="C609" s="12"/>
      <c r="D609" s="12"/>
      <c r="E609" s="12"/>
    </row>
    <row r="610" spans="2:5" x14ac:dyDescent="0.25">
      <c r="B610" s="12"/>
      <c r="C610" s="12"/>
      <c r="D610" s="12"/>
      <c r="E610" s="12"/>
    </row>
    <row r="611" spans="2:5" x14ac:dyDescent="0.25">
      <c r="B611" s="12"/>
      <c r="C611" s="12"/>
      <c r="D611" s="12"/>
      <c r="E611" s="12"/>
    </row>
    <row r="612" spans="2:5" x14ac:dyDescent="0.25">
      <c r="B612" s="12"/>
      <c r="C612" s="12"/>
      <c r="D612" s="12"/>
      <c r="E612" s="12"/>
    </row>
    <row r="613" spans="2:5" x14ac:dyDescent="0.25">
      <c r="B613" s="12"/>
      <c r="C613" s="12"/>
      <c r="D613" s="12"/>
      <c r="E613" s="12"/>
    </row>
    <row r="614" spans="2:5" x14ac:dyDescent="0.25">
      <c r="B614" s="12"/>
      <c r="C614" s="12"/>
      <c r="D614" s="12"/>
      <c r="E614" s="12"/>
    </row>
    <row r="615" spans="2:5" x14ac:dyDescent="0.25">
      <c r="B615" s="12"/>
      <c r="C615" s="12"/>
      <c r="D615" s="12"/>
      <c r="E615" s="12"/>
    </row>
    <row r="616" spans="2:5" x14ac:dyDescent="0.25">
      <c r="B616" s="12"/>
      <c r="C616" s="12"/>
      <c r="D616" s="12"/>
      <c r="E616" s="12"/>
    </row>
    <row r="617" spans="2:5" x14ac:dyDescent="0.25">
      <c r="B617" s="12"/>
      <c r="C617" s="12"/>
      <c r="D617" s="12"/>
      <c r="E617" s="12"/>
    </row>
    <row r="618" spans="2:5" x14ac:dyDescent="0.25">
      <c r="B618" s="12"/>
      <c r="C618" s="12"/>
      <c r="D618" s="12"/>
      <c r="E618" s="12"/>
    </row>
    <row r="619" spans="2:5" x14ac:dyDescent="0.25">
      <c r="B619" s="12"/>
      <c r="C619" s="12"/>
      <c r="D619" s="12"/>
      <c r="E619" s="12"/>
    </row>
    <row r="620" spans="2:5" x14ac:dyDescent="0.25">
      <c r="B620" s="12"/>
      <c r="C620" s="12"/>
      <c r="D620" s="12"/>
      <c r="E620" s="12"/>
    </row>
    <row r="621" spans="2:5" x14ac:dyDescent="0.25">
      <c r="B621" s="12"/>
      <c r="C621" s="12"/>
      <c r="D621" s="12"/>
      <c r="E621" s="12"/>
    </row>
    <row r="622" spans="2:5" x14ac:dyDescent="0.25">
      <c r="B622" s="12"/>
      <c r="C622" s="12"/>
      <c r="D622" s="12"/>
      <c r="E622" s="12"/>
    </row>
    <row r="623" spans="2:5" x14ac:dyDescent="0.25">
      <c r="B623" s="12"/>
      <c r="C623" s="12"/>
      <c r="D623" s="12"/>
      <c r="E623" s="12"/>
    </row>
    <row r="624" spans="2:5" x14ac:dyDescent="0.25">
      <c r="B624" s="12"/>
      <c r="C624" s="12"/>
      <c r="D624" s="12"/>
      <c r="E624" s="12"/>
    </row>
    <row r="625" spans="2:5" x14ac:dyDescent="0.25">
      <c r="B625" s="12"/>
      <c r="C625" s="12"/>
      <c r="D625" s="12"/>
      <c r="E625" s="12"/>
    </row>
    <row r="626" spans="2:5" x14ac:dyDescent="0.25">
      <c r="B626" s="12"/>
      <c r="C626" s="12"/>
      <c r="D626" s="12"/>
      <c r="E626" s="12"/>
    </row>
    <row r="627" spans="2:5" x14ac:dyDescent="0.25">
      <c r="B627" s="12"/>
      <c r="C627" s="12"/>
      <c r="D627" s="12"/>
      <c r="E627" s="12"/>
    </row>
    <row r="628" spans="2:5" x14ac:dyDescent="0.25">
      <c r="B628" s="12"/>
      <c r="C628" s="12"/>
      <c r="D628" s="12"/>
      <c r="E628" s="12"/>
    </row>
    <row r="629" spans="2:5" x14ac:dyDescent="0.25">
      <c r="B629" s="12"/>
      <c r="C629" s="12"/>
      <c r="D629" s="12"/>
      <c r="E629" s="12"/>
    </row>
    <row r="630" spans="2:5" x14ac:dyDescent="0.25">
      <c r="B630" s="12"/>
      <c r="C630" s="12"/>
      <c r="D630" s="12"/>
      <c r="E630" s="12"/>
    </row>
    <row r="631" spans="2:5" x14ac:dyDescent="0.25">
      <c r="B631" s="12"/>
      <c r="C631" s="12"/>
      <c r="D631" s="12"/>
      <c r="E631" s="12"/>
    </row>
    <row r="632" spans="2:5" x14ac:dyDescent="0.25">
      <c r="B632" s="12"/>
      <c r="C632" s="12"/>
      <c r="D632" s="12"/>
      <c r="E632" s="12"/>
    </row>
    <row r="633" spans="2:5" x14ac:dyDescent="0.25">
      <c r="B633" s="12"/>
      <c r="C633" s="12"/>
      <c r="D633" s="12"/>
      <c r="E633" s="12"/>
    </row>
    <row r="634" spans="2:5" x14ac:dyDescent="0.25">
      <c r="B634" s="12"/>
      <c r="C634" s="12"/>
      <c r="D634" s="12"/>
      <c r="E634" s="12"/>
    </row>
    <row r="635" spans="2:5" x14ac:dyDescent="0.25">
      <c r="B635" s="12"/>
      <c r="C635" s="12"/>
      <c r="D635" s="12"/>
      <c r="E635" s="12"/>
    </row>
    <row r="636" spans="2:5" x14ac:dyDescent="0.25">
      <c r="B636" s="12"/>
      <c r="C636" s="12"/>
      <c r="D636" s="12"/>
      <c r="E636" s="12"/>
    </row>
    <row r="637" spans="2:5" x14ac:dyDescent="0.25">
      <c r="B637" s="12"/>
      <c r="C637" s="12"/>
      <c r="D637" s="12"/>
      <c r="E637" s="12"/>
    </row>
    <row r="638" spans="2:5" x14ac:dyDescent="0.25">
      <c r="B638" s="12"/>
      <c r="C638" s="12"/>
      <c r="D638" s="12"/>
      <c r="E638" s="12"/>
    </row>
    <row r="639" spans="2:5" x14ac:dyDescent="0.25">
      <c r="B639" s="12"/>
      <c r="C639" s="12"/>
      <c r="D639" s="12"/>
      <c r="E639" s="12"/>
    </row>
    <row r="640" spans="2:5" x14ac:dyDescent="0.25">
      <c r="B640" s="12"/>
      <c r="C640" s="12"/>
      <c r="D640" s="12"/>
      <c r="E640" s="12"/>
    </row>
    <row r="641" spans="2:5" x14ac:dyDescent="0.25">
      <c r="B641" s="12"/>
      <c r="C641" s="12"/>
      <c r="D641" s="12"/>
      <c r="E641" s="12"/>
    </row>
    <row r="642" spans="2:5" x14ac:dyDescent="0.25">
      <c r="B642" s="12"/>
      <c r="C642" s="12"/>
      <c r="D642" s="12"/>
      <c r="E642" s="12"/>
    </row>
    <row r="643" spans="2:5" x14ac:dyDescent="0.25">
      <c r="B643" s="12"/>
      <c r="C643" s="12"/>
      <c r="D643" s="12"/>
      <c r="E643" s="12"/>
    </row>
    <row r="644" spans="2:5" x14ac:dyDescent="0.25">
      <c r="B644" s="12"/>
      <c r="C644" s="12"/>
      <c r="D644" s="12"/>
      <c r="E644" s="12"/>
    </row>
    <row r="645" spans="2:5" x14ac:dyDescent="0.25">
      <c r="B645" s="12"/>
      <c r="C645" s="12"/>
      <c r="D645" s="12"/>
      <c r="E645" s="12"/>
    </row>
    <row r="646" spans="2:5" x14ac:dyDescent="0.25">
      <c r="B646" s="12"/>
      <c r="C646" s="12"/>
      <c r="D646" s="12"/>
      <c r="E646" s="12"/>
    </row>
    <row r="647" spans="2:5" x14ac:dyDescent="0.25">
      <c r="B647" s="12"/>
      <c r="C647" s="12"/>
      <c r="D647" s="12"/>
      <c r="E647" s="12"/>
    </row>
    <row r="648" spans="2:5" x14ac:dyDescent="0.25">
      <c r="B648" s="12"/>
      <c r="C648" s="12"/>
      <c r="D648" s="12"/>
      <c r="E648" s="12"/>
    </row>
    <row r="649" spans="2:5" x14ac:dyDescent="0.25">
      <c r="B649" s="12"/>
      <c r="C649" s="12"/>
      <c r="D649" s="12"/>
      <c r="E649" s="12"/>
    </row>
    <row r="650" spans="2:5" x14ac:dyDescent="0.25">
      <c r="B650" s="12"/>
      <c r="C650" s="12"/>
      <c r="D650" s="12"/>
      <c r="E650" s="12"/>
    </row>
    <row r="651" spans="2:5" x14ac:dyDescent="0.25">
      <c r="B651" s="12"/>
      <c r="C651" s="12"/>
      <c r="D651" s="12"/>
      <c r="E651" s="12"/>
    </row>
    <row r="652" spans="2:5" x14ac:dyDescent="0.25">
      <c r="B652" s="12"/>
      <c r="C652" s="12"/>
      <c r="D652" s="12"/>
      <c r="E652" s="12"/>
    </row>
    <row r="653" spans="2:5" x14ac:dyDescent="0.25">
      <c r="B653" s="12"/>
      <c r="C653" s="12"/>
      <c r="D653" s="12"/>
      <c r="E653" s="12"/>
    </row>
    <row r="654" spans="2:5" x14ac:dyDescent="0.25">
      <c r="B654" s="12"/>
      <c r="C654" s="12"/>
      <c r="D654" s="12"/>
      <c r="E654" s="12"/>
    </row>
    <row r="655" spans="2:5" x14ac:dyDescent="0.25">
      <c r="B655" s="12"/>
      <c r="C655" s="12"/>
      <c r="D655" s="12"/>
      <c r="E655" s="12"/>
    </row>
    <row r="656" spans="2:5" x14ac:dyDescent="0.25">
      <c r="B656" s="12"/>
      <c r="C656" s="12"/>
      <c r="D656" s="12"/>
      <c r="E656" s="12"/>
    </row>
    <row r="657" spans="2:5" x14ac:dyDescent="0.25">
      <c r="B657" s="12"/>
      <c r="C657" s="12"/>
      <c r="D657" s="12"/>
      <c r="E657" s="12"/>
    </row>
    <row r="658" spans="2:5" x14ac:dyDescent="0.25">
      <c r="B658" s="12"/>
      <c r="C658" s="12"/>
      <c r="D658" s="12"/>
      <c r="E658" s="12"/>
    </row>
    <row r="659" spans="2:5" x14ac:dyDescent="0.25">
      <c r="B659" s="12"/>
      <c r="C659" s="12"/>
      <c r="D659" s="12"/>
      <c r="E659" s="12"/>
    </row>
    <row r="660" spans="2:5" x14ac:dyDescent="0.25">
      <c r="B660" s="12"/>
      <c r="C660" s="12"/>
      <c r="D660" s="12"/>
      <c r="E660" s="12"/>
    </row>
    <row r="661" spans="2:5" x14ac:dyDescent="0.25">
      <c r="B661" s="12"/>
      <c r="C661" s="12"/>
      <c r="D661" s="12"/>
      <c r="E661" s="12"/>
    </row>
    <row r="662" spans="2:5" x14ac:dyDescent="0.25">
      <c r="B662" s="12"/>
      <c r="C662" s="12"/>
      <c r="D662" s="12"/>
      <c r="E662" s="12"/>
    </row>
    <row r="663" spans="2:5" x14ac:dyDescent="0.25">
      <c r="B663" s="12"/>
      <c r="C663" s="12"/>
      <c r="D663" s="12"/>
      <c r="E663" s="12"/>
    </row>
    <row r="664" spans="2:5" x14ac:dyDescent="0.25">
      <c r="B664" s="12"/>
      <c r="C664" s="12"/>
      <c r="D664" s="12"/>
      <c r="E664" s="12"/>
    </row>
    <row r="665" spans="2:5" x14ac:dyDescent="0.25">
      <c r="B665" s="12"/>
      <c r="C665" s="12"/>
      <c r="D665" s="12"/>
      <c r="E665" s="12"/>
    </row>
    <row r="666" spans="2:5" x14ac:dyDescent="0.25">
      <c r="B666" s="12"/>
      <c r="C666" s="12"/>
      <c r="D666" s="12"/>
      <c r="E666" s="12"/>
    </row>
    <row r="667" spans="2:5" x14ac:dyDescent="0.25">
      <c r="B667" s="12"/>
      <c r="C667" s="12"/>
      <c r="D667" s="12"/>
      <c r="E667" s="12"/>
    </row>
    <row r="668" spans="2:5" x14ac:dyDescent="0.25">
      <c r="B668" s="12"/>
      <c r="C668" s="12"/>
      <c r="D668" s="12"/>
      <c r="E668" s="12"/>
    </row>
    <row r="669" spans="2:5" x14ac:dyDescent="0.25">
      <c r="B669" s="12"/>
      <c r="C669" s="12"/>
      <c r="D669" s="12"/>
      <c r="E669" s="12"/>
    </row>
    <row r="670" spans="2:5" x14ac:dyDescent="0.25">
      <c r="B670" s="12"/>
      <c r="C670" s="12"/>
      <c r="D670" s="12"/>
      <c r="E670" s="12"/>
    </row>
    <row r="671" spans="2:5" x14ac:dyDescent="0.25">
      <c r="B671" s="12"/>
      <c r="C671" s="12"/>
      <c r="D671" s="12"/>
      <c r="E671" s="12"/>
    </row>
    <row r="672" spans="2:5" x14ac:dyDescent="0.25">
      <c r="B672" s="12"/>
      <c r="C672" s="12"/>
      <c r="D672" s="12"/>
      <c r="E672" s="12"/>
    </row>
    <row r="673" spans="2:5" x14ac:dyDescent="0.25">
      <c r="B673" s="12"/>
      <c r="C673" s="12"/>
      <c r="D673" s="12"/>
      <c r="E673" s="12"/>
    </row>
    <row r="674" spans="2:5" x14ac:dyDescent="0.25">
      <c r="B674" s="12"/>
      <c r="C674" s="12"/>
      <c r="D674" s="12"/>
      <c r="E674" s="12"/>
    </row>
    <row r="675" spans="2:5" x14ac:dyDescent="0.25">
      <c r="B675" s="12"/>
      <c r="C675" s="12"/>
      <c r="D675" s="12"/>
      <c r="E675" s="12"/>
    </row>
    <row r="676" spans="2:5" x14ac:dyDescent="0.25">
      <c r="B676" s="12"/>
      <c r="C676" s="12"/>
      <c r="D676" s="12"/>
      <c r="E676" s="12"/>
    </row>
    <row r="677" spans="2:5" x14ac:dyDescent="0.25">
      <c r="B677" s="12"/>
      <c r="C677" s="12"/>
      <c r="D677" s="12"/>
      <c r="E677" s="12"/>
    </row>
    <row r="678" spans="2:5" x14ac:dyDescent="0.25">
      <c r="B678" s="12"/>
      <c r="C678" s="12"/>
      <c r="D678" s="12"/>
      <c r="E678" s="12"/>
    </row>
    <row r="679" spans="2:5" x14ac:dyDescent="0.25">
      <c r="B679" s="12"/>
      <c r="C679" s="12"/>
      <c r="D679" s="12"/>
      <c r="E679" s="12"/>
    </row>
    <row r="680" spans="2:5" x14ac:dyDescent="0.25">
      <c r="B680" s="12"/>
      <c r="C680" s="12"/>
      <c r="D680" s="12"/>
      <c r="E680" s="12"/>
    </row>
    <row r="681" spans="2:5" x14ac:dyDescent="0.25">
      <c r="B681" s="12"/>
      <c r="C681" s="12"/>
      <c r="D681" s="12"/>
      <c r="E681" s="12"/>
    </row>
    <row r="682" spans="2:5" x14ac:dyDescent="0.25">
      <c r="B682" s="12"/>
      <c r="C682" s="12"/>
      <c r="D682" s="12"/>
      <c r="E682" s="12"/>
    </row>
    <row r="683" spans="2:5" x14ac:dyDescent="0.25">
      <c r="B683" s="12"/>
      <c r="C683" s="12"/>
      <c r="D683" s="12"/>
      <c r="E683" s="12"/>
    </row>
    <row r="684" spans="2:5" x14ac:dyDescent="0.25">
      <c r="B684" s="12"/>
      <c r="C684" s="12"/>
      <c r="D684" s="12"/>
      <c r="E684" s="12"/>
    </row>
    <row r="685" spans="2:5" x14ac:dyDescent="0.25">
      <c r="B685" s="12"/>
      <c r="C685" s="12"/>
      <c r="D685" s="12"/>
      <c r="E685" s="12"/>
    </row>
    <row r="686" spans="2:5" x14ac:dyDescent="0.25">
      <c r="B686" s="12"/>
      <c r="C686" s="12"/>
      <c r="D686" s="12"/>
      <c r="E686" s="12"/>
    </row>
    <row r="687" spans="2:5" x14ac:dyDescent="0.25">
      <c r="B687" s="12"/>
      <c r="C687" s="12"/>
      <c r="D687" s="12"/>
      <c r="E687" s="12"/>
    </row>
    <row r="688" spans="2:5" x14ac:dyDescent="0.25">
      <c r="B688" s="12"/>
      <c r="C688" s="12"/>
      <c r="D688" s="12"/>
      <c r="E688" s="12"/>
    </row>
    <row r="689" spans="2:5" x14ac:dyDescent="0.25">
      <c r="B689" s="12"/>
      <c r="C689" s="12"/>
      <c r="D689" s="12"/>
      <c r="E689" s="12"/>
    </row>
    <row r="690" spans="2:5" x14ac:dyDescent="0.25">
      <c r="B690" s="12"/>
      <c r="C690" s="12"/>
      <c r="D690" s="12"/>
      <c r="E690" s="12"/>
    </row>
    <row r="691" spans="2:5" x14ac:dyDescent="0.25">
      <c r="B691" s="12"/>
      <c r="C691" s="12"/>
      <c r="D691" s="12"/>
      <c r="E691" s="12"/>
    </row>
    <row r="692" spans="2:5" x14ac:dyDescent="0.25">
      <c r="B692" s="12"/>
      <c r="C692" s="12"/>
      <c r="D692" s="12"/>
      <c r="E692" s="12"/>
    </row>
    <row r="693" spans="2:5" x14ac:dyDescent="0.25">
      <c r="B693" s="12"/>
      <c r="C693" s="12"/>
      <c r="D693" s="12"/>
      <c r="E693" s="12"/>
    </row>
    <row r="694" spans="2:5" x14ac:dyDescent="0.25">
      <c r="B694" s="12"/>
      <c r="C694" s="12"/>
      <c r="D694" s="12"/>
      <c r="E694" s="12"/>
    </row>
    <row r="695" spans="2:5" x14ac:dyDescent="0.25">
      <c r="B695" s="12"/>
      <c r="C695" s="12"/>
      <c r="D695" s="12"/>
      <c r="E695" s="12"/>
    </row>
    <row r="696" spans="2:5" x14ac:dyDescent="0.25">
      <c r="B696" s="12"/>
      <c r="C696" s="12"/>
      <c r="D696" s="12"/>
      <c r="E696" s="12"/>
    </row>
    <row r="697" spans="2:5" x14ac:dyDescent="0.25">
      <c r="B697" s="12"/>
      <c r="C697" s="12"/>
      <c r="D697" s="12"/>
      <c r="E697" s="12"/>
    </row>
    <row r="698" spans="2:5" x14ac:dyDescent="0.25">
      <c r="B698" s="12"/>
      <c r="C698" s="12"/>
      <c r="D698" s="12"/>
      <c r="E698" s="12"/>
    </row>
    <row r="699" spans="2:5" x14ac:dyDescent="0.25">
      <c r="B699" s="12"/>
      <c r="C699" s="12"/>
      <c r="D699" s="12"/>
      <c r="E699" s="12"/>
    </row>
    <row r="700" spans="2:5" x14ac:dyDescent="0.25">
      <c r="B700" s="12"/>
      <c r="C700" s="12"/>
      <c r="D700" s="12"/>
      <c r="E700" s="12"/>
    </row>
    <row r="701" spans="2:5" x14ac:dyDescent="0.25">
      <c r="B701" s="12"/>
      <c r="C701" s="12"/>
      <c r="D701" s="12"/>
      <c r="E701" s="12"/>
    </row>
    <row r="702" spans="2:5" x14ac:dyDescent="0.25">
      <c r="B702" s="12"/>
      <c r="C702" s="12"/>
      <c r="D702" s="12"/>
      <c r="E702" s="12"/>
    </row>
    <row r="703" spans="2:5" x14ac:dyDescent="0.25">
      <c r="B703" s="12"/>
      <c r="C703" s="12"/>
      <c r="D703" s="12"/>
      <c r="E703" s="12"/>
    </row>
    <row r="704" spans="2:5" x14ac:dyDescent="0.25">
      <c r="B704" s="12"/>
      <c r="C704" s="12"/>
      <c r="D704" s="12"/>
      <c r="E704" s="12"/>
    </row>
    <row r="705" spans="2:5" x14ac:dyDescent="0.25">
      <c r="B705" s="12"/>
      <c r="C705" s="12"/>
      <c r="D705" s="12"/>
      <c r="E705" s="12"/>
    </row>
    <row r="706" spans="2:5" x14ac:dyDescent="0.25">
      <c r="B706" s="12"/>
      <c r="C706" s="12"/>
      <c r="D706" s="12"/>
      <c r="E706" s="12"/>
    </row>
    <row r="707" spans="2:5" x14ac:dyDescent="0.25">
      <c r="B707" s="12"/>
      <c r="C707" s="12"/>
      <c r="D707" s="12"/>
      <c r="E707" s="12"/>
    </row>
    <row r="708" spans="2:5" x14ac:dyDescent="0.25">
      <c r="B708" s="12"/>
      <c r="C708" s="12"/>
      <c r="D708" s="12"/>
      <c r="E708" s="12"/>
    </row>
    <row r="709" spans="2:5" x14ac:dyDescent="0.25">
      <c r="B709" s="12"/>
      <c r="C709" s="12"/>
      <c r="D709" s="12"/>
      <c r="E709" s="12"/>
    </row>
    <row r="710" spans="2:5" x14ac:dyDescent="0.25">
      <c r="B710" s="12"/>
      <c r="C710" s="12"/>
      <c r="D710" s="12"/>
      <c r="E710" s="12"/>
    </row>
    <row r="711" spans="2:5" x14ac:dyDescent="0.25">
      <c r="B711" s="12"/>
      <c r="C711" s="12"/>
      <c r="D711" s="12"/>
      <c r="E711" s="12"/>
    </row>
    <row r="712" spans="2:5" x14ac:dyDescent="0.25">
      <c r="B712" s="12"/>
      <c r="C712" s="12"/>
      <c r="D712" s="12"/>
      <c r="E712" s="12"/>
    </row>
    <row r="713" spans="2:5" x14ac:dyDescent="0.25">
      <c r="B713" s="12"/>
      <c r="C713" s="12"/>
      <c r="D713" s="12"/>
      <c r="E713" s="12"/>
    </row>
    <row r="714" spans="2:5" x14ac:dyDescent="0.25">
      <c r="B714" s="12"/>
      <c r="C714" s="12"/>
      <c r="D714" s="12"/>
      <c r="E714" s="12"/>
    </row>
    <row r="715" spans="2:5" x14ac:dyDescent="0.25">
      <c r="B715" s="12"/>
      <c r="C715" s="12"/>
      <c r="D715" s="12"/>
      <c r="E715" s="12"/>
    </row>
    <row r="716" spans="2:5" x14ac:dyDescent="0.25">
      <c r="B716" s="12"/>
      <c r="C716" s="12"/>
      <c r="D716" s="12"/>
      <c r="E716" s="12"/>
    </row>
    <row r="717" spans="2:5" x14ac:dyDescent="0.25">
      <c r="B717" s="12"/>
      <c r="C717" s="12"/>
      <c r="D717" s="12"/>
      <c r="E717" s="12"/>
    </row>
    <row r="718" spans="2:5" x14ac:dyDescent="0.25">
      <c r="B718" s="12"/>
      <c r="C718" s="12"/>
      <c r="D718" s="12"/>
      <c r="E718" s="12"/>
    </row>
    <row r="719" spans="2:5" x14ac:dyDescent="0.25">
      <c r="B719" s="12"/>
      <c r="C719" s="12"/>
      <c r="D719" s="12"/>
      <c r="E719" s="12"/>
    </row>
    <row r="720" spans="2:5" x14ac:dyDescent="0.25">
      <c r="B720" s="12"/>
      <c r="C720" s="12"/>
      <c r="D720" s="12"/>
      <c r="E720" s="12"/>
    </row>
    <row r="721" spans="2:5" x14ac:dyDescent="0.25">
      <c r="B721" s="12"/>
      <c r="C721" s="12"/>
      <c r="D721" s="12"/>
      <c r="E721" s="12"/>
    </row>
    <row r="722" spans="2:5" x14ac:dyDescent="0.25">
      <c r="B722" s="12"/>
      <c r="C722" s="12"/>
      <c r="D722" s="12"/>
      <c r="E722" s="12"/>
    </row>
    <row r="723" spans="2:5" x14ac:dyDescent="0.25">
      <c r="B723" s="12"/>
      <c r="C723" s="12"/>
      <c r="D723" s="12"/>
      <c r="E723" s="12"/>
    </row>
    <row r="724" spans="2:5" x14ac:dyDescent="0.25">
      <c r="B724" s="12"/>
      <c r="C724" s="12"/>
      <c r="D724" s="12"/>
      <c r="E724" s="12"/>
    </row>
    <row r="725" spans="2:5" x14ac:dyDescent="0.25">
      <c r="B725" s="12"/>
      <c r="C725" s="12"/>
      <c r="D725" s="12"/>
      <c r="E725" s="12"/>
    </row>
    <row r="726" spans="2:5" x14ac:dyDescent="0.25">
      <c r="B726" s="12"/>
      <c r="C726" s="12"/>
      <c r="D726" s="12"/>
      <c r="E726" s="12"/>
    </row>
    <row r="727" spans="2:5" x14ac:dyDescent="0.25">
      <c r="B727" s="12"/>
      <c r="C727" s="12"/>
      <c r="D727" s="12"/>
      <c r="E727" s="12"/>
    </row>
    <row r="728" spans="2:5" x14ac:dyDescent="0.25">
      <c r="B728" s="12"/>
      <c r="C728" s="12"/>
      <c r="D728" s="12"/>
      <c r="E728" s="12"/>
    </row>
    <row r="729" spans="2:5" x14ac:dyDescent="0.25">
      <c r="B729" s="12"/>
      <c r="C729" s="12"/>
      <c r="D729" s="12"/>
      <c r="E729" s="12"/>
    </row>
    <row r="730" spans="2:5" x14ac:dyDescent="0.25">
      <c r="B730" s="12"/>
      <c r="C730" s="12"/>
      <c r="D730" s="12"/>
      <c r="E730" s="12"/>
    </row>
    <row r="731" spans="2:5" x14ac:dyDescent="0.25">
      <c r="B731" s="12"/>
      <c r="C731" s="12"/>
      <c r="D731" s="12"/>
      <c r="E731" s="12"/>
    </row>
    <row r="732" spans="2:5" x14ac:dyDescent="0.25">
      <c r="B732" s="12"/>
      <c r="C732" s="12"/>
      <c r="D732" s="12"/>
      <c r="E732" s="12"/>
    </row>
    <row r="733" spans="2:5" x14ac:dyDescent="0.25">
      <c r="B733" s="12"/>
      <c r="C733" s="12"/>
      <c r="D733" s="12"/>
      <c r="E733" s="12"/>
    </row>
    <row r="734" spans="2:5" x14ac:dyDescent="0.25">
      <c r="B734" s="12"/>
      <c r="C734" s="12"/>
      <c r="D734" s="12"/>
      <c r="E734" s="12"/>
    </row>
    <row r="735" spans="2:5" x14ac:dyDescent="0.25">
      <c r="B735" s="12"/>
      <c r="C735" s="12"/>
      <c r="D735" s="12"/>
      <c r="E735" s="12"/>
    </row>
    <row r="736" spans="2:5" x14ac:dyDescent="0.25">
      <c r="B736" s="12"/>
      <c r="C736" s="12"/>
      <c r="D736" s="12"/>
      <c r="E736" s="12"/>
    </row>
    <row r="737" spans="2:5" x14ac:dyDescent="0.25">
      <c r="B737" s="12"/>
      <c r="C737" s="12"/>
      <c r="D737" s="12"/>
      <c r="E737" s="12"/>
    </row>
    <row r="738" spans="2:5" x14ac:dyDescent="0.25">
      <c r="B738" s="12"/>
      <c r="C738" s="12"/>
      <c r="D738" s="12"/>
      <c r="E738" s="12"/>
    </row>
    <row r="739" spans="2:5" x14ac:dyDescent="0.25">
      <c r="B739" s="12"/>
      <c r="C739" s="12"/>
      <c r="D739" s="12"/>
      <c r="E739" s="12"/>
    </row>
    <row r="740" spans="2:5" x14ac:dyDescent="0.25">
      <c r="B740" s="12"/>
      <c r="C740" s="12"/>
      <c r="D740" s="12"/>
      <c r="E740" s="12"/>
    </row>
    <row r="741" spans="2:5" x14ac:dyDescent="0.25">
      <c r="B741" s="12"/>
      <c r="C741" s="12"/>
      <c r="D741" s="12"/>
      <c r="E741" s="12"/>
    </row>
    <row r="742" spans="2:5" x14ac:dyDescent="0.25">
      <c r="B742" s="12"/>
      <c r="C742" s="12"/>
      <c r="D742" s="12"/>
      <c r="E742" s="12"/>
    </row>
    <row r="743" spans="2:5" x14ac:dyDescent="0.25">
      <c r="B743" s="12"/>
      <c r="C743" s="12"/>
      <c r="D743" s="12"/>
      <c r="E743" s="12"/>
    </row>
    <row r="744" spans="2:5" x14ac:dyDescent="0.25">
      <c r="B744" s="12"/>
      <c r="C744" s="12"/>
      <c r="D744" s="12"/>
      <c r="E744" s="12"/>
    </row>
    <row r="745" spans="2:5" x14ac:dyDescent="0.25">
      <c r="B745" s="12"/>
      <c r="C745" s="12"/>
      <c r="D745" s="12"/>
      <c r="E745" s="12"/>
    </row>
    <row r="746" spans="2:5" x14ac:dyDescent="0.25">
      <c r="B746" s="12"/>
      <c r="C746" s="12"/>
      <c r="D746" s="12"/>
      <c r="E746" s="12"/>
    </row>
    <row r="747" spans="2:5" x14ac:dyDescent="0.25">
      <c r="B747" s="12"/>
      <c r="C747" s="12"/>
      <c r="D747" s="12"/>
      <c r="E747" s="12"/>
    </row>
    <row r="748" spans="2:5" x14ac:dyDescent="0.25">
      <c r="B748" s="12"/>
      <c r="C748" s="12"/>
      <c r="D748" s="12"/>
      <c r="E748" s="12"/>
    </row>
    <row r="749" spans="2:5" x14ac:dyDescent="0.25">
      <c r="B749" s="12"/>
      <c r="C749" s="12"/>
      <c r="D749" s="12"/>
      <c r="E749" s="12"/>
    </row>
    <row r="750" spans="2:5" x14ac:dyDescent="0.25">
      <c r="B750" s="12"/>
      <c r="C750" s="12"/>
      <c r="D750" s="12"/>
      <c r="E750" s="12"/>
    </row>
    <row r="751" spans="2:5" x14ac:dyDescent="0.25">
      <c r="B751" s="12"/>
      <c r="C751" s="12"/>
      <c r="D751" s="12"/>
      <c r="E751" s="12"/>
    </row>
    <row r="752" spans="2:5" x14ac:dyDescent="0.25">
      <c r="B752" s="12"/>
      <c r="C752" s="12"/>
      <c r="D752" s="12"/>
      <c r="E752" s="12"/>
    </row>
    <row r="753" spans="2:5" x14ac:dyDescent="0.25">
      <c r="B753" s="12"/>
      <c r="C753" s="12"/>
      <c r="D753" s="12"/>
      <c r="E753" s="12"/>
    </row>
    <row r="754" spans="2:5" x14ac:dyDescent="0.25">
      <c r="B754" s="12"/>
      <c r="C754" s="12"/>
      <c r="D754" s="12"/>
      <c r="E754" s="12"/>
    </row>
    <row r="755" spans="2:5" x14ac:dyDescent="0.25">
      <c r="B755" s="12"/>
      <c r="C755" s="12"/>
      <c r="D755" s="12"/>
      <c r="E755" s="12"/>
    </row>
    <row r="756" spans="2:5" x14ac:dyDescent="0.25">
      <c r="B756" s="12"/>
      <c r="C756" s="12"/>
      <c r="D756" s="12"/>
      <c r="E756" s="12"/>
    </row>
    <row r="757" spans="2:5" x14ac:dyDescent="0.25">
      <c r="B757" s="12"/>
      <c r="C757" s="12"/>
      <c r="D757" s="12"/>
      <c r="E757" s="12"/>
    </row>
    <row r="758" spans="2:5" x14ac:dyDescent="0.25">
      <c r="B758" s="12"/>
      <c r="C758" s="12"/>
      <c r="D758" s="12"/>
      <c r="E758" s="12"/>
    </row>
    <row r="759" spans="2:5" x14ac:dyDescent="0.25">
      <c r="B759" s="12"/>
      <c r="C759" s="12"/>
      <c r="D759" s="12"/>
      <c r="E759" s="12"/>
    </row>
    <row r="760" spans="2:5" x14ac:dyDescent="0.25">
      <c r="B760" s="12"/>
      <c r="C760" s="12"/>
      <c r="D760" s="12"/>
      <c r="E760" s="12"/>
    </row>
    <row r="761" spans="2:5" x14ac:dyDescent="0.25">
      <c r="B761" s="12"/>
      <c r="C761" s="12"/>
      <c r="D761" s="12"/>
      <c r="E761" s="12"/>
    </row>
    <row r="762" spans="2:5" x14ac:dyDescent="0.25">
      <c r="B762" s="12"/>
      <c r="C762" s="12"/>
      <c r="D762" s="12"/>
      <c r="E762" s="12"/>
    </row>
    <row r="763" spans="2:5" x14ac:dyDescent="0.25">
      <c r="B763" s="12"/>
      <c r="C763" s="12"/>
      <c r="D763" s="12"/>
      <c r="E763" s="12"/>
    </row>
    <row r="764" spans="2:5" x14ac:dyDescent="0.25">
      <c r="B764" s="12"/>
      <c r="C764" s="12"/>
      <c r="D764" s="12"/>
      <c r="E764" s="12"/>
    </row>
    <row r="765" spans="2:5" x14ac:dyDescent="0.25">
      <c r="B765" s="12"/>
      <c r="C765" s="12"/>
      <c r="D765" s="12"/>
      <c r="E765" s="12"/>
    </row>
    <row r="766" spans="2:5" x14ac:dyDescent="0.25">
      <c r="B766" s="12"/>
      <c r="C766" s="12"/>
      <c r="D766" s="12"/>
      <c r="E766" s="12"/>
    </row>
    <row r="767" spans="2:5" x14ac:dyDescent="0.25">
      <c r="B767" s="12"/>
      <c r="C767" s="12"/>
      <c r="D767" s="12"/>
      <c r="E767" s="12"/>
    </row>
    <row r="768" spans="2:5" x14ac:dyDescent="0.25">
      <c r="B768" s="12"/>
      <c r="C768" s="12"/>
      <c r="D768" s="12"/>
      <c r="E768" s="12"/>
    </row>
    <row r="769" spans="2:5" x14ac:dyDescent="0.25">
      <c r="B769" s="12"/>
      <c r="C769" s="12"/>
      <c r="D769" s="12"/>
      <c r="E769" s="12"/>
    </row>
    <row r="770" spans="2:5" x14ac:dyDescent="0.25">
      <c r="B770" s="12"/>
      <c r="C770" s="12"/>
      <c r="D770" s="12"/>
      <c r="E770" s="12"/>
    </row>
    <row r="771" spans="2:5" x14ac:dyDescent="0.25">
      <c r="B771" s="12"/>
      <c r="C771" s="12"/>
      <c r="D771" s="12"/>
      <c r="E771" s="12"/>
    </row>
    <row r="772" spans="2:5" x14ac:dyDescent="0.25">
      <c r="B772" s="12"/>
      <c r="C772" s="12"/>
      <c r="D772" s="12"/>
      <c r="E772" s="12"/>
    </row>
    <row r="773" spans="2:5" x14ac:dyDescent="0.25">
      <c r="B773" s="12"/>
      <c r="C773" s="12"/>
      <c r="D773" s="12"/>
      <c r="E773" s="12"/>
    </row>
    <row r="774" spans="2:5" x14ac:dyDescent="0.25">
      <c r="B774" s="12"/>
      <c r="C774" s="12"/>
      <c r="D774" s="12"/>
      <c r="E774" s="12"/>
    </row>
    <row r="775" spans="2:5" x14ac:dyDescent="0.25">
      <c r="B775" s="12"/>
      <c r="C775" s="12"/>
      <c r="D775" s="12"/>
      <c r="E775" s="12"/>
    </row>
    <row r="776" spans="2:5" x14ac:dyDescent="0.25">
      <c r="B776" s="12"/>
      <c r="C776" s="12"/>
      <c r="D776" s="12"/>
      <c r="E776" s="12"/>
    </row>
    <row r="777" spans="2:5" x14ac:dyDescent="0.25">
      <c r="B777" s="12"/>
      <c r="C777" s="12"/>
      <c r="D777" s="12"/>
      <c r="E777" s="12"/>
    </row>
    <row r="778" spans="2:5" x14ac:dyDescent="0.25">
      <c r="B778" s="12"/>
      <c r="C778" s="12"/>
      <c r="D778" s="12"/>
      <c r="E778" s="12"/>
    </row>
    <row r="779" spans="2:5" x14ac:dyDescent="0.25">
      <c r="B779" s="12"/>
      <c r="C779" s="12"/>
      <c r="D779" s="12"/>
      <c r="E779" s="12"/>
    </row>
    <row r="780" spans="2:5" x14ac:dyDescent="0.25">
      <c r="B780" s="12"/>
      <c r="C780" s="12"/>
      <c r="D780" s="12"/>
      <c r="E780" s="12"/>
    </row>
    <row r="781" spans="2:5" x14ac:dyDescent="0.25">
      <c r="B781" s="12"/>
      <c r="C781" s="12"/>
      <c r="D781" s="12"/>
      <c r="E781" s="12"/>
    </row>
    <row r="782" spans="2:5" x14ac:dyDescent="0.25">
      <c r="B782" s="12"/>
      <c r="C782" s="12"/>
      <c r="D782" s="12"/>
      <c r="E782" s="12"/>
    </row>
    <row r="783" spans="2:5" x14ac:dyDescent="0.25">
      <c r="B783" s="12"/>
      <c r="C783" s="12"/>
      <c r="D783" s="12"/>
      <c r="E783" s="12"/>
    </row>
    <row r="784" spans="2:5" x14ac:dyDescent="0.25">
      <c r="B784" s="12"/>
      <c r="C784" s="12"/>
      <c r="D784" s="12"/>
      <c r="E784" s="12"/>
    </row>
    <row r="785" spans="2:5" x14ac:dyDescent="0.25">
      <c r="B785" s="12"/>
      <c r="C785" s="12"/>
      <c r="D785" s="12"/>
      <c r="E785" s="12"/>
    </row>
    <row r="786" spans="2:5" x14ac:dyDescent="0.25">
      <c r="B786" s="12"/>
      <c r="C786" s="12"/>
      <c r="D786" s="12"/>
      <c r="E786" s="12"/>
    </row>
    <row r="787" spans="2:5" x14ac:dyDescent="0.25">
      <c r="B787" s="12"/>
      <c r="C787" s="12"/>
      <c r="D787" s="12"/>
      <c r="E787" s="12"/>
    </row>
    <row r="788" spans="2:5" x14ac:dyDescent="0.25">
      <c r="B788" s="12"/>
      <c r="C788" s="12"/>
      <c r="D788" s="12"/>
      <c r="E788" s="12"/>
    </row>
    <row r="789" spans="2:5" x14ac:dyDescent="0.25">
      <c r="B789" s="12"/>
      <c r="C789" s="12"/>
      <c r="D789" s="12"/>
      <c r="E789" s="12"/>
    </row>
    <row r="790" spans="2:5" x14ac:dyDescent="0.25">
      <c r="B790" s="12"/>
      <c r="C790" s="12"/>
      <c r="D790" s="12"/>
      <c r="E790" s="12"/>
    </row>
    <row r="791" spans="2:5" x14ac:dyDescent="0.25">
      <c r="B791" s="12"/>
      <c r="C791" s="12"/>
      <c r="D791" s="12"/>
      <c r="E791" s="12"/>
    </row>
    <row r="792" spans="2:5" x14ac:dyDescent="0.25">
      <c r="B792" s="12"/>
      <c r="C792" s="12"/>
      <c r="D792" s="12"/>
      <c r="E792" s="12"/>
    </row>
    <row r="793" spans="2:5" x14ac:dyDescent="0.25">
      <c r="B793" s="12"/>
      <c r="C793" s="12"/>
      <c r="D793" s="12"/>
      <c r="E793" s="12"/>
    </row>
    <row r="794" spans="2:5" x14ac:dyDescent="0.25">
      <c r="B794" s="12"/>
      <c r="C794" s="12"/>
      <c r="D794" s="12"/>
      <c r="E794" s="12"/>
    </row>
    <row r="795" spans="2:5" x14ac:dyDescent="0.25">
      <c r="B795" s="12"/>
      <c r="C795" s="12"/>
      <c r="D795" s="12"/>
      <c r="E795" s="12"/>
    </row>
    <row r="796" spans="2:5" x14ac:dyDescent="0.25">
      <c r="B796" s="12"/>
      <c r="C796" s="12"/>
      <c r="D796" s="12"/>
      <c r="E796" s="12"/>
    </row>
    <row r="797" spans="2:5" x14ac:dyDescent="0.25">
      <c r="B797" s="12"/>
      <c r="C797" s="12"/>
      <c r="D797" s="12"/>
      <c r="E797" s="12"/>
    </row>
    <row r="798" spans="2:5" x14ac:dyDescent="0.25">
      <c r="B798" s="12"/>
      <c r="C798" s="12"/>
      <c r="D798" s="12"/>
      <c r="E798" s="12"/>
    </row>
    <row r="799" spans="2:5" x14ac:dyDescent="0.25">
      <c r="B799" s="12"/>
      <c r="C799" s="12"/>
      <c r="D799" s="12"/>
      <c r="E799" s="12"/>
    </row>
    <row r="800" spans="2:5" x14ac:dyDescent="0.25">
      <c r="B800" s="12"/>
      <c r="C800" s="12"/>
      <c r="D800" s="12"/>
      <c r="E800" s="12"/>
    </row>
    <row r="801" spans="2:5" x14ac:dyDescent="0.25">
      <c r="B801" s="12"/>
      <c r="C801" s="12"/>
      <c r="D801" s="12"/>
      <c r="E801" s="12"/>
    </row>
    <row r="802" spans="2:5" x14ac:dyDescent="0.25">
      <c r="B802" s="12"/>
      <c r="C802" s="12"/>
      <c r="D802" s="12"/>
      <c r="E802" s="12"/>
    </row>
    <row r="803" spans="2:5" x14ac:dyDescent="0.25">
      <c r="B803" s="12"/>
      <c r="C803" s="12"/>
      <c r="D803" s="12"/>
      <c r="E803" s="12"/>
    </row>
    <row r="804" spans="2:5" x14ac:dyDescent="0.25">
      <c r="B804" s="12"/>
      <c r="C804" s="12"/>
      <c r="D804" s="12"/>
      <c r="E804" s="12"/>
    </row>
    <row r="805" spans="2:5" x14ac:dyDescent="0.25">
      <c r="B805" s="12"/>
      <c r="C805" s="12"/>
      <c r="D805" s="12"/>
      <c r="E805" s="12"/>
    </row>
    <row r="806" spans="2:5" x14ac:dyDescent="0.25">
      <c r="B806" s="12"/>
      <c r="C806" s="12"/>
      <c r="D806" s="12"/>
      <c r="E806" s="12"/>
    </row>
    <row r="807" spans="2:5" x14ac:dyDescent="0.25">
      <c r="B807" s="12"/>
      <c r="C807" s="12"/>
      <c r="D807" s="12"/>
      <c r="E807" s="12"/>
    </row>
    <row r="808" spans="2:5" x14ac:dyDescent="0.25">
      <c r="B808" s="12"/>
      <c r="C808" s="12"/>
      <c r="D808" s="12"/>
      <c r="E808" s="12"/>
    </row>
    <row r="809" spans="2:5" x14ac:dyDescent="0.25">
      <c r="B809" s="12"/>
      <c r="C809" s="12"/>
      <c r="D809" s="12"/>
      <c r="E809" s="12"/>
    </row>
    <row r="810" spans="2:5" x14ac:dyDescent="0.25">
      <c r="B810" s="12"/>
      <c r="C810" s="12"/>
      <c r="D810" s="12"/>
      <c r="E810" s="12"/>
    </row>
    <row r="811" spans="2:5" x14ac:dyDescent="0.25">
      <c r="B811" s="12"/>
      <c r="C811" s="12"/>
      <c r="D811" s="12"/>
      <c r="E811" s="12"/>
    </row>
    <row r="812" spans="2:5" x14ac:dyDescent="0.25">
      <c r="B812" s="12"/>
      <c r="C812" s="12"/>
      <c r="D812" s="12"/>
      <c r="E812" s="12"/>
    </row>
    <row r="813" spans="2:5" x14ac:dyDescent="0.25">
      <c r="B813" s="12"/>
      <c r="C813" s="12"/>
      <c r="D813" s="12"/>
      <c r="E813" s="12"/>
    </row>
    <row r="814" spans="2:5" x14ac:dyDescent="0.25">
      <c r="B814" s="12"/>
      <c r="C814" s="12"/>
      <c r="D814" s="12"/>
      <c r="E814" s="12"/>
    </row>
    <row r="815" spans="2:5" x14ac:dyDescent="0.25">
      <c r="B815" s="12"/>
      <c r="C815" s="12"/>
      <c r="D815" s="12"/>
      <c r="E815" s="12"/>
    </row>
    <row r="816" spans="2:5" x14ac:dyDescent="0.25">
      <c r="B816" s="12"/>
      <c r="C816" s="12"/>
      <c r="D816" s="12"/>
      <c r="E816" s="12"/>
    </row>
    <row r="817" spans="2:5" x14ac:dyDescent="0.25">
      <c r="B817" s="12"/>
      <c r="C817" s="12"/>
      <c r="D817" s="12"/>
      <c r="E817" s="12"/>
    </row>
    <row r="818" spans="2:5" x14ac:dyDescent="0.25">
      <c r="B818" s="12"/>
      <c r="C818" s="12"/>
      <c r="D818" s="12"/>
      <c r="E818" s="12"/>
    </row>
    <row r="819" spans="2:5" x14ac:dyDescent="0.25">
      <c r="B819" s="12"/>
      <c r="C819" s="12"/>
      <c r="D819" s="12"/>
      <c r="E819" s="12"/>
    </row>
    <row r="820" spans="2:5" x14ac:dyDescent="0.25">
      <c r="B820" s="12"/>
      <c r="C820" s="12"/>
      <c r="D820" s="12"/>
      <c r="E820" s="12"/>
    </row>
    <row r="821" spans="2:5" x14ac:dyDescent="0.25">
      <c r="B821" s="12"/>
      <c r="C821" s="12"/>
      <c r="D821" s="12"/>
      <c r="E821" s="12"/>
    </row>
    <row r="822" spans="2:5" x14ac:dyDescent="0.25">
      <c r="B822" s="12"/>
      <c r="C822" s="12"/>
      <c r="D822" s="12"/>
      <c r="E822" s="12"/>
    </row>
    <row r="823" spans="2:5" x14ac:dyDescent="0.25">
      <c r="B823" s="12"/>
      <c r="C823" s="12"/>
      <c r="D823" s="12"/>
      <c r="E823" s="12"/>
    </row>
    <row r="824" spans="2:5" x14ac:dyDescent="0.25">
      <c r="B824" s="12"/>
      <c r="C824" s="12"/>
      <c r="D824" s="12"/>
      <c r="E824" s="12"/>
    </row>
    <row r="825" spans="2:5" x14ac:dyDescent="0.25">
      <c r="B825" s="12"/>
      <c r="C825" s="12"/>
      <c r="D825" s="12"/>
      <c r="E825" s="12"/>
    </row>
    <row r="826" spans="2:5" x14ac:dyDescent="0.25">
      <c r="B826" s="12"/>
      <c r="C826" s="12"/>
      <c r="D826" s="12"/>
      <c r="E826" s="12"/>
    </row>
    <row r="827" spans="2:5" x14ac:dyDescent="0.25">
      <c r="B827" s="12"/>
      <c r="C827" s="12"/>
      <c r="D827" s="12"/>
      <c r="E827" s="12"/>
    </row>
    <row r="828" spans="2:5" x14ac:dyDescent="0.25">
      <c r="B828" s="12"/>
      <c r="C828" s="12"/>
      <c r="D828" s="12"/>
      <c r="E828" s="12"/>
    </row>
    <row r="829" spans="2:5" x14ac:dyDescent="0.25">
      <c r="B829" s="12"/>
      <c r="C829" s="12"/>
      <c r="D829" s="12"/>
      <c r="E829" s="12"/>
    </row>
    <row r="830" spans="2:5" x14ac:dyDescent="0.25">
      <c r="B830" s="12"/>
      <c r="C830" s="12"/>
      <c r="D830" s="12"/>
      <c r="E830" s="12"/>
    </row>
    <row r="831" spans="2:5" x14ac:dyDescent="0.25">
      <c r="B831" s="12"/>
      <c r="C831" s="12"/>
      <c r="D831" s="12"/>
      <c r="E831" s="12"/>
    </row>
    <row r="832" spans="2:5" x14ac:dyDescent="0.25">
      <c r="B832" s="12"/>
      <c r="C832" s="12"/>
      <c r="D832" s="12"/>
      <c r="E832" s="12"/>
    </row>
    <row r="833" spans="2:5" x14ac:dyDescent="0.25">
      <c r="B833" s="12"/>
      <c r="C833" s="12"/>
      <c r="D833" s="12"/>
      <c r="E833" s="12"/>
    </row>
    <row r="834" spans="2:5" x14ac:dyDescent="0.25">
      <c r="B834" s="12"/>
      <c r="C834" s="12"/>
      <c r="D834" s="12"/>
      <c r="E834" s="12"/>
    </row>
    <row r="835" spans="2:5" x14ac:dyDescent="0.25">
      <c r="B835" s="12"/>
      <c r="C835" s="12"/>
      <c r="D835" s="12"/>
      <c r="E835" s="12"/>
    </row>
    <row r="836" spans="2:5" x14ac:dyDescent="0.25">
      <c r="B836" s="12"/>
      <c r="C836" s="12"/>
      <c r="D836" s="12"/>
      <c r="E836" s="12"/>
    </row>
    <row r="837" spans="2:5" x14ac:dyDescent="0.25">
      <c r="B837" s="12"/>
      <c r="C837" s="12"/>
      <c r="D837" s="12"/>
      <c r="E837" s="12"/>
    </row>
    <row r="838" spans="2:5" x14ac:dyDescent="0.25">
      <c r="B838" s="12"/>
      <c r="C838" s="12"/>
      <c r="D838" s="12"/>
      <c r="E838" s="12"/>
    </row>
    <row r="839" spans="2:5" x14ac:dyDescent="0.25">
      <c r="B839" s="12"/>
      <c r="C839" s="12"/>
      <c r="D839" s="12"/>
      <c r="E839" s="12"/>
    </row>
    <row r="840" spans="2:5" x14ac:dyDescent="0.25">
      <c r="B840" s="12"/>
      <c r="C840" s="12"/>
      <c r="D840" s="12"/>
      <c r="E840" s="12"/>
    </row>
    <row r="841" spans="2:5" x14ac:dyDescent="0.25">
      <c r="B841" s="12"/>
      <c r="C841" s="12"/>
      <c r="D841" s="12"/>
      <c r="E841" s="12"/>
    </row>
    <row r="842" spans="2:5" x14ac:dyDescent="0.25">
      <c r="B842" s="12"/>
      <c r="C842" s="12"/>
      <c r="D842" s="12"/>
      <c r="E842" s="12"/>
    </row>
    <row r="843" spans="2:5" x14ac:dyDescent="0.25">
      <c r="B843" s="12"/>
      <c r="C843" s="12"/>
      <c r="D843" s="12"/>
      <c r="E843" s="12"/>
    </row>
    <row r="844" spans="2:5" x14ac:dyDescent="0.25">
      <c r="B844" s="12"/>
      <c r="C844" s="12"/>
      <c r="D844" s="12"/>
      <c r="E844" s="12"/>
    </row>
    <row r="845" spans="2:5" x14ac:dyDescent="0.25">
      <c r="B845" s="12"/>
      <c r="C845" s="12"/>
      <c r="D845" s="12"/>
      <c r="E845" s="12"/>
    </row>
    <row r="846" spans="2:5" x14ac:dyDescent="0.25">
      <c r="B846" s="12"/>
      <c r="C846" s="12"/>
      <c r="D846" s="12"/>
      <c r="E846" s="12"/>
    </row>
    <row r="847" spans="2:5" x14ac:dyDescent="0.25">
      <c r="B847" s="12"/>
      <c r="C847" s="12"/>
      <c r="D847" s="12"/>
      <c r="E847" s="12"/>
    </row>
    <row r="848" spans="2:5" x14ac:dyDescent="0.25">
      <c r="B848" s="12"/>
      <c r="C848" s="12"/>
      <c r="D848" s="12"/>
      <c r="E848" s="12"/>
    </row>
    <row r="849" spans="2:5" x14ac:dyDescent="0.25">
      <c r="B849" s="12"/>
      <c r="C849" s="12"/>
      <c r="D849" s="12"/>
      <c r="E849" s="12"/>
    </row>
    <row r="850" spans="2:5" x14ac:dyDescent="0.25">
      <c r="B850" s="12"/>
      <c r="C850" s="12"/>
      <c r="D850" s="12"/>
      <c r="E850" s="12"/>
    </row>
    <row r="851" spans="2:5" x14ac:dyDescent="0.25">
      <c r="B851" s="12"/>
      <c r="C851" s="12"/>
      <c r="D851" s="12"/>
      <c r="E851" s="12"/>
    </row>
    <row r="852" spans="2:5" x14ac:dyDescent="0.25">
      <c r="B852" s="12"/>
      <c r="C852" s="12"/>
      <c r="D852" s="12"/>
      <c r="E852" s="12"/>
    </row>
    <row r="853" spans="2:5" x14ac:dyDescent="0.25">
      <c r="B853" s="12"/>
      <c r="C853" s="12"/>
      <c r="D853" s="12"/>
      <c r="E853" s="12"/>
    </row>
    <row r="854" spans="2:5" x14ac:dyDescent="0.25">
      <c r="B854" s="12"/>
      <c r="C854" s="12"/>
      <c r="D854" s="12"/>
      <c r="E854" s="12"/>
    </row>
    <row r="855" spans="2:5" x14ac:dyDescent="0.25">
      <c r="B855" s="12"/>
      <c r="C855" s="12"/>
      <c r="D855" s="12"/>
      <c r="E855" s="12"/>
    </row>
    <row r="856" spans="2:5" x14ac:dyDescent="0.25">
      <c r="B856" s="12"/>
      <c r="C856" s="12"/>
      <c r="D856" s="12"/>
      <c r="E856" s="12"/>
    </row>
    <row r="857" spans="2:5" x14ac:dyDescent="0.25">
      <c r="B857" s="12"/>
      <c r="C857" s="12"/>
      <c r="D857" s="12"/>
      <c r="E857" s="12"/>
    </row>
    <row r="858" spans="2:5" x14ac:dyDescent="0.25">
      <c r="B858" s="12"/>
      <c r="C858" s="12"/>
      <c r="D858" s="12"/>
      <c r="E858" s="12"/>
    </row>
    <row r="859" spans="2:5" x14ac:dyDescent="0.25">
      <c r="B859" s="12"/>
      <c r="C859" s="12"/>
      <c r="D859" s="12"/>
      <c r="E859" s="12"/>
    </row>
    <row r="860" spans="2:5" x14ac:dyDescent="0.25">
      <c r="B860" s="12"/>
      <c r="C860" s="12"/>
      <c r="D860" s="12"/>
      <c r="E860" s="12"/>
    </row>
    <row r="861" spans="2:5" x14ac:dyDescent="0.25">
      <c r="B861" s="12"/>
      <c r="C861" s="12"/>
      <c r="D861" s="12"/>
      <c r="E861" s="12"/>
    </row>
    <row r="862" spans="2:5" x14ac:dyDescent="0.25">
      <c r="B862" s="12"/>
      <c r="C862" s="12"/>
      <c r="D862" s="12"/>
      <c r="E862" s="12"/>
    </row>
    <row r="863" spans="2:5" x14ac:dyDescent="0.25">
      <c r="B863" s="12"/>
      <c r="C863" s="12"/>
      <c r="D863" s="12"/>
      <c r="E863" s="12"/>
    </row>
    <row r="864" spans="2:5" x14ac:dyDescent="0.25">
      <c r="B864" s="12"/>
      <c r="C864" s="12"/>
      <c r="D864" s="12"/>
      <c r="E864" s="12"/>
    </row>
    <row r="865" spans="2:5" x14ac:dyDescent="0.25">
      <c r="B865" s="12"/>
      <c r="C865" s="12"/>
      <c r="D865" s="12"/>
      <c r="E865" s="12"/>
    </row>
    <row r="866" spans="2:5" x14ac:dyDescent="0.25">
      <c r="B866" s="12"/>
      <c r="C866" s="12"/>
      <c r="D866" s="12"/>
      <c r="E866" s="12"/>
    </row>
    <row r="867" spans="2:5" x14ac:dyDescent="0.25">
      <c r="B867" s="12"/>
      <c r="C867" s="12"/>
      <c r="D867" s="12"/>
      <c r="E867" s="12"/>
    </row>
    <row r="868" spans="2:5" x14ac:dyDescent="0.25">
      <c r="B868" s="12"/>
      <c r="C868" s="12"/>
      <c r="D868" s="12"/>
      <c r="E868" s="12"/>
    </row>
    <row r="869" spans="2:5" x14ac:dyDescent="0.25">
      <c r="B869" s="12"/>
      <c r="C869" s="12"/>
      <c r="D869" s="12"/>
      <c r="E869" s="12"/>
    </row>
    <row r="870" spans="2:5" x14ac:dyDescent="0.25">
      <c r="B870" s="12"/>
      <c r="C870" s="12"/>
      <c r="D870" s="12"/>
      <c r="E870" s="12"/>
    </row>
    <row r="871" spans="2:5" x14ac:dyDescent="0.25">
      <c r="B871" s="12"/>
      <c r="C871" s="12"/>
      <c r="D871" s="12"/>
      <c r="E871" s="12"/>
    </row>
    <row r="872" spans="2:5" x14ac:dyDescent="0.25">
      <c r="B872" s="12"/>
      <c r="C872" s="12"/>
      <c r="D872" s="12"/>
      <c r="E872" s="12"/>
    </row>
    <row r="873" spans="2:5" x14ac:dyDescent="0.25">
      <c r="B873" s="12"/>
      <c r="C873" s="12"/>
      <c r="D873" s="12"/>
      <c r="E873" s="12"/>
    </row>
    <row r="874" spans="2:5" x14ac:dyDescent="0.25">
      <c r="B874" s="12"/>
      <c r="C874" s="12"/>
      <c r="D874" s="12"/>
      <c r="E874" s="12"/>
    </row>
    <row r="875" spans="2:5" x14ac:dyDescent="0.25">
      <c r="B875" s="12"/>
      <c r="C875" s="12"/>
      <c r="D875" s="12"/>
      <c r="E875" s="12"/>
    </row>
    <row r="876" spans="2:5" x14ac:dyDescent="0.25">
      <c r="B876" s="12"/>
      <c r="C876" s="12"/>
      <c r="D876" s="12"/>
      <c r="E876" s="12"/>
    </row>
    <row r="877" spans="2:5" x14ac:dyDescent="0.25">
      <c r="B877" s="12"/>
      <c r="C877" s="12"/>
      <c r="D877" s="12"/>
      <c r="E877" s="12"/>
    </row>
    <row r="878" spans="2:5" x14ac:dyDescent="0.25">
      <c r="B878" s="12"/>
      <c r="C878" s="12"/>
      <c r="D878" s="12"/>
      <c r="E878" s="12"/>
    </row>
    <row r="879" spans="2:5" x14ac:dyDescent="0.25">
      <c r="B879" s="12"/>
      <c r="C879" s="12"/>
      <c r="D879" s="12"/>
      <c r="E879" s="12"/>
    </row>
    <row r="880" spans="2:5" x14ac:dyDescent="0.25">
      <c r="B880" s="12"/>
      <c r="C880" s="12"/>
      <c r="D880" s="12"/>
      <c r="E880" s="12"/>
    </row>
    <row r="881" spans="2:5" x14ac:dyDescent="0.25">
      <c r="B881" s="12"/>
      <c r="C881" s="12"/>
      <c r="D881" s="12"/>
      <c r="E881" s="12"/>
    </row>
    <row r="882" spans="2:5" x14ac:dyDescent="0.25">
      <c r="B882" s="12"/>
      <c r="C882" s="12"/>
      <c r="D882" s="12"/>
      <c r="E882" s="12"/>
    </row>
    <row r="883" spans="2:5" x14ac:dyDescent="0.25">
      <c r="B883" s="12"/>
      <c r="C883" s="12"/>
      <c r="D883" s="12"/>
      <c r="E883" s="12"/>
    </row>
    <row r="884" spans="2:5" x14ac:dyDescent="0.25">
      <c r="B884" s="12"/>
      <c r="C884" s="12"/>
      <c r="D884" s="12"/>
      <c r="E884" s="12"/>
    </row>
    <row r="885" spans="2:5" x14ac:dyDescent="0.25">
      <c r="B885" s="12"/>
      <c r="C885" s="12"/>
      <c r="D885" s="12"/>
      <c r="E885" s="12"/>
    </row>
    <row r="886" spans="2:5" x14ac:dyDescent="0.25">
      <c r="B886" s="12"/>
      <c r="C886" s="12"/>
      <c r="D886" s="12"/>
      <c r="E886" s="12"/>
    </row>
    <row r="887" spans="2:5" x14ac:dyDescent="0.25">
      <c r="B887" s="12"/>
      <c r="C887" s="12"/>
      <c r="D887" s="12"/>
      <c r="E887" s="12"/>
    </row>
    <row r="888" spans="2:5" x14ac:dyDescent="0.25">
      <c r="B888" s="12"/>
      <c r="C888" s="12"/>
      <c r="D888" s="12"/>
      <c r="E888" s="12"/>
    </row>
    <row r="889" spans="2:5" x14ac:dyDescent="0.25">
      <c r="B889" s="12"/>
      <c r="C889" s="12"/>
      <c r="D889" s="12"/>
      <c r="E889" s="12"/>
    </row>
    <row r="890" spans="2:5" x14ac:dyDescent="0.25">
      <c r="B890" s="12"/>
      <c r="C890" s="12"/>
      <c r="D890" s="12"/>
      <c r="E890" s="12"/>
    </row>
    <row r="891" spans="2:5" x14ac:dyDescent="0.25">
      <c r="B891" s="12"/>
      <c r="C891" s="12"/>
      <c r="D891" s="12"/>
      <c r="E891" s="12"/>
    </row>
    <row r="892" spans="2:5" x14ac:dyDescent="0.25">
      <c r="B892" s="12"/>
      <c r="C892" s="12"/>
      <c r="D892" s="12"/>
      <c r="E892" s="12"/>
    </row>
    <row r="893" spans="2:5" x14ac:dyDescent="0.25">
      <c r="B893" s="12"/>
      <c r="C893" s="12"/>
      <c r="D893" s="12"/>
      <c r="E893" s="12"/>
    </row>
    <row r="894" spans="2:5" x14ac:dyDescent="0.25">
      <c r="B894" s="12"/>
      <c r="C894" s="12"/>
      <c r="D894" s="12"/>
      <c r="E894" s="12"/>
    </row>
    <row r="895" spans="2:5" x14ac:dyDescent="0.25">
      <c r="B895" s="12"/>
      <c r="C895" s="12"/>
      <c r="D895" s="12"/>
      <c r="E895" s="12"/>
    </row>
    <row r="896" spans="2:5" x14ac:dyDescent="0.25">
      <c r="B896" s="12"/>
      <c r="C896" s="12"/>
      <c r="D896" s="12"/>
      <c r="E896" s="12"/>
    </row>
    <row r="897" spans="2:5" x14ac:dyDescent="0.25">
      <c r="B897" s="12"/>
      <c r="C897" s="12"/>
      <c r="D897" s="12"/>
      <c r="E897" s="12"/>
    </row>
    <row r="898" spans="2:5" x14ac:dyDescent="0.25">
      <c r="B898" s="12"/>
      <c r="C898" s="12"/>
      <c r="D898" s="12"/>
      <c r="E898" s="12"/>
    </row>
    <row r="899" spans="2:5" x14ac:dyDescent="0.25">
      <c r="B899" s="12"/>
      <c r="C899" s="12"/>
      <c r="D899" s="12"/>
      <c r="E899" s="12"/>
    </row>
    <row r="900" spans="2:5" x14ac:dyDescent="0.25">
      <c r="B900" s="12"/>
      <c r="C900" s="12"/>
      <c r="D900" s="12"/>
      <c r="E900" s="12"/>
    </row>
    <row r="901" spans="2:5" x14ac:dyDescent="0.25">
      <c r="B901" s="12"/>
      <c r="C901" s="12"/>
      <c r="D901" s="12"/>
      <c r="E901" s="12"/>
    </row>
    <row r="902" spans="2:5" x14ac:dyDescent="0.25">
      <c r="B902" s="12"/>
      <c r="C902" s="12"/>
      <c r="D902" s="12"/>
      <c r="E902" s="12"/>
    </row>
    <row r="903" spans="2:5" x14ac:dyDescent="0.25">
      <c r="B903" s="12"/>
      <c r="C903" s="12"/>
      <c r="D903" s="12"/>
      <c r="E903" s="12"/>
    </row>
    <row r="904" spans="2:5" x14ac:dyDescent="0.25">
      <c r="B904" s="12"/>
      <c r="C904" s="12"/>
      <c r="D904" s="12"/>
      <c r="E904" s="12"/>
    </row>
    <row r="905" spans="2:5" x14ac:dyDescent="0.25">
      <c r="B905" s="12"/>
      <c r="C905" s="12"/>
      <c r="D905" s="12"/>
      <c r="E905" s="12"/>
    </row>
    <row r="906" spans="2:5" x14ac:dyDescent="0.25">
      <c r="B906" s="12"/>
      <c r="C906" s="12"/>
      <c r="D906" s="12"/>
      <c r="E906" s="12"/>
    </row>
    <row r="907" spans="2:5" x14ac:dyDescent="0.25">
      <c r="B907" s="12"/>
      <c r="C907" s="12"/>
      <c r="D907" s="12"/>
      <c r="E907" s="12"/>
    </row>
    <row r="908" spans="2:5" x14ac:dyDescent="0.25">
      <c r="B908" s="12"/>
      <c r="C908" s="12"/>
      <c r="D908" s="12"/>
      <c r="E908" s="12"/>
    </row>
    <row r="909" spans="2:5" x14ac:dyDescent="0.25">
      <c r="B909" s="12"/>
      <c r="C909" s="12"/>
      <c r="D909" s="12"/>
      <c r="E909" s="12"/>
    </row>
    <row r="910" spans="2:5" x14ac:dyDescent="0.25">
      <c r="B910" s="12"/>
      <c r="C910" s="12"/>
      <c r="D910" s="12"/>
      <c r="E910" s="12"/>
    </row>
    <row r="911" spans="2:5" x14ac:dyDescent="0.25">
      <c r="B911" s="12"/>
      <c r="C911" s="12"/>
      <c r="D911" s="12"/>
      <c r="E911" s="12"/>
    </row>
    <row r="912" spans="2:5" x14ac:dyDescent="0.25">
      <c r="B912" s="12"/>
      <c r="C912" s="12"/>
      <c r="D912" s="12"/>
      <c r="E912" s="12"/>
    </row>
    <row r="913" spans="2:5" x14ac:dyDescent="0.25">
      <c r="B913" s="12"/>
      <c r="C913" s="12"/>
      <c r="D913" s="12"/>
      <c r="E913" s="12"/>
    </row>
    <row r="914" spans="2:5" x14ac:dyDescent="0.25">
      <c r="B914" s="12"/>
      <c r="C914" s="12"/>
      <c r="D914" s="12"/>
      <c r="E914" s="12"/>
    </row>
    <row r="915" spans="2:5" x14ac:dyDescent="0.25">
      <c r="B915" s="12"/>
      <c r="C915" s="12"/>
      <c r="D915" s="12"/>
      <c r="E915" s="12"/>
    </row>
    <row r="916" spans="2:5" x14ac:dyDescent="0.25">
      <c r="B916" s="12"/>
      <c r="C916" s="12"/>
      <c r="D916" s="12"/>
      <c r="E916" s="12"/>
    </row>
    <row r="917" spans="2:5" x14ac:dyDescent="0.25">
      <c r="B917" s="12"/>
      <c r="C917" s="12"/>
      <c r="D917" s="12"/>
      <c r="E917" s="12"/>
    </row>
    <row r="918" spans="2:5" x14ac:dyDescent="0.25">
      <c r="B918" s="12"/>
      <c r="C918" s="12"/>
      <c r="D918" s="12"/>
      <c r="E918" s="12"/>
    </row>
    <row r="919" spans="2:5" x14ac:dyDescent="0.25">
      <c r="B919" s="12"/>
      <c r="C919" s="12"/>
      <c r="D919" s="12"/>
      <c r="E919" s="12"/>
    </row>
    <row r="920" spans="2:5" x14ac:dyDescent="0.25">
      <c r="B920" s="12"/>
      <c r="C920" s="12"/>
      <c r="D920" s="12"/>
      <c r="E920" s="12"/>
    </row>
    <row r="921" spans="2:5" x14ac:dyDescent="0.25">
      <c r="B921" s="12"/>
      <c r="C921" s="12"/>
      <c r="D921" s="12"/>
      <c r="E921" s="12"/>
    </row>
    <row r="922" spans="2:5" x14ac:dyDescent="0.25">
      <c r="B922" s="12"/>
      <c r="C922" s="12"/>
      <c r="D922" s="12"/>
      <c r="E922" s="12"/>
    </row>
    <row r="923" spans="2:5" x14ac:dyDescent="0.25">
      <c r="B923" s="12"/>
      <c r="C923" s="12"/>
      <c r="D923" s="12"/>
      <c r="E923" s="12"/>
    </row>
    <row r="924" spans="2:5" x14ac:dyDescent="0.25">
      <c r="B924" s="12"/>
      <c r="C924" s="12"/>
      <c r="D924" s="12"/>
      <c r="E924" s="12"/>
    </row>
    <row r="925" spans="2:5" x14ac:dyDescent="0.25">
      <c r="B925" s="12"/>
      <c r="C925" s="12"/>
      <c r="D925" s="12"/>
      <c r="E925" s="12"/>
    </row>
    <row r="926" spans="2:5" x14ac:dyDescent="0.25">
      <c r="B926" s="12"/>
      <c r="C926" s="12"/>
      <c r="D926" s="12"/>
      <c r="E926" s="12"/>
    </row>
    <row r="927" spans="2:5" x14ac:dyDescent="0.25">
      <c r="B927" s="12"/>
      <c r="C927" s="12"/>
      <c r="D927" s="12"/>
      <c r="E927" s="12"/>
    </row>
    <row r="928" spans="2:5" x14ac:dyDescent="0.25">
      <c r="B928" s="12"/>
      <c r="C928" s="12"/>
      <c r="D928" s="12"/>
      <c r="E928" s="12"/>
    </row>
    <row r="929" spans="2:5" x14ac:dyDescent="0.25">
      <c r="B929" s="12"/>
      <c r="C929" s="12"/>
      <c r="D929" s="12"/>
      <c r="E929" s="12"/>
    </row>
    <row r="930" spans="2:5" x14ac:dyDescent="0.25">
      <c r="B930" s="12"/>
      <c r="C930" s="12"/>
      <c r="D930" s="12"/>
      <c r="E930" s="12"/>
    </row>
    <row r="931" spans="2:5" x14ac:dyDescent="0.25">
      <c r="B931" s="12"/>
      <c r="C931" s="12"/>
      <c r="D931" s="12"/>
      <c r="E931" s="12"/>
    </row>
    <row r="932" spans="2:5" x14ac:dyDescent="0.25">
      <c r="B932" s="12"/>
      <c r="C932" s="12"/>
      <c r="D932" s="12"/>
      <c r="E932" s="12"/>
    </row>
    <row r="933" spans="2:5" x14ac:dyDescent="0.25">
      <c r="B933" s="12"/>
      <c r="C933" s="12"/>
      <c r="D933" s="12"/>
      <c r="E933" s="12"/>
    </row>
    <row r="934" spans="2:5" x14ac:dyDescent="0.25">
      <c r="B934" s="12"/>
      <c r="C934" s="12"/>
      <c r="D934" s="12"/>
      <c r="E934" s="12"/>
    </row>
    <row r="935" spans="2:5" x14ac:dyDescent="0.25">
      <c r="B935" s="12"/>
      <c r="C935" s="12"/>
      <c r="D935" s="12"/>
      <c r="E935" s="12"/>
    </row>
    <row r="936" spans="2:5" x14ac:dyDescent="0.25">
      <c r="B936" s="12"/>
      <c r="C936" s="12"/>
      <c r="D936" s="12"/>
      <c r="E936" s="12"/>
    </row>
    <row r="937" spans="2:5" x14ac:dyDescent="0.25">
      <c r="B937" s="12"/>
      <c r="C937" s="12"/>
      <c r="D937" s="12"/>
      <c r="E937" s="12"/>
    </row>
    <row r="938" spans="2:5" x14ac:dyDescent="0.25">
      <c r="B938" s="12"/>
      <c r="C938" s="12"/>
      <c r="D938" s="12"/>
      <c r="E938" s="12"/>
    </row>
    <row r="939" spans="2:5" x14ac:dyDescent="0.25">
      <c r="B939" s="12"/>
      <c r="C939" s="12"/>
      <c r="D939" s="12"/>
      <c r="E939" s="12"/>
    </row>
    <row r="940" spans="2:5" x14ac:dyDescent="0.25">
      <c r="B940" s="12"/>
      <c r="C940" s="12"/>
      <c r="D940" s="12"/>
      <c r="E940" s="12"/>
    </row>
    <row r="941" spans="2:5" x14ac:dyDescent="0.25">
      <c r="B941" s="12"/>
      <c r="C941" s="12"/>
      <c r="D941" s="12"/>
      <c r="E941" s="12"/>
    </row>
    <row r="942" spans="2:5" x14ac:dyDescent="0.25">
      <c r="B942" s="12"/>
      <c r="C942" s="12"/>
      <c r="D942" s="12"/>
      <c r="E942" s="12"/>
    </row>
    <row r="943" spans="2:5" x14ac:dyDescent="0.25">
      <c r="B943" s="12"/>
      <c r="C943" s="12"/>
      <c r="D943" s="12"/>
      <c r="E943" s="12"/>
    </row>
    <row r="944" spans="2:5" x14ac:dyDescent="0.25">
      <c r="B944" s="12"/>
      <c r="C944" s="12"/>
      <c r="D944" s="12"/>
      <c r="E944" s="12"/>
    </row>
    <row r="945" spans="2:5" x14ac:dyDescent="0.25">
      <c r="B945" s="12"/>
      <c r="C945" s="12"/>
      <c r="D945" s="12"/>
      <c r="E945" s="12"/>
    </row>
    <row r="946" spans="2:5" x14ac:dyDescent="0.25">
      <c r="B946" s="12"/>
      <c r="C946" s="12"/>
      <c r="D946" s="12"/>
      <c r="E946" s="12"/>
    </row>
    <row r="947" spans="2:5" x14ac:dyDescent="0.25">
      <c r="B947" s="12"/>
      <c r="C947" s="12"/>
      <c r="D947" s="12"/>
      <c r="E947" s="12"/>
    </row>
    <row r="948" spans="2:5" x14ac:dyDescent="0.25">
      <c r="B948" s="12"/>
      <c r="C948" s="12"/>
      <c r="D948" s="12"/>
      <c r="E948" s="12"/>
    </row>
    <row r="949" spans="2:5" x14ac:dyDescent="0.25">
      <c r="B949" s="12"/>
      <c r="C949" s="12"/>
      <c r="D949" s="12"/>
      <c r="E949" s="12"/>
    </row>
    <row r="950" spans="2:5" x14ac:dyDescent="0.25">
      <c r="B950" s="12"/>
      <c r="C950" s="12"/>
      <c r="D950" s="12"/>
      <c r="E950" s="12"/>
    </row>
    <row r="951" spans="2:5" x14ac:dyDescent="0.25">
      <c r="B951" s="12"/>
      <c r="C951" s="12"/>
      <c r="D951" s="12"/>
      <c r="E951" s="12"/>
    </row>
    <row r="952" spans="2:5" x14ac:dyDescent="0.25">
      <c r="B952" s="12"/>
      <c r="C952" s="12"/>
      <c r="D952" s="12"/>
      <c r="E952" s="12"/>
    </row>
    <row r="953" spans="2:5" x14ac:dyDescent="0.25">
      <c r="B953" s="12"/>
      <c r="C953" s="12"/>
      <c r="D953" s="12"/>
      <c r="E953" s="12"/>
    </row>
    <row r="954" spans="2:5" x14ac:dyDescent="0.25">
      <c r="B954" s="12"/>
      <c r="C954" s="12"/>
      <c r="D954" s="12"/>
      <c r="E954" s="12"/>
    </row>
    <row r="955" spans="2:5" x14ac:dyDescent="0.25">
      <c r="B955" s="12"/>
      <c r="C955" s="12"/>
      <c r="D955" s="12"/>
      <c r="E955" s="12"/>
    </row>
    <row r="956" spans="2:5" x14ac:dyDescent="0.25">
      <c r="B956" s="12"/>
      <c r="C956" s="12"/>
      <c r="D956" s="12"/>
      <c r="E956" s="12"/>
    </row>
    <row r="957" spans="2:5" x14ac:dyDescent="0.25">
      <c r="B957" s="12"/>
      <c r="C957" s="12"/>
      <c r="D957" s="12"/>
      <c r="E957" s="12"/>
    </row>
    <row r="958" spans="2:5" x14ac:dyDescent="0.25">
      <c r="B958" s="12"/>
      <c r="C958" s="12"/>
      <c r="D958" s="12"/>
      <c r="E958" s="12"/>
    </row>
    <row r="959" spans="2:5" x14ac:dyDescent="0.25">
      <c r="B959" s="12"/>
      <c r="C959" s="12"/>
      <c r="D959" s="12"/>
      <c r="E959" s="12"/>
    </row>
    <row r="960" spans="2:5" x14ac:dyDescent="0.25">
      <c r="B960" s="12"/>
      <c r="C960" s="12"/>
      <c r="D960" s="12"/>
      <c r="E960" s="12"/>
    </row>
    <row r="961" spans="2:5" x14ac:dyDescent="0.25">
      <c r="B961" s="12"/>
      <c r="C961" s="12"/>
      <c r="D961" s="12"/>
      <c r="E961" s="12"/>
    </row>
    <row r="962" spans="2:5" x14ac:dyDescent="0.25">
      <c r="B962" s="12"/>
      <c r="C962" s="12"/>
      <c r="D962" s="12"/>
      <c r="E962" s="12"/>
    </row>
    <row r="963" spans="2:5" x14ac:dyDescent="0.25">
      <c r="B963" s="12"/>
      <c r="C963" s="12"/>
      <c r="D963" s="12"/>
      <c r="E963" s="12"/>
    </row>
    <row r="964" spans="2:5" x14ac:dyDescent="0.25">
      <c r="B964" s="12"/>
      <c r="C964" s="12"/>
      <c r="D964" s="12"/>
      <c r="E964" s="12"/>
    </row>
    <row r="965" spans="2:5" x14ac:dyDescent="0.25">
      <c r="B965" s="12"/>
      <c r="C965" s="12"/>
      <c r="D965" s="12"/>
      <c r="E965" s="12"/>
    </row>
    <row r="966" spans="2:5" x14ac:dyDescent="0.25">
      <c r="B966" s="12"/>
      <c r="C966" s="12"/>
      <c r="D966" s="12"/>
      <c r="E966" s="12"/>
    </row>
    <row r="967" spans="2:5" x14ac:dyDescent="0.25">
      <c r="B967" s="12"/>
      <c r="C967" s="12"/>
      <c r="D967" s="12"/>
      <c r="E967" s="12"/>
    </row>
    <row r="968" spans="2:5" x14ac:dyDescent="0.25">
      <c r="B968" s="12"/>
      <c r="C968" s="12"/>
      <c r="D968" s="12"/>
      <c r="E968" s="12"/>
    </row>
    <row r="969" spans="2:5" x14ac:dyDescent="0.25">
      <c r="B969" s="12"/>
      <c r="C969" s="12"/>
      <c r="D969" s="12"/>
      <c r="E969" s="12"/>
    </row>
    <row r="970" spans="2:5" x14ac:dyDescent="0.25">
      <c r="B970" s="12"/>
      <c r="C970" s="12"/>
      <c r="D970" s="12"/>
      <c r="E970" s="12"/>
    </row>
    <row r="971" spans="2:5" x14ac:dyDescent="0.25">
      <c r="B971" s="12"/>
      <c r="C971" s="12"/>
      <c r="D971" s="12"/>
      <c r="E971" s="12"/>
    </row>
    <row r="972" spans="2:5" x14ac:dyDescent="0.25">
      <c r="B972" s="12"/>
      <c r="C972" s="12"/>
      <c r="D972" s="12"/>
      <c r="E972" s="12"/>
    </row>
    <row r="973" spans="2:5" x14ac:dyDescent="0.25">
      <c r="B973" s="12"/>
      <c r="C973" s="12"/>
      <c r="D973" s="12"/>
      <c r="E973" s="12"/>
    </row>
    <row r="974" spans="2:5" x14ac:dyDescent="0.25">
      <c r="B974" s="12"/>
      <c r="C974" s="12"/>
      <c r="D974" s="12"/>
      <c r="E974" s="12"/>
    </row>
    <row r="975" spans="2:5" x14ac:dyDescent="0.25">
      <c r="B975" s="12"/>
      <c r="C975" s="12"/>
      <c r="D975" s="12"/>
      <c r="E975" s="12"/>
    </row>
    <row r="976" spans="2:5" x14ac:dyDescent="0.25">
      <c r="B976" s="12"/>
      <c r="C976" s="12"/>
      <c r="D976" s="12"/>
      <c r="E976" s="12"/>
    </row>
    <row r="977" spans="2:5" x14ac:dyDescent="0.25">
      <c r="B977" s="12"/>
      <c r="C977" s="12"/>
      <c r="D977" s="12"/>
      <c r="E977" s="12"/>
    </row>
    <row r="978" spans="2:5" x14ac:dyDescent="0.25">
      <c r="B978" s="12"/>
      <c r="C978" s="12"/>
      <c r="D978" s="12"/>
      <c r="E978" s="12"/>
    </row>
    <row r="979" spans="2:5" x14ac:dyDescent="0.25">
      <c r="B979" s="12"/>
      <c r="C979" s="12"/>
      <c r="D979" s="12"/>
      <c r="E979" s="12"/>
    </row>
    <row r="980" spans="2:5" x14ac:dyDescent="0.25">
      <c r="B980" s="12"/>
      <c r="C980" s="12"/>
      <c r="D980" s="12"/>
      <c r="E980" s="12"/>
    </row>
    <row r="981" spans="2:5" x14ac:dyDescent="0.25">
      <c r="B981" s="12"/>
      <c r="C981" s="12"/>
      <c r="D981" s="12"/>
      <c r="E981" s="12"/>
    </row>
    <row r="982" spans="2:5" x14ac:dyDescent="0.25">
      <c r="B982" s="12"/>
      <c r="C982" s="12"/>
      <c r="D982" s="12"/>
      <c r="E982" s="12"/>
    </row>
    <row r="983" spans="2:5" x14ac:dyDescent="0.25">
      <c r="B983" s="12"/>
      <c r="C983" s="12"/>
      <c r="D983" s="12"/>
      <c r="E983" s="12"/>
    </row>
    <row r="984" spans="2:5" x14ac:dyDescent="0.25">
      <c r="B984" s="12"/>
      <c r="C984" s="12"/>
      <c r="D984" s="12"/>
      <c r="E984" s="12"/>
    </row>
    <row r="985" spans="2:5" x14ac:dyDescent="0.25">
      <c r="B985" s="12"/>
      <c r="C985" s="12"/>
      <c r="D985" s="12"/>
      <c r="E985" s="12"/>
    </row>
    <row r="986" spans="2:5" x14ac:dyDescent="0.25">
      <c r="B986" s="12"/>
      <c r="C986" s="12"/>
      <c r="D986" s="12"/>
      <c r="E986" s="12"/>
    </row>
    <row r="987" spans="2:5" x14ac:dyDescent="0.25">
      <c r="B987" s="12"/>
      <c r="C987" s="12"/>
      <c r="D987" s="12"/>
      <c r="E987" s="12"/>
    </row>
    <row r="988" spans="2:5" x14ac:dyDescent="0.25">
      <c r="B988" s="12"/>
      <c r="C988" s="12"/>
      <c r="D988" s="12"/>
      <c r="E988" s="12"/>
    </row>
    <row r="989" spans="2:5" x14ac:dyDescent="0.25">
      <c r="B989" s="12"/>
      <c r="C989" s="12"/>
      <c r="D989" s="12"/>
      <c r="E989" s="12"/>
    </row>
    <row r="990" spans="2:5" x14ac:dyDescent="0.25">
      <c r="B990" s="12"/>
      <c r="C990" s="12"/>
      <c r="D990" s="12"/>
      <c r="E990" s="12"/>
    </row>
    <row r="991" spans="2:5" x14ac:dyDescent="0.25">
      <c r="B991" s="12"/>
      <c r="C991" s="12"/>
      <c r="D991" s="12"/>
      <c r="E991" s="12"/>
    </row>
    <row r="992" spans="2:5" x14ac:dyDescent="0.25">
      <c r="B992" s="12"/>
      <c r="C992" s="12"/>
      <c r="D992" s="12"/>
      <c r="E992" s="12"/>
    </row>
    <row r="993" spans="2:5" x14ac:dyDescent="0.25">
      <c r="B993" s="12"/>
      <c r="C993" s="12"/>
      <c r="D993" s="12"/>
      <c r="E993" s="12"/>
    </row>
    <row r="994" spans="2:5" x14ac:dyDescent="0.25">
      <c r="B994" s="12"/>
      <c r="C994" s="12"/>
      <c r="D994" s="12"/>
      <c r="E994" s="12"/>
    </row>
    <row r="995" spans="2:5" x14ac:dyDescent="0.25">
      <c r="B995" s="12"/>
      <c r="C995" s="12"/>
      <c r="D995" s="12"/>
      <c r="E995" s="12"/>
    </row>
    <row r="996" spans="2:5" x14ac:dyDescent="0.25">
      <c r="B996" s="12"/>
      <c r="C996" s="12"/>
      <c r="D996" s="12"/>
      <c r="E996" s="12"/>
    </row>
    <row r="997" spans="2:5" x14ac:dyDescent="0.25">
      <c r="B997" s="12"/>
      <c r="C997" s="12"/>
      <c r="D997" s="12"/>
      <c r="E997" s="12"/>
    </row>
    <row r="998" spans="2:5" x14ac:dyDescent="0.25">
      <c r="B998" s="12"/>
      <c r="C998" s="12"/>
      <c r="D998" s="12"/>
      <c r="E998" s="12"/>
    </row>
    <row r="999" spans="2:5" x14ac:dyDescent="0.25">
      <c r="B999" s="12"/>
      <c r="C999" s="12"/>
      <c r="D999" s="12"/>
      <c r="E999" s="12"/>
    </row>
    <row r="1000" spans="2:5" x14ac:dyDescent="0.25">
      <c r="B1000" s="12"/>
      <c r="C1000" s="12"/>
      <c r="D1000" s="12"/>
      <c r="E1000" s="12"/>
    </row>
    <row r="1001" spans="2:5" x14ac:dyDescent="0.25">
      <c r="B1001" s="12"/>
      <c r="C1001" s="12"/>
      <c r="D1001" s="12"/>
      <c r="E1001" s="12"/>
    </row>
    <row r="1002" spans="2:5" x14ac:dyDescent="0.25">
      <c r="B1002" s="12"/>
      <c r="C1002" s="12"/>
      <c r="D1002" s="12"/>
      <c r="E1002" s="12"/>
    </row>
    <row r="1003" spans="2:5" x14ac:dyDescent="0.25">
      <c r="B1003" s="12"/>
      <c r="C1003" s="12"/>
      <c r="D1003" s="12"/>
      <c r="E1003" s="12"/>
    </row>
    <row r="1004" spans="2:5" x14ac:dyDescent="0.25">
      <c r="B1004" s="12"/>
      <c r="C1004" s="12"/>
      <c r="D1004" s="12"/>
      <c r="E1004" s="12"/>
    </row>
    <row r="1005" spans="2:5" x14ac:dyDescent="0.25">
      <c r="B1005" s="12"/>
      <c r="C1005" s="12"/>
      <c r="D1005" s="12"/>
      <c r="E1005" s="12"/>
    </row>
    <row r="1006" spans="2:5" x14ac:dyDescent="0.25">
      <c r="B1006" s="12"/>
      <c r="C1006" s="12"/>
      <c r="D1006" s="12"/>
      <c r="E1006" s="12"/>
    </row>
    <row r="1007" spans="2:5" x14ac:dyDescent="0.25">
      <c r="B1007" s="12"/>
      <c r="C1007" s="12"/>
      <c r="D1007" s="12"/>
      <c r="E1007" s="12"/>
    </row>
    <row r="1008" spans="2:5" x14ac:dyDescent="0.25">
      <c r="B1008" s="12"/>
      <c r="C1008" s="12"/>
      <c r="D1008" s="12"/>
      <c r="E1008" s="12"/>
    </row>
    <row r="1009" spans="2:5" x14ac:dyDescent="0.25">
      <c r="B1009" s="12"/>
      <c r="C1009" s="12"/>
      <c r="D1009" s="12"/>
      <c r="E1009" s="12"/>
    </row>
    <row r="1010" spans="2:5" x14ac:dyDescent="0.25">
      <c r="B1010" s="12"/>
      <c r="C1010" s="12"/>
      <c r="D1010" s="12"/>
      <c r="E1010" s="12"/>
    </row>
    <row r="1011" spans="2:5" x14ac:dyDescent="0.25">
      <c r="B1011" s="12"/>
      <c r="C1011" s="12"/>
      <c r="D1011" s="12"/>
      <c r="E1011" s="12"/>
    </row>
    <row r="1012" spans="2:5" x14ac:dyDescent="0.25">
      <c r="B1012" s="12"/>
      <c r="C1012" s="12"/>
      <c r="D1012" s="12"/>
      <c r="E1012" s="12"/>
    </row>
    <row r="1013" spans="2:5" x14ac:dyDescent="0.25">
      <c r="B1013" s="12"/>
      <c r="C1013" s="12"/>
      <c r="D1013" s="12"/>
      <c r="E1013" s="12"/>
    </row>
    <row r="1014" spans="2:5" x14ac:dyDescent="0.25">
      <c r="B1014" s="12"/>
      <c r="C1014" s="12"/>
      <c r="D1014" s="12"/>
      <c r="E1014" s="12"/>
    </row>
    <row r="1015" spans="2:5" x14ac:dyDescent="0.25">
      <c r="B1015" s="12"/>
      <c r="C1015" s="12"/>
      <c r="D1015" s="12"/>
      <c r="E1015" s="12"/>
    </row>
    <row r="1016" spans="2:5" x14ac:dyDescent="0.25">
      <c r="B1016" s="12"/>
      <c r="C1016" s="12"/>
      <c r="D1016" s="12"/>
      <c r="E1016" s="12"/>
    </row>
    <row r="1017" spans="2:5" x14ac:dyDescent="0.25">
      <c r="B1017" s="12"/>
      <c r="C1017" s="12"/>
      <c r="D1017" s="12"/>
      <c r="E1017" s="12"/>
    </row>
    <row r="1018" spans="2:5" x14ac:dyDescent="0.25">
      <c r="B1018" s="12"/>
      <c r="C1018" s="12"/>
      <c r="D1018" s="12"/>
      <c r="E1018" s="12"/>
    </row>
    <row r="1019" spans="2:5" x14ac:dyDescent="0.25">
      <c r="B1019" s="12"/>
      <c r="C1019" s="12"/>
      <c r="D1019" s="12"/>
      <c r="E1019" s="12"/>
    </row>
    <row r="1020" spans="2:5" x14ac:dyDescent="0.25">
      <c r="B1020" s="12"/>
      <c r="C1020" s="12"/>
      <c r="D1020" s="12"/>
      <c r="E1020" s="12"/>
    </row>
    <row r="1021" spans="2:5" x14ac:dyDescent="0.25">
      <c r="B1021" s="12"/>
      <c r="C1021" s="12"/>
      <c r="D1021" s="12"/>
      <c r="E1021" s="12"/>
    </row>
    <row r="1022" spans="2:5" x14ac:dyDescent="0.25">
      <c r="B1022" s="12"/>
      <c r="C1022" s="12"/>
      <c r="D1022" s="12"/>
      <c r="E1022" s="12"/>
    </row>
    <row r="1023" spans="2:5" x14ac:dyDescent="0.25">
      <c r="B1023" s="12"/>
      <c r="C1023" s="12"/>
      <c r="D1023" s="12"/>
      <c r="E1023" s="12"/>
    </row>
    <row r="1024" spans="2:5" x14ac:dyDescent="0.25">
      <c r="B1024" s="12"/>
      <c r="C1024" s="12"/>
      <c r="D1024" s="12"/>
      <c r="E1024" s="12"/>
    </row>
    <row r="1025" spans="2:5" x14ac:dyDescent="0.25">
      <c r="B1025" s="12"/>
      <c r="C1025" s="12"/>
      <c r="D1025" s="12"/>
      <c r="E1025" s="12"/>
    </row>
    <row r="1026" spans="2:5" x14ac:dyDescent="0.25">
      <c r="B1026" s="12"/>
      <c r="C1026" s="12"/>
      <c r="D1026" s="12"/>
      <c r="E1026" s="12"/>
    </row>
    <row r="1027" spans="2:5" x14ac:dyDescent="0.25">
      <c r="B1027" s="12"/>
      <c r="C1027" s="12"/>
      <c r="D1027" s="12"/>
      <c r="E1027" s="12"/>
    </row>
    <row r="1028" spans="2:5" x14ac:dyDescent="0.25">
      <c r="B1028" s="12"/>
      <c r="C1028" s="12"/>
      <c r="D1028" s="12"/>
      <c r="E1028" s="12"/>
    </row>
    <row r="1029" spans="2:5" x14ac:dyDescent="0.25">
      <c r="B1029" s="12"/>
      <c r="C1029" s="12"/>
      <c r="D1029" s="12"/>
      <c r="E1029" s="12"/>
    </row>
    <row r="1030" spans="2:5" x14ac:dyDescent="0.25">
      <c r="B1030" s="12"/>
      <c r="C1030" s="12"/>
      <c r="D1030" s="12"/>
      <c r="E1030" s="12"/>
    </row>
    <row r="1031" spans="2:5" x14ac:dyDescent="0.25">
      <c r="B1031" s="12"/>
      <c r="C1031" s="12"/>
      <c r="D1031" s="12"/>
      <c r="E1031" s="12"/>
    </row>
    <row r="1032" spans="2:5" x14ac:dyDescent="0.25">
      <c r="B1032" s="12"/>
      <c r="C1032" s="12"/>
      <c r="D1032" s="12"/>
      <c r="E1032" s="12"/>
    </row>
    <row r="1033" spans="2:5" x14ac:dyDescent="0.25">
      <c r="B1033" s="12"/>
      <c r="C1033" s="12"/>
      <c r="D1033" s="12"/>
      <c r="E1033" s="12"/>
    </row>
    <row r="1034" spans="2:5" x14ac:dyDescent="0.25">
      <c r="B1034" s="12"/>
      <c r="C1034" s="12"/>
      <c r="D1034" s="12"/>
      <c r="E1034" s="12"/>
    </row>
    <row r="1035" spans="2:5" x14ac:dyDescent="0.25">
      <c r="B1035" s="12"/>
      <c r="C1035" s="12"/>
      <c r="D1035" s="12"/>
      <c r="E1035" s="12"/>
    </row>
    <row r="1036" spans="2:5" x14ac:dyDescent="0.25">
      <c r="B1036" s="12"/>
      <c r="C1036" s="12"/>
      <c r="D1036" s="12"/>
      <c r="E1036" s="12"/>
    </row>
    <row r="1037" spans="2:5" x14ac:dyDescent="0.25">
      <c r="B1037" s="12"/>
      <c r="C1037" s="12"/>
      <c r="D1037" s="12"/>
      <c r="E1037" s="12"/>
    </row>
    <row r="1038" spans="2:5" x14ac:dyDescent="0.25">
      <c r="B1038" s="12"/>
      <c r="C1038" s="12"/>
      <c r="D1038" s="12"/>
      <c r="E1038" s="12"/>
    </row>
    <row r="1039" spans="2:5" x14ac:dyDescent="0.25">
      <c r="B1039" s="12"/>
      <c r="C1039" s="12"/>
      <c r="D1039" s="12"/>
      <c r="E1039" s="12"/>
    </row>
    <row r="1040" spans="2:5" x14ac:dyDescent="0.25">
      <c r="B1040" s="12"/>
      <c r="C1040" s="12"/>
      <c r="D1040" s="12"/>
      <c r="E1040" s="12"/>
    </row>
    <row r="1041" spans="2:5" x14ac:dyDescent="0.25">
      <c r="B1041" s="12"/>
      <c r="C1041" s="12"/>
      <c r="D1041" s="12"/>
      <c r="E1041" s="12"/>
    </row>
    <row r="1042" spans="2:5" x14ac:dyDescent="0.25">
      <c r="B1042" s="12"/>
      <c r="C1042" s="12"/>
      <c r="D1042" s="12"/>
      <c r="E1042" s="12"/>
    </row>
    <row r="1043" spans="2:5" x14ac:dyDescent="0.25">
      <c r="B1043" s="12"/>
      <c r="C1043" s="12"/>
      <c r="D1043" s="12"/>
      <c r="E1043" s="12"/>
    </row>
    <row r="1044" spans="2:5" x14ac:dyDescent="0.25">
      <c r="B1044" s="12"/>
      <c r="C1044" s="12"/>
      <c r="D1044" s="12"/>
      <c r="E1044" s="12"/>
    </row>
    <row r="1045" spans="2:5" x14ac:dyDescent="0.25">
      <c r="B1045" s="12"/>
      <c r="C1045" s="12"/>
      <c r="D1045" s="12"/>
      <c r="E1045" s="12"/>
    </row>
    <row r="1046" spans="2:5" x14ac:dyDescent="0.25">
      <c r="B1046" s="12"/>
      <c r="C1046" s="12"/>
      <c r="D1046" s="12"/>
      <c r="E1046" s="12"/>
    </row>
    <row r="1047" spans="2:5" x14ac:dyDescent="0.25">
      <c r="B1047" s="12"/>
      <c r="C1047" s="12"/>
      <c r="D1047" s="12"/>
      <c r="E1047" s="12"/>
    </row>
    <row r="1048" spans="2:5" x14ac:dyDescent="0.25">
      <c r="B1048" s="12"/>
      <c r="C1048" s="12"/>
      <c r="D1048" s="12"/>
      <c r="E1048" s="12"/>
    </row>
    <row r="1049" spans="2:5" x14ac:dyDescent="0.25">
      <c r="B1049" s="12"/>
      <c r="C1049" s="12"/>
      <c r="D1049" s="12"/>
      <c r="E1049" s="12"/>
    </row>
    <row r="1050" spans="2:5" x14ac:dyDescent="0.25">
      <c r="B1050" s="12"/>
      <c r="C1050" s="12"/>
      <c r="D1050" s="12"/>
      <c r="E1050" s="12"/>
    </row>
    <row r="1051" spans="2:5" x14ac:dyDescent="0.25">
      <c r="B1051" s="12"/>
      <c r="C1051" s="12"/>
      <c r="D1051" s="12"/>
      <c r="E1051" s="12"/>
    </row>
    <row r="1052" spans="2:5" x14ac:dyDescent="0.25">
      <c r="B1052" s="12"/>
      <c r="C1052" s="12"/>
      <c r="D1052" s="12"/>
      <c r="E1052" s="12"/>
    </row>
    <row r="1053" spans="2:5" x14ac:dyDescent="0.25">
      <c r="B1053" s="12"/>
      <c r="C1053" s="12"/>
      <c r="D1053" s="12"/>
      <c r="E1053" s="12"/>
    </row>
    <row r="1054" spans="2:5" x14ac:dyDescent="0.25">
      <c r="B1054" s="12"/>
      <c r="C1054" s="12"/>
      <c r="D1054" s="12"/>
      <c r="E1054" s="12"/>
    </row>
    <row r="1055" spans="2:5" x14ac:dyDescent="0.25">
      <c r="B1055" s="12"/>
      <c r="C1055" s="12"/>
      <c r="D1055" s="12"/>
      <c r="E1055" s="12"/>
    </row>
    <row r="1056" spans="2:5" x14ac:dyDescent="0.25">
      <c r="B1056" s="12"/>
      <c r="C1056" s="12"/>
      <c r="D1056" s="12"/>
      <c r="E1056" s="12"/>
    </row>
    <row r="1057" spans="2:5" x14ac:dyDescent="0.25">
      <c r="B1057" s="12"/>
      <c r="C1057" s="12"/>
      <c r="D1057" s="12"/>
      <c r="E1057" s="12"/>
    </row>
    <row r="1058" spans="2:5" x14ac:dyDescent="0.25">
      <c r="B1058" s="12"/>
      <c r="C1058" s="12"/>
      <c r="D1058" s="12"/>
      <c r="E1058" s="12"/>
    </row>
    <row r="1059" spans="2:5" x14ac:dyDescent="0.25">
      <c r="B1059" s="12"/>
      <c r="C1059" s="12"/>
      <c r="D1059" s="12"/>
      <c r="E1059" s="12"/>
    </row>
    <row r="1060" spans="2:5" x14ac:dyDescent="0.25">
      <c r="B1060" s="12"/>
      <c r="C1060" s="12"/>
      <c r="D1060" s="12"/>
      <c r="E1060" s="12"/>
    </row>
    <row r="1061" spans="2:5" x14ac:dyDescent="0.25">
      <c r="B1061" s="12"/>
      <c r="C1061" s="12"/>
      <c r="D1061" s="12"/>
      <c r="E1061" s="12"/>
    </row>
    <row r="1062" spans="2:5" x14ac:dyDescent="0.25">
      <c r="B1062" s="12"/>
      <c r="C1062" s="12"/>
      <c r="D1062" s="12"/>
      <c r="E1062" s="12"/>
    </row>
    <row r="1063" spans="2:5" x14ac:dyDescent="0.25">
      <c r="B1063" s="12"/>
      <c r="C1063" s="12"/>
      <c r="D1063" s="12"/>
      <c r="E1063" s="12"/>
    </row>
    <row r="1064" spans="2:5" x14ac:dyDescent="0.25">
      <c r="B1064" s="12"/>
      <c r="C1064" s="12"/>
      <c r="D1064" s="12"/>
      <c r="E1064" s="12"/>
    </row>
    <row r="1065" spans="2:5" x14ac:dyDescent="0.25">
      <c r="B1065" s="12"/>
      <c r="C1065" s="12"/>
      <c r="D1065" s="12"/>
      <c r="E1065" s="12"/>
    </row>
    <row r="1066" spans="2:5" x14ac:dyDescent="0.25">
      <c r="B1066" s="12"/>
      <c r="C1066" s="12"/>
      <c r="D1066" s="12"/>
      <c r="E1066" s="12"/>
    </row>
    <row r="1067" spans="2:5" x14ac:dyDescent="0.25">
      <c r="B1067" s="12"/>
      <c r="C1067" s="12"/>
      <c r="D1067" s="12"/>
      <c r="E1067" s="12"/>
    </row>
    <row r="1068" spans="2:5" x14ac:dyDescent="0.25">
      <c r="B1068" s="12"/>
      <c r="C1068" s="12"/>
      <c r="D1068" s="12"/>
      <c r="E1068" s="12"/>
    </row>
    <row r="1069" spans="2:5" x14ac:dyDescent="0.25">
      <c r="B1069" s="12"/>
      <c r="C1069" s="12"/>
      <c r="D1069" s="12"/>
      <c r="E1069" s="12"/>
    </row>
    <row r="1070" spans="2:5" x14ac:dyDescent="0.25">
      <c r="B1070" s="12"/>
      <c r="C1070" s="12"/>
      <c r="D1070" s="12"/>
      <c r="E1070" s="12"/>
    </row>
    <row r="1071" spans="2:5" x14ac:dyDescent="0.25">
      <c r="B1071" s="12"/>
      <c r="C1071" s="12"/>
      <c r="D1071" s="12"/>
      <c r="E1071" s="12"/>
    </row>
    <row r="1072" spans="2:5" x14ac:dyDescent="0.25">
      <c r="B1072" s="12"/>
      <c r="C1072" s="12"/>
      <c r="D1072" s="12"/>
      <c r="E1072" s="12"/>
    </row>
    <row r="1073" spans="2:5" x14ac:dyDescent="0.25">
      <c r="B1073" s="12"/>
      <c r="C1073" s="12"/>
      <c r="D1073" s="12"/>
      <c r="E1073" s="12"/>
    </row>
    <row r="1074" spans="2:5" x14ac:dyDescent="0.25">
      <c r="B1074" s="12"/>
      <c r="C1074" s="12"/>
      <c r="D1074" s="12"/>
      <c r="E1074" s="12"/>
    </row>
    <row r="1075" spans="2:5" x14ac:dyDescent="0.25">
      <c r="B1075" s="12"/>
      <c r="C1075" s="12"/>
      <c r="D1075" s="12"/>
      <c r="E1075" s="12"/>
    </row>
    <row r="1076" spans="2:5" x14ac:dyDescent="0.25">
      <c r="B1076" s="12"/>
      <c r="C1076" s="12"/>
      <c r="D1076" s="12"/>
      <c r="E1076" s="12"/>
    </row>
    <row r="1077" spans="2:5" x14ac:dyDescent="0.25">
      <c r="B1077" s="12"/>
      <c r="C1077" s="12"/>
      <c r="D1077" s="12"/>
      <c r="E1077" s="12"/>
    </row>
    <row r="1078" spans="2:5" x14ac:dyDescent="0.25">
      <c r="B1078" s="12"/>
      <c r="C1078" s="12"/>
      <c r="D1078" s="12"/>
      <c r="E1078" s="12"/>
    </row>
    <row r="1079" spans="2:5" x14ac:dyDescent="0.25">
      <c r="B1079" s="12"/>
      <c r="C1079" s="12"/>
      <c r="D1079" s="12"/>
      <c r="E1079" s="12"/>
    </row>
    <row r="1080" spans="2:5" x14ac:dyDescent="0.25">
      <c r="B1080" s="12"/>
      <c r="C1080" s="12"/>
      <c r="D1080" s="12"/>
      <c r="E1080" s="12"/>
    </row>
    <row r="1081" spans="2:5" x14ac:dyDescent="0.25">
      <c r="B1081" s="12"/>
      <c r="C1081" s="12"/>
      <c r="D1081" s="12"/>
      <c r="E1081" s="12"/>
    </row>
    <row r="1082" spans="2:5" x14ac:dyDescent="0.25">
      <c r="B1082" s="12"/>
      <c r="C1082" s="12"/>
      <c r="D1082" s="12"/>
      <c r="E1082" s="12"/>
    </row>
    <row r="1083" spans="2:5" x14ac:dyDescent="0.25">
      <c r="B1083" s="12"/>
      <c r="C1083" s="12"/>
      <c r="D1083" s="12"/>
      <c r="E1083" s="12"/>
    </row>
    <row r="1084" spans="2:5" x14ac:dyDescent="0.25">
      <c r="B1084" s="12"/>
      <c r="C1084" s="12"/>
      <c r="D1084" s="12"/>
      <c r="E1084" s="12"/>
    </row>
    <row r="1085" spans="2:5" x14ac:dyDescent="0.25">
      <c r="B1085" s="12"/>
      <c r="C1085" s="12"/>
      <c r="D1085" s="12"/>
      <c r="E1085" s="12"/>
    </row>
    <row r="1086" spans="2:5" x14ac:dyDescent="0.25">
      <c r="B1086" s="12"/>
      <c r="C1086" s="12"/>
      <c r="D1086" s="12"/>
      <c r="E1086" s="12"/>
    </row>
    <row r="1087" spans="2:5" x14ac:dyDescent="0.25">
      <c r="B1087" s="12"/>
      <c r="C1087" s="12"/>
      <c r="D1087" s="12"/>
      <c r="E1087" s="12"/>
    </row>
    <row r="1088" spans="2:5" x14ac:dyDescent="0.25">
      <c r="B1088" s="12"/>
      <c r="C1088" s="12"/>
      <c r="D1088" s="12"/>
      <c r="E1088" s="12"/>
    </row>
    <row r="1089" spans="2:5" x14ac:dyDescent="0.25">
      <c r="B1089" s="12"/>
      <c r="C1089" s="12"/>
      <c r="D1089" s="12"/>
      <c r="E1089" s="12"/>
    </row>
    <row r="1090" spans="2:5" x14ac:dyDescent="0.25">
      <c r="B1090" s="12"/>
      <c r="C1090" s="12"/>
      <c r="D1090" s="12"/>
      <c r="E1090" s="12"/>
    </row>
    <row r="1091" spans="2:5" x14ac:dyDescent="0.25">
      <c r="B1091" s="12"/>
      <c r="C1091" s="12"/>
      <c r="D1091" s="12"/>
      <c r="E1091" s="12"/>
    </row>
    <row r="1092" spans="2:5" x14ac:dyDescent="0.25">
      <c r="B1092" s="12"/>
      <c r="C1092" s="12"/>
      <c r="D1092" s="12"/>
      <c r="E1092" s="12"/>
    </row>
    <row r="1093" spans="2:5" x14ac:dyDescent="0.25">
      <c r="B1093" s="12"/>
      <c r="C1093" s="12"/>
      <c r="D1093" s="12"/>
      <c r="E1093" s="12"/>
    </row>
    <row r="1094" spans="2:5" x14ac:dyDescent="0.25">
      <c r="B1094" s="12"/>
      <c r="C1094" s="12"/>
      <c r="D1094" s="12"/>
      <c r="E1094" s="12"/>
    </row>
    <row r="1095" spans="2:5" x14ac:dyDescent="0.25">
      <c r="B1095" s="12"/>
      <c r="C1095" s="12"/>
      <c r="D1095" s="12"/>
      <c r="E1095" s="12"/>
    </row>
    <row r="1096" spans="2:5" x14ac:dyDescent="0.25">
      <c r="B1096" s="12"/>
      <c r="C1096" s="12"/>
      <c r="D1096" s="12"/>
      <c r="E1096" s="12"/>
    </row>
    <row r="1097" spans="2:5" x14ac:dyDescent="0.25">
      <c r="B1097" s="12"/>
      <c r="C1097" s="12"/>
      <c r="D1097" s="12"/>
      <c r="E1097" s="12"/>
    </row>
    <row r="1098" spans="2:5" x14ac:dyDescent="0.25">
      <c r="B1098" s="12"/>
      <c r="C1098" s="12"/>
      <c r="D1098" s="12"/>
      <c r="E1098" s="12"/>
    </row>
    <row r="1099" spans="2:5" x14ac:dyDescent="0.25">
      <c r="B1099" s="12"/>
      <c r="C1099" s="12"/>
      <c r="D1099" s="12"/>
      <c r="E1099" s="12"/>
    </row>
    <row r="1100" spans="2:5" x14ac:dyDescent="0.25">
      <c r="B1100" s="12"/>
      <c r="C1100" s="12"/>
      <c r="D1100" s="12"/>
      <c r="E1100" s="12"/>
    </row>
    <row r="1101" spans="2:5" x14ac:dyDescent="0.25">
      <c r="B1101" s="12"/>
      <c r="C1101" s="12"/>
      <c r="D1101" s="12"/>
      <c r="E1101" s="12"/>
    </row>
    <row r="1102" spans="2:5" x14ac:dyDescent="0.25">
      <c r="B1102" s="12"/>
      <c r="C1102" s="12"/>
      <c r="D1102" s="12"/>
      <c r="E1102" s="12"/>
    </row>
    <row r="1103" spans="2:5" x14ac:dyDescent="0.25">
      <c r="B1103" s="12"/>
      <c r="C1103" s="12"/>
      <c r="D1103" s="12"/>
      <c r="E1103" s="12"/>
    </row>
    <row r="1104" spans="2:5" x14ac:dyDescent="0.25">
      <c r="B1104" s="12"/>
      <c r="C1104" s="12"/>
      <c r="D1104" s="12"/>
      <c r="E1104" s="12"/>
    </row>
    <row r="1105" spans="2:5" x14ac:dyDescent="0.25">
      <c r="B1105" s="12"/>
      <c r="C1105" s="12"/>
      <c r="D1105" s="12"/>
      <c r="E1105" s="12"/>
    </row>
    <row r="1106" spans="2:5" x14ac:dyDescent="0.25">
      <c r="B1106" s="12"/>
      <c r="C1106" s="12"/>
      <c r="D1106" s="12"/>
      <c r="E1106" s="12"/>
    </row>
    <row r="1107" spans="2:5" x14ac:dyDescent="0.25">
      <c r="B1107" s="12"/>
      <c r="C1107" s="12"/>
      <c r="D1107" s="12"/>
      <c r="E1107" s="12"/>
    </row>
    <row r="1108" spans="2:5" x14ac:dyDescent="0.25">
      <c r="B1108" s="12"/>
      <c r="C1108" s="12"/>
      <c r="D1108" s="12"/>
      <c r="E1108" s="12"/>
    </row>
    <row r="1109" spans="2:5" x14ac:dyDescent="0.25">
      <c r="B1109" s="12"/>
      <c r="C1109" s="12"/>
      <c r="D1109" s="12"/>
      <c r="E1109" s="12"/>
    </row>
    <row r="1110" spans="2:5" x14ac:dyDescent="0.25">
      <c r="B1110" s="12"/>
      <c r="C1110" s="12"/>
      <c r="D1110" s="12"/>
      <c r="E1110" s="12"/>
    </row>
    <row r="1111" spans="2:5" x14ac:dyDescent="0.25">
      <c r="B1111" s="12"/>
      <c r="C1111" s="12"/>
      <c r="D1111" s="12"/>
      <c r="E1111" s="12"/>
    </row>
    <row r="1112" spans="2:5" x14ac:dyDescent="0.25">
      <c r="B1112" s="12"/>
      <c r="C1112" s="12"/>
      <c r="D1112" s="12"/>
      <c r="E1112" s="12"/>
    </row>
    <row r="1113" spans="2:5" x14ac:dyDescent="0.25">
      <c r="B1113" s="12"/>
      <c r="C1113" s="12"/>
      <c r="D1113" s="12"/>
      <c r="E1113" s="12"/>
    </row>
    <row r="1114" spans="2:5" x14ac:dyDescent="0.25">
      <c r="B1114" s="12"/>
      <c r="C1114" s="12"/>
      <c r="D1114" s="12"/>
      <c r="E1114" s="12"/>
    </row>
    <row r="1115" spans="2:5" x14ac:dyDescent="0.25">
      <c r="B1115" s="12"/>
      <c r="C1115" s="12"/>
      <c r="D1115" s="12"/>
      <c r="E1115" s="12"/>
    </row>
    <row r="1116" spans="2:5" x14ac:dyDescent="0.25">
      <c r="B1116" s="12"/>
      <c r="C1116" s="12"/>
      <c r="D1116" s="12"/>
      <c r="E1116" s="12"/>
    </row>
    <row r="1117" spans="2:5" x14ac:dyDescent="0.25">
      <c r="B1117" s="12"/>
      <c r="C1117" s="12"/>
      <c r="D1117" s="12"/>
      <c r="E1117" s="12"/>
    </row>
    <row r="1118" spans="2:5" x14ac:dyDescent="0.25">
      <c r="B1118" s="12"/>
      <c r="C1118" s="12"/>
      <c r="D1118" s="12"/>
      <c r="E1118" s="12"/>
    </row>
    <row r="1119" spans="2:5" x14ac:dyDescent="0.25">
      <c r="B1119" s="12"/>
      <c r="C1119" s="12"/>
      <c r="D1119" s="12"/>
      <c r="E1119" s="12"/>
    </row>
    <row r="1120" spans="2:5" x14ac:dyDescent="0.25">
      <c r="B1120" s="12"/>
      <c r="C1120" s="12"/>
      <c r="D1120" s="12"/>
      <c r="E1120" s="12"/>
    </row>
    <row r="1121" spans="2:5" x14ac:dyDescent="0.25">
      <c r="B1121" s="12"/>
      <c r="C1121" s="12"/>
      <c r="D1121" s="12"/>
      <c r="E1121" s="12"/>
    </row>
    <row r="1122" spans="2:5" x14ac:dyDescent="0.25">
      <c r="B1122" s="12"/>
      <c r="C1122" s="12"/>
      <c r="D1122" s="12"/>
      <c r="E1122" s="12"/>
    </row>
    <row r="1123" spans="2:5" x14ac:dyDescent="0.25">
      <c r="B1123" s="12"/>
      <c r="C1123" s="12"/>
      <c r="D1123" s="12"/>
      <c r="E1123" s="12"/>
    </row>
    <row r="1124" spans="2:5" x14ac:dyDescent="0.25">
      <c r="B1124" s="12"/>
      <c r="C1124" s="12"/>
      <c r="D1124" s="12"/>
      <c r="E1124" s="12"/>
    </row>
    <row r="1125" spans="2:5" x14ac:dyDescent="0.25">
      <c r="B1125" s="12"/>
      <c r="C1125" s="12"/>
      <c r="D1125" s="12"/>
      <c r="E1125" s="12"/>
    </row>
    <row r="1126" spans="2:5" x14ac:dyDescent="0.25">
      <c r="B1126" s="12"/>
      <c r="C1126" s="12"/>
      <c r="D1126" s="12"/>
      <c r="E1126" s="12"/>
    </row>
    <row r="1127" spans="2:5" x14ac:dyDescent="0.25">
      <c r="B1127" s="12"/>
      <c r="C1127" s="12"/>
      <c r="D1127" s="12"/>
      <c r="E1127" s="12"/>
    </row>
    <row r="1128" spans="2:5" x14ac:dyDescent="0.25">
      <c r="B1128" s="12"/>
      <c r="C1128" s="12"/>
      <c r="D1128" s="12"/>
      <c r="E1128" s="12"/>
    </row>
    <row r="1129" spans="2:5" x14ac:dyDescent="0.25">
      <c r="B1129" s="12"/>
      <c r="C1129" s="12"/>
      <c r="D1129" s="12"/>
      <c r="E1129" s="12"/>
    </row>
    <row r="1130" spans="2:5" x14ac:dyDescent="0.25">
      <c r="B1130" s="12"/>
      <c r="C1130" s="12"/>
      <c r="D1130" s="12"/>
      <c r="E1130" s="12"/>
    </row>
    <row r="1131" spans="2:5" x14ac:dyDescent="0.25">
      <c r="B1131" s="12"/>
      <c r="C1131" s="12"/>
      <c r="D1131" s="12"/>
      <c r="E1131" s="12"/>
    </row>
    <row r="1132" spans="2:5" x14ac:dyDescent="0.25">
      <c r="B1132" s="12"/>
      <c r="C1132" s="12"/>
      <c r="D1132" s="12"/>
      <c r="E1132" s="12"/>
    </row>
    <row r="1133" spans="2:5" x14ac:dyDescent="0.25">
      <c r="B1133" s="12"/>
      <c r="C1133" s="12"/>
      <c r="D1133" s="12"/>
      <c r="E1133" s="12"/>
    </row>
    <row r="1134" spans="2:5" x14ac:dyDescent="0.25">
      <c r="B1134" s="12"/>
      <c r="C1134" s="12"/>
      <c r="D1134" s="12"/>
      <c r="E1134" s="12"/>
    </row>
    <row r="1135" spans="2:5" x14ac:dyDescent="0.25">
      <c r="B1135" s="12"/>
      <c r="C1135" s="12"/>
      <c r="D1135" s="12"/>
      <c r="E1135" s="12"/>
    </row>
    <row r="1136" spans="2:5" x14ac:dyDescent="0.25">
      <c r="B1136" s="12"/>
      <c r="C1136" s="12"/>
      <c r="D1136" s="12"/>
      <c r="E1136" s="12"/>
    </row>
    <row r="1137" spans="2:5" x14ac:dyDescent="0.25">
      <c r="B1137" s="12"/>
      <c r="C1137" s="12"/>
      <c r="D1137" s="12"/>
      <c r="E1137" s="12"/>
    </row>
    <row r="1138" spans="2:5" x14ac:dyDescent="0.25">
      <c r="B1138" s="12"/>
      <c r="C1138" s="12"/>
      <c r="D1138" s="12"/>
      <c r="E1138" s="12"/>
    </row>
    <row r="1139" spans="2:5" x14ac:dyDescent="0.25">
      <c r="B1139" s="12"/>
      <c r="C1139" s="12"/>
      <c r="D1139" s="12"/>
      <c r="E1139" s="12"/>
    </row>
    <row r="1140" spans="2:5" x14ac:dyDescent="0.25">
      <c r="B1140" s="12"/>
      <c r="C1140" s="12"/>
      <c r="D1140" s="12"/>
      <c r="E1140" s="12"/>
    </row>
    <row r="1141" spans="2:5" x14ac:dyDescent="0.25">
      <c r="B1141" s="12"/>
      <c r="C1141" s="12"/>
      <c r="D1141" s="12"/>
      <c r="E1141" s="12"/>
    </row>
    <row r="1142" spans="2:5" x14ac:dyDescent="0.25">
      <c r="B1142" s="12"/>
      <c r="C1142" s="12"/>
      <c r="D1142" s="12"/>
      <c r="E1142" s="12"/>
    </row>
    <row r="1143" spans="2:5" x14ac:dyDescent="0.25">
      <c r="B1143" s="12"/>
      <c r="C1143" s="12"/>
      <c r="D1143" s="12"/>
      <c r="E1143" s="12"/>
    </row>
    <row r="1144" spans="2:5" x14ac:dyDescent="0.25">
      <c r="B1144" s="12"/>
      <c r="C1144" s="12"/>
      <c r="D1144" s="12"/>
      <c r="E1144" s="12"/>
    </row>
    <row r="1145" spans="2:5" x14ac:dyDescent="0.25">
      <c r="B1145" s="12"/>
      <c r="C1145" s="12"/>
      <c r="D1145" s="12"/>
      <c r="E1145" s="12"/>
    </row>
    <row r="1146" spans="2:5" x14ac:dyDescent="0.25">
      <c r="B1146" s="12"/>
      <c r="C1146" s="12"/>
      <c r="D1146" s="12"/>
      <c r="E1146" s="12"/>
    </row>
    <row r="1147" spans="2:5" x14ac:dyDescent="0.25">
      <c r="B1147" s="12"/>
      <c r="C1147" s="12"/>
      <c r="D1147" s="12"/>
      <c r="E1147" s="12"/>
    </row>
    <row r="1148" spans="2:5" x14ac:dyDescent="0.25">
      <c r="B1148" s="12"/>
      <c r="C1148" s="12"/>
      <c r="D1148" s="12"/>
      <c r="E1148" s="12"/>
    </row>
    <row r="1149" spans="2:5" x14ac:dyDescent="0.25">
      <c r="B1149" s="12"/>
      <c r="C1149" s="12"/>
      <c r="D1149" s="12"/>
      <c r="E1149" s="12"/>
    </row>
    <row r="1150" spans="2:5" x14ac:dyDescent="0.25">
      <c r="B1150" s="12"/>
      <c r="C1150" s="12"/>
      <c r="D1150" s="12"/>
      <c r="E1150" s="12"/>
    </row>
    <row r="1151" spans="2:5" x14ac:dyDescent="0.25">
      <c r="B1151" s="12"/>
      <c r="C1151" s="12"/>
      <c r="D1151" s="12"/>
      <c r="E1151" s="12"/>
    </row>
    <row r="1152" spans="2:5" x14ac:dyDescent="0.25">
      <c r="B1152" s="12"/>
      <c r="C1152" s="12"/>
      <c r="D1152" s="12"/>
      <c r="E1152" s="12"/>
    </row>
    <row r="1153" spans="2:5" x14ac:dyDescent="0.25">
      <c r="B1153" s="12"/>
      <c r="C1153" s="12"/>
      <c r="D1153" s="12"/>
      <c r="E1153" s="12"/>
    </row>
    <row r="1154" spans="2:5" x14ac:dyDescent="0.25">
      <c r="B1154" s="12"/>
      <c r="C1154" s="12"/>
      <c r="D1154" s="12"/>
      <c r="E1154" s="12"/>
    </row>
    <row r="1155" spans="2:5" x14ac:dyDescent="0.25">
      <c r="B1155" s="12"/>
      <c r="C1155" s="12"/>
      <c r="D1155" s="12"/>
      <c r="E1155" s="12"/>
    </row>
    <row r="1156" spans="2:5" x14ac:dyDescent="0.25">
      <c r="B1156" s="12"/>
      <c r="C1156" s="12"/>
      <c r="D1156" s="12"/>
      <c r="E1156" s="12"/>
    </row>
    <row r="1157" spans="2:5" x14ac:dyDescent="0.25">
      <c r="B1157" s="12"/>
      <c r="C1157" s="12"/>
      <c r="D1157" s="12"/>
      <c r="E1157" s="12"/>
    </row>
    <row r="1158" spans="2:5" x14ac:dyDescent="0.25">
      <c r="B1158" s="12"/>
      <c r="C1158" s="12"/>
      <c r="D1158" s="12"/>
      <c r="E1158" s="12"/>
    </row>
    <row r="1159" spans="2:5" x14ac:dyDescent="0.25">
      <c r="B1159" s="12"/>
      <c r="C1159" s="12"/>
      <c r="D1159" s="12"/>
      <c r="E1159" s="12"/>
    </row>
    <row r="1160" spans="2:5" x14ac:dyDescent="0.25">
      <c r="B1160" s="12"/>
      <c r="C1160" s="12"/>
      <c r="D1160" s="12"/>
      <c r="E1160" s="12"/>
    </row>
    <row r="1161" spans="2:5" x14ac:dyDescent="0.25">
      <c r="B1161" s="12"/>
      <c r="C1161" s="12"/>
      <c r="D1161" s="12"/>
      <c r="E1161" s="12"/>
    </row>
    <row r="1162" spans="2:5" x14ac:dyDescent="0.25">
      <c r="B1162" s="12"/>
      <c r="C1162" s="12"/>
      <c r="D1162" s="12"/>
      <c r="E1162" s="12"/>
    </row>
    <row r="1163" spans="2:5" x14ac:dyDescent="0.25">
      <c r="B1163" s="12"/>
      <c r="C1163" s="12"/>
      <c r="D1163" s="12"/>
      <c r="E1163" s="12"/>
    </row>
    <row r="1164" spans="2:5" x14ac:dyDescent="0.25">
      <c r="B1164" s="12"/>
      <c r="C1164" s="12"/>
      <c r="D1164" s="12"/>
      <c r="E1164" s="12"/>
    </row>
    <row r="1165" spans="2:5" x14ac:dyDescent="0.25">
      <c r="B1165" s="12"/>
      <c r="C1165" s="12"/>
      <c r="D1165" s="12"/>
      <c r="E1165" s="12"/>
    </row>
    <row r="1166" spans="2:5" x14ac:dyDescent="0.25">
      <c r="B1166" s="12"/>
      <c r="C1166" s="12"/>
      <c r="D1166" s="12"/>
      <c r="E1166" s="12"/>
    </row>
    <row r="1167" spans="2:5" x14ac:dyDescent="0.25">
      <c r="B1167" s="12"/>
      <c r="C1167" s="12"/>
      <c r="D1167" s="12"/>
      <c r="E1167" s="12"/>
    </row>
    <row r="1168" spans="2:5" x14ac:dyDescent="0.25">
      <c r="B1168" s="12"/>
      <c r="C1168" s="12"/>
      <c r="D1168" s="12"/>
      <c r="E1168" s="12"/>
    </row>
    <row r="1169" spans="2:5" x14ac:dyDescent="0.25">
      <c r="B1169" s="12"/>
      <c r="C1169" s="12"/>
      <c r="D1169" s="12"/>
      <c r="E1169" s="12"/>
    </row>
    <row r="1170" spans="2:5" x14ac:dyDescent="0.25">
      <c r="B1170" s="12"/>
      <c r="C1170" s="12"/>
      <c r="D1170" s="12"/>
      <c r="E1170" s="12"/>
    </row>
    <row r="1171" spans="2:5" x14ac:dyDescent="0.25">
      <c r="B1171" s="12"/>
      <c r="C1171" s="12"/>
      <c r="D1171" s="12"/>
      <c r="E1171" s="12"/>
    </row>
    <row r="1172" spans="2:5" x14ac:dyDescent="0.25">
      <c r="B1172" s="12"/>
      <c r="C1172" s="12"/>
      <c r="D1172" s="12"/>
      <c r="E1172" s="12"/>
    </row>
    <row r="1173" spans="2:5" x14ac:dyDescent="0.25">
      <c r="B1173" s="12"/>
      <c r="C1173" s="12"/>
      <c r="D1173" s="12"/>
      <c r="E1173" s="12"/>
    </row>
    <row r="1174" spans="2:5" x14ac:dyDescent="0.25">
      <c r="B1174" s="12"/>
      <c r="C1174" s="12"/>
      <c r="D1174" s="12"/>
      <c r="E1174" s="12"/>
    </row>
    <row r="1175" spans="2:5" x14ac:dyDescent="0.25">
      <c r="B1175" s="12"/>
      <c r="C1175" s="12"/>
      <c r="D1175" s="12"/>
      <c r="E1175" s="12"/>
    </row>
    <row r="1176" spans="2:5" x14ac:dyDescent="0.25">
      <c r="B1176" s="12"/>
      <c r="C1176" s="12"/>
      <c r="D1176" s="12"/>
      <c r="E1176" s="12"/>
    </row>
    <row r="1177" spans="2:5" x14ac:dyDescent="0.25">
      <c r="B1177" s="12"/>
      <c r="C1177" s="12"/>
      <c r="D1177" s="12"/>
      <c r="E1177" s="12"/>
    </row>
    <row r="1178" spans="2:5" x14ac:dyDescent="0.25">
      <c r="B1178" s="12"/>
      <c r="C1178" s="12"/>
      <c r="D1178" s="12"/>
      <c r="E1178" s="12"/>
    </row>
    <row r="1179" spans="2:5" x14ac:dyDescent="0.25">
      <c r="B1179" s="12"/>
      <c r="C1179" s="12"/>
      <c r="D1179" s="12"/>
      <c r="E1179" s="12"/>
    </row>
    <row r="1180" spans="2:5" x14ac:dyDescent="0.25">
      <c r="B1180" s="12"/>
      <c r="C1180" s="12"/>
      <c r="D1180" s="12"/>
      <c r="E1180" s="12"/>
    </row>
    <row r="1181" spans="2:5" x14ac:dyDescent="0.25">
      <c r="B1181" s="12"/>
      <c r="C1181" s="12"/>
      <c r="D1181" s="12"/>
      <c r="E1181" s="12"/>
    </row>
    <row r="1182" spans="2:5" x14ac:dyDescent="0.25">
      <c r="B1182" s="12"/>
      <c r="C1182" s="12"/>
      <c r="D1182" s="12"/>
      <c r="E1182" s="12"/>
    </row>
    <row r="1183" spans="2:5" x14ac:dyDescent="0.25">
      <c r="B1183" s="12"/>
      <c r="C1183" s="12"/>
      <c r="D1183" s="12"/>
      <c r="E1183" s="12"/>
    </row>
    <row r="1184" spans="2:5" x14ac:dyDescent="0.25">
      <c r="B1184" s="12"/>
      <c r="C1184" s="12"/>
      <c r="D1184" s="12"/>
      <c r="E1184" s="12"/>
    </row>
    <row r="1185" spans="2:5" x14ac:dyDescent="0.25">
      <c r="B1185" s="12"/>
      <c r="C1185" s="12"/>
      <c r="D1185" s="12"/>
      <c r="E1185" s="12"/>
    </row>
    <row r="1186" spans="2:5" x14ac:dyDescent="0.25">
      <c r="B1186" s="12"/>
      <c r="C1186" s="12"/>
      <c r="D1186" s="12"/>
      <c r="E1186" s="12"/>
    </row>
    <row r="1187" spans="2:5" x14ac:dyDescent="0.25">
      <c r="B1187" s="12"/>
      <c r="C1187" s="12"/>
      <c r="D1187" s="12"/>
      <c r="E1187" s="12"/>
    </row>
    <row r="1188" spans="2:5" x14ac:dyDescent="0.25">
      <c r="B1188" s="12"/>
      <c r="C1188" s="12"/>
      <c r="D1188" s="12"/>
      <c r="E1188" s="12"/>
    </row>
    <row r="1189" spans="2:5" x14ac:dyDescent="0.25">
      <c r="B1189" s="12"/>
      <c r="C1189" s="12"/>
      <c r="D1189" s="12"/>
      <c r="E1189" s="12"/>
    </row>
    <row r="1190" spans="2:5" x14ac:dyDescent="0.25">
      <c r="B1190" s="12"/>
      <c r="C1190" s="12"/>
      <c r="D1190" s="12"/>
      <c r="E1190" s="12"/>
    </row>
    <row r="1191" spans="2:5" x14ac:dyDescent="0.25">
      <c r="B1191" s="12"/>
      <c r="C1191" s="12"/>
      <c r="D1191" s="12"/>
      <c r="E1191" s="12"/>
    </row>
    <row r="1192" spans="2:5" x14ac:dyDescent="0.25">
      <c r="B1192" s="12"/>
      <c r="C1192" s="12"/>
      <c r="D1192" s="12"/>
      <c r="E1192" s="12"/>
    </row>
    <row r="1193" spans="2:5" x14ac:dyDescent="0.25">
      <c r="B1193" s="12"/>
      <c r="C1193" s="12"/>
      <c r="D1193" s="12"/>
      <c r="E1193" s="12"/>
    </row>
    <row r="1194" spans="2:5" x14ac:dyDescent="0.25">
      <c r="B1194" s="12"/>
      <c r="C1194" s="12"/>
      <c r="D1194" s="12"/>
      <c r="E1194" s="12"/>
    </row>
    <row r="1195" spans="2:5" x14ac:dyDescent="0.25">
      <c r="B1195" s="12"/>
      <c r="C1195" s="12"/>
      <c r="D1195" s="12"/>
      <c r="E1195" s="12"/>
    </row>
    <row r="1196" spans="2:5" x14ac:dyDescent="0.25">
      <c r="B1196" s="12"/>
      <c r="C1196" s="12"/>
      <c r="D1196" s="12"/>
      <c r="E1196" s="12"/>
    </row>
    <row r="1197" spans="2:5" x14ac:dyDescent="0.25">
      <c r="B1197" s="12"/>
      <c r="C1197" s="12"/>
      <c r="D1197" s="12"/>
      <c r="E1197" s="12"/>
    </row>
    <row r="1198" spans="2:5" x14ac:dyDescent="0.25">
      <c r="B1198" s="12"/>
      <c r="C1198" s="12"/>
      <c r="D1198" s="12"/>
      <c r="E1198" s="12"/>
    </row>
    <row r="1199" spans="2:5" x14ac:dyDescent="0.25">
      <c r="B1199" s="12"/>
      <c r="C1199" s="12"/>
      <c r="D1199" s="12"/>
      <c r="E1199" s="12"/>
    </row>
    <row r="1200" spans="2:5" x14ac:dyDescent="0.25">
      <c r="B1200" s="12"/>
      <c r="C1200" s="12"/>
      <c r="D1200" s="12"/>
      <c r="E1200" s="12"/>
    </row>
    <row r="1201" spans="2:5" x14ac:dyDescent="0.25">
      <c r="B1201" s="12"/>
      <c r="C1201" s="12"/>
      <c r="D1201" s="12"/>
      <c r="E1201" s="12"/>
    </row>
    <row r="1202" spans="2:5" x14ac:dyDescent="0.25">
      <c r="B1202" s="12"/>
      <c r="C1202" s="12"/>
      <c r="D1202" s="12"/>
      <c r="E1202" s="12"/>
    </row>
    <row r="1203" spans="2:5" x14ac:dyDescent="0.25">
      <c r="B1203" s="12"/>
      <c r="C1203" s="12"/>
      <c r="D1203" s="12"/>
      <c r="E1203" s="12"/>
    </row>
    <row r="1204" spans="2:5" x14ac:dyDescent="0.25">
      <c r="B1204" s="12"/>
      <c r="C1204" s="12"/>
      <c r="D1204" s="12"/>
      <c r="E1204" s="12"/>
    </row>
    <row r="1205" spans="2:5" x14ac:dyDescent="0.25">
      <c r="B1205" s="12"/>
      <c r="C1205" s="12"/>
      <c r="D1205" s="12"/>
      <c r="E1205" s="12"/>
    </row>
    <row r="1206" spans="2:5" x14ac:dyDescent="0.25">
      <c r="B1206" s="12"/>
      <c r="C1206" s="12"/>
      <c r="D1206" s="12"/>
      <c r="E1206" s="12"/>
    </row>
    <row r="1207" spans="2:5" x14ac:dyDescent="0.25">
      <c r="B1207" s="12"/>
      <c r="C1207" s="12"/>
      <c r="D1207" s="12"/>
      <c r="E1207" s="12"/>
    </row>
    <row r="1208" spans="2:5" x14ac:dyDescent="0.25">
      <c r="B1208" s="12"/>
      <c r="C1208" s="12"/>
      <c r="D1208" s="12"/>
      <c r="E1208" s="12"/>
    </row>
    <row r="1209" spans="2:5" x14ac:dyDescent="0.25">
      <c r="B1209" s="12"/>
      <c r="C1209" s="12"/>
      <c r="D1209" s="12"/>
      <c r="E1209" s="12"/>
    </row>
    <row r="1210" spans="2:5" x14ac:dyDescent="0.25">
      <c r="B1210" s="12"/>
      <c r="C1210" s="12"/>
      <c r="D1210" s="12"/>
      <c r="E1210" s="12"/>
    </row>
    <row r="1211" spans="2:5" x14ac:dyDescent="0.25">
      <c r="B1211" s="12"/>
      <c r="C1211" s="12"/>
      <c r="D1211" s="12"/>
      <c r="E1211" s="12"/>
    </row>
    <row r="1212" spans="2:5" x14ac:dyDescent="0.25">
      <c r="B1212" s="12"/>
      <c r="C1212" s="12"/>
      <c r="D1212" s="12"/>
      <c r="E1212" s="12"/>
    </row>
    <row r="1213" spans="2:5" x14ac:dyDescent="0.25">
      <c r="B1213" s="12"/>
      <c r="C1213" s="12"/>
      <c r="D1213" s="12"/>
      <c r="E1213" s="12"/>
    </row>
    <row r="1214" spans="2:5" x14ac:dyDescent="0.25">
      <c r="B1214" s="12"/>
      <c r="C1214" s="12"/>
      <c r="D1214" s="12"/>
      <c r="E1214" s="12"/>
    </row>
    <row r="1215" spans="2:5" x14ac:dyDescent="0.25">
      <c r="B1215" s="12"/>
      <c r="C1215" s="12"/>
      <c r="D1215" s="12"/>
      <c r="E1215" s="12"/>
    </row>
    <row r="1216" spans="2:5" x14ac:dyDescent="0.25">
      <c r="B1216" s="12"/>
      <c r="C1216" s="12"/>
      <c r="D1216" s="12"/>
      <c r="E1216" s="12"/>
    </row>
    <row r="1217" spans="2:5" x14ac:dyDescent="0.25">
      <c r="B1217" s="12"/>
      <c r="C1217" s="12"/>
      <c r="D1217" s="12"/>
      <c r="E1217" s="12"/>
    </row>
    <row r="1218" spans="2:5" x14ac:dyDescent="0.25">
      <c r="B1218" s="12"/>
      <c r="C1218" s="12"/>
      <c r="D1218" s="12"/>
      <c r="E1218" s="12"/>
    </row>
    <row r="1219" spans="2:5" x14ac:dyDescent="0.25">
      <c r="B1219" s="12"/>
      <c r="C1219" s="12"/>
      <c r="D1219" s="12"/>
      <c r="E1219" s="12"/>
    </row>
    <row r="1220" spans="2:5" x14ac:dyDescent="0.25">
      <c r="B1220" s="12"/>
      <c r="C1220" s="12"/>
      <c r="D1220" s="12"/>
      <c r="E1220" s="12"/>
    </row>
    <row r="1221" spans="2:5" x14ac:dyDescent="0.25">
      <c r="B1221" s="12"/>
      <c r="C1221" s="12"/>
      <c r="D1221" s="12"/>
      <c r="E1221" s="12"/>
    </row>
    <row r="1222" spans="2:5" x14ac:dyDescent="0.25">
      <c r="B1222" s="12"/>
      <c r="C1222" s="12"/>
      <c r="D1222" s="12"/>
      <c r="E1222" s="12"/>
    </row>
    <row r="1223" spans="2:5" x14ac:dyDescent="0.25">
      <c r="B1223" s="12"/>
      <c r="C1223" s="12"/>
      <c r="D1223" s="12"/>
      <c r="E1223" s="12"/>
    </row>
    <row r="1224" spans="2:5" x14ac:dyDescent="0.25">
      <c r="B1224" s="12"/>
      <c r="C1224" s="12"/>
      <c r="D1224" s="12"/>
      <c r="E1224" s="12"/>
    </row>
    <row r="1225" spans="2:5" x14ac:dyDescent="0.25">
      <c r="B1225" s="12"/>
      <c r="C1225" s="12"/>
      <c r="D1225" s="12"/>
      <c r="E1225" s="12"/>
    </row>
    <row r="1226" spans="2:5" x14ac:dyDescent="0.25">
      <c r="B1226" s="12"/>
      <c r="C1226" s="12"/>
      <c r="D1226" s="12"/>
      <c r="E1226" s="12"/>
    </row>
    <row r="1227" spans="2:5" x14ac:dyDescent="0.25">
      <c r="B1227" s="12"/>
      <c r="C1227" s="12"/>
      <c r="D1227" s="12"/>
      <c r="E1227" s="12"/>
    </row>
    <row r="1228" spans="2:5" x14ac:dyDescent="0.25">
      <c r="B1228" s="12"/>
      <c r="C1228" s="12"/>
      <c r="D1228" s="12"/>
      <c r="E1228" s="12"/>
    </row>
    <row r="1229" spans="2:5" x14ac:dyDescent="0.25">
      <c r="B1229" s="12"/>
      <c r="C1229" s="12"/>
      <c r="D1229" s="12"/>
      <c r="E1229" s="12"/>
    </row>
    <row r="1230" spans="2:5" x14ac:dyDescent="0.25">
      <c r="B1230" s="12"/>
      <c r="C1230" s="12"/>
      <c r="D1230" s="12"/>
      <c r="E1230" s="12"/>
    </row>
    <row r="1231" spans="2:5" x14ac:dyDescent="0.25">
      <c r="B1231" s="12"/>
      <c r="C1231" s="12"/>
      <c r="D1231" s="12"/>
      <c r="E1231" s="12"/>
    </row>
    <row r="1232" spans="2:5" x14ac:dyDescent="0.25">
      <c r="B1232" s="12"/>
      <c r="C1232" s="12"/>
      <c r="D1232" s="12"/>
      <c r="E1232" s="12"/>
    </row>
    <row r="1233" spans="2:5" x14ac:dyDescent="0.25">
      <c r="B1233" s="12"/>
      <c r="C1233" s="12"/>
      <c r="D1233" s="12"/>
      <c r="E1233" s="12"/>
    </row>
    <row r="1234" spans="2:5" x14ac:dyDescent="0.25">
      <c r="B1234" s="12"/>
      <c r="C1234" s="12"/>
      <c r="D1234" s="12"/>
      <c r="E1234" s="12"/>
    </row>
    <row r="1235" spans="2:5" x14ac:dyDescent="0.25">
      <c r="B1235" s="12"/>
      <c r="C1235" s="12"/>
      <c r="D1235" s="12"/>
      <c r="E1235" s="12"/>
    </row>
    <row r="1236" spans="2:5" x14ac:dyDescent="0.25">
      <c r="B1236" s="12"/>
      <c r="C1236" s="12"/>
      <c r="D1236" s="12"/>
      <c r="E1236" s="12"/>
    </row>
    <row r="1237" spans="2:5" x14ac:dyDescent="0.25">
      <c r="B1237" s="12"/>
      <c r="C1237" s="12"/>
      <c r="D1237" s="12"/>
      <c r="E1237" s="12"/>
    </row>
    <row r="1238" spans="2:5" x14ac:dyDescent="0.25">
      <c r="B1238" s="12"/>
      <c r="C1238" s="12"/>
      <c r="D1238" s="12"/>
      <c r="E1238" s="12"/>
    </row>
    <row r="1239" spans="2:5" x14ac:dyDescent="0.25">
      <c r="B1239" s="12"/>
      <c r="C1239" s="12"/>
      <c r="D1239" s="12"/>
      <c r="E1239" s="12"/>
    </row>
    <row r="1240" spans="2:5" x14ac:dyDescent="0.25">
      <c r="B1240" s="12"/>
      <c r="C1240" s="12"/>
      <c r="D1240" s="12"/>
      <c r="E1240" s="12"/>
    </row>
    <row r="1241" spans="2:5" x14ac:dyDescent="0.25">
      <c r="B1241" s="12"/>
      <c r="C1241" s="12"/>
      <c r="D1241" s="12"/>
      <c r="E1241" s="12"/>
    </row>
    <row r="1242" spans="2:5" x14ac:dyDescent="0.25">
      <c r="B1242" s="12"/>
      <c r="C1242" s="12"/>
      <c r="D1242" s="12"/>
      <c r="E1242" s="12"/>
    </row>
    <row r="1243" spans="2:5" x14ac:dyDescent="0.25">
      <c r="B1243" s="12"/>
      <c r="C1243" s="12"/>
      <c r="D1243" s="12"/>
      <c r="E1243" s="12"/>
    </row>
    <row r="1244" spans="2:5" x14ac:dyDescent="0.25">
      <c r="B1244" s="12"/>
      <c r="C1244" s="12"/>
      <c r="D1244" s="12"/>
      <c r="E1244" s="12"/>
    </row>
    <row r="1245" spans="2:5" x14ac:dyDescent="0.25">
      <c r="B1245" s="12"/>
      <c r="C1245" s="12"/>
      <c r="D1245" s="12"/>
      <c r="E1245" s="12"/>
    </row>
    <row r="1246" spans="2:5" x14ac:dyDescent="0.25">
      <c r="B1246" s="12"/>
      <c r="C1246" s="12"/>
      <c r="D1246" s="12"/>
      <c r="E1246" s="12"/>
    </row>
    <row r="1247" spans="2:5" x14ac:dyDescent="0.25">
      <c r="B1247" s="12"/>
      <c r="C1247" s="12"/>
      <c r="D1247" s="12"/>
      <c r="E1247" s="12"/>
    </row>
    <row r="1248" spans="2:5" x14ac:dyDescent="0.25">
      <c r="B1248" s="12"/>
      <c r="C1248" s="12"/>
      <c r="D1248" s="12"/>
      <c r="E1248" s="12"/>
    </row>
    <row r="1249" spans="2:5" x14ac:dyDescent="0.25">
      <c r="B1249" s="12"/>
      <c r="C1249" s="12"/>
      <c r="D1249" s="12"/>
      <c r="E1249" s="12"/>
    </row>
    <row r="1250" spans="2:5" x14ac:dyDescent="0.25">
      <c r="B1250" s="12"/>
      <c r="C1250" s="12"/>
      <c r="D1250" s="12"/>
      <c r="E1250" s="12"/>
    </row>
    <row r="1251" spans="2:5" x14ac:dyDescent="0.25">
      <c r="B1251" s="12"/>
      <c r="C1251" s="12"/>
      <c r="D1251" s="12"/>
      <c r="E1251" s="12"/>
    </row>
    <row r="1252" spans="2:5" x14ac:dyDescent="0.25">
      <c r="B1252" s="12"/>
      <c r="C1252" s="12"/>
      <c r="D1252" s="12"/>
      <c r="E1252" s="12"/>
    </row>
    <row r="1253" spans="2:5" x14ac:dyDescent="0.25">
      <c r="B1253" s="12"/>
      <c r="C1253" s="12"/>
      <c r="D1253" s="12"/>
      <c r="E1253" s="12"/>
    </row>
    <row r="1254" spans="2:5" x14ac:dyDescent="0.25">
      <c r="B1254" s="12"/>
      <c r="C1254" s="12"/>
      <c r="D1254" s="12"/>
      <c r="E1254" s="12"/>
    </row>
    <row r="1255" spans="2:5" x14ac:dyDescent="0.25">
      <c r="B1255" s="12"/>
      <c r="C1255" s="12"/>
      <c r="D1255" s="12"/>
      <c r="E1255" s="12"/>
    </row>
    <row r="1256" spans="2:5" x14ac:dyDescent="0.25">
      <c r="B1256" s="12"/>
      <c r="C1256" s="12"/>
      <c r="D1256" s="12"/>
      <c r="E1256" s="12"/>
    </row>
    <row r="1257" spans="2:5" x14ac:dyDescent="0.25">
      <c r="B1257" s="12"/>
      <c r="C1257" s="12"/>
      <c r="D1257" s="12"/>
      <c r="E1257" s="12"/>
    </row>
    <row r="1258" spans="2:5" x14ac:dyDescent="0.25">
      <c r="B1258" s="12"/>
      <c r="C1258" s="12"/>
      <c r="D1258" s="12"/>
      <c r="E1258" s="12"/>
    </row>
    <row r="1259" spans="2:5" x14ac:dyDescent="0.25">
      <c r="B1259" s="12"/>
      <c r="C1259" s="12"/>
      <c r="D1259" s="12"/>
      <c r="E1259" s="12"/>
    </row>
    <row r="1260" spans="2:5" x14ac:dyDescent="0.25">
      <c r="B1260" s="12"/>
      <c r="C1260" s="12"/>
      <c r="D1260" s="12"/>
      <c r="E1260" s="12"/>
    </row>
    <row r="1261" spans="2:5" x14ac:dyDescent="0.25">
      <c r="B1261" s="12"/>
      <c r="C1261" s="12"/>
      <c r="D1261" s="12"/>
      <c r="E1261" s="12"/>
    </row>
    <row r="1262" spans="2:5" x14ac:dyDescent="0.25">
      <c r="B1262" s="12"/>
      <c r="C1262" s="12"/>
      <c r="D1262" s="12"/>
      <c r="E1262" s="12"/>
    </row>
    <row r="1263" spans="2:5" x14ac:dyDescent="0.25">
      <c r="B1263" s="12"/>
      <c r="C1263" s="12"/>
      <c r="D1263" s="12"/>
      <c r="E1263" s="12"/>
    </row>
    <row r="1264" spans="2:5" x14ac:dyDescent="0.25">
      <c r="B1264" s="12"/>
      <c r="C1264" s="12"/>
      <c r="D1264" s="12"/>
      <c r="E1264" s="12"/>
    </row>
    <row r="1265" spans="2:5" x14ac:dyDescent="0.25">
      <c r="B1265" s="12"/>
      <c r="C1265" s="12"/>
      <c r="D1265" s="12"/>
      <c r="E1265" s="12"/>
    </row>
    <row r="1266" spans="2:5" x14ac:dyDescent="0.25">
      <c r="B1266" s="12"/>
      <c r="C1266" s="12"/>
      <c r="D1266" s="12"/>
      <c r="E1266" s="12"/>
    </row>
    <row r="1267" spans="2:5" x14ac:dyDescent="0.25">
      <c r="B1267" s="12"/>
      <c r="C1267" s="12"/>
      <c r="D1267" s="12"/>
      <c r="E1267" s="12"/>
    </row>
    <row r="1268" spans="2:5" x14ac:dyDescent="0.25">
      <c r="B1268" s="12"/>
      <c r="C1268" s="12"/>
      <c r="D1268" s="12"/>
      <c r="E1268" s="12"/>
    </row>
    <row r="1269" spans="2:5" x14ac:dyDescent="0.25">
      <c r="B1269" s="12"/>
      <c r="C1269" s="12"/>
      <c r="D1269" s="12"/>
      <c r="E1269" s="12"/>
    </row>
    <row r="1270" spans="2:5" x14ac:dyDescent="0.25">
      <c r="B1270" s="12"/>
      <c r="C1270" s="12"/>
      <c r="D1270" s="12"/>
      <c r="E1270" s="12"/>
    </row>
    <row r="1271" spans="2:5" x14ac:dyDescent="0.25">
      <c r="B1271" s="12"/>
      <c r="C1271" s="12"/>
      <c r="D1271" s="12"/>
      <c r="E1271" s="12"/>
    </row>
    <row r="1272" spans="2:5" x14ac:dyDescent="0.25">
      <c r="B1272" s="12"/>
      <c r="C1272" s="12"/>
      <c r="D1272" s="12"/>
      <c r="E1272" s="12"/>
    </row>
    <row r="1273" spans="2:5" x14ac:dyDescent="0.25">
      <c r="B1273" s="12"/>
      <c r="C1273" s="12"/>
      <c r="D1273" s="12"/>
      <c r="E1273" s="12"/>
    </row>
    <row r="1274" spans="2:5" x14ac:dyDescent="0.25">
      <c r="B1274" s="12"/>
      <c r="C1274" s="12"/>
      <c r="D1274" s="12"/>
      <c r="E1274" s="12"/>
    </row>
    <row r="1275" spans="2:5" x14ac:dyDescent="0.25">
      <c r="B1275" s="12"/>
      <c r="C1275" s="12"/>
      <c r="D1275" s="12"/>
      <c r="E1275" s="12"/>
    </row>
    <row r="1276" spans="2:5" x14ac:dyDescent="0.25">
      <c r="B1276" s="12"/>
      <c r="C1276" s="12"/>
      <c r="D1276" s="12"/>
      <c r="E1276" s="12"/>
    </row>
    <row r="1277" spans="2:5" x14ac:dyDescent="0.25">
      <c r="B1277" s="12"/>
      <c r="C1277" s="12"/>
      <c r="D1277" s="12"/>
      <c r="E1277" s="12"/>
    </row>
    <row r="1278" spans="2:5" x14ac:dyDescent="0.25">
      <c r="B1278" s="12"/>
      <c r="C1278" s="12"/>
      <c r="D1278" s="12"/>
      <c r="E1278" s="12"/>
    </row>
    <row r="1279" spans="2:5" x14ac:dyDescent="0.25">
      <c r="B1279" s="12"/>
      <c r="C1279" s="12"/>
      <c r="D1279" s="12"/>
      <c r="E1279" s="12"/>
    </row>
    <row r="1280" spans="2:5" x14ac:dyDescent="0.25">
      <c r="B1280" s="12"/>
      <c r="C1280" s="12"/>
      <c r="D1280" s="12"/>
      <c r="E1280" s="12"/>
    </row>
    <row r="1281" spans="2:5" x14ac:dyDescent="0.25">
      <c r="B1281" s="12"/>
      <c r="C1281" s="12"/>
      <c r="D1281" s="12"/>
      <c r="E1281" s="12"/>
    </row>
    <row r="1282" spans="2:5" x14ac:dyDescent="0.25">
      <c r="B1282" s="12"/>
      <c r="C1282" s="12"/>
      <c r="D1282" s="12"/>
      <c r="E1282" s="12"/>
    </row>
    <row r="1283" spans="2:5" x14ac:dyDescent="0.25">
      <c r="B1283" s="12"/>
      <c r="C1283" s="12"/>
      <c r="D1283" s="12"/>
      <c r="E1283" s="12"/>
    </row>
    <row r="1284" spans="2:5" x14ac:dyDescent="0.25">
      <c r="B1284" s="12"/>
      <c r="C1284" s="12"/>
      <c r="D1284" s="12"/>
      <c r="E1284" s="12"/>
    </row>
    <row r="1285" spans="2:5" x14ac:dyDescent="0.25">
      <c r="B1285" s="12"/>
      <c r="C1285" s="12"/>
      <c r="D1285" s="12"/>
      <c r="E1285" s="12"/>
    </row>
    <row r="1286" spans="2:5" x14ac:dyDescent="0.25">
      <c r="B1286" s="12"/>
      <c r="C1286" s="12"/>
      <c r="D1286" s="12"/>
      <c r="E1286" s="12"/>
    </row>
    <row r="1287" spans="2:5" x14ac:dyDescent="0.25">
      <c r="B1287" s="12"/>
      <c r="C1287" s="12"/>
      <c r="D1287" s="12"/>
      <c r="E1287" s="12"/>
    </row>
    <row r="1288" spans="2:5" x14ac:dyDescent="0.25">
      <c r="B1288" s="12"/>
      <c r="C1288" s="12"/>
      <c r="D1288" s="12"/>
      <c r="E1288" s="12"/>
    </row>
    <row r="1289" spans="2:5" x14ac:dyDescent="0.25">
      <c r="B1289" s="12"/>
      <c r="C1289" s="12"/>
      <c r="D1289" s="12"/>
      <c r="E1289" s="12"/>
    </row>
    <row r="1290" spans="2:5" x14ac:dyDescent="0.25">
      <c r="B1290" s="12"/>
      <c r="C1290" s="12"/>
      <c r="D1290" s="12"/>
      <c r="E1290" s="12"/>
    </row>
    <row r="1291" spans="2:5" x14ac:dyDescent="0.25">
      <c r="B1291" s="12"/>
      <c r="C1291" s="12"/>
      <c r="D1291" s="12"/>
      <c r="E1291" s="12"/>
    </row>
    <row r="1292" spans="2:5" x14ac:dyDescent="0.25">
      <c r="B1292" s="12"/>
      <c r="C1292" s="12"/>
      <c r="D1292" s="12"/>
      <c r="E1292" s="12"/>
    </row>
    <row r="1293" spans="2:5" x14ac:dyDescent="0.25">
      <c r="B1293" s="12"/>
      <c r="C1293" s="12"/>
      <c r="D1293" s="12"/>
      <c r="E1293" s="12"/>
    </row>
    <row r="1294" spans="2:5" x14ac:dyDescent="0.25">
      <c r="B1294" s="12"/>
      <c r="C1294" s="12"/>
      <c r="D1294" s="12"/>
      <c r="E1294" s="12"/>
    </row>
    <row r="1295" spans="2:5" x14ac:dyDescent="0.25">
      <c r="B1295" s="12"/>
      <c r="C1295" s="12"/>
      <c r="D1295" s="12"/>
      <c r="E1295" s="12"/>
    </row>
    <row r="1296" spans="2:5" x14ac:dyDescent="0.25">
      <c r="B1296" s="12"/>
      <c r="C1296" s="12"/>
      <c r="D1296" s="12"/>
      <c r="E1296" s="12"/>
    </row>
    <row r="1297" spans="2:5" x14ac:dyDescent="0.25">
      <c r="B1297" s="12"/>
      <c r="C1297" s="12"/>
      <c r="D1297" s="12"/>
      <c r="E1297" s="12"/>
    </row>
    <row r="1298" spans="2:5" x14ac:dyDescent="0.25">
      <c r="B1298" s="12"/>
      <c r="C1298" s="12"/>
      <c r="D1298" s="12"/>
      <c r="E1298" s="12"/>
    </row>
    <row r="1299" spans="2:5" x14ac:dyDescent="0.25">
      <c r="B1299" s="12"/>
      <c r="C1299" s="12"/>
      <c r="D1299" s="12"/>
      <c r="E1299" s="12"/>
    </row>
    <row r="1300" spans="2:5" x14ac:dyDescent="0.25">
      <c r="B1300" s="12"/>
      <c r="C1300" s="12"/>
      <c r="D1300" s="12"/>
      <c r="E1300" s="12"/>
    </row>
    <row r="1301" spans="2:5" x14ac:dyDescent="0.25">
      <c r="B1301" s="12"/>
      <c r="C1301" s="12"/>
      <c r="D1301" s="12"/>
      <c r="E1301" s="12"/>
    </row>
    <row r="1302" spans="2:5" x14ac:dyDescent="0.25">
      <c r="B1302" s="12"/>
      <c r="C1302" s="12"/>
      <c r="D1302" s="12"/>
      <c r="E1302" s="12"/>
    </row>
    <row r="1303" spans="2:5" x14ac:dyDescent="0.25">
      <c r="B1303" s="12"/>
      <c r="C1303" s="12"/>
      <c r="D1303" s="12"/>
      <c r="E1303" s="12"/>
    </row>
    <row r="1304" spans="2:5" x14ac:dyDescent="0.25">
      <c r="B1304" s="12"/>
      <c r="C1304" s="12"/>
      <c r="D1304" s="12"/>
      <c r="E1304" s="12"/>
    </row>
    <row r="1305" spans="2:5" x14ac:dyDescent="0.25">
      <c r="B1305" s="12"/>
      <c r="C1305" s="12"/>
      <c r="D1305" s="12"/>
      <c r="E1305" s="12"/>
    </row>
    <row r="1306" spans="2:5" x14ac:dyDescent="0.25">
      <c r="B1306" s="12"/>
      <c r="C1306" s="12"/>
      <c r="D1306" s="12"/>
      <c r="E1306" s="12"/>
    </row>
    <row r="1307" spans="2:5" x14ac:dyDescent="0.25">
      <c r="B1307" s="12"/>
      <c r="C1307" s="12"/>
      <c r="D1307" s="12"/>
      <c r="E1307" s="12"/>
    </row>
    <row r="1308" spans="2:5" x14ac:dyDescent="0.25">
      <c r="B1308" s="12"/>
      <c r="C1308" s="12"/>
      <c r="D1308" s="12"/>
      <c r="E1308" s="12"/>
    </row>
    <row r="1309" spans="2:5" x14ac:dyDescent="0.25">
      <c r="B1309" s="12"/>
      <c r="C1309" s="12"/>
      <c r="D1309" s="12"/>
      <c r="E1309" s="12"/>
    </row>
    <row r="1310" spans="2:5" x14ac:dyDescent="0.25">
      <c r="B1310" s="12"/>
      <c r="C1310" s="12"/>
      <c r="D1310" s="12"/>
      <c r="E1310" s="12"/>
    </row>
    <row r="1311" spans="2:5" x14ac:dyDescent="0.25">
      <c r="B1311" s="12"/>
      <c r="C1311" s="12"/>
      <c r="D1311" s="12"/>
      <c r="E1311" s="12"/>
    </row>
    <row r="1312" spans="2:5" x14ac:dyDescent="0.25">
      <c r="B1312" s="12"/>
      <c r="C1312" s="12"/>
      <c r="D1312" s="12"/>
      <c r="E1312" s="12"/>
    </row>
    <row r="1313" spans="2:5" x14ac:dyDescent="0.25">
      <c r="B1313" s="12"/>
      <c r="C1313" s="12"/>
      <c r="D1313" s="12"/>
      <c r="E1313" s="12"/>
    </row>
    <row r="1314" spans="2:5" x14ac:dyDescent="0.25">
      <c r="B1314" s="12"/>
      <c r="C1314" s="12"/>
      <c r="D1314" s="12"/>
      <c r="E1314" s="12"/>
    </row>
    <row r="1315" spans="2:5" x14ac:dyDescent="0.25">
      <c r="B1315" s="12"/>
      <c r="C1315" s="12"/>
      <c r="D1315" s="12"/>
      <c r="E1315" s="12"/>
    </row>
    <row r="1316" spans="2:5" x14ac:dyDescent="0.25">
      <c r="B1316" s="12"/>
      <c r="C1316" s="12"/>
      <c r="D1316" s="12"/>
      <c r="E1316" s="12"/>
    </row>
    <row r="1317" spans="2:5" x14ac:dyDescent="0.25">
      <c r="B1317" s="12"/>
      <c r="C1317" s="12"/>
      <c r="D1317" s="12"/>
      <c r="E1317" s="12"/>
    </row>
    <row r="1318" spans="2:5" x14ac:dyDescent="0.25">
      <c r="B1318" s="12"/>
      <c r="C1318" s="12"/>
      <c r="D1318" s="12"/>
      <c r="E1318" s="12"/>
    </row>
    <row r="1319" spans="2:5" x14ac:dyDescent="0.25">
      <c r="B1319" s="12"/>
      <c r="C1319" s="12"/>
      <c r="D1319" s="12"/>
      <c r="E1319" s="12"/>
    </row>
    <row r="1320" spans="2:5" x14ac:dyDescent="0.25">
      <c r="B1320" s="12"/>
      <c r="C1320" s="12"/>
      <c r="D1320" s="12"/>
      <c r="E1320" s="12"/>
    </row>
    <row r="1321" spans="2:5" x14ac:dyDescent="0.25">
      <c r="B1321" s="12"/>
      <c r="C1321" s="12"/>
      <c r="D1321" s="12"/>
      <c r="E1321" s="12"/>
    </row>
    <row r="1322" spans="2:5" x14ac:dyDescent="0.25">
      <c r="B1322" s="12"/>
      <c r="C1322" s="12"/>
      <c r="D1322" s="12"/>
      <c r="E1322" s="12"/>
    </row>
    <row r="1323" spans="2:5" x14ac:dyDescent="0.25">
      <c r="B1323" s="12"/>
      <c r="C1323" s="12"/>
      <c r="D1323" s="12"/>
      <c r="E1323" s="12"/>
    </row>
    <row r="1324" spans="2:5" x14ac:dyDescent="0.25">
      <c r="B1324" s="12"/>
      <c r="C1324" s="12"/>
      <c r="D1324" s="12"/>
      <c r="E1324" s="12"/>
    </row>
    <row r="1325" spans="2:5" x14ac:dyDescent="0.25">
      <c r="B1325" s="12"/>
      <c r="C1325" s="12"/>
      <c r="D1325" s="12"/>
      <c r="E1325" s="12"/>
    </row>
    <row r="1326" spans="2:5" x14ac:dyDescent="0.25">
      <c r="B1326" s="12"/>
      <c r="C1326" s="12"/>
      <c r="D1326" s="12"/>
      <c r="E1326" s="12"/>
    </row>
    <row r="1327" spans="2:5" x14ac:dyDescent="0.25">
      <c r="B1327" s="12"/>
      <c r="C1327" s="12"/>
      <c r="D1327" s="12"/>
      <c r="E1327" s="12"/>
    </row>
    <row r="1328" spans="2:5" x14ac:dyDescent="0.25">
      <c r="B1328" s="12"/>
      <c r="C1328" s="12"/>
      <c r="D1328" s="12"/>
      <c r="E1328" s="12"/>
    </row>
    <row r="1329" spans="2:5" x14ac:dyDescent="0.25">
      <c r="B1329" s="12"/>
      <c r="C1329" s="12"/>
      <c r="D1329" s="12"/>
      <c r="E1329" s="12"/>
    </row>
    <row r="1330" spans="2:5" x14ac:dyDescent="0.25">
      <c r="B1330" s="12"/>
      <c r="C1330" s="12"/>
      <c r="D1330" s="12"/>
      <c r="E1330" s="12"/>
    </row>
    <row r="1331" spans="2:5" x14ac:dyDescent="0.25">
      <c r="B1331" s="12"/>
      <c r="C1331" s="12"/>
      <c r="D1331" s="12"/>
      <c r="E1331" s="12"/>
    </row>
    <row r="1332" spans="2:5" x14ac:dyDescent="0.25">
      <c r="B1332" s="12"/>
      <c r="C1332" s="12"/>
      <c r="D1332" s="12"/>
      <c r="E1332" s="12"/>
    </row>
    <row r="1333" spans="2:5" x14ac:dyDescent="0.25">
      <c r="B1333" s="12"/>
      <c r="C1333" s="12"/>
      <c r="D1333" s="12"/>
      <c r="E1333" s="12"/>
    </row>
    <row r="1334" spans="2:5" x14ac:dyDescent="0.25">
      <c r="B1334" s="12"/>
      <c r="C1334" s="12"/>
      <c r="D1334" s="12"/>
      <c r="E1334" s="12"/>
    </row>
    <row r="1335" spans="2:5" x14ac:dyDescent="0.25">
      <c r="B1335" s="12"/>
      <c r="C1335" s="12"/>
      <c r="D1335" s="12"/>
      <c r="E1335" s="12"/>
    </row>
    <row r="1336" spans="2:5" x14ac:dyDescent="0.25">
      <c r="B1336" s="12"/>
      <c r="C1336" s="12"/>
      <c r="D1336" s="12"/>
      <c r="E1336" s="12"/>
    </row>
    <row r="1337" spans="2:5" x14ac:dyDescent="0.25">
      <c r="B1337" s="12"/>
      <c r="C1337" s="12"/>
      <c r="D1337" s="12"/>
      <c r="E1337" s="12"/>
    </row>
    <row r="1338" spans="2:5" x14ac:dyDescent="0.25">
      <c r="B1338" s="12"/>
      <c r="C1338" s="12"/>
      <c r="D1338" s="12"/>
      <c r="E1338" s="12"/>
    </row>
    <row r="1339" spans="2:5" x14ac:dyDescent="0.25">
      <c r="B1339" s="12"/>
      <c r="C1339" s="12"/>
      <c r="D1339" s="12"/>
      <c r="E1339" s="12"/>
    </row>
    <row r="1340" spans="2:5" x14ac:dyDescent="0.25">
      <c r="B1340" s="12"/>
      <c r="C1340" s="12"/>
      <c r="D1340" s="12"/>
      <c r="E1340" s="12"/>
    </row>
    <row r="1341" spans="2:5" x14ac:dyDescent="0.25">
      <c r="B1341" s="12"/>
      <c r="C1341" s="12"/>
      <c r="D1341" s="12"/>
      <c r="E1341" s="12"/>
    </row>
    <row r="1342" spans="2:5" x14ac:dyDescent="0.25">
      <c r="B1342" s="12"/>
      <c r="C1342" s="12"/>
      <c r="D1342" s="12"/>
      <c r="E1342" s="12"/>
    </row>
    <row r="1343" spans="2:5" x14ac:dyDescent="0.25">
      <c r="B1343" s="12"/>
      <c r="C1343" s="12"/>
      <c r="D1343" s="12"/>
      <c r="E1343" s="12"/>
    </row>
    <row r="1344" spans="2:5" x14ac:dyDescent="0.25">
      <c r="B1344" s="12"/>
      <c r="C1344" s="12"/>
      <c r="D1344" s="12"/>
      <c r="E1344" s="12"/>
    </row>
    <row r="1345" spans="2:5" x14ac:dyDescent="0.25">
      <c r="B1345" s="12"/>
      <c r="C1345" s="12"/>
      <c r="D1345" s="12"/>
      <c r="E1345" s="12"/>
    </row>
    <row r="1346" spans="2:5" x14ac:dyDescent="0.25">
      <c r="B1346" s="12"/>
      <c r="C1346" s="12"/>
      <c r="D1346" s="12"/>
      <c r="E1346" s="12"/>
    </row>
    <row r="1347" spans="2:5" x14ac:dyDescent="0.25">
      <c r="B1347" s="12"/>
      <c r="C1347" s="12"/>
      <c r="D1347" s="12"/>
      <c r="E1347" s="12"/>
    </row>
    <row r="1348" spans="2:5" x14ac:dyDescent="0.25">
      <c r="B1348" s="12"/>
      <c r="C1348" s="12"/>
      <c r="D1348" s="12"/>
      <c r="E1348" s="12"/>
    </row>
    <row r="1349" spans="2:5" x14ac:dyDescent="0.25">
      <c r="B1349" s="12"/>
      <c r="C1349" s="12"/>
      <c r="D1349" s="12"/>
      <c r="E1349" s="12"/>
    </row>
    <row r="1350" spans="2:5" x14ac:dyDescent="0.25">
      <c r="B1350" s="12"/>
      <c r="C1350" s="12"/>
      <c r="D1350" s="12"/>
      <c r="E1350" s="12"/>
    </row>
    <row r="1351" spans="2:5" x14ac:dyDescent="0.25">
      <c r="B1351" s="12"/>
      <c r="C1351" s="12"/>
      <c r="D1351" s="12"/>
      <c r="E1351" s="12"/>
    </row>
    <row r="1352" spans="2:5" x14ac:dyDescent="0.25">
      <c r="B1352" s="12"/>
      <c r="C1352" s="12"/>
      <c r="D1352" s="12"/>
      <c r="E1352" s="12"/>
    </row>
    <row r="1353" spans="2:5" x14ac:dyDescent="0.25">
      <c r="B1353" s="12"/>
      <c r="C1353" s="12"/>
      <c r="D1353" s="12"/>
      <c r="E1353" s="12"/>
    </row>
    <row r="1354" spans="2:5" x14ac:dyDescent="0.25">
      <c r="B1354" s="12"/>
      <c r="C1354" s="12"/>
      <c r="D1354" s="12"/>
      <c r="E1354" s="12"/>
    </row>
    <row r="1355" spans="2:5" x14ac:dyDescent="0.25">
      <c r="B1355" s="12"/>
      <c r="C1355" s="12"/>
      <c r="D1355" s="12"/>
      <c r="E1355" s="12"/>
    </row>
    <row r="1356" spans="2:5" x14ac:dyDescent="0.25">
      <c r="B1356" s="12"/>
      <c r="C1356" s="12"/>
      <c r="D1356" s="12"/>
      <c r="E1356" s="12"/>
    </row>
    <row r="1357" spans="2:5" x14ac:dyDescent="0.25">
      <c r="B1357" s="12"/>
      <c r="C1357" s="12"/>
      <c r="D1357" s="12"/>
      <c r="E1357" s="12"/>
    </row>
    <row r="1358" spans="2:5" x14ac:dyDescent="0.25">
      <c r="B1358" s="12"/>
      <c r="C1358" s="12"/>
      <c r="D1358" s="12"/>
      <c r="E1358" s="12"/>
    </row>
    <row r="1359" spans="2:5" x14ac:dyDescent="0.25">
      <c r="B1359" s="12"/>
      <c r="C1359" s="12"/>
      <c r="D1359" s="12"/>
      <c r="E1359" s="12"/>
    </row>
    <row r="1360" spans="2:5" x14ac:dyDescent="0.25">
      <c r="B1360" s="12"/>
      <c r="C1360" s="12"/>
      <c r="D1360" s="12"/>
      <c r="E1360" s="12"/>
    </row>
    <row r="1361" spans="2:5" x14ac:dyDescent="0.25">
      <c r="B1361" s="12"/>
      <c r="C1361" s="12"/>
      <c r="D1361" s="12"/>
      <c r="E1361" s="12"/>
    </row>
    <row r="1362" spans="2:5" x14ac:dyDescent="0.25">
      <c r="B1362" s="12"/>
      <c r="C1362" s="12"/>
      <c r="D1362" s="12"/>
      <c r="E1362" s="12"/>
    </row>
    <row r="1363" spans="2:5" x14ac:dyDescent="0.25">
      <c r="B1363" s="12"/>
      <c r="C1363" s="12"/>
      <c r="D1363" s="12"/>
      <c r="E1363" s="12"/>
    </row>
    <row r="1364" spans="2:5" x14ac:dyDescent="0.25">
      <c r="B1364" s="12"/>
      <c r="C1364" s="12"/>
      <c r="D1364" s="12"/>
      <c r="E1364" s="12"/>
    </row>
    <row r="1365" spans="2:5" x14ac:dyDescent="0.25">
      <c r="B1365" s="12"/>
      <c r="C1365" s="12"/>
      <c r="D1365" s="12"/>
      <c r="E1365" s="12"/>
    </row>
    <row r="1366" spans="2:5" x14ac:dyDescent="0.25">
      <c r="B1366" s="12"/>
      <c r="C1366" s="12"/>
      <c r="D1366" s="12"/>
      <c r="E1366" s="12"/>
    </row>
    <row r="1367" spans="2:5" x14ac:dyDescent="0.25">
      <c r="B1367" s="12"/>
      <c r="C1367" s="12"/>
      <c r="D1367" s="12"/>
      <c r="E1367" s="12"/>
    </row>
    <row r="1368" spans="2:5" x14ac:dyDescent="0.25">
      <c r="B1368" s="12"/>
      <c r="C1368" s="12"/>
      <c r="D1368" s="12"/>
      <c r="E1368" s="12"/>
    </row>
    <row r="1369" spans="2:5" x14ac:dyDescent="0.25">
      <c r="B1369" s="12"/>
      <c r="C1369" s="12"/>
      <c r="D1369" s="12"/>
      <c r="E1369" s="12"/>
    </row>
    <row r="1370" spans="2:5" x14ac:dyDescent="0.25">
      <c r="B1370" s="12"/>
      <c r="C1370" s="12"/>
      <c r="D1370" s="12"/>
      <c r="E1370" s="12"/>
    </row>
    <row r="1371" spans="2:5" x14ac:dyDescent="0.25">
      <c r="B1371" s="12"/>
      <c r="C1371" s="12"/>
      <c r="D1371" s="12"/>
      <c r="E1371" s="12"/>
    </row>
    <row r="1372" spans="2:5" x14ac:dyDescent="0.25">
      <c r="B1372" s="12"/>
      <c r="C1372" s="12"/>
      <c r="D1372" s="12"/>
      <c r="E1372" s="12"/>
    </row>
    <row r="1373" spans="2:5" x14ac:dyDescent="0.25">
      <c r="B1373" s="12"/>
      <c r="C1373" s="12"/>
      <c r="D1373" s="12"/>
      <c r="E1373" s="12"/>
    </row>
    <row r="1374" spans="2:5" x14ac:dyDescent="0.25">
      <c r="B1374" s="12"/>
      <c r="C1374" s="12"/>
      <c r="D1374" s="12"/>
      <c r="E1374" s="12"/>
    </row>
    <row r="1375" spans="2:5" x14ac:dyDescent="0.25">
      <c r="B1375" s="12"/>
      <c r="C1375" s="12"/>
      <c r="D1375" s="12"/>
      <c r="E1375" s="12"/>
    </row>
    <row r="1376" spans="2:5" x14ac:dyDescent="0.25">
      <c r="B1376" s="12"/>
      <c r="C1376" s="12"/>
      <c r="D1376" s="12"/>
      <c r="E1376" s="12"/>
    </row>
    <row r="1377" spans="2:5" x14ac:dyDescent="0.25">
      <c r="B1377" s="12"/>
      <c r="C1377" s="12"/>
      <c r="D1377" s="12"/>
      <c r="E1377" s="12"/>
    </row>
    <row r="1378" spans="2:5" x14ac:dyDescent="0.25">
      <c r="B1378" s="12"/>
      <c r="C1378" s="12"/>
      <c r="D1378" s="12"/>
      <c r="E1378" s="12"/>
    </row>
    <row r="1379" spans="2:5" x14ac:dyDescent="0.25">
      <c r="B1379" s="12"/>
      <c r="C1379" s="12"/>
      <c r="D1379" s="12"/>
      <c r="E1379" s="12"/>
    </row>
    <row r="1380" spans="2:5" x14ac:dyDescent="0.25">
      <c r="B1380" s="12"/>
      <c r="C1380" s="12"/>
      <c r="D1380" s="12"/>
      <c r="E1380" s="12"/>
    </row>
    <row r="1381" spans="2:5" x14ac:dyDescent="0.25">
      <c r="B1381" s="12"/>
      <c r="C1381" s="12"/>
      <c r="D1381" s="12"/>
      <c r="E1381" s="12"/>
    </row>
    <row r="1382" spans="2:5" x14ac:dyDescent="0.25">
      <c r="B1382" s="12"/>
      <c r="C1382" s="12"/>
      <c r="D1382" s="12"/>
      <c r="E1382" s="12"/>
    </row>
    <row r="1383" spans="2:5" x14ac:dyDescent="0.25">
      <c r="B1383" s="12"/>
      <c r="C1383" s="12"/>
      <c r="D1383" s="12"/>
      <c r="E1383" s="12"/>
    </row>
    <row r="1384" spans="2:5" x14ac:dyDescent="0.25">
      <c r="B1384" s="12"/>
      <c r="C1384" s="12"/>
      <c r="D1384" s="12"/>
      <c r="E1384" s="12"/>
    </row>
    <row r="1385" spans="2:5" x14ac:dyDescent="0.25">
      <c r="B1385" s="12"/>
      <c r="C1385" s="12"/>
      <c r="D1385" s="12"/>
      <c r="E1385" s="12"/>
    </row>
    <row r="1386" spans="2:5" x14ac:dyDescent="0.25">
      <c r="B1386" s="12"/>
      <c r="C1386" s="12"/>
      <c r="D1386" s="12"/>
      <c r="E1386" s="12"/>
    </row>
    <row r="1387" spans="2:5" x14ac:dyDescent="0.25">
      <c r="B1387" s="12"/>
      <c r="C1387" s="12"/>
      <c r="D1387" s="12"/>
      <c r="E1387" s="12"/>
    </row>
    <row r="1388" spans="2:5" x14ac:dyDescent="0.25">
      <c r="B1388" s="12"/>
      <c r="C1388" s="12"/>
      <c r="D1388" s="12"/>
      <c r="E1388" s="12"/>
    </row>
    <row r="1389" spans="2:5" x14ac:dyDescent="0.25">
      <c r="B1389" s="12"/>
      <c r="C1389" s="12"/>
      <c r="D1389" s="12"/>
      <c r="E1389" s="12"/>
    </row>
    <row r="1390" spans="2:5" x14ac:dyDescent="0.25">
      <c r="B1390" s="12"/>
      <c r="C1390" s="12"/>
      <c r="D1390" s="12"/>
      <c r="E1390" s="12"/>
    </row>
    <row r="1391" spans="2:5" x14ac:dyDescent="0.25">
      <c r="B1391" s="12"/>
      <c r="C1391" s="12"/>
      <c r="D1391" s="12"/>
      <c r="E1391" s="12"/>
    </row>
    <row r="1392" spans="2:5" x14ac:dyDescent="0.25">
      <c r="B1392" s="12"/>
      <c r="C1392" s="12"/>
      <c r="D1392" s="12"/>
      <c r="E1392" s="12"/>
    </row>
    <row r="1393" spans="2:5" x14ac:dyDescent="0.25">
      <c r="B1393" s="12"/>
      <c r="C1393" s="12"/>
      <c r="D1393" s="12"/>
      <c r="E1393" s="12"/>
    </row>
    <row r="1394" spans="2:5" x14ac:dyDescent="0.25">
      <c r="B1394" s="12"/>
      <c r="C1394" s="12"/>
      <c r="D1394" s="12"/>
      <c r="E1394" s="12"/>
    </row>
    <row r="1395" spans="2:5" x14ac:dyDescent="0.25">
      <c r="B1395" s="12"/>
      <c r="C1395" s="12"/>
      <c r="D1395" s="12"/>
      <c r="E1395" s="12"/>
    </row>
    <row r="1396" spans="2:5" x14ac:dyDescent="0.25">
      <c r="B1396" s="12"/>
      <c r="C1396" s="12"/>
      <c r="D1396" s="12"/>
      <c r="E1396" s="12"/>
    </row>
    <row r="1397" spans="2:5" x14ac:dyDescent="0.25">
      <c r="B1397" s="12"/>
      <c r="C1397" s="12"/>
      <c r="D1397" s="12"/>
      <c r="E1397" s="12"/>
    </row>
    <row r="1398" spans="2:5" x14ac:dyDescent="0.25">
      <c r="B1398" s="12"/>
      <c r="C1398" s="12"/>
      <c r="D1398" s="12"/>
      <c r="E1398" s="12"/>
    </row>
    <row r="1399" spans="2:5" x14ac:dyDescent="0.25">
      <c r="B1399" s="12"/>
      <c r="C1399" s="12"/>
      <c r="D1399" s="12"/>
      <c r="E1399" s="12"/>
    </row>
    <row r="1400" spans="2:5" x14ac:dyDescent="0.25">
      <c r="B1400" s="12"/>
      <c r="C1400" s="12"/>
      <c r="D1400" s="12"/>
      <c r="E1400" s="12"/>
    </row>
    <row r="1401" spans="2:5" x14ac:dyDescent="0.25">
      <c r="B1401" s="12"/>
      <c r="C1401" s="12"/>
      <c r="D1401" s="12"/>
      <c r="E1401" s="12"/>
    </row>
    <row r="1402" spans="2:5" x14ac:dyDescent="0.25">
      <c r="B1402" s="12"/>
      <c r="C1402" s="12"/>
      <c r="D1402" s="12"/>
      <c r="E1402" s="12"/>
    </row>
    <row r="1403" spans="2:5" x14ac:dyDescent="0.25">
      <c r="B1403" s="12"/>
      <c r="C1403" s="12"/>
      <c r="D1403" s="12"/>
      <c r="E1403" s="12"/>
    </row>
    <row r="1404" spans="2:5" x14ac:dyDescent="0.25">
      <c r="B1404" s="12"/>
      <c r="C1404" s="12"/>
      <c r="D1404" s="12"/>
      <c r="E1404" s="12"/>
    </row>
    <row r="1405" spans="2:5" x14ac:dyDescent="0.25">
      <c r="B1405" s="12"/>
      <c r="C1405" s="12"/>
      <c r="D1405" s="12"/>
      <c r="E1405" s="12"/>
    </row>
    <row r="1406" spans="2:5" x14ac:dyDescent="0.25">
      <c r="B1406" s="12"/>
      <c r="C1406" s="12"/>
      <c r="D1406" s="12"/>
      <c r="E1406" s="12"/>
    </row>
    <row r="1407" spans="2:5" x14ac:dyDescent="0.25">
      <c r="B1407" s="12"/>
      <c r="C1407" s="12"/>
      <c r="D1407" s="12"/>
      <c r="E1407" s="12"/>
    </row>
    <row r="1408" spans="2:5" x14ac:dyDescent="0.25">
      <c r="B1408" s="12"/>
      <c r="C1408" s="12"/>
      <c r="D1408" s="12"/>
      <c r="E1408" s="12"/>
    </row>
    <row r="1409" spans="2:5" x14ac:dyDescent="0.25">
      <c r="B1409" s="12"/>
      <c r="C1409" s="12"/>
      <c r="D1409" s="12"/>
      <c r="E1409" s="12"/>
    </row>
    <row r="1410" spans="2:5" x14ac:dyDescent="0.25">
      <c r="B1410" s="12"/>
      <c r="C1410" s="12"/>
      <c r="D1410" s="12"/>
      <c r="E1410" s="12"/>
    </row>
    <row r="1411" spans="2:5" x14ac:dyDescent="0.25">
      <c r="B1411" s="12"/>
      <c r="C1411" s="12"/>
      <c r="D1411" s="12"/>
      <c r="E1411" s="12"/>
    </row>
    <row r="1412" spans="2:5" x14ac:dyDescent="0.25">
      <c r="B1412" s="12"/>
      <c r="C1412" s="12"/>
      <c r="D1412" s="12"/>
      <c r="E1412" s="12"/>
    </row>
    <row r="1413" spans="2:5" x14ac:dyDescent="0.25">
      <c r="B1413" s="12"/>
      <c r="C1413" s="12"/>
      <c r="D1413" s="12"/>
      <c r="E1413" s="12"/>
    </row>
    <row r="1414" spans="2:5" x14ac:dyDescent="0.25">
      <c r="B1414" s="12"/>
      <c r="C1414" s="12"/>
      <c r="D1414" s="12"/>
      <c r="E1414" s="12"/>
    </row>
    <row r="1415" spans="2:5" x14ac:dyDescent="0.25">
      <c r="B1415" s="12"/>
      <c r="C1415" s="12"/>
      <c r="D1415" s="12"/>
      <c r="E1415" s="12"/>
    </row>
    <row r="1416" spans="2:5" x14ac:dyDescent="0.25">
      <c r="B1416" s="12"/>
      <c r="C1416" s="12"/>
      <c r="D1416" s="12"/>
      <c r="E1416" s="12"/>
    </row>
    <row r="1417" spans="2:5" x14ac:dyDescent="0.25">
      <c r="B1417" s="12"/>
      <c r="C1417" s="12"/>
      <c r="D1417" s="12"/>
      <c r="E1417" s="12"/>
    </row>
    <row r="1418" spans="2:5" x14ac:dyDescent="0.25">
      <c r="B1418" s="12"/>
      <c r="C1418" s="12"/>
      <c r="D1418" s="12"/>
      <c r="E1418" s="12"/>
    </row>
    <row r="1419" spans="2:5" x14ac:dyDescent="0.25">
      <c r="B1419" s="12"/>
      <c r="C1419" s="12"/>
      <c r="D1419" s="12"/>
      <c r="E1419" s="12"/>
    </row>
    <row r="1420" spans="2:5" x14ac:dyDescent="0.25">
      <c r="B1420" s="12"/>
      <c r="C1420" s="12"/>
      <c r="D1420" s="12"/>
      <c r="E1420" s="12"/>
    </row>
    <row r="1421" spans="2:5" x14ac:dyDescent="0.25">
      <c r="B1421" s="12"/>
      <c r="C1421" s="12"/>
      <c r="D1421" s="12"/>
      <c r="E1421" s="12"/>
    </row>
    <row r="1422" spans="2:5" x14ac:dyDescent="0.25">
      <c r="B1422" s="12"/>
      <c r="C1422" s="12"/>
      <c r="D1422" s="12"/>
      <c r="E1422" s="12"/>
    </row>
    <row r="1423" spans="2:5" x14ac:dyDescent="0.25">
      <c r="B1423" s="12"/>
      <c r="C1423" s="12"/>
      <c r="D1423" s="12"/>
      <c r="E1423" s="12"/>
    </row>
    <row r="1424" spans="2:5" x14ac:dyDescent="0.25">
      <c r="B1424" s="12"/>
      <c r="C1424" s="12"/>
      <c r="D1424" s="12"/>
      <c r="E1424" s="12"/>
    </row>
    <row r="1425" spans="2:5" x14ac:dyDescent="0.25">
      <c r="B1425" s="12"/>
      <c r="C1425" s="12"/>
      <c r="D1425" s="12"/>
      <c r="E1425" s="12"/>
    </row>
    <row r="1426" spans="2:5" x14ac:dyDescent="0.25">
      <c r="B1426" s="12"/>
      <c r="C1426" s="12"/>
      <c r="D1426" s="12"/>
      <c r="E1426" s="12"/>
    </row>
    <row r="1427" spans="2:5" x14ac:dyDescent="0.25">
      <c r="B1427" s="12"/>
      <c r="C1427" s="12"/>
      <c r="D1427" s="12"/>
      <c r="E1427" s="12"/>
    </row>
    <row r="1428" spans="2:5" x14ac:dyDescent="0.25">
      <c r="B1428" s="12"/>
      <c r="C1428" s="12"/>
      <c r="D1428" s="12"/>
      <c r="E1428" s="12"/>
    </row>
    <row r="1429" spans="2:5" x14ac:dyDescent="0.25">
      <c r="B1429" s="12"/>
      <c r="C1429" s="12"/>
      <c r="D1429" s="12"/>
      <c r="E1429" s="12"/>
    </row>
    <row r="1430" spans="2:5" x14ac:dyDescent="0.25">
      <c r="B1430" s="12"/>
      <c r="C1430" s="12"/>
      <c r="D1430" s="12"/>
      <c r="E1430" s="12"/>
    </row>
    <row r="1431" spans="2:5" x14ac:dyDescent="0.25">
      <c r="B1431" s="12"/>
      <c r="C1431" s="12"/>
      <c r="D1431" s="12"/>
      <c r="E1431" s="12"/>
    </row>
    <row r="1432" spans="2:5" x14ac:dyDescent="0.25">
      <c r="B1432" s="12"/>
      <c r="C1432" s="12"/>
      <c r="D1432" s="12"/>
      <c r="E1432" s="12"/>
    </row>
    <row r="1433" spans="2:5" x14ac:dyDescent="0.25">
      <c r="B1433" s="12"/>
      <c r="C1433" s="12"/>
      <c r="D1433" s="12"/>
      <c r="E1433" s="12"/>
    </row>
    <row r="1434" spans="2:5" x14ac:dyDescent="0.25">
      <c r="B1434" s="12"/>
      <c r="C1434" s="12"/>
      <c r="D1434" s="12"/>
      <c r="E1434" s="12"/>
    </row>
    <row r="1435" spans="2:5" x14ac:dyDescent="0.25">
      <c r="B1435" s="12"/>
      <c r="C1435" s="12"/>
      <c r="D1435" s="12"/>
      <c r="E1435" s="12"/>
    </row>
    <row r="1436" spans="2:5" x14ac:dyDescent="0.25">
      <c r="B1436" s="12"/>
      <c r="C1436" s="12"/>
      <c r="D1436" s="12"/>
      <c r="E1436" s="12"/>
    </row>
    <row r="1437" spans="2:5" x14ac:dyDescent="0.25">
      <c r="B1437" s="12"/>
      <c r="C1437" s="12"/>
      <c r="D1437" s="12"/>
      <c r="E1437" s="12"/>
    </row>
    <row r="1438" spans="2:5" x14ac:dyDescent="0.25">
      <c r="B1438" s="12"/>
      <c r="C1438" s="12"/>
      <c r="D1438" s="12"/>
      <c r="E1438" s="12"/>
    </row>
    <row r="1439" spans="2:5" x14ac:dyDescent="0.25">
      <c r="B1439" s="12"/>
      <c r="C1439" s="12"/>
      <c r="D1439" s="12"/>
      <c r="E1439" s="12"/>
    </row>
    <row r="1440" spans="2:5" x14ac:dyDescent="0.25">
      <c r="B1440" s="12"/>
      <c r="C1440" s="12"/>
      <c r="D1440" s="12"/>
      <c r="E1440" s="12"/>
    </row>
    <row r="1441" spans="2:5" x14ac:dyDescent="0.25">
      <c r="B1441" s="12"/>
      <c r="C1441" s="12"/>
      <c r="D1441" s="12"/>
      <c r="E1441" s="12"/>
    </row>
    <row r="1442" spans="2:5" x14ac:dyDescent="0.25">
      <c r="B1442" s="12"/>
      <c r="C1442" s="12"/>
      <c r="D1442" s="12"/>
      <c r="E1442" s="12"/>
    </row>
    <row r="1443" spans="2:5" x14ac:dyDescent="0.25">
      <c r="B1443" s="12"/>
      <c r="C1443" s="12"/>
      <c r="D1443" s="12"/>
      <c r="E1443" s="12"/>
    </row>
    <row r="1444" spans="2:5" x14ac:dyDescent="0.25">
      <c r="B1444" s="12"/>
      <c r="C1444" s="12"/>
      <c r="D1444" s="12"/>
      <c r="E1444" s="12"/>
    </row>
    <row r="1445" spans="2:5" x14ac:dyDescent="0.25">
      <c r="B1445" s="12"/>
      <c r="C1445" s="12"/>
      <c r="D1445" s="12"/>
      <c r="E1445" s="12"/>
    </row>
    <row r="1446" spans="2:5" x14ac:dyDescent="0.25">
      <c r="B1446" s="12"/>
      <c r="C1446" s="12"/>
      <c r="D1446" s="12"/>
      <c r="E1446" s="12"/>
    </row>
    <row r="1447" spans="2:5" x14ac:dyDescent="0.25">
      <c r="B1447" s="12"/>
      <c r="C1447" s="12"/>
      <c r="D1447" s="12"/>
      <c r="E1447" s="12"/>
    </row>
    <row r="1448" spans="2:5" x14ac:dyDescent="0.25">
      <c r="B1448" s="12"/>
      <c r="C1448" s="12"/>
      <c r="D1448" s="12"/>
      <c r="E1448" s="12"/>
    </row>
    <row r="1449" spans="2:5" x14ac:dyDescent="0.25">
      <c r="B1449" s="12"/>
      <c r="C1449" s="12"/>
      <c r="D1449" s="12"/>
      <c r="E1449" s="12"/>
    </row>
    <row r="1450" spans="2:5" x14ac:dyDescent="0.25">
      <c r="B1450" s="12"/>
      <c r="C1450" s="12"/>
      <c r="D1450" s="12"/>
      <c r="E1450" s="12"/>
    </row>
    <row r="1451" spans="2:5" x14ac:dyDescent="0.25">
      <c r="B1451" s="12"/>
      <c r="C1451" s="12"/>
      <c r="D1451" s="12"/>
      <c r="E1451" s="12"/>
    </row>
    <row r="1452" spans="2:5" x14ac:dyDescent="0.25">
      <c r="B1452" s="12"/>
      <c r="C1452" s="12"/>
      <c r="D1452" s="12"/>
      <c r="E1452" s="12"/>
    </row>
    <row r="1453" spans="2:5" x14ac:dyDescent="0.25">
      <c r="B1453" s="12"/>
      <c r="C1453" s="12"/>
      <c r="D1453" s="12"/>
      <c r="E1453" s="12"/>
    </row>
    <row r="1454" spans="2:5" x14ac:dyDescent="0.25">
      <c r="B1454" s="12"/>
      <c r="C1454" s="12"/>
      <c r="D1454" s="12"/>
      <c r="E1454" s="12"/>
    </row>
    <row r="1455" spans="2:5" x14ac:dyDescent="0.25">
      <c r="B1455" s="12"/>
      <c r="C1455" s="12"/>
      <c r="D1455" s="12"/>
      <c r="E1455" s="12"/>
    </row>
    <row r="1456" spans="2:5" x14ac:dyDescent="0.25">
      <c r="B1456" s="12"/>
      <c r="C1456" s="12"/>
      <c r="D1456" s="12"/>
      <c r="E1456" s="12"/>
    </row>
    <row r="1457" spans="2:5" x14ac:dyDescent="0.25">
      <c r="B1457" s="12"/>
      <c r="C1457" s="12"/>
      <c r="D1457" s="12"/>
      <c r="E1457" s="12"/>
    </row>
    <row r="1458" spans="2:5" x14ac:dyDescent="0.25">
      <c r="B1458" s="12"/>
      <c r="C1458" s="12"/>
      <c r="D1458" s="12"/>
      <c r="E1458" s="12"/>
    </row>
    <row r="1459" spans="2:5" x14ac:dyDescent="0.25">
      <c r="B1459" s="12"/>
      <c r="C1459" s="12"/>
      <c r="D1459" s="12"/>
      <c r="E1459" s="12"/>
    </row>
    <row r="1460" spans="2:5" x14ac:dyDescent="0.25">
      <c r="B1460" s="12"/>
      <c r="C1460" s="12"/>
      <c r="D1460" s="12"/>
      <c r="E1460" s="12"/>
    </row>
    <row r="1461" spans="2:5" x14ac:dyDescent="0.25">
      <c r="B1461" s="12"/>
      <c r="C1461" s="12"/>
      <c r="D1461" s="12"/>
      <c r="E1461" s="12"/>
    </row>
    <row r="1462" spans="2:5" x14ac:dyDescent="0.25">
      <c r="B1462" s="12"/>
      <c r="C1462" s="12"/>
      <c r="D1462" s="12"/>
      <c r="E1462" s="12"/>
    </row>
    <row r="1463" spans="2:5" x14ac:dyDescent="0.25">
      <c r="B1463" s="12"/>
      <c r="C1463" s="12"/>
      <c r="D1463" s="12"/>
      <c r="E1463" s="12"/>
    </row>
    <row r="1464" spans="2:5" x14ac:dyDescent="0.25">
      <c r="B1464" s="12"/>
      <c r="C1464" s="12"/>
      <c r="D1464" s="12"/>
      <c r="E1464" s="12"/>
    </row>
    <row r="1465" spans="2:5" x14ac:dyDescent="0.25">
      <c r="B1465" s="12"/>
      <c r="C1465" s="12"/>
      <c r="D1465" s="12"/>
      <c r="E1465" s="12"/>
    </row>
    <row r="1466" spans="2:5" x14ac:dyDescent="0.25">
      <c r="B1466" s="12"/>
      <c r="C1466" s="12"/>
      <c r="D1466" s="12"/>
      <c r="E1466" s="12"/>
    </row>
    <row r="1467" spans="2:5" x14ac:dyDescent="0.25">
      <c r="B1467" s="12"/>
      <c r="C1467" s="12"/>
      <c r="D1467" s="12"/>
      <c r="E1467" s="12"/>
    </row>
    <row r="1468" spans="2:5" x14ac:dyDescent="0.25">
      <c r="B1468" s="12"/>
      <c r="C1468" s="12"/>
      <c r="D1468" s="12"/>
      <c r="E1468" s="12"/>
    </row>
    <row r="1469" spans="2:5" x14ac:dyDescent="0.25">
      <c r="B1469" s="12"/>
      <c r="C1469" s="12"/>
      <c r="D1469" s="12"/>
      <c r="E1469" s="12"/>
    </row>
    <row r="1470" spans="2:5" x14ac:dyDescent="0.25">
      <c r="B1470" s="12"/>
      <c r="C1470" s="12"/>
      <c r="D1470" s="12"/>
      <c r="E1470" s="12"/>
    </row>
    <row r="1471" spans="2:5" x14ac:dyDescent="0.25">
      <c r="B1471" s="12"/>
      <c r="C1471" s="12"/>
      <c r="D1471" s="12"/>
      <c r="E1471" s="12"/>
    </row>
    <row r="1472" spans="2:5" x14ac:dyDescent="0.25">
      <c r="B1472" s="12"/>
      <c r="C1472" s="12"/>
      <c r="D1472" s="12"/>
      <c r="E1472" s="12"/>
    </row>
    <row r="1473" spans="2:5" x14ac:dyDescent="0.25">
      <c r="B1473" s="12"/>
      <c r="C1473" s="12"/>
      <c r="D1473" s="12"/>
      <c r="E1473" s="12"/>
    </row>
    <row r="1474" spans="2:5" x14ac:dyDescent="0.25">
      <c r="B1474" s="12"/>
      <c r="C1474" s="12"/>
      <c r="D1474" s="12"/>
      <c r="E1474" s="12"/>
    </row>
    <row r="1475" spans="2:5" x14ac:dyDescent="0.25">
      <c r="B1475" s="12"/>
      <c r="C1475" s="12"/>
      <c r="D1475" s="12"/>
      <c r="E1475" s="12"/>
    </row>
    <row r="1476" spans="2:5" x14ac:dyDescent="0.25">
      <c r="B1476" s="12"/>
      <c r="C1476" s="12"/>
      <c r="D1476" s="12"/>
      <c r="E1476" s="12"/>
    </row>
    <row r="1477" spans="2:5" x14ac:dyDescent="0.25">
      <c r="B1477" s="12"/>
      <c r="C1477" s="12"/>
      <c r="D1477" s="12"/>
      <c r="E1477" s="12"/>
    </row>
    <row r="1478" spans="2:5" x14ac:dyDescent="0.25">
      <c r="B1478" s="12"/>
      <c r="C1478" s="12"/>
      <c r="D1478" s="12"/>
      <c r="E1478" s="12"/>
    </row>
    <row r="1479" spans="2:5" x14ac:dyDescent="0.25">
      <c r="B1479" s="12"/>
      <c r="C1479" s="12"/>
      <c r="D1479" s="12"/>
      <c r="E1479" s="12"/>
    </row>
    <row r="1480" spans="2:5" x14ac:dyDescent="0.25">
      <c r="B1480" s="12"/>
      <c r="C1480" s="12"/>
      <c r="D1480" s="12"/>
      <c r="E1480" s="12"/>
    </row>
    <row r="1481" spans="2:5" x14ac:dyDescent="0.25">
      <c r="B1481" s="12"/>
      <c r="C1481" s="12"/>
      <c r="D1481" s="12"/>
      <c r="E1481" s="12"/>
    </row>
    <row r="1482" spans="2:5" x14ac:dyDescent="0.25">
      <c r="B1482" s="12"/>
      <c r="C1482" s="12"/>
      <c r="D1482" s="12"/>
      <c r="E1482" s="12"/>
    </row>
    <row r="1483" spans="2:5" x14ac:dyDescent="0.25">
      <c r="B1483" s="12"/>
      <c r="C1483" s="12"/>
      <c r="D1483" s="12"/>
      <c r="E1483" s="12"/>
    </row>
    <row r="1484" spans="2:5" x14ac:dyDescent="0.25">
      <c r="B1484" s="12"/>
      <c r="C1484" s="12"/>
      <c r="D1484" s="12"/>
      <c r="E1484" s="12"/>
    </row>
    <row r="1485" spans="2:5" x14ac:dyDescent="0.25">
      <c r="B1485" s="12"/>
      <c r="C1485" s="12"/>
      <c r="D1485" s="12"/>
      <c r="E1485" s="12"/>
    </row>
    <row r="1486" spans="2:5" x14ac:dyDescent="0.25">
      <c r="B1486" s="12"/>
      <c r="C1486" s="12"/>
      <c r="D1486" s="12"/>
      <c r="E1486" s="12"/>
    </row>
    <row r="1487" spans="2:5" x14ac:dyDescent="0.25">
      <c r="B1487" s="12"/>
      <c r="C1487" s="12"/>
      <c r="D1487" s="12"/>
      <c r="E1487" s="12"/>
    </row>
    <row r="1488" spans="2:5" x14ac:dyDescent="0.25">
      <c r="B1488" s="12"/>
      <c r="C1488" s="12"/>
      <c r="D1488" s="12"/>
      <c r="E1488" s="12"/>
    </row>
    <row r="1489" spans="2:5" x14ac:dyDescent="0.25">
      <c r="B1489" s="12"/>
      <c r="C1489" s="12"/>
      <c r="D1489" s="12"/>
      <c r="E1489" s="12"/>
    </row>
    <row r="1490" spans="2:5" x14ac:dyDescent="0.25">
      <c r="B1490" s="12"/>
      <c r="C1490" s="12"/>
      <c r="D1490" s="12"/>
      <c r="E1490" s="12"/>
    </row>
    <row r="1491" spans="2:5" x14ac:dyDescent="0.25">
      <c r="B1491" s="12"/>
      <c r="C1491" s="12"/>
      <c r="D1491" s="12"/>
      <c r="E1491" s="12"/>
    </row>
    <row r="1492" spans="2:5" x14ac:dyDescent="0.25">
      <c r="B1492" s="12"/>
      <c r="C1492" s="12"/>
      <c r="D1492" s="12"/>
      <c r="E1492" s="12"/>
    </row>
    <row r="1493" spans="2:5" x14ac:dyDescent="0.25">
      <c r="B1493" s="12"/>
      <c r="C1493" s="12"/>
      <c r="D1493" s="12"/>
      <c r="E1493" s="12"/>
    </row>
    <row r="1494" spans="2:5" x14ac:dyDescent="0.25">
      <c r="B1494" s="12"/>
      <c r="C1494" s="12"/>
      <c r="D1494" s="12"/>
      <c r="E1494" s="12"/>
    </row>
    <row r="1495" spans="2:5" x14ac:dyDescent="0.25">
      <c r="B1495" s="12"/>
      <c r="C1495" s="12"/>
      <c r="D1495" s="12"/>
      <c r="E1495" s="12"/>
    </row>
    <row r="1496" spans="2:5" x14ac:dyDescent="0.25">
      <c r="B1496" s="12"/>
      <c r="C1496" s="12"/>
      <c r="D1496" s="12"/>
      <c r="E1496" s="12"/>
    </row>
    <row r="1497" spans="2:5" x14ac:dyDescent="0.25">
      <c r="B1497" s="12"/>
      <c r="C1497" s="12"/>
      <c r="D1497" s="12"/>
      <c r="E1497" s="12"/>
    </row>
    <row r="1498" spans="2:5" x14ac:dyDescent="0.25">
      <c r="B1498" s="12"/>
      <c r="C1498" s="12"/>
      <c r="D1498" s="12"/>
      <c r="E1498" s="12"/>
    </row>
    <row r="1499" spans="2:5" x14ac:dyDescent="0.25">
      <c r="B1499" s="12"/>
      <c r="C1499" s="12"/>
      <c r="D1499" s="12"/>
      <c r="E1499" s="12"/>
    </row>
    <row r="1500" spans="2:5" x14ac:dyDescent="0.25">
      <c r="B1500" s="12"/>
      <c r="C1500" s="12"/>
      <c r="D1500" s="12"/>
      <c r="E1500" s="12"/>
    </row>
    <row r="1501" spans="2:5" x14ac:dyDescent="0.25">
      <c r="B1501" s="12"/>
      <c r="C1501" s="12"/>
      <c r="D1501" s="12"/>
      <c r="E1501" s="12"/>
    </row>
    <row r="1502" spans="2:5" x14ac:dyDescent="0.25">
      <c r="B1502" s="12"/>
      <c r="C1502" s="12"/>
      <c r="D1502" s="12"/>
      <c r="E1502" s="12"/>
    </row>
    <row r="1503" spans="2:5" x14ac:dyDescent="0.25">
      <c r="B1503" s="12"/>
      <c r="C1503" s="12"/>
      <c r="D1503" s="12"/>
      <c r="E1503" s="12"/>
    </row>
    <row r="1504" spans="2:5" x14ac:dyDescent="0.25">
      <c r="B1504" s="12"/>
      <c r="C1504" s="12"/>
      <c r="D1504" s="12"/>
      <c r="E1504" s="12"/>
    </row>
    <row r="1505" spans="2:5" x14ac:dyDescent="0.25">
      <c r="B1505" s="12"/>
      <c r="C1505" s="12"/>
      <c r="D1505" s="12"/>
      <c r="E1505" s="12"/>
    </row>
    <row r="1506" spans="2:5" x14ac:dyDescent="0.25">
      <c r="B1506" s="12"/>
      <c r="C1506" s="12"/>
      <c r="D1506" s="12"/>
      <c r="E1506" s="12"/>
    </row>
    <row r="1507" spans="2:5" x14ac:dyDescent="0.25">
      <c r="B1507" s="12"/>
      <c r="C1507" s="12"/>
      <c r="D1507" s="12"/>
      <c r="E1507" s="12"/>
    </row>
    <row r="1508" spans="2:5" x14ac:dyDescent="0.25">
      <c r="B1508" s="12"/>
      <c r="C1508" s="12"/>
      <c r="D1508" s="12"/>
      <c r="E1508" s="12"/>
    </row>
    <row r="1509" spans="2:5" x14ac:dyDescent="0.25">
      <c r="B1509" s="12"/>
      <c r="C1509" s="12"/>
      <c r="D1509" s="12"/>
      <c r="E1509" s="12"/>
    </row>
    <row r="1510" spans="2:5" x14ac:dyDescent="0.25">
      <c r="B1510" s="12"/>
      <c r="C1510" s="12"/>
      <c r="D1510" s="12"/>
      <c r="E1510" s="12"/>
    </row>
    <row r="1511" spans="2:5" x14ac:dyDescent="0.25">
      <c r="B1511" s="12"/>
      <c r="C1511" s="12"/>
      <c r="D1511" s="12"/>
      <c r="E1511" s="12"/>
    </row>
    <row r="1512" spans="2:5" x14ac:dyDescent="0.25">
      <c r="B1512" s="12"/>
      <c r="C1512" s="12"/>
      <c r="D1512" s="12"/>
      <c r="E1512" s="12"/>
    </row>
    <row r="1513" spans="2:5" x14ac:dyDescent="0.25">
      <c r="B1513" s="12"/>
      <c r="C1513" s="12"/>
      <c r="D1513" s="12"/>
      <c r="E1513" s="12"/>
    </row>
    <row r="1514" spans="2:5" x14ac:dyDescent="0.25">
      <c r="B1514" s="12"/>
      <c r="C1514" s="12"/>
      <c r="D1514" s="12"/>
      <c r="E1514" s="12"/>
    </row>
    <row r="1515" spans="2:5" x14ac:dyDescent="0.25">
      <c r="B1515" s="12"/>
      <c r="C1515" s="12"/>
      <c r="D1515" s="12"/>
      <c r="E1515" s="12"/>
    </row>
    <row r="1516" spans="2:5" x14ac:dyDescent="0.25">
      <c r="B1516" s="12"/>
      <c r="C1516" s="12"/>
      <c r="D1516" s="12"/>
      <c r="E1516" s="12"/>
    </row>
    <row r="1517" spans="2:5" x14ac:dyDescent="0.25">
      <c r="B1517" s="12"/>
      <c r="C1517" s="12"/>
      <c r="D1517" s="12"/>
      <c r="E1517" s="12"/>
    </row>
    <row r="1518" spans="2:5" x14ac:dyDescent="0.25">
      <c r="B1518" s="12"/>
      <c r="C1518" s="12"/>
      <c r="D1518" s="12"/>
      <c r="E1518" s="12"/>
    </row>
    <row r="1519" spans="2:5" x14ac:dyDescent="0.25">
      <c r="B1519" s="12"/>
      <c r="C1519" s="12"/>
      <c r="D1519" s="12"/>
      <c r="E1519" s="12"/>
    </row>
    <row r="1520" spans="2:5" x14ac:dyDescent="0.25">
      <c r="B1520" s="12"/>
      <c r="C1520" s="12"/>
      <c r="D1520" s="12"/>
      <c r="E1520" s="12"/>
    </row>
    <row r="1521" spans="2:5" x14ac:dyDescent="0.25">
      <c r="B1521" s="12"/>
      <c r="C1521" s="12"/>
      <c r="D1521" s="12"/>
      <c r="E1521" s="12"/>
    </row>
    <row r="1522" spans="2:5" x14ac:dyDescent="0.25">
      <c r="B1522" s="12"/>
      <c r="C1522" s="12"/>
      <c r="D1522" s="12"/>
      <c r="E1522" s="12"/>
    </row>
    <row r="1523" spans="2:5" x14ac:dyDescent="0.25">
      <c r="B1523" s="12"/>
      <c r="C1523" s="12"/>
      <c r="D1523" s="12"/>
      <c r="E1523" s="12"/>
    </row>
    <row r="1524" spans="2:5" x14ac:dyDescent="0.25">
      <c r="B1524" s="12"/>
      <c r="C1524" s="12"/>
      <c r="D1524" s="12"/>
      <c r="E1524" s="12"/>
    </row>
    <row r="1525" spans="2:5" x14ac:dyDescent="0.25">
      <c r="B1525" s="12"/>
      <c r="C1525" s="12"/>
      <c r="D1525" s="12"/>
      <c r="E1525" s="12"/>
    </row>
    <row r="1526" spans="2:5" x14ac:dyDescent="0.25">
      <c r="B1526" s="12"/>
      <c r="C1526" s="12"/>
      <c r="D1526" s="12"/>
      <c r="E1526" s="12"/>
    </row>
    <row r="1527" spans="2:5" x14ac:dyDescent="0.25">
      <c r="B1527" s="12"/>
      <c r="C1527" s="12"/>
      <c r="D1527" s="12"/>
      <c r="E1527" s="12"/>
    </row>
    <row r="1528" spans="2:5" x14ac:dyDescent="0.25">
      <c r="B1528" s="12"/>
      <c r="C1528" s="12"/>
      <c r="D1528" s="12"/>
      <c r="E1528" s="12"/>
    </row>
    <row r="1529" spans="2:5" x14ac:dyDescent="0.25">
      <c r="B1529" s="12"/>
      <c r="C1529" s="12"/>
      <c r="D1529" s="12"/>
      <c r="E1529" s="12"/>
    </row>
    <row r="1530" spans="2:5" x14ac:dyDescent="0.25">
      <c r="B1530" s="12"/>
      <c r="C1530" s="12"/>
      <c r="D1530" s="12"/>
      <c r="E1530" s="12"/>
    </row>
    <row r="1531" spans="2:5" x14ac:dyDescent="0.25">
      <c r="B1531" s="12"/>
      <c r="C1531" s="12"/>
      <c r="D1531" s="12"/>
      <c r="E1531" s="12"/>
    </row>
    <row r="1532" spans="2:5" x14ac:dyDescent="0.25">
      <c r="B1532" s="12"/>
      <c r="C1532" s="12"/>
      <c r="D1532" s="12"/>
      <c r="E1532" s="12"/>
    </row>
    <row r="1533" spans="2:5" x14ac:dyDescent="0.25">
      <c r="B1533" s="12"/>
      <c r="C1533" s="12"/>
      <c r="D1533" s="12"/>
      <c r="E1533" s="12"/>
    </row>
    <row r="1534" spans="2:5" x14ac:dyDescent="0.25">
      <c r="B1534" s="12"/>
      <c r="C1534" s="12"/>
      <c r="D1534" s="12"/>
      <c r="E1534" s="12"/>
    </row>
    <row r="1535" spans="2:5" x14ac:dyDescent="0.25">
      <c r="B1535" s="12"/>
      <c r="C1535" s="12"/>
      <c r="D1535" s="12"/>
      <c r="E1535" s="12"/>
    </row>
    <row r="1536" spans="2:5" x14ac:dyDescent="0.25">
      <c r="B1536" s="12"/>
      <c r="C1536" s="12"/>
      <c r="D1536" s="12"/>
      <c r="E1536" s="12"/>
    </row>
    <row r="1537" spans="2:5" x14ac:dyDescent="0.25">
      <c r="B1537" s="12"/>
      <c r="C1537" s="12"/>
      <c r="D1537" s="12"/>
      <c r="E1537" s="12"/>
    </row>
    <row r="1538" spans="2:5" x14ac:dyDescent="0.25">
      <c r="B1538" s="12"/>
      <c r="C1538" s="12"/>
      <c r="D1538" s="12"/>
      <c r="E1538" s="12"/>
    </row>
    <row r="1539" spans="2:5" x14ac:dyDescent="0.25">
      <c r="B1539" s="12"/>
      <c r="C1539" s="12"/>
      <c r="D1539" s="12"/>
      <c r="E1539" s="12"/>
    </row>
    <row r="1540" spans="2:5" x14ac:dyDescent="0.25">
      <c r="B1540" s="12"/>
      <c r="C1540" s="12"/>
      <c r="D1540" s="12"/>
      <c r="E1540" s="12"/>
    </row>
    <row r="1541" spans="2:5" x14ac:dyDescent="0.25">
      <c r="B1541" s="12"/>
      <c r="C1541" s="12"/>
      <c r="D1541" s="12"/>
      <c r="E1541" s="12"/>
    </row>
    <row r="1542" spans="2:5" x14ac:dyDescent="0.25">
      <c r="B1542" s="12"/>
      <c r="C1542" s="12"/>
      <c r="D1542" s="12"/>
      <c r="E1542" s="12"/>
    </row>
    <row r="1543" spans="2:5" x14ac:dyDescent="0.25">
      <c r="B1543" s="12"/>
      <c r="C1543" s="12"/>
      <c r="D1543" s="12"/>
      <c r="E1543" s="12"/>
    </row>
    <row r="1544" spans="2:5" x14ac:dyDescent="0.25">
      <c r="B1544" s="12"/>
      <c r="C1544" s="12"/>
      <c r="D1544" s="12"/>
      <c r="E1544" s="12"/>
    </row>
    <row r="1545" spans="2:5" x14ac:dyDescent="0.25">
      <c r="B1545" s="12"/>
      <c r="C1545" s="12"/>
      <c r="D1545" s="12"/>
      <c r="E1545" s="12"/>
    </row>
    <row r="1546" spans="2:5" x14ac:dyDescent="0.25">
      <c r="B1546" s="12"/>
      <c r="C1546" s="12"/>
      <c r="D1546" s="12"/>
      <c r="E1546" s="12"/>
    </row>
    <row r="1547" spans="2:5" x14ac:dyDescent="0.25">
      <c r="B1547" s="12"/>
      <c r="C1547" s="12"/>
      <c r="D1547" s="12"/>
      <c r="E1547" s="12"/>
    </row>
    <row r="1548" spans="2:5" x14ac:dyDescent="0.25">
      <c r="B1548" s="12"/>
      <c r="C1548" s="12"/>
      <c r="D1548" s="12"/>
      <c r="E1548" s="12"/>
    </row>
    <row r="1549" spans="2:5" x14ac:dyDescent="0.25">
      <c r="B1549" s="12"/>
      <c r="C1549" s="12"/>
      <c r="D1549" s="12"/>
      <c r="E1549" s="12"/>
    </row>
    <row r="1550" spans="2:5" x14ac:dyDescent="0.25">
      <c r="B1550" s="12"/>
      <c r="C1550" s="12"/>
      <c r="D1550" s="12"/>
      <c r="E1550" s="12"/>
    </row>
    <row r="1551" spans="2:5" x14ac:dyDescent="0.25">
      <c r="B1551" s="12"/>
      <c r="C1551" s="12"/>
      <c r="D1551" s="12"/>
      <c r="E1551" s="12"/>
    </row>
    <row r="1552" spans="2:5" x14ac:dyDescent="0.25">
      <c r="B1552" s="12"/>
      <c r="C1552" s="12"/>
      <c r="D1552" s="12"/>
      <c r="E1552" s="12"/>
    </row>
    <row r="1553" spans="2:5" x14ac:dyDescent="0.25">
      <c r="B1553" s="12"/>
      <c r="C1553" s="12"/>
      <c r="D1553" s="12"/>
      <c r="E1553" s="12"/>
    </row>
    <row r="1554" spans="2:5" x14ac:dyDescent="0.25">
      <c r="B1554" s="12"/>
      <c r="C1554" s="12"/>
      <c r="D1554" s="12"/>
      <c r="E1554" s="12"/>
    </row>
    <row r="1555" spans="2:5" x14ac:dyDescent="0.25">
      <c r="B1555" s="12"/>
      <c r="C1555" s="12"/>
      <c r="D1555" s="12"/>
      <c r="E1555" s="12"/>
    </row>
    <row r="1556" spans="2:5" x14ac:dyDescent="0.25">
      <c r="B1556" s="12"/>
      <c r="C1556" s="12"/>
      <c r="D1556" s="12"/>
      <c r="E1556" s="12"/>
    </row>
    <row r="1557" spans="2:5" x14ac:dyDescent="0.25">
      <c r="B1557" s="12"/>
      <c r="C1557" s="12"/>
      <c r="D1557" s="12"/>
      <c r="E1557" s="12"/>
    </row>
    <row r="1558" spans="2:5" x14ac:dyDescent="0.25">
      <c r="B1558" s="12"/>
      <c r="C1558" s="12"/>
      <c r="D1558" s="12"/>
      <c r="E1558" s="12"/>
    </row>
    <row r="1559" spans="2:5" x14ac:dyDescent="0.25">
      <c r="B1559" s="12"/>
      <c r="C1559" s="12"/>
      <c r="D1559" s="12"/>
      <c r="E1559" s="12"/>
    </row>
    <row r="1560" spans="2:5" x14ac:dyDescent="0.25">
      <c r="B1560" s="12"/>
      <c r="C1560" s="12"/>
      <c r="D1560" s="12"/>
      <c r="E1560" s="12"/>
    </row>
    <row r="1561" spans="2:5" x14ac:dyDescent="0.25">
      <c r="B1561" s="12"/>
      <c r="C1561" s="12"/>
      <c r="D1561" s="12"/>
      <c r="E1561" s="12"/>
    </row>
    <row r="1562" spans="2:5" x14ac:dyDescent="0.25">
      <c r="B1562" s="12"/>
      <c r="C1562" s="12"/>
      <c r="D1562" s="12"/>
      <c r="E1562" s="12"/>
    </row>
    <row r="1563" spans="2:5" x14ac:dyDescent="0.25">
      <c r="B1563" s="12"/>
      <c r="C1563" s="12"/>
      <c r="D1563" s="12"/>
      <c r="E1563" s="12"/>
    </row>
    <row r="1564" spans="2:5" x14ac:dyDescent="0.25">
      <c r="B1564" s="12"/>
      <c r="C1564" s="12"/>
      <c r="D1564" s="12"/>
      <c r="E1564" s="12"/>
    </row>
    <row r="1565" spans="2:5" x14ac:dyDescent="0.25">
      <c r="B1565" s="12"/>
      <c r="C1565" s="12"/>
      <c r="D1565" s="12"/>
      <c r="E1565" s="12"/>
    </row>
    <row r="1566" spans="2:5" x14ac:dyDescent="0.25">
      <c r="B1566" s="12"/>
      <c r="C1566" s="12"/>
      <c r="D1566" s="12"/>
      <c r="E1566" s="12"/>
    </row>
    <row r="1567" spans="2:5" x14ac:dyDescent="0.25">
      <c r="B1567" s="12"/>
      <c r="C1567" s="12"/>
      <c r="D1567" s="12"/>
      <c r="E1567" s="12"/>
    </row>
    <row r="1568" spans="2:5" x14ac:dyDescent="0.25">
      <c r="B1568" s="12"/>
      <c r="C1568" s="12"/>
      <c r="D1568" s="12"/>
      <c r="E1568" s="12"/>
    </row>
    <row r="1569" spans="2:5" x14ac:dyDescent="0.25">
      <c r="B1569" s="12"/>
      <c r="C1569" s="12"/>
      <c r="D1569" s="12"/>
      <c r="E1569" s="12"/>
    </row>
    <row r="1570" spans="2:5" x14ac:dyDescent="0.25">
      <c r="B1570" s="12"/>
      <c r="C1570" s="12"/>
      <c r="D1570" s="12"/>
      <c r="E1570" s="12"/>
    </row>
    <row r="1571" spans="2:5" x14ac:dyDescent="0.25">
      <c r="B1571" s="12"/>
      <c r="C1571" s="12"/>
      <c r="D1571" s="12"/>
      <c r="E1571" s="12"/>
    </row>
    <row r="1572" spans="2:5" x14ac:dyDescent="0.25">
      <c r="B1572" s="12"/>
      <c r="C1572" s="12"/>
      <c r="D1572" s="12"/>
      <c r="E1572" s="12"/>
    </row>
    <row r="1573" spans="2:5" x14ac:dyDescent="0.25">
      <c r="B1573" s="12"/>
      <c r="C1573" s="12"/>
      <c r="D1573" s="12"/>
      <c r="E1573" s="12"/>
    </row>
    <row r="1574" spans="2:5" x14ac:dyDescent="0.25">
      <c r="B1574" s="12"/>
      <c r="C1574" s="12"/>
      <c r="D1574" s="12"/>
      <c r="E1574" s="12"/>
    </row>
    <row r="1575" spans="2:5" x14ac:dyDescent="0.25">
      <c r="B1575" s="12"/>
      <c r="C1575" s="12"/>
      <c r="D1575" s="12"/>
      <c r="E1575" s="12"/>
    </row>
    <row r="1576" spans="2:5" x14ac:dyDescent="0.25">
      <c r="B1576" s="12"/>
      <c r="C1576" s="12"/>
      <c r="D1576" s="12"/>
      <c r="E1576" s="12"/>
    </row>
    <row r="1577" spans="2:5" x14ac:dyDescent="0.25">
      <c r="B1577" s="12"/>
      <c r="C1577" s="12"/>
      <c r="D1577" s="12"/>
      <c r="E1577" s="12"/>
    </row>
    <row r="1578" spans="2:5" x14ac:dyDescent="0.25">
      <c r="B1578" s="12"/>
      <c r="C1578" s="12"/>
      <c r="D1578" s="12"/>
      <c r="E1578" s="12"/>
    </row>
    <row r="1579" spans="2:5" x14ac:dyDescent="0.25">
      <c r="B1579" s="12"/>
      <c r="C1579" s="12"/>
      <c r="D1579" s="12"/>
      <c r="E1579" s="12"/>
    </row>
    <row r="1580" spans="2:5" x14ac:dyDescent="0.25">
      <c r="B1580" s="12"/>
      <c r="C1580" s="12"/>
      <c r="D1580" s="12"/>
      <c r="E1580" s="12"/>
    </row>
    <row r="1581" spans="2:5" x14ac:dyDescent="0.25">
      <c r="B1581" s="12"/>
      <c r="C1581" s="12"/>
      <c r="D1581" s="12"/>
      <c r="E1581" s="12"/>
    </row>
    <row r="1582" spans="2:5" x14ac:dyDescent="0.25">
      <c r="B1582" s="12"/>
      <c r="C1582" s="12"/>
      <c r="D1582" s="12"/>
      <c r="E1582" s="12"/>
    </row>
    <row r="1583" spans="2:5" x14ac:dyDescent="0.25">
      <c r="B1583" s="12"/>
      <c r="C1583" s="12"/>
      <c r="D1583" s="12"/>
      <c r="E1583" s="12"/>
    </row>
    <row r="1584" spans="2:5" x14ac:dyDescent="0.25">
      <c r="B1584" s="12"/>
      <c r="C1584" s="12"/>
      <c r="D1584" s="12"/>
      <c r="E1584" s="12"/>
    </row>
    <row r="1585" spans="2:5" x14ac:dyDescent="0.25">
      <c r="B1585" s="12"/>
      <c r="C1585" s="12"/>
      <c r="D1585" s="12"/>
      <c r="E1585" s="12"/>
    </row>
    <row r="1586" spans="2:5" x14ac:dyDescent="0.25">
      <c r="B1586" s="12"/>
      <c r="C1586" s="12"/>
      <c r="D1586" s="12"/>
      <c r="E1586" s="12"/>
    </row>
    <row r="1587" spans="2:5" x14ac:dyDescent="0.25">
      <c r="B1587" s="12"/>
      <c r="C1587" s="12"/>
      <c r="D1587" s="12"/>
      <c r="E1587" s="12"/>
    </row>
    <row r="1588" spans="2:5" x14ac:dyDescent="0.25">
      <c r="B1588" s="12"/>
      <c r="C1588" s="12"/>
      <c r="D1588" s="12"/>
      <c r="E1588" s="12"/>
    </row>
    <row r="1589" spans="2:5" x14ac:dyDescent="0.25">
      <c r="B1589" s="12"/>
      <c r="C1589" s="12"/>
      <c r="D1589" s="12"/>
      <c r="E1589" s="12"/>
    </row>
    <row r="1590" spans="2:5" x14ac:dyDescent="0.25">
      <c r="B1590" s="12"/>
      <c r="C1590" s="12"/>
      <c r="D1590" s="12"/>
      <c r="E1590" s="12"/>
    </row>
    <row r="1591" spans="2:5" x14ac:dyDescent="0.25">
      <c r="B1591" s="12"/>
      <c r="C1591" s="12"/>
      <c r="D1591" s="12"/>
      <c r="E1591" s="12"/>
    </row>
    <row r="1592" spans="2:5" x14ac:dyDescent="0.25">
      <c r="B1592" s="12"/>
      <c r="C1592" s="12"/>
      <c r="D1592" s="12"/>
      <c r="E1592" s="12"/>
    </row>
    <row r="1593" spans="2:5" x14ac:dyDescent="0.25">
      <c r="B1593" s="12"/>
      <c r="C1593" s="12"/>
      <c r="D1593" s="12"/>
      <c r="E1593" s="12"/>
    </row>
    <row r="1594" spans="2:5" x14ac:dyDescent="0.25">
      <c r="B1594" s="12"/>
      <c r="C1594" s="12"/>
      <c r="D1594" s="12"/>
      <c r="E1594" s="12"/>
    </row>
    <row r="1595" spans="2:5" x14ac:dyDescent="0.25">
      <c r="B1595" s="12"/>
      <c r="C1595" s="12"/>
      <c r="D1595" s="12"/>
      <c r="E1595" s="12"/>
    </row>
    <row r="1596" spans="2:5" x14ac:dyDescent="0.25">
      <c r="B1596" s="12"/>
      <c r="C1596" s="12"/>
      <c r="D1596" s="12"/>
      <c r="E1596" s="12"/>
    </row>
    <row r="1597" spans="2:5" x14ac:dyDescent="0.25">
      <c r="B1597" s="12"/>
      <c r="C1597" s="12"/>
      <c r="D1597" s="12"/>
      <c r="E1597" s="12"/>
    </row>
    <row r="1598" spans="2:5" x14ac:dyDescent="0.25">
      <c r="B1598" s="12"/>
      <c r="C1598" s="12"/>
      <c r="D1598" s="12"/>
      <c r="E1598" s="12"/>
    </row>
    <row r="1599" spans="2:5" x14ac:dyDescent="0.25">
      <c r="B1599" s="12"/>
      <c r="C1599" s="12"/>
      <c r="D1599" s="12"/>
      <c r="E1599" s="12"/>
    </row>
    <row r="1600" spans="2:5" x14ac:dyDescent="0.25">
      <c r="B1600" s="12"/>
      <c r="C1600" s="12"/>
      <c r="D1600" s="12"/>
      <c r="E1600" s="12"/>
    </row>
    <row r="1601" spans="2:5" x14ac:dyDescent="0.25">
      <c r="B1601" s="12"/>
      <c r="C1601" s="12"/>
      <c r="D1601" s="12"/>
      <c r="E1601" s="12"/>
    </row>
    <row r="1602" spans="2:5" x14ac:dyDescent="0.25">
      <c r="B1602" s="12"/>
      <c r="C1602" s="12"/>
      <c r="D1602" s="12"/>
      <c r="E1602" s="12"/>
    </row>
    <row r="1603" spans="2:5" x14ac:dyDescent="0.25">
      <c r="B1603" s="12"/>
      <c r="C1603" s="12"/>
      <c r="D1603" s="12"/>
      <c r="E1603" s="12"/>
    </row>
    <row r="1604" spans="2:5" x14ac:dyDescent="0.25">
      <c r="B1604" s="12"/>
      <c r="C1604" s="12"/>
      <c r="D1604" s="12"/>
      <c r="E1604" s="12"/>
    </row>
    <row r="1605" spans="2:5" x14ac:dyDescent="0.25">
      <c r="B1605" s="12"/>
      <c r="C1605" s="12"/>
      <c r="D1605" s="12"/>
      <c r="E1605" s="12"/>
    </row>
    <row r="1606" spans="2:5" x14ac:dyDescent="0.25">
      <c r="B1606" s="12"/>
      <c r="C1606" s="12"/>
      <c r="D1606" s="12"/>
      <c r="E1606" s="12"/>
    </row>
    <row r="1607" spans="2:5" x14ac:dyDescent="0.25">
      <c r="B1607" s="12"/>
      <c r="C1607" s="12"/>
      <c r="D1607" s="12"/>
      <c r="E1607" s="12"/>
    </row>
    <row r="1608" spans="2:5" x14ac:dyDescent="0.25">
      <c r="B1608" s="12"/>
      <c r="C1608" s="12"/>
      <c r="D1608" s="12"/>
      <c r="E1608" s="12"/>
    </row>
    <row r="1609" spans="2:5" x14ac:dyDescent="0.25">
      <c r="B1609" s="12"/>
      <c r="C1609" s="12"/>
      <c r="D1609" s="12"/>
      <c r="E1609" s="12"/>
    </row>
    <row r="1610" spans="2:5" x14ac:dyDescent="0.25">
      <c r="B1610" s="12"/>
      <c r="C1610" s="12"/>
      <c r="D1610" s="12"/>
      <c r="E1610" s="12"/>
    </row>
    <row r="1611" spans="2:5" x14ac:dyDescent="0.25">
      <c r="B1611" s="12"/>
      <c r="C1611" s="12"/>
      <c r="D1611" s="12"/>
      <c r="E1611" s="12"/>
    </row>
    <row r="1612" spans="2:5" x14ac:dyDescent="0.25">
      <c r="B1612" s="12"/>
      <c r="C1612" s="12"/>
      <c r="D1612" s="12"/>
      <c r="E1612" s="12"/>
    </row>
    <row r="1613" spans="2:5" x14ac:dyDescent="0.25">
      <c r="B1613" s="12"/>
      <c r="C1613" s="12"/>
      <c r="D1613" s="12"/>
      <c r="E1613" s="12"/>
    </row>
    <row r="1614" spans="2:5" x14ac:dyDescent="0.25">
      <c r="B1614" s="12"/>
      <c r="C1614" s="12"/>
      <c r="D1614" s="12"/>
      <c r="E1614" s="12"/>
    </row>
    <row r="1615" spans="2:5" x14ac:dyDescent="0.25">
      <c r="B1615" s="12"/>
      <c r="C1615" s="12"/>
      <c r="D1615" s="12"/>
      <c r="E1615" s="12"/>
    </row>
    <row r="1616" spans="2:5" x14ac:dyDescent="0.25">
      <c r="B1616" s="12"/>
      <c r="C1616" s="12"/>
      <c r="D1616" s="12"/>
      <c r="E1616" s="12"/>
    </row>
    <row r="1617" spans="2:5" x14ac:dyDescent="0.25">
      <c r="B1617" s="12"/>
      <c r="C1617" s="12"/>
      <c r="D1617" s="12"/>
      <c r="E1617" s="12"/>
    </row>
    <row r="1618" spans="2:5" x14ac:dyDescent="0.25">
      <c r="B1618" s="12"/>
      <c r="C1618" s="12"/>
      <c r="D1618" s="12"/>
      <c r="E1618" s="12"/>
    </row>
    <row r="1619" spans="2:5" x14ac:dyDescent="0.25">
      <c r="B1619" s="12"/>
      <c r="C1619" s="12"/>
      <c r="D1619" s="12"/>
      <c r="E1619" s="12"/>
    </row>
    <row r="1620" spans="2:5" x14ac:dyDescent="0.25">
      <c r="B1620" s="12"/>
      <c r="C1620" s="12"/>
      <c r="D1620" s="12"/>
      <c r="E1620" s="12"/>
    </row>
    <row r="1621" spans="2:5" x14ac:dyDescent="0.25">
      <c r="B1621" s="12"/>
      <c r="C1621" s="12"/>
      <c r="D1621" s="12"/>
      <c r="E1621" s="12"/>
    </row>
    <row r="1622" spans="2:5" x14ac:dyDescent="0.25">
      <c r="B1622" s="12"/>
      <c r="C1622" s="12"/>
      <c r="D1622" s="12"/>
      <c r="E1622" s="12"/>
    </row>
    <row r="1623" spans="2:5" x14ac:dyDescent="0.25">
      <c r="B1623" s="12"/>
      <c r="C1623" s="12"/>
      <c r="D1623" s="12"/>
      <c r="E1623" s="12"/>
    </row>
    <row r="1624" spans="2:5" x14ac:dyDescent="0.25">
      <c r="B1624" s="12"/>
      <c r="C1624" s="12"/>
      <c r="D1624" s="12"/>
      <c r="E1624" s="12"/>
    </row>
    <row r="1625" spans="2:5" x14ac:dyDescent="0.25">
      <c r="B1625" s="12"/>
      <c r="C1625" s="12"/>
      <c r="D1625" s="12"/>
      <c r="E1625" s="12"/>
    </row>
    <row r="1626" spans="2:5" x14ac:dyDescent="0.25">
      <c r="B1626" s="12"/>
      <c r="C1626" s="12"/>
      <c r="D1626" s="12"/>
      <c r="E1626" s="12"/>
    </row>
    <row r="1627" spans="2:5" x14ac:dyDescent="0.25">
      <c r="B1627" s="12"/>
      <c r="C1627" s="12"/>
      <c r="D1627" s="12"/>
      <c r="E1627" s="12"/>
    </row>
    <row r="1628" spans="2:5" x14ac:dyDescent="0.25">
      <c r="B1628" s="12"/>
      <c r="C1628" s="12"/>
      <c r="D1628" s="12"/>
      <c r="E1628" s="12"/>
    </row>
    <row r="1629" spans="2:5" x14ac:dyDescent="0.25">
      <c r="B1629" s="12"/>
      <c r="C1629" s="12"/>
      <c r="D1629" s="12"/>
      <c r="E1629" s="12"/>
    </row>
    <row r="1630" spans="2:5" x14ac:dyDescent="0.25">
      <c r="B1630" s="12"/>
      <c r="C1630" s="12"/>
      <c r="D1630" s="12"/>
      <c r="E1630" s="12"/>
    </row>
    <row r="1631" spans="2:5" x14ac:dyDescent="0.25">
      <c r="B1631" s="12"/>
      <c r="C1631" s="12"/>
      <c r="D1631" s="12"/>
      <c r="E1631" s="12"/>
    </row>
    <row r="1632" spans="2:5" x14ac:dyDescent="0.25">
      <c r="B1632" s="12"/>
      <c r="C1632" s="12"/>
      <c r="D1632" s="12"/>
      <c r="E1632" s="12"/>
    </row>
    <row r="1633" spans="2:5" x14ac:dyDescent="0.25">
      <c r="B1633" s="12"/>
      <c r="C1633" s="12"/>
      <c r="D1633" s="12"/>
      <c r="E1633" s="12"/>
    </row>
    <row r="1634" spans="2:5" x14ac:dyDescent="0.25">
      <c r="B1634" s="12"/>
      <c r="C1634" s="12"/>
      <c r="D1634" s="12"/>
      <c r="E1634" s="12"/>
    </row>
    <row r="1635" spans="2:5" x14ac:dyDescent="0.25">
      <c r="B1635" s="12"/>
      <c r="C1635" s="12"/>
      <c r="D1635" s="12"/>
      <c r="E1635" s="12"/>
    </row>
    <row r="1636" spans="2:5" x14ac:dyDescent="0.25">
      <c r="B1636" s="12"/>
      <c r="C1636" s="12"/>
      <c r="D1636" s="12"/>
      <c r="E1636" s="12"/>
    </row>
    <row r="1637" spans="2:5" x14ac:dyDescent="0.25">
      <c r="B1637" s="12"/>
      <c r="C1637" s="12"/>
      <c r="D1637" s="12"/>
      <c r="E1637" s="12"/>
    </row>
    <row r="1638" spans="2:5" x14ac:dyDescent="0.25">
      <c r="B1638" s="12"/>
      <c r="C1638" s="12"/>
      <c r="D1638" s="12"/>
      <c r="E1638" s="12"/>
    </row>
    <row r="1639" spans="2:5" x14ac:dyDescent="0.25">
      <c r="B1639" s="12"/>
      <c r="C1639" s="12"/>
      <c r="D1639" s="12"/>
      <c r="E1639" s="12"/>
    </row>
    <row r="1640" spans="2:5" x14ac:dyDescent="0.25">
      <c r="B1640" s="12"/>
      <c r="C1640" s="12"/>
      <c r="D1640" s="12"/>
      <c r="E1640" s="12"/>
    </row>
    <row r="1641" spans="2:5" x14ac:dyDescent="0.25">
      <c r="B1641" s="12"/>
      <c r="C1641" s="12"/>
      <c r="D1641" s="12"/>
      <c r="E1641" s="12"/>
    </row>
    <row r="1642" spans="2:5" x14ac:dyDescent="0.25">
      <c r="B1642" s="12"/>
      <c r="C1642" s="12"/>
      <c r="D1642" s="12"/>
      <c r="E1642" s="12"/>
    </row>
    <row r="1643" spans="2:5" x14ac:dyDescent="0.25">
      <c r="B1643" s="12"/>
      <c r="C1643" s="12"/>
      <c r="D1643" s="12"/>
      <c r="E1643" s="12"/>
    </row>
    <row r="1644" spans="2:5" x14ac:dyDescent="0.25">
      <c r="B1644" s="12"/>
      <c r="C1644" s="12"/>
      <c r="D1644" s="12"/>
      <c r="E1644" s="12"/>
    </row>
    <row r="1645" spans="2:5" x14ac:dyDescent="0.25">
      <c r="B1645" s="12"/>
      <c r="C1645" s="12"/>
      <c r="D1645" s="12"/>
      <c r="E1645" s="12"/>
    </row>
    <row r="1646" spans="2:5" x14ac:dyDescent="0.25">
      <c r="B1646" s="12"/>
      <c r="C1646" s="12"/>
      <c r="D1646" s="12"/>
      <c r="E1646" s="12"/>
    </row>
    <row r="1647" spans="2:5" x14ac:dyDescent="0.25">
      <c r="B1647" s="12"/>
      <c r="C1647" s="12"/>
      <c r="D1647" s="12"/>
      <c r="E1647" s="12"/>
    </row>
    <row r="1648" spans="2:5" x14ac:dyDescent="0.25">
      <c r="B1648" s="12"/>
      <c r="C1648" s="12"/>
      <c r="D1648" s="12"/>
      <c r="E1648" s="12"/>
    </row>
    <row r="1649" spans="2:5" x14ac:dyDescent="0.25">
      <c r="B1649" s="12"/>
      <c r="C1649" s="12"/>
      <c r="D1649" s="12"/>
      <c r="E1649" s="12"/>
    </row>
    <row r="1650" spans="2:5" x14ac:dyDescent="0.25">
      <c r="B1650" s="12"/>
      <c r="C1650" s="12"/>
      <c r="D1650" s="12"/>
      <c r="E1650" s="12"/>
    </row>
    <row r="1651" spans="2:5" x14ac:dyDescent="0.25">
      <c r="B1651" s="12"/>
      <c r="C1651" s="12"/>
      <c r="D1651" s="12"/>
      <c r="E1651" s="12"/>
    </row>
    <row r="1652" spans="2:5" x14ac:dyDescent="0.25">
      <c r="B1652" s="12"/>
      <c r="C1652" s="12"/>
      <c r="D1652" s="12"/>
      <c r="E1652" s="12"/>
    </row>
    <row r="1653" spans="2:5" x14ac:dyDescent="0.25">
      <c r="B1653" s="12"/>
      <c r="C1653" s="12"/>
      <c r="D1653" s="12"/>
      <c r="E1653" s="12"/>
    </row>
    <row r="1654" spans="2:5" x14ac:dyDescent="0.25">
      <c r="B1654" s="12"/>
      <c r="C1654" s="12"/>
      <c r="D1654" s="12"/>
      <c r="E1654" s="12"/>
    </row>
    <row r="1655" spans="2:5" x14ac:dyDescent="0.25">
      <c r="B1655" s="12"/>
      <c r="C1655" s="12"/>
      <c r="D1655" s="12"/>
      <c r="E1655" s="12"/>
    </row>
    <row r="1656" spans="2:5" x14ac:dyDescent="0.25">
      <c r="B1656" s="12"/>
      <c r="C1656" s="12"/>
      <c r="D1656" s="12"/>
      <c r="E1656" s="12"/>
    </row>
    <row r="1657" spans="2:5" x14ac:dyDescent="0.25">
      <c r="B1657" s="12"/>
      <c r="C1657" s="12"/>
      <c r="D1657" s="12"/>
      <c r="E1657" s="12"/>
    </row>
    <row r="1658" spans="2:5" x14ac:dyDescent="0.25">
      <c r="B1658" s="12"/>
      <c r="C1658" s="12"/>
      <c r="D1658" s="12"/>
      <c r="E1658" s="12"/>
    </row>
    <row r="1659" spans="2:5" x14ac:dyDescent="0.25">
      <c r="B1659" s="12"/>
      <c r="C1659" s="12"/>
      <c r="D1659" s="12"/>
      <c r="E1659" s="12"/>
    </row>
    <row r="1660" spans="2:5" x14ac:dyDescent="0.25">
      <c r="B1660" s="12"/>
      <c r="C1660" s="12"/>
      <c r="D1660" s="12"/>
      <c r="E1660" s="12"/>
    </row>
    <row r="1661" spans="2:5" x14ac:dyDescent="0.25">
      <c r="B1661" s="12"/>
      <c r="C1661" s="12"/>
      <c r="D1661" s="12"/>
      <c r="E1661" s="12"/>
    </row>
    <row r="1662" spans="2:5" x14ac:dyDescent="0.25">
      <c r="B1662" s="12"/>
      <c r="C1662" s="12"/>
      <c r="D1662" s="12"/>
      <c r="E1662" s="12"/>
    </row>
    <row r="1663" spans="2:5" x14ac:dyDescent="0.25">
      <c r="B1663" s="12"/>
      <c r="C1663" s="12"/>
      <c r="D1663" s="12"/>
      <c r="E1663" s="12"/>
    </row>
    <row r="1664" spans="2:5" x14ac:dyDescent="0.25">
      <c r="B1664" s="12"/>
      <c r="C1664" s="12"/>
      <c r="D1664" s="12"/>
      <c r="E1664" s="12"/>
    </row>
    <row r="1665" spans="2:5" x14ac:dyDescent="0.25">
      <c r="B1665" s="12"/>
      <c r="C1665" s="12"/>
      <c r="D1665" s="12"/>
      <c r="E1665" s="12"/>
    </row>
    <row r="1666" spans="2:5" x14ac:dyDescent="0.25">
      <c r="B1666" s="12"/>
      <c r="C1666" s="12"/>
      <c r="D1666" s="12"/>
      <c r="E1666" s="12"/>
    </row>
    <row r="1667" spans="2:5" x14ac:dyDescent="0.25">
      <c r="B1667" s="12"/>
      <c r="C1667" s="12"/>
      <c r="D1667" s="12"/>
      <c r="E1667" s="12"/>
    </row>
    <row r="1668" spans="2:5" x14ac:dyDescent="0.25">
      <c r="B1668" s="12"/>
      <c r="C1668" s="12"/>
      <c r="D1668" s="12"/>
      <c r="E1668" s="12"/>
    </row>
    <row r="1669" spans="2:5" x14ac:dyDescent="0.25">
      <c r="B1669" s="12"/>
      <c r="C1669" s="12"/>
      <c r="D1669" s="12"/>
      <c r="E1669" s="12"/>
    </row>
    <row r="1670" spans="2:5" x14ac:dyDescent="0.25">
      <c r="B1670" s="12"/>
      <c r="C1670" s="12"/>
      <c r="D1670" s="12"/>
      <c r="E1670" s="12"/>
    </row>
    <row r="1671" spans="2:5" x14ac:dyDescent="0.25">
      <c r="B1671" s="12"/>
      <c r="C1671" s="12"/>
      <c r="D1671" s="12"/>
      <c r="E1671" s="12"/>
    </row>
    <row r="1672" spans="2:5" x14ac:dyDescent="0.25">
      <c r="B1672" s="12"/>
      <c r="C1672" s="12"/>
      <c r="D1672" s="12"/>
      <c r="E1672" s="12"/>
    </row>
    <row r="1673" spans="2:5" x14ac:dyDescent="0.25">
      <c r="B1673" s="12"/>
      <c r="C1673" s="12"/>
      <c r="D1673" s="12"/>
      <c r="E1673" s="12"/>
    </row>
    <row r="1674" spans="2:5" x14ac:dyDescent="0.25">
      <c r="B1674" s="12"/>
      <c r="C1674" s="12"/>
      <c r="D1674" s="12"/>
      <c r="E1674" s="12"/>
    </row>
    <row r="1675" spans="2:5" x14ac:dyDescent="0.25">
      <c r="B1675" s="12"/>
      <c r="C1675" s="12"/>
      <c r="D1675" s="12"/>
      <c r="E1675" s="12"/>
    </row>
    <row r="1676" spans="2:5" x14ac:dyDescent="0.25">
      <c r="B1676" s="12"/>
      <c r="C1676" s="12"/>
      <c r="D1676" s="12"/>
      <c r="E1676" s="12"/>
    </row>
    <row r="1677" spans="2:5" x14ac:dyDescent="0.25">
      <c r="B1677" s="12"/>
      <c r="C1677" s="12"/>
      <c r="D1677" s="12"/>
      <c r="E1677" s="12"/>
    </row>
    <row r="1678" spans="2:5" x14ac:dyDescent="0.25">
      <c r="B1678" s="12"/>
      <c r="C1678" s="12"/>
      <c r="D1678" s="12"/>
      <c r="E1678" s="12"/>
    </row>
    <row r="1679" spans="2:5" x14ac:dyDescent="0.25">
      <c r="B1679" s="12"/>
      <c r="C1679" s="12"/>
      <c r="D1679" s="12"/>
      <c r="E1679" s="12"/>
    </row>
    <row r="1680" spans="2:5" x14ac:dyDescent="0.25">
      <c r="B1680" s="12"/>
      <c r="C1680" s="12"/>
      <c r="D1680" s="12"/>
      <c r="E1680" s="12"/>
    </row>
    <row r="1681" spans="2:5" x14ac:dyDescent="0.25">
      <c r="B1681" s="12"/>
      <c r="C1681" s="12"/>
      <c r="D1681" s="12"/>
      <c r="E1681" s="12"/>
    </row>
    <row r="1682" spans="2:5" x14ac:dyDescent="0.25">
      <c r="B1682" s="12"/>
      <c r="C1682" s="12"/>
      <c r="D1682" s="12"/>
      <c r="E1682" s="12"/>
    </row>
    <row r="1683" spans="2:5" x14ac:dyDescent="0.25">
      <c r="B1683" s="12"/>
      <c r="C1683" s="12"/>
      <c r="D1683" s="12"/>
      <c r="E1683" s="12"/>
    </row>
    <row r="1684" spans="2:5" x14ac:dyDescent="0.25">
      <c r="B1684" s="12"/>
      <c r="C1684" s="12"/>
      <c r="D1684" s="12"/>
      <c r="E1684" s="12"/>
    </row>
    <row r="1685" spans="2:5" x14ac:dyDescent="0.25">
      <c r="B1685" s="12"/>
      <c r="C1685" s="12"/>
      <c r="D1685" s="12"/>
      <c r="E1685" s="12"/>
    </row>
    <row r="1686" spans="2:5" x14ac:dyDescent="0.25">
      <c r="B1686" s="12"/>
      <c r="C1686" s="12"/>
      <c r="D1686" s="12"/>
      <c r="E1686" s="12"/>
    </row>
    <row r="1687" spans="2:5" x14ac:dyDescent="0.25">
      <c r="B1687" s="12"/>
      <c r="C1687" s="12"/>
      <c r="D1687" s="12"/>
      <c r="E1687" s="12"/>
    </row>
    <row r="1688" spans="2:5" x14ac:dyDescent="0.25">
      <c r="B1688" s="12"/>
      <c r="C1688" s="12"/>
      <c r="D1688" s="12"/>
      <c r="E1688" s="12"/>
    </row>
    <row r="1689" spans="2:5" x14ac:dyDescent="0.25">
      <c r="B1689" s="12"/>
      <c r="C1689" s="12"/>
      <c r="D1689" s="12"/>
      <c r="E1689" s="12"/>
    </row>
    <row r="1690" spans="2:5" x14ac:dyDescent="0.25">
      <c r="B1690" s="12"/>
      <c r="C1690" s="12"/>
      <c r="D1690" s="12"/>
      <c r="E1690" s="12"/>
    </row>
    <row r="1691" spans="2:5" x14ac:dyDescent="0.25">
      <c r="B1691" s="12"/>
      <c r="C1691" s="12"/>
      <c r="D1691" s="12"/>
      <c r="E1691" s="12"/>
    </row>
    <row r="1692" spans="2:5" x14ac:dyDescent="0.25">
      <c r="B1692" s="12"/>
      <c r="C1692" s="12"/>
      <c r="D1692" s="12"/>
      <c r="E1692" s="12"/>
    </row>
    <row r="1693" spans="2:5" x14ac:dyDescent="0.25">
      <c r="B1693" s="12"/>
      <c r="C1693" s="12"/>
      <c r="D1693" s="12"/>
      <c r="E1693" s="12"/>
    </row>
    <row r="1694" spans="2:5" x14ac:dyDescent="0.25">
      <c r="B1694" s="12"/>
      <c r="C1694" s="12"/>
      <c r="D1694" s="12"/>
      <c r="E1694" s="12"/>
    </row>
    <row r="1695" spans="2:5" x14ac:dyDescent="0.25">
      <c r="B1695" s="12"/>
      <c r="C1695" s="12"/>
      <c r="D1695" s="12"/>
      <c r="E1695" s="12"/>
    </row>
    <row r="1696" spans="2:5" x14ac:dyDescent="0.25">
      <c r="B1696" s="12"/>
      <c r="C1696" s="12"/>
      <c r="D1696" s="12"/>
      <c r="E1696" s="12"/>
    </row>
    <row r="1697" spans="2:5" x14ac:dyDescent="0.25">
      <c r="B1697" s="12"/>
      <c r="C1697" s="12"/>
      <c r="D1697" s="12"/>
      <c r="E1697" s="12"/>
    </row>
    <row r="1698" spans="2:5" x14ac:dyDescent="0.25">
      <c r="B1698" s="12"/>
      <c r="C1698" s="12"/>
      <c r="D1698" s="12"/>
      <c r="E1698" s="12"/>
    </row>
    <row r="1699" spans="2:5" x14ac:dyDescent="0.25">
      <c r="B1699" s="12"/>
      <c r="C1699" s="12"/>
      <c r="D1699" s="12"/>
      <c r="E1699" s="12"/>
    </row>
    <row r="1700" spans="2:5" x14ac:dyDescent="0.25">
      <c r="B1700" s="12"/>
      <c r="C1700" s="12"/>
      <c r="D1700" s="12"/>
      <c r="E1700" s="12"/>
    </row>
    <row r="1701" spans="2:5" x14ac:dyDescent="0.25">
      <c r="B1701" s="12"/>
      <c r="C1701" s="12"/>
      <c r="D1701" s="12"/>
      <c r="E1701" s="12"/>
    </row>
    <row r="1702" spans="2:5" x14ac:dyDescent="0.25">
      <c r="B1702" s="12"/>
      <c r="C1702" s="12"/>
      <c r="D1702" s="12"/>
      <c r="E1702" s="12"/>
    </row>
    <row r="1703" spans="2:5" x14ac:dyDescent="0.25">
      <c r="B1703" s="12"/>
      <c r="C1703" s="12"/>
      <c r="D1703" s="12"/>
      <c r="E1703" s="12"/>
    </row>
    <row r="1704" spans="2:5" x14ac:dyDescent="0.25">
      <c r="B1704" s="12"/>
      <c r="C1704" s="12"/>
      <c r="D1704" s="12"/>
      <c r="E1704" s="12"/>
    </row>
    <row r="1705" spans="2:5" x14ac:dyDescent="0.25">
      <c r="B1705" s="12"/>
      <c r="C1705" s="12"/>
      <c r="D1705" s="12"/>
      <c r="E1705" s="12"/>
    </row>
    <row r="1706" spans="2:5" x14ac:dyDescent="0.25">
      <c r="B1706" s="12"/>
      <c r="C1706" s="12"/>
      <c r="D1706" s="12"/>
      <c r="E1706" s="12"/>
    </row>
    <row r="1707" spans="2:5" x14ac:dyDescent="0.25">
      <c r="B1707" s="12"/>
      <c r="C1707" s="12"/>
      <c r="D1707" s="12"/>
      <c r="E1707" s="12"/>
    </row>
    <row r="1708" spans="2:5" x14ac:dyDescent="0.25">
      <c r="B1708" s="12"/>
      <c r="C1708" s="12"/>
      <c r="D1708" s="12"/>
      <c r="E1708" s="12"/>
    </row>
    <row r="1709" spans="2:5" x14ac:dyDescent="0.25">
      <c r="B1709" s="12"/>
      <c r="C1709" s="12"/>
      <c r="D1709" s="12"/>
      <c r="E1709" s="12"/>
    </row>
    <row r="1710" spans="2:5" x14ac:dyDescent="0.25">
      <c r="B1710" s="12"/>
      <c r="C1710" s="12"/>
      <c r="D1710" s="12"/>
      <c r="E1710" s="12"/>
    </row>
    <row r="1711" spans="2:5" x14ac:dyDescent="0.25">
      <c r="B1711" s="12"/>
      <c r="C1711" s="12"/>
      <c r="D1711" s="12"/>
      <c r="E1711" s="12"/>
    </row>
    <row r="1712" spans="2:5" x14ac:dyDescent="0.25">
      <c r="B1712" s="12"/>
      <c r="C1712" s="12"/>
      <c r="D1712" s="12"/>
      <c r="E1712" s="12"/>
    </row>
    <row r="1713" spans="2:5" x14ac:dyDescent="0.25">
      <c r="B1713" s="12"/>
      <c r="C1713" s="12"/>
      <c r="D1713" s="12"/>
      <c r="E1713" s="12"/>
    </row>
    <row r="1714" spans="2:5" x14ac:dyDescent="0.25">
      <c r="B1714" s="12"/>
      <c r="C1714" s="12"/>
      <c r="D1714" s="12"/>
      <c r="E1714" s="12"/>
    </row>
    <row r="1715" spans="2:5" x14ac:dyDescent="0.25">
      <c r="B1715" s="12"/>
      <c r="C1715" s="12"/>
      <c r="D1715" s="12"/>
      <c r="E1715" s="12"/>
    </row>
    <row r="1716" spans="2:5" x14ac:dyDescent="0.25">
      <c r="B1716" s="12"/>
      <c r="C1716" s="12"/>
      <c r="D1716" s="12"/>
      <c r="E1716" s="12"/>
    </row>
    <row r="1717" spans="2:5" x14ac:dyDescent="0.25">
      <c r="B1717" s="12"/>
      <c r="C1717" s="12"/>
      <c r="D1717" s="12"/>
      <c r="E1717" s="12"/>
    </row>
    <row r="1718" spans="2:5" x14ac:dyDescent="0.25">
      <c r="B1718" s="12"/>
      <c r="C1718" s="12"/>
      <c r="D1718" s="12"/>
      <c r="E1718" s="12"/>
    </row>
    <row r="1719" spans="2:5" x14ac:dyDescent="0.25">
      <c r="B1719" s="12"/>
      <c r="C1719" s="12"/>
      <c r="D1719" s="12"/>
      <c r="E1719" s="12"/>
    </row>
    <row r="1720" spans="2:5" x14ac:dyDescent="0.25">
      <c r="B1720" s="12"/>
      <c r="C1720" s="12"/>
      <c r="D1720" s="12"/>
      <c r="E1720" s="12"/>
    </row>
    <row r="1721" spans="2:5" x14ac:dyDescent="0.25">
      <c r="B1721" s="12"/>
      <c r="C1721" s="12"/>
      <c r="D1721" s="12"/>
      <c r="E1721" s="12"/>
    </row>
    <row r="1722" spans="2:5" x14ac:dyDescent="0.25">
      <c r="B1722" s="12"/>
      <c r="C1722" s="12"/>
      <c r="D1722" s="12"/>
      <c r="E1722" s="12"/>
    </row>
    <row r="1723" spans="2:5" x14ac:dyDescent="0.25">
      <c r="B1723" s="12"/>
      <c r="C1723" s="12"/>
      <c r="D1723" s="12"/>
      <c r="E1723" s="12"/>
    </row>
    <row r="1724" spans="2:5" x14ac:dyDescent="0.25">
      <c r="B1724" s="12"/>
      <c r="C1724" s="12"/>
      <c r="D1724" s="12"/>
      <c r="E1724" s="12"/>
    </row>
    <row r="1725" spans="2:5" x14ac:dyDescent="0.25">
      <c r="B1725" s="12"/>
      <c r="C1725" s="12"/>
      <c r="D1725" s="12"/>
      <c r="E1725" s="12"/>
    </row>
    <row r="1726" spans="2:5" x14ac:dyDescent="0.25">
      <c r="B1726" s="12"/>
      <c r="C1726" s="12"/>
      <c r="D1726" s="12"/>
      <c r="E1726" s="12"/>
    </row>
    <row r="1727" spans="2:5" x14ac:dyDescent="0.25">
      <c r="B1727" s="12"/>
      <c r="C1727" s="12"/>
      <c r="D1727" s="12"/>
      <c r="E1727" s="12"/>
    </row>
    <row r="1728" spans="2:5" x14ac:dyDescent="0.25">
      <c r="B1728" s="12"/>
      <c r="C1728" s="12"/>
      <c r="D1728" s="12"/>
      <c r="E1728" s="12"/>
    </row>
    <row r="1729" spans="2:5" x14ac:dyDescent="0.25">
      <c r="B1729" s="12"/>
      <c r="C1729" s="12"/>
      <c r="D1729" s="12"/>
      <c r="E1729" s="12"/>
    </row>
    <row r="1730" spans="2:5" x14ac:dyDescent="0.25">
      <c r="B1730" s="12"/>
      <c r="C1730" s="12"/>
      <c r="D1730" s="12"/>
      <c r="E1730" s="12"/>
    </row>
    <row r="1731" spans="2:5" x14ac:dyDescent="0.25">
      <c r="B1731" s="12"/>
      <c r="C1731" s="12"/>
      <c r="D1731" s="12"/>
      <c r="E1731" s="12"/>
    </row>
    <row r="1732" spans="2:5" x14ac:dyDescent="0.25">
      <c r="B1732" s="12"/>
      <c r="C1732" s="12"/>
      <c r="D1732" s="12"/>
      <c r="E1732" s="12"/>
    </row>
    <row r="1733" spans="2:5" x14ac:dyDescent="0.25">
      <c r="B1733" s="12"/>
      <c r="C1733" s="12"/>
      <c r="D1733" s="12"/>
      <c r="E1733" s="12"/>
    </row>
    <row r="1734" spans="2:5" x14ac:dyDescent="0.25">
      <c r="B1734" s="12"/>
      <c r="C1734" s="12"/>
      <c r="D1734" s="12"/>
      <c r="E1734" s="12"/>
    </row>
    <row r="1735" spans="2:5" x14ac:dyDescent="0.25">
      <c r="B1735" s="12"/>
      <c r="C1735" s="12"/>
      <c r="D1735" s="12"/>
      <c r="E1735" s="12"/>
    </row>
    <row r="1736" spans="2:5" x14ac:dyDescent="0.25">
      <c r="B1736" s="12"/>
      <c r="C1736" s="12"/>
      <c r="D1736" s="12"/>
      <c r="E1736" s="12"/>
    </row>
    <row r="1737" spans="2:5" x14ac:dyDescent="0.25">
      <c r="B1737" s="12"/>
      <c r="C1737" s="12"/>
      <c r="D1737" s="12"/>
      <c r="E1737" s="12"/>
    </row>
    <row r="1738" spans="2:5" x14ac:dyDescent="0.25">
      <c r="B1738" s="12"/>
      <c r="C1738" s="12"/>
      <c r="D1738" s="12"/>
      <c r="E1738" s="12"/>
    </row>
    <row r="1739" spans="2:5" x14ac:dyDescent="0.25">
      <c r="B1739" s="12"/>
      <c r="C1739" s="12"/>
      <c r="D1739" s="12"/>
      <c r="E1739" s="12"/>
    </row>
    <row r="1740" spans="2:5" x14ac:dyDescent="0.25">
      <c r="B1740" s="12"/>
      <c r="C1740" s="12"/>
      <c r="D1740" s="12"/>
      <c r="E1740" s="12"/>
    </row>
    <row r="1741" spans="2:5" x14ac:dyDescent="0.25">
      <c r="B1741" s="12"/>
      <c r="C1741" s="12"/>
      <c r="D1741" s="12"/>
      <c r="E1741" s="12"/>
    </row>
    <row r="1742" spans="2:5" x14ac:dyDescent="0.25">
      <c r="B1742" s="12"/>
      <c r="C1742" s="12"/>
      <c r="D1742" s="12"/>
      <c r="E1742" s="12"/>
    </row>
    <row r="1743" spans="2:5" x14ac:dyDescent="0.25">
      <c r="B1743" s="12"/>
      <c r="C1743" s="12"/>
      <c r="D1743" s="12"/>
      <c r="E1743" s="12"/>
    </row>
    <row r="1744" spans="2:5" x14ac:dyDescent="0.25">
      <c r="B1744" s="12"/>
      <c r="C1744" s="12"/>
      <c r="D1744" s="12"/>
      <c r="E1744" s="12"/>
    </row>
    <row r="1745" spans="2:5" x14ac:dyDescent="0.25">
      <c r="B1745" s="12"/>
      <c r="C1745" s="12"/>
      <c r="D1745" s="12"/>
      <c r="E1745" s="12"/>
    </row>
    <row r="1746" spans="2:5" x14ac:dyDescent="0.25">
      <c r="B1746" s="12"/>
      <c r="C1746" s="12"/>
      <c r="D1746" s="12"/>
      <c r="E1746" s="12"/>
    </row>
    <row r="1747" spans="2:5" x14ac:dyDescent="0.25">
      <c r="B1747" s="12"/>
      <c r="C1747" s="12"/>
      <c r="D1747" s="12"/>
      <c r="E1747" s="12"/>
    </row>
    <row r="1748" spans="2:5" x14ac:dyDescent="0.25">
      <c r="B1748" s="12"/>
      <c r="C1748" s="12"/>
      <c r="D1748" s="12"/>
      <c r="E1748" s="12"/>
    </row>
    <row r="1749" spans="2:5" x14ac:dyDescent="0.25">
      <c r="B1749" s="12"/>
      <c r="C1749" s="12"/>
      <c r="D1749" s="12"/>
      <c r="E1749" s="12"/>
    </row>
    <row r="1750" spans="2:5" x14ac:dyDescent="0.25">
      <c r="B1750" s="12"/>
      <c r="C1750" s="12"/>
      <c r="D1750" s="12"/>
      <c r="E1750" s="12"/>
    </row>
    <row r="1751" spans="2:5" x14ac:dyDescent="0.25">
      <c r="B1751" s="12"/>
      <c r="C1751" s="12"/>
      <c r="D1751" s="12"/>
      <c r="E1751" s="12"/>
    </row>
    <row r="1752" spans="2:5" x14ac:dyDescent="0.25">
      <c r="B1752" s="12"/>
      <c r="C1752" s="12"/>
      <c r="D1752" s="12"/>
      <c r="E1752" s="12"/>
    </row>
    <row r="1753" spans="2:5" x14ac:dyDescent="0.25">
      <c r="B1753" s="12"/>
      <c r="C1753" s="12"/>
      <c r="D1753" s="12"/>
      <c r="E1753" s="12"/>
    </row>
    <row r="1754" spans="2:5" x14ac:dyDescent="0.25">
      <c r="B1754" s="12"/>
      <c r="C1754" s="12"/>
      <c r="D1754" s="12"/>
      <c r="E1754" s="12"/>
    </row>
    <row r="1755" spans="2:5" x14ac:dyDescent="0.25">
      <c r="B1755" s="12"/>
      <c r="C1755" s="12"/>
      <c r="D1755" s="12"/>
      <c r="E1755" s="12"/>
    </row>
    <row r="1756" spans="2:5" x14ac:dyDescent="0.25">
      <c r="B1756" s="12"/>
      <c r="C1756" s="12"/>
      <c r="D1756" s="12"/>
      <c r="E1756" s="12"/>
    </row>
    <row r="1757" spans="2:5" x14ac:dyDescent="0.25">
      <c r="B1757" s="12"/>
      <c r="C1757" s="12"/>
      <c r="D1757" s="12"/>
      <c r="E1757" s="12"/>
    </row>
    <row r="1758" spans="2:5" x14ac:dyDescent="0.25">
      <c r="B1758" s="12"/>
      <c r="C1758" s="12"/>
      <c r="D1758" s="12"/>
      <c r="E1758" s="12"/>
    </row>
    <row r="1759" spans="2:5" x14ac:dyDescent="0.25">
      <c r="B1759" s="12"/>
      <c r="C1759" s="12"/>
      <c r="D1759" s="12"/>
      <c r="E1759" s="12"/>
    </row>
    <row r="1760" spans="2:5" x14ac:dyDescent="0.25">
      <c r="B1760" s="12"/>
      <c r="C1760" s="12"/>
      <c r="D1760" s="12"/>
      <c r="E1760" s="12"/>
    </row>
    <row r="1761" spans="2:5" x14ac:dyDescent="0.25">
      <c r="B1761" s="12"/>
      <c r="C1761" s="12"/>
      <c r="D1761" s="12"/>
      <c r="E1761" s="12"/>
    </row>
    <row r="1762" spans="2:5" x14ac:dyDescent="0.25">
      <c r="B1762" s="12"/>
      <c r="C1762" s="12"/>
      <c r="D1762" s="12"/>
      <c r="E1762" s="12"/>
    </row>
    <row r="1763" spans="2:5" x14ac:dyDescent="0.25">
      <c r="B1763" s="12"/>
      <c r="C1763" s="12"/>
      <c r="D1763" s="12"/>
      <c r="E1763" s="12"/>
    </row>
    <row r="1764" spans="2:5" x14ac:dyDescent="0.25">
      <c r="B1764" s="12"/>
      <c r="C1764" s="12"/>
      <c r="D1764" s="12"/>
      <c r="E1764" s="12"/>
    </row>
    <row r="1765" spans="2:5" x14ac:dyDescent="0.25">
      <c r="B1765" s="12"/>
      <c r="C1765" s="12"/>
      <c r="D1765" s="12"/>
      <c r="E1765" s="12"/>
    </row>
    <row r="1766" spans="2:5" x14ac:dyDescent="0.25">
      <c r="B1766" s="12"/>
      <c r="C1766" s="12"/>
      <c r="D1766" s="12"/>
      <c r="E1766" s="12"/>
    </row>
    <row r="1767" spans="2:5" x14ac:dyDescent="0.25">
      <c r="B1767" s="12"/>
      <c r="C1767" s="12"/>
      <c r="D1767" s="12"/>
      <c r="E1767" s="12"/>
    </row>
    <row r="1768" spans="2:5" x14ac:dyDescent="0.25">
      <c r="B1768" s="12"/>
      <c r="C1768" s="12"/>
      <c r="D1768" s="12"/>
      <c r="E1768" s="12"/>
    </row>
    <row r="1769" spans="2:5" x14ac:dyDescent="0.25">
      <c r="B1769" s="12"/>
      <c r="C1769" s="12"/>
      <c r="D1769" s="12"/>
      <c r="E1769" s="12"/>
    </row>
    <row r="1770" spans="2:5" x14ac:dyDescent="0.25">
      <c r="B1770" s="12"/>
      <c r="C1770" s="12"/>
      <c r="D1770" s="12"/>
      <c r="E1770" s="12"/>
    </row>
    <row r="1771" spans="2:5" x14ac:dyDescent="0.25">
      <c r="B1771" s="12"/>
      <c r="C1771" s="12"/>
      <c r="D1771" s="12"/>
      <c r="E1771" s="12"/>
    </row>
    <row r="1772" spans="2:5" x14ac:dyDescent="0.25">
      <c r="B1772" s="12"/>
      <c r="C1772" s="12"/>
      <c r="D1772" s="12"/>
      <c r="E1772" s="12"/>
    </row>
    <row r="1773" spans="2:5" x14ac:dyDescent="0.25">
      <c r="B1773" s="12"/>
      <c r="C1773" s="12"/>
      <c r="D1773" s="12"/>
      <c r="E1773" s="12"/>
    </row>
    <row r="1774" spans="2:5" x14ac:dyDescent="0.25">
      <c r="B1774" s="12"/>
      <c r="C1774" s="12"/>
      <c r="D1774" s="12"/>
      <c r="E1774" s="12"/>
    </row>
    <row r="1775" spans="2:5" x14ac:dyDescent="0.25">
      <c r="B1775" s="12"/>
      <c r="C1775" s="12"/>
      <c r="D1775" s="12"/>
      <c r="E1775" s="12"/>
    </row>
    <row r="1776" spans="2:5" x14ac:dyDescent="0.25">
      <c r="B1776" s="12"/>
      <c r="C1776" s="12"/>
      <c r="D1776" s="12"/>
      <c r="E1776" s="12"/>
    </row>
    <row r="1777" spans="2:5" x14ac:dyDescent="0.25">
      <c r="B1777" s="12"/>
      <c r="C1777" s="12"/>
      <c r="D1777" s="12"/>
      <c r="E1777" s="12"/>
    </row>
    <row r="1778" spans="2:5" x14ac:dyDescent="0.25">
      <c r="B1778" s="12"/>
      <c r="C1778" s="12"/>
      <c r="D1778" s="12"/>
      <c r="E1778" s="12"/>
    </row>
    <row r="1779" spans="2:5" x14ac:dyDescent="0.25">
      <c r="B1779" s="12"/>
      <c r="C1779" s="12"/>
      <c r="D1779" s="12"/>
      <c r="E1779" s="12"/>
    </row>
    <row r="1780" spans="2:5" x14ac:dyDescent="0.25">
      <c r="B1780" s="12"/>
      <c r="C1780" s="12"/>
      <c r="D1780" s="12"/>
      <c r="E1780" s="12"/>
    </row>
    <row r="1781" spans="2:5" x14ac:dyDescent="0.25">
      <c r="B1781" s="12"/>
      <c r="C1781" s="12"/>
      <c r="D1781" s="12"/>
      <c r="E1781" s="12"/>
    </row>
    <row r="1782" spans="2:5" x14ac:dyDescent="0.25">
      <c r="B1782" s="12"/>
      <c r="C1782" s="12"/>
      <c r="D1782" s="12"/>
      <c r="E1782" s="12"/>
    </row>
    <row r="1783" spans="2:5" x14ac:dyDescent="0.25">
      <c r="B1783" s="12"/>
      <c r="C1783" s="12"/>
      <c r="D1783" s="12"/>
      <c r="E1783" s="12"/>
    </row>
    <row r="1784" spans="2:5" x14ac:dyDescent="0.25">
      <c r="B1784" s="12"/>
      <c r="C1784" s="12"/>
      <c r="D1784" s="12"/>
      <c r="E1784" s="12"/>
    </row>
    <row r="1785" spans="2:5" x14ac:dyDescent="0.25">
      <c r="B1785" s="12"/>
      <c r="C1785" s="12"/>
      <c r="D1785" s="12"/>
      <c r="E1785" s="12"/>
    </row>
    <row r="1786" spans="2:5" x14ac:dyDescent="0.25">
      <c r="B1786" s="12"/>
      <c r="C1786" s="12"/>
      <c r="D1786" s="12"/>
      <c r="E1786" s="12"/>
    </row>
    <row r="1787" spans="2:5" x14ac:dyDescent="0.25">
      <c r="B1787" s="12"/>
      <c r="C1787" s="12"/>
      <c r="D1787" s="12"/>
      <c r="E1787" s="12"/>
    </row>
    <row r="1788" spans="2:5" x14ac:dyDescent="0.25">
      <c r="B1788" s="12"/>
      <c r="C1788" s="12"/>
      <c r="D1788" s="12"/>
      <c r="E1788" s="12"/>
    </row>
    <row r="1789" spans="2:5" x14ac:dyDescent="0.25">
      <c r="B1789" s="12"/>
      <c r="C1789" s="12"/>
      <c r="D1789" s="12"/>
      <c r="E1789" s="12"/>
    </row>
    <row r="1790" spans="2:5" x14ac:dyDescent="0.25">
      <c r="B1790" s="12"/>
      <c r="C1790" s="12"/>
      <c r="D1790" s="12"/>
      <c r="E1790" s="12"/>
    </row>
    <row r="1791" spans="2:5" x14ac:dyDescent="0.25">
      <c r="B1791" s="12"/>
      <c r="C1791" s="12"/>
      <c r="D1791" s="12"/>
      <c r="E1791" s="12"/>
    </row>
    <row r="1792" spans="2:5" x14ac:dyDescent="0.25">
      <c r="B1792" s="12"/>
      <c r="C1792" s="12"/>
      <c r="D1792" s="12"/>
      <c r="E1792" s="12"/>
    </row>
    <row r="1793" spans="2:5" x14ac:dyDescent="0.25">
      <c r="B1793" s="12"/>
      <c r="C1793" s="12"/>
      <c r="D1793" s="12"/>
      <c r="E1793" s="12"/>
    </row>
    <row r="1794" spans="2:5" x14ac:dyDescent="0.25">
      <c r="B1794" s="12"/>
      <c r="C1794" s="12"/>
      <c r="D1794" s="12"/>
      <c r="E1794" s="12"/>
    </row>
    <row r="1795" spans="2:5" x14ac:dyDescent="0.25">
      <c r="B1795" s="12"/>
      <c r="C1795" s="12"/>
      <c r="D1795" s="12"/>
      <c r="E1795" s="12"/>
    </row>
    <row r="1796" spans="2:5" x14ac:dyDescent="0.25">
      <c r="B1796" s="12"/>
      <c r="C1796" s="12"/>
      <c r="D1796" s="12"/>
      <c r="E1796" s="12"/>
    </row>
    <row r="1797" spans="2:5" x14ac:dyDescent="0.25">
      <c r="B1797" s="12"/>
      <c r="C1797" s="12"/>
      <c r="D1797" s="12"/>
      <c r="E1797" s="12"/>
    </row>
    <row r="1798" spans="2:5" x14ac:dyDescent="0.25">
      <c r="B1798" s="12"/>
      <c r="C1798" s="12"/>
      <c r="D1798" s="12"/>
      <c r="E1798" s="12"/>
    </row>
    <row r="1799" spans="2:5" x14ac:dyDescent="0.25">
      <c r="B1799" s="12"/>
      <c r="C1799" s="12"/>
      <c r="D1799" s="12"/>
      <c r="E1799" s="12"/>
    </row>
    <row r="1800" spans="2:5" x14ac:dyDescent="0.25">
      <c r="B1800" s="12"/>
      <c r="C1800" s="12"/>
      <c r="D1800" s="12"/>
      <c r="E1800" s="12"/>
    </row>
    <row r="1801" spans="2:5" x14ac:dyDescent="0.25">
      <c r="B1801" s="12"/>
      <c r="C1801" s="12"/>
      <c r="D1801" s="12"/>
      <c r="E1801" s="12"/>
    </row>
    <row r="1802" spans="2:5" x14ac:dyDescent="0.25">
      <c r="B1802" s="12"/>
      <c r="C1802" s="12"/>
      <c r="D1802" s="12"/>
      <c r="E1802" s="12"/>
    </row>
    <row r="1803" spans="2:5" x14ac:dyDescent="0.25">
      <c r="B1803" s="12"/>
      <c r="C1803" s="12"/>
      <c r="D1803" s="12"/>
      <c r="E1803" s="12"/>
    </row>
    <row r="1804" spans="2:5" x14ac:dyDescent="0.25">
      <c r="B1804" s="12"/>
      <c r="C1804" s="12"/>
      <c r="D1804" s="12"/>
      <c r="E1804" s="12"/>
    </row>
    <row r="1805" spans="2:5" x14ac:dyDescent="0.25">
      <c r="B1805" s="12"/>
      <c r="C1805" s="12"/>
      <c r="D1805" s="12"/>
      <c r="E1805" s="12"/>
    </row>
    <row r="1806" spans="2:5" x14ac:dyDescent="0.25">
      <c r="B1806" s="12"/>
      <c r="C1806" s="12"/>
      <c r="D1806" s="12"/>
      <c r="E1806" s="12"/>
    </row>
    <row r="1807" spans="2:5" x14ac:dyDescent="0.25">
      <c r="B1807" s="12"/>
      <c r="C1807" s="12"/>
      <c r="D1807" s="12"/>
      <c r="E1807" s="12"/>
    </row>
    <row r="1808" spans="2:5" x14ac:dyDescent="0.25">
      <c r="B1808" s="12"/>
      <c r="C1808" s="12"/>
      <c r="D1808" s="12"/>
      <c r="E1808" s="12"/>
    </row>
    <row r="1809" spans="2:5" x14ac:dyDescent="0.25">
      <c r="B1809" s="12"/>
      <c r="C1809" s="12"/>
      <c r="D1809" s="12"/>
      <c r="E1809" s="12"/>
    </row>
    <row r="1810" spans="2:5" x14ac:dyDescent="0.25">
      <c r="B1810" s="12"/>
      <c r="C1810" s="12"/>
      <c r="D1810" s="12"/>
      <c r="E1810" s="12"/>
    </row>
    <row r="1811" spans="2:5" x14ac:dyDescent="0.25">
      <c r="B1811" s="12"/>
      <c r="C1811" s="12"/>
      <c r="D1811" s="12"/>
      <c r="E1811" s="12"/>
    </row>
    <row r="1812" spans="2:5" x14ac:dyDescent="0.25">
      <c r="B1812" s="12"/>
      <c r="C1812" s="12"/>
      <c r="D1812" s="12"/>
      <c r="E1812" s="12"/>
    </row>
    <row r="1813" spans="2:5" x14ac:dyDescent="0.25">
      <c r="B1813" s="12"/>
      <c r="C1813" s="12"/>
      <c r="D1813" s="12"/>
      <c r="E1813" s="12"/>
    </row>
    <row r="1814" spans="2:5" x14ac:dyDescent="0.25">
      <c r="B1814" s="12"/>
      <c r="C1814" s="12"/>
      <c r="D1814" s="12"/>
      <c r="E1814" s="12"/>
    </row>
    <row r="1815" spans="2:5" x14ac:dyDescent="0.25">
      <c r="B1815" s="12"/>
      <c r="C1815" s="12"/>
      <c r="D1815" s="12"/>
      <c r="E1815" s="12"/>
    </row>
    <row r="1816" spans="2:5" x14ac:dyDescent="0.25">
      <c r="B1816" s="12"/>
      <c r="C1816" s="12"/>
      <c r="D1816" s="12"/>
      <c r="E1816" s="12"/>
    </row>
    <row r="1817" spans="2:5" x14ac:dyDescent="0.25">
      <c r="B1817" s="12"/>
      <c r="C1817" s="12"/>
      <c r="D1817" s="12"/>
      <c r="E1817" s="12"/>
    </row>
    <row r="1818" spans="2:5" x14ac:dyDescent="0.25">
      <c r="B1818" s="12"/>
      <c r="C1818" s="12"/>
      <c r="D1818" s="12"/>
      <c r="E1818" s="12"/>
    </row>
    <row r="1819" spans="2:5" x14ac:dyDescent="0.25">
      <c r="B1819" s="12"/>
      <c r="C1819" s="12"/>
      <c r="D1819" s="12"/>
      <c r="E1819" s="12"/>
    </row>
    <row r="1820" spans="2:5" x14ac:dyDescent="0.25">
      <c r="B1820" s="12"/>
      <c r="C1820" s="12"/>
      <c r="D1820" s="12"/>
      <c r="E1820" s="12"/>
    </row>
    <row r="1821" spans="2:5" x14ac:dyDescent="0.25">
      <c r="B1821" s="12"/>
      <c r="C1821" s="12"/>
      <c r="D1821" s="12"/>
      <c r="E1821" s="12"/>
    </row>
    <row r="1822" spans="2:5" x14ac:dyDescent="0.25">
      <c r="B1822" s="12"/>
      <c r="C1822" s="12"/>
      <c r="D1822" s="12"/>
      <c r="E1822" s="12"/>
    </row>
    <row r="1823" spans="2:5" x14ac:dyDescent="0.25">
      <c r="B1823" s="12"/>
      <c r="C1823" s="12"/>
      <c r="D1823" s="12"/>
      <c r="E1823" s="12"/>
    </row>
    <row r="1824" spans="2:5" x14ac:dyDescent="0.25">
      <c r="B1824" s="12"/>
      <c r="C1824" s="12"/>
      <c r="D1824" s="12"/>
      <c r="E1824" s="12"/>
    </row>
    <row r="1825" spans="2:5" x14ac:dyDescent="0.25">
      <c r="B1825" s="12"/>
      <c r="C1825" s="12"/>
      <c r="D1825" s="12"/>
      <c r="E1825" s="12"/>
    </row>
    <row r="1826" spans="2:5" x14ac:dyDescent="0.25">
      <c r="B1826" s="12"/>
      <c r="C1826" s="12"/>
      <c r="D1826" s="12"/>
      <c r="E1826" s="12"/>
    </row>
    <row r="1827" spans="2:5" x14ac:dyDescent="0.25">
      <c r="B1827" s="12"/>
      <c r="C1827" s="12"/>
      <c r="D1827" s="12"/>
      <c r="E1827" s="12"/>
    </row>
    <row r="1828" spans="2:5" x14ac:dyDescent="0.25">
      <c r="B1828" s="12"/>
      <c r="C1828" s="12"/>
      <c r="D1828" s="12"/>
      <c r="E1828" s="12"/>
    </row>
    <row r="1829" spans="2:5" x14ac:dyDescent="0.25">
      <c r="B1829" s="12"/>
      <c r="C1829" s="12"/>
      <c r="D1829" s="12"/>
      <c r="E1829" s="12"/>
    </row>
    <row r="1830" spans="2:5" x14ac:dyDescent="0.25">
      <c r="B1830" s="12"/>
      <c r="C1830" s="12"/>
      <c r="D1830" s="12"/>
      <c r="E1830" s="12"/>
    </row>
    <row r="1831" spans="2:5" x14ac:dyDescent="0.25">
      <c r="B1831" s="12"/>
      <c r="C1831" s="12"/>
      <c r="D1831" s="12"/>
      <c r="E1831" s="12"/>
    </row>
    <row r="1832" spans="2:5" x14ac:dyDescent="0.25">
      <c r="B1832" s="12"/>
      <c r="C1832" s="12"/>
      <c r="D1832" s="12"/>
      <c r="E1832" s="12"/>
    </row>
    <row r="1833" spans="2:5" x14ac:dyDescent="0.25">
      <c r="B1833" s="12"/>
      <c r="C1833" s="12"/>
      <c r="D1833" s="12"/>
      <c r="E1833" s="12"/>
    </row>
    <row r="1834" spans="2:5" x14ac:dyDescent="0.25">
      <c r="B1834" s="12"/>
      <c r="C1834" s="12"/>
      <c r="D1834" s="12"/>
      <c r="E1834" s="12"/>
    </row>
    <row r="1835" spans="2:5" x14ac:dyDescent="0.25">
      <c r="B1835" s="12"/>
      <c r="C1835" s="12"/>
      <c r="D1835" s="12"/>
      <c r="E1835" s="12"/>
    </row>
    <row r="1836" spans="2:5" x14ac:dyDescent="0.25">
      <c r="B1836" s="12"/>
      <c r="C1836" s="12"/>
      <c r="D1836" s="12"/>
      <c r="E1836" s="12"/>
    </row>
    <row r="1837" spans="2:5" x14ac:dyDescent="0.25">
      <c r="B1837" s="12"/>
      <c r="C1837" s="12"/>
      <c r="D1837" s="12"/>
      <c r="E1837" s="12"/>
    </row>
    <row r="1838" spans="2:5" x14ac:dyDescent="0.25">
      <c r="B1838" s="12"/>
      <c r="C1838" s="12"/>
      <c r="D1838" s="12"/>
      <c r="E1838" s="12"/>
    </row>
    <row r="1839" spans="2:5" x14ac:dyDescent="0.25">
      <c r="B1839" s="12"/>
      <c r="C1839" s="12"/>
      <c r="D1839" s="12"/>
      <c r="E1839" s="12"/>
    </row>
    <row r="1840" spans="2:5" x14ac:dyDescent="0.25">
      <c r="B1840" s="12"/>
      <c r="C1840" s="12"/>
      <c r="D1840" s="12"/>
      <c r="E1840" s="12"/>
    </row>
    <row r="1841" spans="2:5" x14ac:dyDescent="0.25">
      <c r="B1841" s="12"/>
      <c r="C1841" s="12"/>
      <c r="D1841" s="12"/>
      <c r="E1841" s="12"/>
    </row>
    <row r="1842" spans="2:5" x14ac:dyDescent="0.25">
      <c r="B1842" s="12"/>
      <c r="C1842" s="12"/>
      <c r="D1842" s="12"/>
      <c r="E1842" s="12"/>
    </row>
    <row r="1843" spans="2:5" x14ac:dyDescent="0.25">
      <c r="B1843" s="12"/>
      <c r="C1843" s="12"/>
      <c r="D1843" s="12"/>
      <c r="E1843" s="12"/>
    </row>
    <row r="1844" spans="2:5" x14ac:dyDescent="0.25">
      <c r="B1844" s="12"/>
      <c r="C1844" s="12"/>
      <c r="D1844" s="12"/>
      <c r="E1844" s="12"/>
    </row>
    <row r="1845" spans="2:5" x14ac:dyDescent="0.25">
      <c r="B1845" s="12"/>
      <c r="C1845" s="12"/>
      <c r="D1845" s="12"/>
      <c r="E1845" s="12"/>
    </row>
    <row r="1846" spans="2:5" x14ac:dyDescent="0.25">
      <c r="B1846" s="12"/>
      <c r="C1846" s="12"/>
      <c r="D1846" s="12"/>
      <c r="E1846" s="12"/>
    </row>
    <row r="1847" spans="2:5" x14ac:dyDescent="0.25">
      <c r="B1847" s="12"/>
      <c r="C1847" s="12"/>
      <c r="D1847" s="12"/>
      <c r="E1847" s="12"/>
    </row>
    <row r="1848" spans="2:5" x14ac:dyDescent="0.25">
      <c r="B1848" s="12"/>
      <c r="C1848" s="12"/>
      <c r="D1848" s="12"/>
      <c r="E1848" s="12"/>
    </row>
    <row r="1849" spans="2:5" x14ac:dyDescent="0.25">
      <c r="B1849" s="12"/>
      <c r="C1849" s="12"/>
      <c r="D1849" s="12"/>
      <c r="E1849" s="12"/>
    </row>
    <row r="1850" spans="2:5" x14ac:dyDescent="0.25">
      <c r="B1850" s="12"/>
      <c r="C1850" s="12"/>
      <c r="D1850" s="12"/>
      <c r="E1850" s="12"/>
    </row>
    <row r="1851" spans="2:5" x14ac:dyDescent="0.25">
      <c r="B1851" s="12"/>
      <c r="C1851" s="12"/>
      <c r="D1851" s="12"/>
      <c r="E1851" s="12"/>
    </row>
    <row r="1852" spans="2:5" x14ac:dyDescent="0.25">
      <c r="B1852" s="12"/>
      <c r="C1852" s="12"/>
      <c r="D1852" s="12"/>
      <c r="E1852" s="12"/>
    </row>
    <row r="1853" spans="2:5" x14ac:dyDescent="0.25">
      <c r="B1853" s="12"/>
      <c r="C1853" s="12"/>
      <c r="D1853" s="12"/>
      <c r="E1853" s="12"/>
    </row>
    <row r="1854" spans="2:5" x14ac:dyDescent="0.25">
      <c r="B1854" s="12"/>
      <c r="C1854" s="12"/>
      <c r="D1854" s="12"/>
      <c r="E1854" s="12"/>
    </row>
    <row r="1855" spans="2:5" x14ac:dyDescent="0.25">
      <c r="B1855" s="12"/>
      <c r="C1855" s="12"/>
      <c r="D1855" s="12"/>
      <c r="E1855" s="12"/>
    </row>
    <row r="1856" spans="2:5" x14ac:dyDescent="0.25">
      <c r="B1856" s="12"/>
      <c r="C1856" s="12"/>
      <c r="D1856" s="12"/>
      <c r="E1856" s="12"/>
    </row>
    <row r="1857" spans="2:5" x14ac:dyDescent="0.25">
      <c r="B1857" s="12"/>
      <c r="C1857" s="12"/>
      <c r="D1857" s="12"/>
      <c r="E1857" s="12"/>
    </row>
    <row r="1858" spans="2:5" x14ac:dyDescent="0.25">
      <c r="B1858" s="12"/>
      <c r="C1858" s="12"/>
      <c r="D1858" s="12"/>
      <c r="E1858" s="12"/>
    </row>
    <row r="1859" spans="2:5" x14ac:dyDescent="0.25">
      <c r="B1859" s="12"/>
      <c r="C1859" s="12"/>
      <c r="D1859" s="12"/>
      <c r="E1859" s="12"/>
    </row>
    <row r="1860" spans="2:5" x14ac:dyDescent="0.25">
      <c r="B1860" s="12"/>
      <c r="C1860" s="12"/>
      <c r="D1860" s="12"/>
      <c r="E1860" s="12"/>
    </row>
    <row r="1861" spans="2:5" x14ac:dyDescent="0.25">
      <c r="B1861" s="12"/>
      <c r="C1861" s="12"/>
      <c r="D1861" s="12"/>
      <c r="E1861" s="12"/>
    </row>
    <row r="1862" spans="2:5" x14ac:dyDescent="0.25">
      <c r="B1862" s="12"/>
      <c r="C1862" s="12"/>
      <c r="D1862" s="12"/>
      <c r="E1862" s="12"/>
    </row>
    <row r="1863" spans="2:5" x14ac:dyDescent="0.25">
      <c r="B1863" s="12"/>
      <c r="C1863" s="12"/>
      <c r="D1863" s="12"/>
      <c r="E1863" s="12"/>
    </row>
    <row r="1864" spans="2:5" x14ac:dyDescent="0.25">
      <c r="B1864" s="12"/>
      <c r="C1864" s="12"/>
      <c r="D1864" s="12"/>
      <c r="E1864" s="12"/>
    </row>
    <row r="1865" spans="2:5" x14ac:dyDescent="0.25">
      <c r="B1865" s="12"/>
      <c r="C1865" s="12"/>
      <c r="D1865" s="12"/>
      <c r="E1865" s="12"/>
    </row>
    <row r="1866" spans="2:5" x14ac:dyDescent="0.25">
      <c r="B1866" s="12"/>
      <c r="C1866" s="12"/>
      <c r="D1866" s="12"/>
      <c r="E1866" s="12"/>
    </row>
    <row r="1867" spans="2:5" x14ac:dyDescent="0.25">
      <c r="B1867" s="12"/>
      <c r="C1867" s="12"/>
      <c r="D1867" s="12"/>
      <c r="E1867" s="12"/>
    </row>
    <row r="1868" spans="2:5" x14ac:dyDescent="0.25">
      <c r="B1868" s="12"/>
      <c r="C1868" s="12"/>
      <c r="D1868" s="12"/>
      <c r="E1868" s="12"/>
    </row>
    <row r="1869" spans="2:5" x14ac:dyDescent="0.25">
      <c r="B1869" s="12"/>
      <c r="C1869" s="12"/>
      <c r="D1869" s="12"/>
      <c r="E1869" s="12"/>
    </row>
    <row r="1870" spans="2:5" x14ac:dyDescent="0.25">
      <c r="B1870" s="12"/>
      <c r="C1870" s="12"/>
      <c r="D1870" s="12"/>
      <c r="E1870" s="12"/>
    </row>
    <row r="1871" spans="2:5" x14ac:dyDescent="0.25">
      <c r="B1871" s="12"/>
      <c r="C1871" s="12"/>
      <c r="D1871" s="12"/>
      <c r="E1871" s="12"/>
    </row>
    <row r="1872" spans="2:5" x14ac:dyDescent="0.25">
      <c r="B1872" s="12"/>
      <c r="C1872" s="12"/>
      <c r="D1872" s="12"/>
      <c r="E1872" s="12"/>
    </row>
    <row r="1873" spans="2:5" x14ac:dyDescent="0.25">
      <c r="B1873" s="12"/>
      <c r="C1873" s="12"/>
      <c r="D1873" s="12"/>
      <c r="E1873" s="12"/>
    </row>
    <row r="1874" spans="2:5" x14ac:dyDescent="0.25">
      <c r="B1874" s="12"/>
      <c r="C1874" s="12"/>
      <c r="D1874" s="12"/>
      <c r="E1874" s="12"/>
    </row>
    <row r="1875" spans="2:5" x14ac:dyDescent="0.25">
      <c r="B1875" s="12"/>
      <c r="C1875" s="12"/>
      <c r="D1875" s="12"/>
      <c r="E1875" s="12"/>
    </row>
    <row r="1876" spans="2:5" x14ac:dyDescent="0.25">
      <c r="B1876" s="12"/>
      <c r="C1876" s="12"/>
      <c r="D1876" s="12"/>
      <c r="E1876" s="12"/>
    </row>
    <row r="1877" spans="2:5" x14ac:dyDescent="0.25">
      <c r="B1877" s="12"/>
      <c r="C1877" s="12"/>
      <c r="D1877" s="12"/>
      <c r="E1877" s="12"/>
    </row>
    <row r="1878" spans="2:5" x14ac:dyDescent="0.25">
      <c r="B1878" s="12"/>
      <c r="C1878" s="12"/>
      <c r="D1878" s="12"/>
      <c r="E1878" s="12"/>
    </row>
    <row r="1879" spans="2:5" x14ac:dyDescent="0.25">
      <c r="B1879" s="12"/>
      <c r="C1879" s="12"/>
      <c r="D1879" s="12"/>
      <c r="E1879" s="12"/>
    </row>
    <row r="1880" spans="2:5" x14ac:dyDescent="0.25">
      <c r="B1880" s="12"/>
      <c r="C1880" s="12"/>
      <c r="D1880" s="12"/>
      <c r="E1880" s="12"/>
    </row>
    <row r="1881" spans="2:5" x14ac:dyDescent="0.25">
      <c r="B1881" s="12"/>
      <c r="C1881" s="12"/>
      <c r="D1881" s="12"/>
      <c r="E1881" s="12"/>
    </row>
    <row r="1882" spans="2:5" x14ac:dyDescent="0.25">
      <c r="B1882" s="12"/>
      <c r="C1882" s="12"/>
      <c r="D1882" s="12"/>
      <c r="E1882" s="12"/>
    </row>
    <row r="1883" spans="2:5" x14ac:dyDescent="0.25">
      <c r="B1883" s="12"/>
      <c r="C1883" s="12"/>
      <c r="D1883" s="12"/>
      <c r="E1883" s="12"/>
    </row>
    <row r="1884" spans="2:5" x14ac:dyDescent="0.25">
      <c r="B1884" s="12"/>
      <c r="C1884" s="12"/>
      <c r="D1884" s="12"/>
      <c r="E1884" s="12"/>
    </row>
    <row r="1885" spans="2:5" x14ac:dyDescent="0.25">
      <c r="B1885" s="12"/>
      <c r="C1885" s="12"/>
      <c r="D1885" s="12"/>
      <c r="E1885" s="12"/>
    </row>
    <row r="1886" spans="2:5" x14ac:dyDescent="0.25">
      <c r="B1886" s="12"/>
      <c r="C1886" s="12"/>
      <c r="D1886" s="12"/>
      <c r="E1886" s="12"/>
    </row>
    <row r="1887" spans="2:5" x14ac:dyDescent="0.25">
      <c r="B1887" s="12"/>
      <c r="C1887" s="12"/>
      <c r="D1887" s="12"/>
      <c r="E1887" s="12"/>
    </row>
    <row r="1888" spans="2:5" x14ac:dyDescent="0.25">
      <c r="B1888" s="12"/>
      <c r="C1888" s="12"/>
      <c r="D1888" s="12"/>
      <c r="E1888" s="12"/>
    </row>
    <row r="1889" spans="2:5" x14ac:dyDescent="0.25">
      <c r="B1889" s="12"/>
      <c r="C1889" s="12"/>
      <c r="D1889" s="12"/>
      <c r="E1889" s="12"/>
    </row>
    <row r="1890" spans="2:5" x14ac:dyDescent="0.25">
      <c r="B1890" s="12"/>
      <c r="C1890" s="12"/>
      <c r="D1890" s="12"/>
      <c r="E1890" s="12"/>
    </row>
    <row r="1891" spans="2:5" x14ac:dyDescent="0.25">
      <c r="B1891" s="12"/>
      <c r="C1891" s="12"/>
      <c r="D1891" s="12"/>
      <c r="E1891" s="12"/>
    </row>
    <row r="1892" spans="2:5" x14ac:dyDescent="0.25">
      <c r="B1892" s="12"/>
      <c r="C1892" s="12"/>
      <c r="D1892" s="12"/>
      <c r="E1892" s="12"/>
    </row>
    <row r="1893" spans="2:5" x14ac:dyDescent="0.25">
      <c r="B1893" s="12"/>
      <c r="C1893" s="12"/>
      <c r="D1893" s="12"/>
      <c r="E1893" s="12"/>
    </row>
    <row r="1894" spans="2:5" x14ac:dyDescent="0.25">
      <c r="B1894" s="12"/>
      <c r="C1894" s="12"/>
      <c r="D1894" s="12"/>
      <c r="E1894" s="12"/>
    </row>
    <row r="1895" spans="2:5" x14ac:dyDescent="0.25">
      <c r="B1895" s="12"/>
      <c r="C1895" s="12"/>
      <c r="D1895" s="12"/>
      <c r="E1895" s="12"/>
    </row>
    <row r="1896" spans="2:5" x14ac:dyDescent="0.25">
      <c r="B1896" s="12"/>
      <c r="C1896" s="12"/>
      <c r="D1896" s="12"/>
      <c r="E1896" s="12"/>
    </row>
    <row r="1897" spans="2:5" x14ac:dyDescent="0.25">
      <c r="B1897" s="12"/>
      <c r="C1897" s="12"/>
      <c r="D1897" s="12"/>
      <c r="E1897" s="12"/>
    </row>
    <row r="1898" spans="2:5" x14ac:dyDescent="0.25">
      <c r="B1898" s="12"/>
      <c r="C1898" s="12"/>
      <c r="D1898" s="12"/>
      <c r="E1898" s="12"/>
    </row>
    <row r="1899" spans="2:5" x14ac:dyDescent="0.25">
      <c r="B1899" s="12"/>
      <c r="C1899" s="12"/>
      <c r="D1899" s="12"/>
      <c r="E1899" s="12"/>
    </row>
    <row r="1900" spans="2:5" x14ac:dyDescent="0.25">
      <c r="B1900" s="12"/>
      <c r="C1900" s="12"/>
      <c r="D1900" s="12"/>
      <c r="E1900" s="12"/>
    </row>
    <row r="1901" spans="2:5" x14ac:dyDescent="0.25">
      <c r="B1901" s="12"/>
      <c r="C1901" s="12"/>
      <c r="D1901" s="12"/>
      <c r="E1901" s="12"/>
    </row>
    <row r="1902" spans="2:5" x14ac:dyDescent="0.25">
      <c r="B1902" s="12"/>
      <c r="C1902" s="12"/>
      <c r="D1902" s="12"/>
      <c r="E1902" s="12"/>
    </row>
    <row r="1903" spans="2:5" x14ac:dyDescent="0.25">
      <c r="B1903" s="12"/>
      <c r="C1903" s="12"/>
      <c r="D1903" s="12"/>
      <c r="E1903" s="12"/>
    </row>
    <row r="1904" spans="2:5" x14ac:dyDescent="0.25">
      <c r="B1904" s="12"/>
      <c r="C1904" s="12"/>
      <c r="D1904" s="12"/>
      <c r="E1904" s="12"/>
    </row>
    <row r="1905" spans="2:5" x14ac:dyDescent="0.25">
      <c r="B1905" s="12"/>
      <c r="C1905" s="12"/>
      <c r="D1905" s="12"/>
      <c r="E1905" s="12"/>
    </row>
    <row r="1906" spans="2:5" x14ac:dyDescent="0.25">
      <c r="B1906" s="12"/>
      <c r="C1906" s="12"/>
      <c r="D1906" s="12"/>
      <c r="E1906" s="12"/>
    </row>
    <row r="1907" spans="2:5" x14ac:dyDescent="0.25">
      <c r="B1907" s="12"/>
      <c r="C1907" s="12"/>
      <c r="D1907" s="12"/>
      <c r="E1907" s="12"/>
    </row>
    <row r="1908" spans="2:5" x14ac:dyDescent="0.25">
      <c r="B1908" s="12"/>
      <c r="C1908" s="12"/>
      <c r="D1908" s="12"/>
      <c r="E1908" s="12"/>
    </row>
    <row r="1909" spans="2:5" x14ac:dyDescent="0.25">
      <c r="B1909" s="12"/>
      <c r="C1909" s="12"/>
      <c r="D1909" s="12"/>
      <c r="E1909" s="12"/>
    </row>
    <row r="1910" spans="2:5" x14ac:dyDescent="0.25">
      <c r="B1910" s="12"/>
      <c r="C1910" s="12"/>
      <c r="D1910" s="12"/>
      <c r="E1910" s="12"/>
    </row>
    <row r="1911" spans="2:5" x14ac:dyDescent="0.25">
      <c r="B1911" s="12"/>
      <c r="C1911" s="12"/>
      <c r="D1911" s="12"/>
      <c r="E1911" s="12"/>
    </row>
    <row r="1912" spans="2:5" x14ac:dyDescent="0.25">
      <c r="B1912" s="12"/>
      <c r="C1912" s="12"/>
      <c r="D1912" s="12"/>
      <c r="E1912" s="12"/>
    </row>
    <row r="1913" spans="2:5" x14ac:dyDescent="0.25">
      <c r="B1913" s="12"/>
      <c r="C1913" s="12"/>
      <c r="D1913" s="12"/>
      <c r="E1913" s="12"/>
    </row>
    <row r="1914" spans="2:5" x14ac:dyDescent="0.25">
      <c r="B1914" s="12"/>
      <c r="C1914" s="12"/>
      <c r="D1914" s="12"/>
      <c r="E1914" s="12"/>
    </row>
    <row r="1915" spans="2:5" x14ac:dyDescent="0.25">
      <c r="B1915" s="12"/>
      <c r="C1915" s="12"/>
      <c r="D1915" s="12"/>
      <c r="E1915" s="12"/>
    </row>
    <row r="1916" spans="2:5" x14ac:dyDescent="0.25">
      <c r="B1916" s="12"/>
      <c r="C1916" s="12"/>
      <c r="D1916" s="12"/>
      <c r="E1916" s="12"/>
    </row>
    <row r="1917" spans="2:5" x14ac:dyDescent="0.25">
      <c r="B1917" s="12"/>
      <c r="C1917" s="12"/>
      <c r="D1917" s="12"/>
      <c r="E1917" s="12"/>
    </row>
    <row r="1918" spans="2:5" x14ac:dyDescent="0.25">
      <c r="B1918" s="12"/>
      <c r="C1918" s="12"/>
      <c r="D1918" s="12"/>
      <c r="E1918" s="12"/>
    </row>
    <row r="1919" spans="2:5" x14ac:dyDescent="0.25">
      <c r="B1919" s="12"/>
      <c r="C1919" s="12"/>
      <c r="D1919" s="12"/>
      <c r="E1919" s="12"/>
    </row>
    <row r="1920" spans="2:5" x14ac:dyDescent="0.25">
      <c r="B1920" s="12"/>
      <c r="C1920" s="12"/>
      <c r="D1920" s="12"/>
      <c r="E1920" s="12"/>
    </row>
    <row r="1921" spans="2:5" x14ac:dyDescent="0.25">
      <c r="B1921" s="12"/>
      <c r="C1921" s="12"/>
      <c r="D1921" s="12"/>
      <c r="E1921" s="12"/>
    </row>
    <row r="1922" spans="2:5" x14ac:dyDescent="0.25">
      <c r="B1922" s="12"/>
      <c r="C1922" s="12"/>
      <c r="D1922" s="12"/>
      <c r="E1922" s="12"/>
    </row>
    <row r="1923" spans="2:5" x14ac:dyDescent="0.25">
      <c r="B1923" s="12"/>
      <c r="C1923" s="12"/>
      <c r="D1923" s="12"/>
      <c r="E1923" s="12"/>
    </row>
    <row r="1924" spans="2:5" x14ac:dyDescent="0.25">
      <c r="B1924" s="12"/>
      <c r="C1924" s="12"/>
      <c r="D1924" s="12"/>
      <c r="E1924" s="12"/>
    </row>
    <row r="1925" spans="2:5" x14ac:dyDescent="0.25">
      <c r="B1925" s="12"/>
      <c r="C1925" s="12"/>
      <c r="D1925" s="12"/>
      <c r="E1925" s="12"/>
    </row>
    <row r="1926" spans="2:5" x14ac:dyDescent="0.25">
      <c r="B1926" s="12"/>
      <c r="C1926" s="12"/>
      <c r="D1926" s="12"/>
      <c r="E1926" s="12"/>
    </row>
    <row r="1927" spans="2:5" x14ac:dyDescent="0.25">
      <c r="B1927" s="12"/>
      <c r="C1927" s="12"/>
      <c r="D1927" s="12"/>
      <c r="E1927" s="12"/>
    </row>
    <row r="1928" spans="2:5" x14ac:dyDescent="0.25">
      <c r="B1928" s="12"/>
      <c r="C1928" s="12"/>
      <c r="D1928" s="12"/>
      <c r="E1928" s="12"/>
    </row>
    <row r="1929" spans="2:5" x14ac:dyDescent="0.25">
      <c r="B1929" s="12"/>
      <c r="C1929" s="12"/>
      <c r="D1929" s="12"/>
      <c r="E1929" s="12"/>
    </row>
    <row r="1930" spans="2:5" x14ac:dyDescent="0.25">
      <c r="B1930" s="12"/>
      <c r="C1930" s="12"/>
      <c r="D1930" s="12"/>
      <c r="E1930" s="12"/>
    </row>
    <row r="1931" spans="2:5" x14ac:dyDescent="0.25">
      <c r="B1931" s="12"/>
      <c r="C1931" s="12"/>
      <c r="D1931" s="12"/>
      <c r="E1931" s="12"/>
    </row>
    <row r="1932" spans="2:5" x14ac:dyDescent="0.25">
      <c r="B1932" s="12"/>
      <c r="C1932" s="12"/>
      <c r="D1932" s="12"/>
      <c r="E1932" s="12"/>
    </row>
    <row r="1933" spans="2:5" x14ac:dyDescent="0.25">
      <c r="B1933" s="12"/>
      <c r="C1933" s="12"/>
      <c r="D1933" s="12"/>
      <c r="E1933" s="12"/>
    </row>
    <row r="1934" spans="2:5" x14ac:dyDescent="0.25">
      <c r="B1934" s="12"/>
      <c r="C1934" s="12"/>
      <c r="D1934" s="12"/>
      <c r="E1934" s="12"/>
    </row>
    <row r="1935" spans="2:5" x14ac:dyDescent="0.25">
      <c r="B1935" s="12"/>
      <c r="C1935" s="12"/>
      <c r="D1935" s="12"/>
      <c r="E1935" s="12"/>
    </row>
    <row r="1936" spans="2:5" x14ac:dyDescent="0.25">
      <c r="B1936" s="12"/>
      <c r="C1936" s="12"/>
      <c r="D1936" s="12"/>
      <c r="E1936" s="12"/>
    </row>
    <row r="1937" spans="2:5" x14ac:dyDescent="0.25">
      <c r="B1937" s="12"/>
      <c r="C1937" s="12"/>
      <c r="D1937" s="12"/>
      <c r="E1937" s="12"/>
    </row>
    <row r="1938" spans="2:5" x14ac:dyDescent="0.25">
      <c r="B1938" s="12"/>
      <c r="C1938" s="12"/>
      <c r="D1938" s="12"/>
      <c r="E1938" s="12"/>
    </row>
    <row r="1939" spans="2:5" x14ac:dyDescent="0.25">
      <c r="B1939" s="12"/>
      <c r="C1939" s="12"/>
      <c r="D1939" s="12"/>
      <c r="E1939" s="12"/>
    </row>
    <row r="1940" spans="2:5" x14ac:dyDescent="0.25">
      <c r="B1940" s="12"/>
      <c r="C1940" s="12"/>
      <c r="D1940" s="12"/>
      <c r="E1940" s="12"/>
    </row>
    <row r="1941" spans="2:5" x14ac:dyDescent="0.25">
      <c r="B1941" s="12"/>
      <c r="C1941" s="12"/>
      <c r="D1941" s="12"/>
      <c r="E1941" s="12"/>
    </row>
    <row r="1942" spans="2:5" x14ac:dyDescent="0.25">
      <c r="B1942" s="12"/>
      <c r="C1942" s="12"/>
      <c r="D1942" s="12"/>
      <c r="E1942" s="12"/>
    </row>
    <row r="1943" spans="2:5" x14ac:dyDescent="0.25">
      <c r="B1943" s="12"/>
      <c r="C1943" s="12"/>
      <c r="D1943" s="12"/>
      <c r="E1943" s="12"/>
    </row>
    <row r="1944" spans="2:5" x14ac:dyDescent="0.25">
      <c r="B1944" s="12"/>
      <c r="C1944" s="12"/>
      <c r="D1944" s="12"/>
      <c r="E1944" s="12"/>
    </row>
    <row r="1945" spans="2:5" x14ac:dyDescent="0.25">
      <c r="B1945" s="12"/>
      <c r="C1945" s="12"/>
      <c r="D1945" s="12"/>
      <c r="E1945" s="12"/>
    </row>
    <row r="1946" spans="2:5" x14ac:dyDescent="0.25">
      <c r="B1946" s="12"/>
      <c r="C1946" s="12"/>
      <c r="D1946" s="12"/>
      <c r="E1946" s="12"/>
    </row>
    <row r="1947" spans="2:5" x14ac:dyDescent="0.25">
      <c r="B1947" s="12"/>
      <c r="C1947" s="12"/>
      <c r="D1947" s="12"/>
      <c r="E1947" s="12"/>
    </row>
    <row r="1948" spans="2:5" x14ac:dyDescent="0.25">
      <c r="B1948" s="12"/>
      <c r="C1948" s="12"/>
      <c r="D1948" s="12"/>
      <c r="E1948" s="12"/>
    </row>
    <row r="1949" spans="2:5" x14ac:dyDescent="0.25">
      <c r="B1949" s="12"/>
      <c r="C1949" s="12"/>
      <c r="D1949" s="12"/>
      <c r="E1949" s="12"/>
    </row>
    <row r="1950" spans="2:5" x14ac:dyDescent="0.25">
      <c r="B1950" s="12"/>
      <c r="C1950" s="12"/>
      <c r="D1950" s="12"/>
      <c r="E1950" s="12"/>
    </row>
    <row r="1951" spans="2:5" x14ac:dyDescent="0.25">
      <c r="B1951" s="12"/>
      <c r="C1951" s="12"/>
      <c r="D1951" s="12"/>
      <c r="E1951" s="12"/>
    </row>
    <row r="1952" spans="2:5" x14ac:dyDescent="0.25">
      <c r="B1952" s="12"/>
      <c r="C1952" s="12"/>
      <c r="D1952" s="12"/>
      <c r="E1952" s="12"/>
    </row>
    <row r="1953" spans="2:5" x14ac:dyDescent="0.25">
      <c r="B1953" s="12"/>
      <c r="C1953" s="12"/>
      <c r="D1953" s="12"/>
      <c r="E1953" s="12"/>
    </row>
    <row r="1954" spans="2:5" x14ac:dyDescent="0.25">
      <c r="B1954" s="12"/>
      <c r="C1954" s="12"/>
      <c r="D1954" s="12"/>
      <c r="E1954" s="12"/>
    </row>
    <row r="1955" spans="2:5" x14ac:dyDescent="0.25">
      <c r="B1955" s="12"/>
      <c r="C1955" s="12"/>
      <c r="D1955" s="12"/>
      <c r="E1955" s="12"/>
    </row>
    <row r="1956" spans="2:5" x14ac:dyDescent="0.25">
      <c r="B1956" s="12"/>
      <c r="C1956" s="12"/>
      <c r="D1956" s="12"/>
      <c r="E1956" s="12"/>
    </row>
    <row r="1957" spans="2:5" x14ac:dyDescent="0.25">
      <c r="B1957" s="12"/>
      <c r="C1957" s="12"/>
      <c r="D1957" s="12"/>
      <c r="E1957" s="12"/>
    </row>
    <row r="1958" spans="2:5" x14ac:dyDescent="0.25">
      <c r="B1958" s="12"/>
      <c r="C1958" s="12"/>
      <c r="D1958" s="12"/>
      <c r="E1958" s="12"/>
    </row>
    <row r="1959" spans="2:5" x14ac:dyDescent="0.25">
      <c r="B1959" s="12"/>
      <c r="C1959" s="12"/>
      <c r="D1959" s="12"/>
      <c r="E1959" s="12"/>
    </row>
    <row r="1960" spans="2:5" x14ac:dyDescent="0.25">
      <c r="B1960" s="12"/>
      <c r="C1960" s="12"/>
      <c r="D1960" s="12"/>
      <c r="E1960" s="12"/>
    </row>
    <row r="1961" spans="2:5" x14ac:dyDescent="0.25">
      <c r="B1961" s="12"/>
      <c r="C1961" s="12"/>
      <c r="D1961" s="12"/>
      <c r="E1961" s="12"/>
    </row>
    <row r="1962" spans="2:5" x14ac:dyDescent="0.25">
      <c r="B1962" s="12"/>
      <c r="C1962" s="12"/>
      <c r="D1962" s="12"/>
      <c r="E1962" s="12"/>
    </row>
    <row r="1963" spans="2:5" x14ac:dyDescent="0.25">
      <c r="B1963" s="12"/>
      <c r="C1963" s="12"/>
      <c r="D1963" s="12"/>
      <c r="E1963" s="12"/>
    </row>
    <row r="1964" spans="2:5" x14ac:dyDescent="0.25">
      <c r="B1964" s="12"/>
      <c r="C1964" s="12"/>
      <c r="D1964" s="12"/>
      <c r="E1964" s="12"/>
    </row>
    <row r="1965" spans="2:5" x14ac:dyDescent="0.25">
      <c r="B1965" s="12"/>
      <c r="C1965" s="12"/>
      <c r="D1965" s="12"/>
      <c r="E1965" s="12"/>
    </row>
    <row r="1966" spans="2:5" x14ac:dyDescent="0.25">
      <c r="B1966" s="12"/>
      <c r="C1966" s="12"/>
      <c r="D1966" s="12"/>
      <c r="E1966" s="12"/>
    </row>
    <row r="1967" spans="2:5" x14ac:dyDescent="0.25">
      <c r="B1967" s="12"/>
      <c r="C1967" s="12"/>
      <c r="D1967" s="12"/>
      <c r="E1967" s="12"/>
    </row>
    <row r="1968" spans="2:5" x14ac:dyDescent="0.25">
      <c r="B1968" s="12"/>
      <c r="C1968" s="12"/>
      <c r="D1968" s="12"/>
      <c r="E1968" s="12"/>
    </row>
    <row r="1969" spans="2:5" x14ac:dyDescent="0.25">
      <c r="B1969" s="12"/>
      <c r="C1969" s="12"/>
      <c r="D1969" s="12"/>
      <c r="E1969" s="12"/>
    </row>
    <row r="1970" spans="2:5" x14ac:dyDescent="0.25">
      <c r="B1970" s="12"/>
      <c r="C1970" s="12"/>
      <c r="D1970" s="12"/>
      <c r="E1970" s="12"/>
    </row>
    <row r="1971" spans="2:5" x14ac:dyDescent="0.25">
      <c r="B1971" s="12"/>
      <c r="C1971" s="12"/>
      <c r="D1971" s="12"/>
      <c r="E1971" s="12"/>
    </row>
    <row r="1972" spans="2:5" x14ac:dyDescent="0.25">
      <c r="B1972" s="12"/>
      <c r="C1972" s="12"/>
      <c r="D1972" s="12"/>
      <c r="E1972" s="12"/>
    </row>
    <row r="1973" spans="2:5" x14ac:dyDescent="0.25">
      <c r="B1973" s="12"/>
      <c r="C1973" s="12"/>
      <c r="D1973" s="12"/>
      <c r="E1973" s="12"/>
    </row>
    <row r="1974" spans="2:5" x14ac:dyDescent="0.25">
      <c r="B1974" s="12"/>
      <c r="C1974" s="12"/>
      <c r="D1974" s="12"/>
      <c r="E1974" s="12"/>
    </row>
    <row r="1975" spans="2:5" x14ac:dyDescent="0.25">
      <c r="B1975" s="12"/>
      <c r="C1975" s="12"/>
      <c r="D1975" s="12"/>
      <c r="E1975" s="12"/>
    </row>
    <row r="1976" spans="2:5" x14ac:dyDescent="0.25">
      <c r="B1976" s="12"/>
      <c r="C1976" s="12"/>
      <c r="D1976" s="12"/>
      <c r="E1976" s="12"/>
    </row>
    <row r="1977" spans="2:5" x14ac:dyDescent="0.25">
      <c r="B1977" s="12"/>
      <c r="C1977" s="12"/>
      <c r="D1977" s="12"/>
      <c r="E1977" s="12"/>
    </row>
    <row r="1978" spans="2:5" x14ac:dyDescent="0.25">
      <c r="B1978" s="12"/>
      <c r="C1978" s="12"/>
      <c r="D1978" s="12"/>
      <c r="E1978" s="12"/>
    </row>
    <row r="1979" spans="2:5" x14ac:dyDescent="0.25">
      <c r="B1979" s="12"/>
      <c r="C1979" s="12"/>
      <c r="D1979" s="12"/>
      <c r="E1979" s="12"/>
    </row>
    <row r="1980" spans="2:5" x14ac:dyDescent="0.25">
      <c r="B1980" s="12"/>
      <c r="C1980" s="12"/>
      <c r="D1980" s="12"/>
      <c r="E1980" s="12"/>
    </row>
    <row r="1981" spans="2:5" x14ac:dyDescent="0.25">
      <c r="B1981" s="12"/>
      <c r="C1981" s="12"/>
      <c r="D1981" s="12"/>
      <c r="E1981" s="12"/>
    </row>
    <row r="1982" spans="2:5" x14ac:dyDescent="0.25">
      <c r="B1982" s="12"/>
      <c r="C1982" s="12"/>
      <c r="D1982" s="12"/>
      <c r="E1982" s="12"/>
    </row>
    <row r="1983" spans="2:5" x14ac:dyDescent="0.25">
      <c r="B1983" s="12"/>
      <c r="C1983" s="12"/>
      <c r="D1983" s="12"/>
      <c r="E1983" s="12"/>
    </row>
    <row r="1984" spans="2:5" x14ac:dyDescent="0.25">
      <c r="B1984" s="12"/>
      <c r="C1984" s="12"/>
      <c r="D1984" s="12"/>
      <c r="E1984" s="12"/>
    </row>
    <row r="1985" spans="2:5" x14ac:dyDescent="0.25">
      <c r="B1985" s="12"/>
      <c r="C1985" s="12"/>
      <c r="D1985" s="12"/>
      <c r="E1985" s="12"/>
    </row>
    <row r="1986" spans="2:5" x14ac:dyDescent="0.25">
      <c r="B1986" s="12"/>
      <c r="C1986" s="12"/>
      <c r="D1986" s="12"/>
      <c r="E1986" s="12"/>
    </row>
    <row r="1987" spans="2:5" x14ac:dyDescent="0.25">
      <c r="B1987" s="12"/>
      <c r="C1987" s="12"/>
      <c r="D1987" s="12"/>
      <c r="E1987" s="12"/>
    </row>
    <row r="1988" spans="2:5" x14ac:dyDescent="0.25">
      <c r="B1988" s="12"/>
      <c r="C1988" s="12"/>
      <c r="D1988" s="12"/>
      <c r="E1988" s="12"/>
    </row>
    <row r="1989" spans="2:5" x14ac:dyDescent="0.25">
      <c r="B1989" s="12"/>
      <c r="C1989" s="12"/>
      <c r="D1989" s="12"/>
      <c r="E1989" s="12"/>
    </row>
    <row r="1990" spans="2:5" x14ac:dyDescent="0.25">
      <c r="B1990" s="12"/>
      <c r="C1990" s="12"/>
      <c r="D1990" s="12"/>
      <c r="E1990" s="12"/>
    </row>
    <row r="1991" spans="2:5" x14ac:dyDescent="0.25">
      <c r="B1991" s="12"/>
      <c r="C1991" s="12"/>
      <c r="D1991" s="12"/>
      <c r="E1991" s="12"/>
    </row>
    <row r="1992" spans="2:5" x14ac:dyDescent="0.25">
      <c r="B1992" s="12"/>
      <c r="C1992" s="12"/>
      <c r="D1992" s="12"/>
      <c r="E1992" s="12"/>
    </row>
    <row r="1993" spans="2:5" x14ac:dyDescent="0.25">
      <c r="B1993" s="12"/>
      <c r="C1993" s="12"/>
      <c r="D1993" s="12"/>
      <c r="E1993" s="12"/>
    </row>
    <row r="1994" spans="2:5" x14ac:dyDescent="0.25">
      <c r="B1994" s="12"/>
      <c r="C1994" s="12"/>
      <c r="D1994" s="12"/>
      <c r="E1994" s="12"/>
    </row>
    <row r="1995" spans="2:5" x14ac:dyDescent="0.25">
      <c r="B1995" s="12"/>
      <c r="C1995" s="12"/>
      <c r="D1995" s="12"/>
      <c r="E1995" s="12"/>
    </row>
    <row r="1996" spans="2:5" x14ac:dyDescent="0.25">
      <c r="B1996" s="12"/>
      <c r="C1996" s="12"/>
      <c r="D1996" s="12"/>
      <c r="E1996" s="12"/>
    </row>
    <row r="1997" spans="2:5" x14ac:dyDescent="0.25">
      <c r="B1997" s="12"/>
      <c r="C1997" s="12"/>
      <c r="D1997" s="12"/>
      <c r="E1997" s="12"/>
    </row>
    <row r="1998" spans="2:5" x14ac:dyDescent="0.25">
      <c r="B1998" s="12"/>
      <c r="C1998" s="12"/>
      <c r="D1998" s="12"/>
      <c r="E1998" s="12"/>
    </row>
    <row r="1999" spans="2:5" x14ac:dyDescent="0.25">
      <c r="B1999" s="12"/>
      <c r="C1999" s="12"/>
      <c r="D1999" s="12"/>
      <c r="E1999" s="12"/>
    </row>
    <row r="2000" spans="2:5" x14ac:dyDescent="0.25">
      <c r="B2000" s="12"/>
      <c r="C2000" s="12"/>
      <c r="D2000" s="12"/>
      <c r="E2000" s="12"/>
    </row>
    <row r="2001" spans="2:5" x14ac:dyDescent="0.25">
      <c r="B2001" s="12"/>
      <c r="C2001" s="12"/>
      <c r="D2001" s="12"/>
      <c r="E2001" s="12"/>
    </row>
    <row r="2002" spans="2:5" x14ac:dyDescent="0.25">
      <c r="B2002" s="12"/>
      <c r="C2002" s="12"/>
      <c r="D2002" s="12"/>
      <c r="E2002" s="12"/>
    </row>
    <row r="2003" spans="2:5" x14ac:dyDescent="0.25">
      <c r="B2003" s="12"/>
      <c r="C2003" s="12"/>
      <c r="D2003" s="12"/>
      <c r="E2003" s="12"/>
    </row>
    <row r="2004" spans="2:5" x14ac:dyDescent="0.25">
      <c r="B2004" s="12"/>
      <c r="C2004" s="12"/>
      <c r="D2004" s="12"/>
      <c r="E2004" s="12"/>
    </row>
    <row r="2005" spans="2:5" x14ac:dyDescent="0.25">
      <c r="B2005" s="12"/>
      <c r="C2005" s="12"/>
      <c r="D2005" s="12"/>
      <c r="E2005" s="12"/>
    </row>
    <row r="2006" spans="2:5" x14ac:dyDescent="0.25">
      <c r="B2006" s="12"/>
      <c r="C2006" s="12"/>
      <c r="D2006" s="12"/>
      <c r="E2006" s="12"/>
    </row>
    <row r="2007" spans="2:5" x14ac:dyDescent="0.25">
      <c r="B2007" s="12"/>
      <c r="C2007" s="12"/>
      <c r="D2007" s="12"/>
      <c r="E2007" s="12"/>
    </row>
    <row r="2008" spans="2:5" x14ac:dyDescent="0.25">
      <c r="B2008" s="12"/>
      <c r="C2008" s="12"/>
      <c r="D2008" s="12"/>
      <c r="E2008" s="12"/>
    </row>
    <row r="2009" spans="2:5" x14ac:dyDescent="0.25">
      <c r="B2009" s="12"/>
      <c r="C2009" s="12"/>
      <c r="D2009" s="12"/>
      <c r="E2009" s="12"/>
    </row>
    <row r="2010" spans="2:5" x14ac:dyDescent="0.25">
      <c r="B2010" s="12"/>
      <c r="C2010" s="12"/>
      <c r="D2010" s="12"/>
      <c r="E2010" s="12"/>
    </row>
    <row r="2011" spans="2:5" x14ac:dyDescent="0.25">
      <c r="B2011" s="12"/>
      <c r="C2011" s="12"/>
      <c r="D2011" s="12"/>
      <c r="E2011" s="12"/>
    </row>
    <row r="2012" spans="2:5" x14ac:dyDescent="0.25">
      <c r="B2012" s="12"/>
      <c r="C2012" s="12"/>
      <c r="D2012" s="12"/>
      <c r="E2012" s="12"/>
    </row>
    <row r="2013" spans="2:5" x14ac:dyDescent="0.25">
      <c r="B2013" s="12"/>
      <c r="C2013" s="12"/>
      <c r="D2013" s="12"/>
      <c r="E2013" s="12"/>
    </row>
    <row r="2014" spans="2:5" x14ac:dyDescent="0.25">
      <c r="B2014" s="12"/>
      <c r="C2014" s="12"/>
      <c r="D2014" s="12"/>
      <c r="E2014" s="12"/>
    </row>
    <row r="2015" spans="2:5" x14ac:dyDescent="0.25">
      <c r="B2015" s="12"/>
      <c r="C2015" s="12"/>
      <c r="D2015" s="12"/>
      <c r="E2015" s="12"/>
    </row>
    <row r="2016" spans="2:5" x14ac:dyDescent="0.25">
      <c r="B2016" s="12"/>
      <c r="C2016" s="12"/>
      <c r="D2016" s="12"/>
      <c r="E2016" s="12"/>
    </row>
    <row r="2017" spans="2:5" x14ac:dyDescent="0.25">
      <c r="B2017" s="12"/>
      <c r="C2017" s="12"/>
      <c r="D2017" s="12"/>
      <c r="E2017" s="12"/>
    </row>
    <row r="2018" spans="2:5" x14ac:dyDescent="0.25">
      <c r="B2018" s="12"/>
      <c r="C2018" s="12"/>
      <c r="D2018" s="12"/>
      <c r="E2018" s="12"/>
    </row>
    <row r="2019" spans="2:5" x14ac:dyDescent="0.25">
      <c r="B2019" s="12"/>
      <c r="C2019" s="12"/>
      <c r="D2019" s="12"/>
      <c r="E2019" s="12"/>
    </row>
    <row r="2020" spans="2:5" x14ac:dyDescent="0.25">
      <c r="B2020" s="12"/>
      <c r="C2020" s="12"/>
      <c r="D2020" s="12"/>
      <c r="E2020" s="12"/>
    </row>
    <row r="2021" spans="2:5" x14ac:dyDescent="0.25">
      <c r="B2021" s="12"/>
      <c r="C2021" s="12"/>
      <c r="D2021" s="12"/>
      <c r="E2021" s="12"/>
    </row>
    <row r="2022" spans="2:5" x14ac:dyDescent="0.25">
      <c r="B2022" s="12"/>
      <c r="C2022" s="12"/>
      <c r="D2022" s="12"/>
      <c r="E2022" s="12"/>
    </row>
    <row r="2023" spans="2:5" x14ac:dyDescent="0.25">
      <c r="B2023" s="12"/>
      <c r="C2023" s="12"/>
      <c r="D2023" s="12"/>
      <c r="E2023" s="12"/>
    </row>
    <row r="2024" spans="2:5" x14ac:dyDescent="0.25">
      <c r="B2024" s="12"/>
      <c r="C2024" s="12"/>
      <c r="D2024" s="12"/>
      <c r="E2024" s="12"/>
    </row>
    <row r="2025" spans="2:5" x14ac:dyDescent="0.25">
      <c r="B2025" s="12"/>
      <c r="C2025" s="12"/>
      <c r="D2025" s="12"/>
      <c r="E2025" s="12"/>
    </row>
    <row r="2026" spans="2:5" x14ac:dyDescent="0.25">
      <c r="B2026" s="12"/>
      <c r="C2026" s="12"/>
      <c r="D2026" s="12"/>
      <c r="E2026" s="12"/>
    </row>
    <row r="2027" spans="2:5" x14ac:dyDescent="0.25">
      <c r="B2027" s="12"/>
      <c r="C2027" s="12"/>
      <c r="D2027" s="12"/>
      <c r="E2027" s="12"/>
    </row>
    <row r="2028" spans="2:5" x14ac:dyDescent="0.25">
      <c r="B2028" s="12"/>
      <c r="C2028" s="12"/>
      <c r="D2028" s="12"/>
      <c r="E2028" s="12"/>
    </row>
    <row r="2029" spans="2:5" x14ac:dyDescent="0.25">
      <c r="B2029" s="12"/>
      <c r="C2029" s="12"/>
      <c r="D2029" s="12"/>
      <c r="E2029" s="12"/>
    </row>
    <row r="2030" spans="2:5" x14ac:dyDescent="0.25">
      <c r="B2030" s="12"/>
      <c r="C2030" s="12"/>
      <c r="D2030" s="12"/>
      <c r="E2030" s="12"/>
    </row>
    <row r="2031" spans="2:5" x14ac:dyDescent="0.25">
      <c r="B2031" s="12"/>
      <c r="C2031" s="12"/>
      <c r="D2031" s="12"/>
      <c r="E2031" s="12"/>
    </row>
    <row r="2032" spans="2:5" x14ac:dyDescent="0.25">
      <c r="B2032" s="12"/>
      <c r="C2032" s="12"/>
      <c r="D2032" s="12"/>
      <c r="E2032" s="12"/>
    </row>
    <row r="2033" spans="2:5" x14ac:dyDescent="0.25">
      <c r="B2033" s="12"/>
      <c r="C2033" s="12"/>
      <c r="D2033" s="12"/>
      <c r="E2033" s="12"/>
    </row>
    <row r="2034" spans="2:5" x14ac:dyDescent="0.25">
      <c r="B2034" s="12"/>
      <c r="C2034" s="12"/>
      <c r="D2034" s="12"/>
      <c r="E2034" s="12"/>
    </row>
    <row r="2035" spans="2:5" x14ac:dyDescent="0.25">
      <c r="B2035" s="12"/>
      <c r="C2035" s="12"/>
      <c r="D2035" s="12"/>
      <c r="E2035" s="12"/>
    </row>
    <row r="2036" spans="2:5" x14ac:dyDescent="0.25">
      <c r="B2036" s="12"/>
      <c r="C2036" s="12"/>
      <c r="D2036" s="12"/>
      <c r="E2036" s="12"/>
    </row>
    <row r="2037" spans="2:5" x14ac:dyDescent="0.25">
      <c r="B2037" s="12"/>
      <c r="C2037" s="12"/>
      <c r="D2037" s="12"/>
      <c r="E2037" s="12"/>
    </row>
    <row r="2038" spans="2:5" x14ac:dyDescent="0.25">
      <c r="B2038" s="12"/>
      <c r="C2038" s="12"/>
      <c r="D2038" s="12"/>
      <c r="E2038" s="12"/>
    </row>
    <row r="2039" spans="2:5" x14ac:dyDescent="0.25">
      <c r="B2039" s="12"/>
      <c r="C2039" s="12"/>
      <c r="D2039" s="12"/>
      <c r="E2039" s="12"/>
    </row>
    <row r="2040" spans="2:5" x14ac:dyDescent="0.25">
      <c r="B2040" s="12"/>
      <c r="C2040" s="12"/>
      <c r="D2040" s="12"/>
      <c r="E2040" s="12"/>
    </row>
    <row r="2041" spans="2:5" x14ac:dyDescent="0.25">
      <c r="B2041" s="12"/>
      <c r="C2041" s="12"/>
      <c r="D2041" s="12"/>
      <c r="E2041" s="12"/>
    </row>
    <row r="2042" spans="2:5" x14ac:dyDescent="0.25">
      <c r="B2042" s="12"/>
      <c r="C2042" s="12"/>
      <c r="D2042" s="12"/>
      <c r="E2042" s="12"/>
    </row>
    <row r="2043" spans="2:5" x14ac:dyDescent="0.25">
      <c r="B2043" s="12"/>
      <c r="C2043" s="12"/>
      <c r="D2043" s="12"/>
      <c r="E2043" s="12"/>
    </row>
    <row r="2044" spans="2:5" x14ac:dyDescent="0.25">
      <c r="B2044" s="12"/>
      <c r="C2044" s="12"/>
      <c r="D2044" s="12"/>
      <c r="E2044" s="12"/>
    </row>
    <row r="2045" spans="2:5" x14ac:dyDescent="0.25">
      <c r="B2045" s="12"/>
      <c r="C2045" s="12"/>
      <c r="D2045" s="12"/>
      <c r="E2045" s="12"/>
    </row>
    <row r="2046" spans="2:5" x14ac:dyDescent="0.25">
      <c r="B2046" s="12"/>
      <c r="C2046" s="12"/>
      <c r="D2046" s="12"/>
      <c r="E2046" s="12"/>
    </row>
    <row r="2047" spans="2:5" x14ac:dyDescent="0.25">
      <c r="B2047" s="12"/>
      <c r="C2047" s="12"/>
      <c r="D2047" s="12"/>
      <c r="E2047" s="12"/>
    </row>
    <row r="2048" spans="2:5" x14ac:dyDescent="0.25">
      <c r="B2048" s="12"/>
      <c r="C2048" s="12"/>
      <c r="D2048" s="12"/>
      <c r="E2048" s="12"/>
    </row>
    <row r="2049" spans="2:5" x14ac:dyDescent="0.25">
      <c r="B2049" s="12"/>
      <c r="C2049" s="12"/>
      <c r="D2049" s="12"/>
      <c r="E2049" s="12"/>
    </row>
    <row r="2050" spans="2:5" x14ac:dyDescent="0.25">
      <c r="B2050" s="12"/>
      <c r="C2050" s="12"/>
      <c r="D2050" s="12"/>
      <c r="E2050" s="12"/>
    </row>
    <row r="2051" spans="2:5" x14ac:dyDescent="0.25">
      <c r="B2051" s="12"/>
      <c r="C2051" s="12"/>
      <c r="D2051" s="12"/>
      <c r="E2051" s="12"/>
    </row>
    <row r="2052" spans="2:5" x14ac:dyDescent="0.25">
      <c r="B2052" s="12"/>
      <c r="C2052" s="12"/>
      <c r="D2052" s="12"/>
      <c r="E2052" s="12"/>
    </row>
    <row r="2053" spans="2:5" x14ac:dyDescent="0.25">
      <c r="B2053" s="12"/>
      <c r="C2053" s="12"/>
      <c r="D2053" s="12"/>
      <c r="E2053" s="12"/>
    </row>
    <row r="2054" spans="2:5" x14ac:dyDescent="0.25">
      <c r="B2054" s="12"/>
      <c r="C2054" s="12"/>
      <c r="D2054" s="12"/>
      <c r="E2054" s="12"/>
    </row>
    <row r="2055" spans="2:5" x14ac:dyDescent="0.25">
      <c r="B2055" s="12"/>
      <c r="C2055" s="12"/>
      <c r="D2055" s="12"/>
      <c r="E2055" s="12"/>
    </row>
    <row r="2056" spans="2:5" x14ac:dyDescent="0.25">
      <c r="B2056" s="12"/>
      <c r="C2056" s="12"/>
      <c r="D2056" s="12"/>
      <c r="E2056" s="12"/>
    </row>
    <row r="2057" spans="2:5" x14ac:dyDescent="0.25">
      <c r="B2057" s="12"/>
      <c r="C2057" s="12"/>
      <c r="D2057" s="12"/>
      <c r="E2057" s="12"/>
    </row>
    <row r="2058" spans="2:5" x14ac:dyDescent="0.25">
      <c r="B2058" s="12"/>
      <c r="C2058" s="12"/>
      <c r="D2058" s="12"/>
      <c r="E2058" s="12"/>
    </row>
    <row r="2059" spans="2:5" x14ac:dyDescent="0.25">
      <c r="B2059" s="12"/>
      <c r="C2059" s="12"/>
      <c r="D2059" s="12"/>
      <c r="E2059" s="12"/>
    </row>
    <row r="2060" spans="2:5" x14ac:dyDescent="0.25">
      <c r="B2060" s="12"/>
      <c r="C2060" s="12"/>
      <c r="D2060" s="12"/>
      <c r="E2060" s="12"/>
    </row>
    <row r="2061" spans="2:5" x14ac:dyDescent="0.25">
      <c r="B2061" s="12"/>
      <c r="C2061" s="12"/>
      <c r="D2061" s="12"/>
      <c r="E2061" s="12"/>
    </row>
    <row r="2062" spans="2:5" x14ac:dyDescent="0.25">
      <c r="B2062" s="12"/>
      <c r="C2062" s="12"/>
      <c r="D2062" s="12"/>
      <c r="E2062" s="12"/>
    </row>
    <row r="2063" spans="2:5" x14ac:dyDescent="0.25">
      <c r="B2063" s="12"/>
      <c r="C2063" s="12"/>
      <c r="D2063" s="12"/>
      <c r="E2063" s="12"/>
    </row>
    <row r="2064" spans="2:5" x14ac:dyDescent="0.25">
      <c r="B2064" s="12"/>
      <c r="C2064" s="12"/>
      <c r="D2064" s="12"/>
      <c r="E2064" s="12"/>
    </row>
    <row r="2065" spans="2:5" x14ac:dyDescent="0.25">
      <c r="B2065" s="12"/>
      <c r="C2065" s="12"/>
      <c r="D2065" s="12"/>
      <c r="E2065" s="12"/>
    </row>
    <row r="2066" spans="2:5" x14ac:dyDescent="0.25">
      <c r="B2066" s="12"/>
      <c r="C2066" s="12"/>
      <c r="D2066" s="12"/>
      <c r="E2066" s="12"/>
    </row>
    <row r="2067" spans="2:5" x14ac:dyDescent="0.25">
      <c r="B2067" s="12"/>
      <c r="C2067" s="12"/>
      <c r="D2067" s="12"/>
      <c r="E2067" s="12"/>
    </row>
    <row r="2068" spans="2:5" x14ac:dyDescent="0.25">
      <c r="B2068" s="12"/>
      <c r="C2068" s="12"/>
      <c r="D2068" s="12"/>
      <c r="E2068" s="12"/>
    </row>
    <row r="2069" spans="2:5" x14ac:dyDescent="0.25">
      <c r="B2069" s="12"/>
      <c r="C2069" s="12"/>
      <c r="D2069" s="12"/>
      <c r="E2069" s="12"/>
    </row>
    <row r="2070" spans="2:5" x14ac:dyDescent="0.25">
      <c r="B2070" s="12"/>
      <c r="C2070" s="12"/>
      <c r="D2070" s="12"/>
      <c r="E2070" s="12"/>
    </row>
    <row r="2071" spans="2:5" x14ac:dyDescent="0.25">
      <c r="B2071" s="12"/>
      <c r="C2071" s="12"/>
      <c r="D2071" s="12"/>
      <c r="E2071" s="12"/>
    </row>
    <row r="2072" spans="2:5" x14ac:dyDescent="0.25">
      <c r="B2072" s="12"/>
      <c r="C2072" s="12"/>
      <c r="D2072" s="12"/>
      <c r="E2072" s="12"/>
    </row>
    <row r="2073" spans="2:5" x14ac:dyDescent="0.25">
      <c r="B2073" s="12"/>
      <c r="C2073" s="12"/>
      <c r="D2073" s="12"/>
      <c r="E2073" s="12"/>
    </row>
    <row r="2074" spans="2:5" x14ac:dyDescent="0.25">
      <c r="B2074" s="12"/>
      <c r="C2074" s="12"/>
      <c r="D2074" s="12"/>
      <c r="E2074" s="12"/>
    </row>
    <row r="2075" spans="2:5" x14ac:dyDescent="0.25">
      <c r="B2075" s="12"/>
      <c r="C2075" s="12"/>
      <c r="D2075" s="12"/>
      <c r="E2075" s="12"/>
    </row>
    <row r="2076" spans="2:5" x14ac:dyDescent="0.25">
      <c r="B2076" s="12"/>
      <c r="C2076" s="12"/>
      <c r="D2076" s="12"/>
      <c r="E2076" s="12"/>
    </row>
    <row r="2077" spans="2:5" x14ac:dyDescent="0.25">
      <c r="B2077" s="12"/>
      <c r="C2077" s="12"/>
      <c r="D2077" s="12"/>
      <c r="E2077" s="12"/>
    </row>
    <row r="2078" spans="2:5" x14ac:dyDescent="0.25">
      <c r="B2078" s="12"/>
      <c r="C2078" s="12"/>
      <c r="D2078" s="12"/>
      <c r="E2078" s="12"/>
    </row>
    <row r="2079" spans="2:5" x14ac:dyDescent="0.25">
      <c r="B2079" s="12"/>
      <c r="C2079" s="12"/>
      <c r="D2079" s="12"/>
      <c r="E2079" s="12"/>
    </row>
    <row r="2080" spans="2:5" x14ac:dyDescent="0.25">
      <c r="B2080" s="12"/>
      <c r="C2080" s="12"/>
      <c r="D2080" s="12"/>
      <c r="E2080" s="12"/>
    </row>
    <row r="2081" spans="2:5" x14ac:dyDescent="0.25">
      <c r="B2081" s="12"/>
      <c r="C2081" s="12"/>
      <c r="D2081" s="12"/>
      <c r="E2081" s="12"/>
    </row>
    <row r="2082" spans="2:5" x14ac:dyDescent="0.25">
      <c r="B2082" s="12"/>
      <c r="C2082" s="12"/>
      <c r="D2082" s="12"/>
      <c r="E2082" s="12"/>
    </row>
    <row r="2083" spans="2:5" x14ac:dyDescent="0.25">
      <c r="B2083" s="12"/>
      <c r="C2083" s="12"/>
      <c r="D2083" s="12"/>
      <c r="E2083" s="12"/>
    </row>
    <row r="2084" spans="2:5" x14ac:dyDescent="0.25">
      <c r="B2084" s="12"/>
      <c r="C2084" s="12"/>
      <c r="D2084" s="12"/>
      <c r="E2084" s="12"/>
    </row>
    <row r="2085" spans="2:5" x14ac:dyDescent="0.25">
      <c r="B2085" s="12"/>
      <c r="C2085" s="12"/>
      <c r="D2085" s="12"/>
      <c r="E2085" s="12"/>
    </row>
    <row r="2086" spans="2:5" x14ac:dyDescent="0.25">
      <c r="B2086" s="12"/>
      <c r="C2086" s="12"/>
      <c r="D2086" s="12"/>
      <c r="E2086" s="12"/>
    </row>
    <row r="2087" spans="2:5" x14ac:dyDescent="0.25">
      <c r="B2087" s="12"/>
      <c r="C2087" s="12"/>
      <c r="D2087" s="12"/>
      <c r="E2087" s="12"/>
    </row>
    <row r="2088" spans="2:5" x14ac:dyDescent="0.25">
      <c r="B2088" s="12"/>
      <c r="C2088" s="12"/>
      <c r="D2088" s="12"/>
      <c r="E2088" s="12"/>
    </row>
    <row r="2089" spans="2:5" x14ac:dyDescent="0.25">
      <c r="B2089" s="12"/>
      <c r="C2089" s="12"/>
      <c r="D2089" s="12"/>
      <c r="E2089" s="12"/>
    </row>
    <row r="2090" spans="2:5" x14ac:dyDescent="0.25">
      <c r="B2090" s="12"/>
      <c r="C2090" s="12"/>
      <c r="D2090" s="12"/>
      <c r="E2090" s="12"/>
    </row>
    <row r="2091" spans="2:5" x14ac:dyDescent="0.25">
      <c r="B2091" s="12"/>
      <c r="C2091" s="12"/>
      <c r="D2091" s="12"/>
      <c r="E2091" s="12"/>
    </row>
    <row r="2092" spans="2:5" x14ac:dyDescent="0.25">
      <c r="B2092" s="12"/>
      <c r="C2092" s="12"/>
      <c r="D2092" s="12"/>
      <c r="E2092" s="12"/>
    </row>
    <row r="2093" spans="2:5" x14ac:dyDescent="0.25">
      <c r="B2093" s="12"/>
      <c r="C2093" s="12"/>
      <c r="D2093" s="12"/>
      <c r="E2093" s="12"/>
    </row>
    <row r="2094" spans="2:5" x14ac:dyDescent="0.25">
      <c r="B2094" s="12"/>
      <c r="C2094" s="12"/>
      <c r="D2094" s="12"/>
      <c r="E2094" s="12"/>
    </row>
    <row r="2095" spans="2:5" x14ac:dyDescent="0.25">
      <c r="B2095" s="12"/>
      <c r="C2095" s="12"/>
      <c r="D2095" s="12"/>
      <c r="E2095" s="12"/>
    </row>
    <row r="2096" spans="2:5" x14ac:dyDescent="0.25">
      <c r="B2096" s="12"/>
      <c r="C2096" s="12"/>
      <c r="D2096" s="12"/>
      <c r="E2096" s="12"/>
    </row>
    <row r="2097" spans="2:5" x14ac:dyDescent="0.25">
      <c r="B2097" s="12"/>
      <c r="C2097" s="12"/>
      <c r="D2097" s="12"/>
      <c r="E2097" s="12"/>
    </row>
    <row r="2098" spans="2:5" x14ac:dyDescent="0.25">
      <c r="B2098" s="12"/>
      <c r="C2098" s="12"/>
      <c r="D2098" s="12"/>
      <c r="E2098" s="12"/>
    </row>
    <row r="2099" spans="2:5" x14ac:dyDescent="0.25">
      <c r="B2099" s="12"/>
      <c r="C2099" s="12"/>
      <c r="D2099" s="12"/>
      <c r="E2099" s="12"/>
    </row>
    <row r="2100" spans="2:5" x14ac:dyDescent="0.25">
      <c r="B2100" s="12"/>
      <c r="C2100" s="12"/>
      <c r="D2100" s="12"/>
      <c r="E2100" s="12"/>
    </row>
    <row r="2101" spans="2:5" x14ac:dyDescent="0.25">
      <c r="B2101" s="12"/>
      <c r="C2101" s="12"/>
      <c r="D2101" s="12"/>
      <c r="E2101" s="12"/>
    </row>
    <row r="2102" spans="2:5" x14ac:dyDescent="0.25">
      <c r="B2102" s="12"/>
      <c r="C2102" s="12"/>
      <c r="D2102" s="12"/>
      <c r="E2102" s="12"/>
    </row>
    <row r="2103" spans="2:5" x14ac:dyDescent="0.25">
      <c r="B2103" s="12"/>
      <c r="C2103" s="12"/>
      <c r="D2103" s="12"/>
      <c r="E2103" s="12"/>
    </row>
    <row r="2104" spans="2:5" x14ac:dyDescent="0.25">
      <c r="B2104" s="12"/>
      <c r="C2104" s="12"/>
      <c r="D2104" s="12"/>
      <c r="E2104" s="12"/>
    </row>
    <row r="2105" spans="2:5" x14ac:dyDescent="0.25">
      <c r="B2105" s="12"/>
      <c r="C2105" s="12"/>
      <c r="D2105" s="12"/>
      <c r="E2105" s="12"/>
    </row>
    <row r="2106" spans="2:5" x14ac:dyDescent="0.25">
      <c r="B2106" s="12"/>
      <c r="C2106" s="12"/>
      <c r="D2106" s="12"/>
      <c r="E2106" s="12"/>
    </row>
    <row r="2107" spans="2:5" x14ac:dyDescent="0.25">
      <c r="B2107" s="12"/>
      <c r="C2107" s="12"/>
      <c r="D2107" s="12"/>
      <c r="E2107" s="12"/>
    </row>
    <row r="2108" spans="2:5" x14ac:dyDescent="0.25">
      <c r="B2108" s="12"/>
      <c r="C2108" s="12"/>
      <c r="D2108" s="12"/>
      <c r="E2108" s="12"/>
    </row>
    <row r="2109" spans="2:5" x14ac:dyDescent="0.25">
      <c r="B2109" s="12"/>
      <c r="C2109" s="12"/>
      <c r="D2109" s="12"/>
      <c r="E2109" s="12"/>
    </row>
    <row r="2110" spans="2:5" x14ac:dyDescent="0.25">
      <c r="B2110" s="12"/>
      <c r="C2110" s="12"/>
      <c r="D2110" s="12"/>
      <c r="E2110" s="12"/>
    </row>
    <row r="2111" spans="2:5" x14ac:dyDescent="0.25">
      <c r="B2111" s="12"/>
      <c r="C2111" s="12"/>
      <c r="D2111" s="12"/>
      <c r="E2111" s="12"/>
    </row>
    <row r="2112" spans="2:5" x14ac:dyDescent="0.25">
      <c r="B2112" s="12"/>
      <c r="C2112" s="12"/>
      <c r="D2112" s="12"/>
      <c r="E2112" s="12"/>
    </row>
    <row r="2113" spans="2:5" x14ac:dyDescent="0.25">
      <c r="B2113" s="12"/>
      <c r="C2113" s="12"/>
      <c r="D2113" s="12"/>
      <c r="E2113" s="12"/>
    </row>
    <row r="2114" spans="2:5" x14ac:dyDescent="0.25">
      <c r="B2114" s="12"/>
      <c r="C2114" s="12"/>
      <c r="D2114" s="12"/>
      <c r="E2114" s="12"/>
    </row>
    <row r="2115" spans="2:5" x14ac:dyDescent="0.25">
      <c r="B2115" s="12"/>
      <c r="C2115" s="12"/>
      <c r="D2115" s="12"/>
      <c r="E2115" s="12"/>
    </row>
    <row r="2116" spans="2:5" x14ac:dyDescent="0.25">
      <c r="B2116" s="12"/>
      <c r="C2116" s="12"/>
      <c r="D2116" s="12"/>
      <c r="E2116" s="12"/>
    </row>
    <row r="2117" spans="2:5" x14ac:dyDescent="0.25">
      <c r="B2117" s="12"/>
      <c r="C2117" s="12"/>
      <c r="D2117" s="12"/>
      <c r="E2117" s="12"/>
    </row>
    <row r="2118" spans="2:5" x14ac:dyDescent="0.25">
      <c r="B2118" s="12"/>
      <c r="C2118" s="12"/>
      <c r="D2118" s="12"/>
      <c r="E2118" s="12"/>
    </row>
    <row r="2119" spans="2:5" x14ac:dyDescent="0.25">
      <c r="B2119" s="12"/>
      <c r="C2119" s="12"/>
      <c r="D2119" s="12"/>
      <c r="E2119" s="12"/>
    </row>
    <row r="2120" spans="2:5" x14ac:dyDescent="0.25">
      <c r="B2120" s="12"/>
      <c r="C2120" s="12"/>
      <c r="D2120" s="12"/>
      <c r="E2120" s="12"/>
    </row>
    <row r="2121" spans="2:5" x14ac:dyDescent="0.25">
      <c r="B2121" s="12"/>
      <c r="C2121" s="12"/>
      <c r="D2121" s="12"/>
      <c r="E2121" s="12"/>
    </row>
    <row r="2122" spans="2:5" x14ac:dyDescent="0.25">
      <c r="B2122" s="12"/>
      <c r="C2122" s="12"/>
      <c r="D2122" s="12"/>
      <c r="E2122" s="12"/>
    </row>
    <row r="2123" spans="2:5" x14ac:dyDescent="0.25">
      <c r="B2123" s="12"/>
      <c r="C2123" s="12"/>
      <c r="D2123" s="12"/>
      <c r="E2123" s="12"/>
    </row>
    <row r="2124" spans="2:5" x14ac:dyDescent="0.25">
      <c r="B2124" s="12"/>
      <c r="C2124" s="12"/>
      <c r="D2124" s="12"/>
      <c r="E2124" s="12"/>
    </row>
    <row r="2125" spans="2:5" x14ac:dyDescent="0.25">
      <c r="B2125" s="12"/>
      <c r="C2125" s="12"/>
      <c r="D2125" s="12"/>
      <c r="E2125" s="12"/>
    </row>
    <row r="2126" spans="2:5" x14ac:dyDescent="0.25">
      <c r="B2126" s="12"/>
      <c r="C2126" s="12"/>
      <c r="D2126" s="12"/>
      <c r="E2126" s="12"/>
    </row>
    <row r="2127" spans="2:5" x14ac:dyDescent="0.25">
      <c r="B2127" s="12"/>
      <c r="C2127" s="12"/>
      <c r="D2127" s="12"/>
      <c r="E2127" s="12"/>
    </row>
    <row r="2128" spans="2:5" x14ac:dyDescent="0.25">
      <c r="B2128" s="12"/>
      <c r="C2128" s="12"/>
      <c r="D2128" s="12"/>
      <c r="E2128" s="12"/>
    </row>
    <row r="2129" spans="2:5" x14ac:dyDescent="0.25">
      <c r="B2129" s="12"/>
      <c r="C2129" s="12"/>
      <c r="D2129" s="12"/>
      <c r="E2129" s="12"/>
    </row>
    <row r="2130" spans="2:5" x14ac:dyDescent="0.25">
      <c r="B2130" s="12"/>
      <c r="C2130" s="12"/>
      <c r="D2130" s="12"/>
      <c r="E2130" s="12"/>
    </row>
    <row r="2131" spans="2:5" x14ac:dyDescent="0.25">
      <c r="B2131" s="12"/>
      <c r="C2131" s="12"/>
      <c r="D2131" s="12"/>
      <c r="E2131" s="12"/>
    </row>
    <row r="2132" spans="2:5" x14ac:dyDescent="0.25">
      <c r="B2132" s="12"/>
      <c r="C2132" s="12"/>
      <c r="D2132" s="12"/>
      <c r="E2132" s="12"/>
    </row>
    <row r="2133" spans="2:5" x14ac:dyDescent="0.25">
      <c r="B2133" s="12"/>
      <c r="C2133" s="12"/>
      <c r="D2133" s="12"/>
      <c r="E2133" s="12"/>
    </row>
    <row r="2134" spans="2:5" x14ac:dyDescent="0.25">
      <c r="B2134" s="12"/>
      <c r="C2134" s="12"/>
      <c r="D2134" s="12"/>
      <c r="E2134" s="12"/>
    </row>
    <row r="2135" spans="2:5" x14ac:dyDescent="0.25">
      <c r="B2135" s="12"/>
      <c r="C2135" s="12"/>
      <c r="D2135" s="12"/>
      <c r="E2135" s="12"/>
    </row>
    <row r="2136" spans="2:5" x14ac:dyDescent="0.25">
      <c r="B2136" s="12"/>
      <c r="C2136" s="12"/>
      <c r="D2136" s="12"/>
      <c r="E2136" s="12"/>
    </row>
    <row r="2137" spans="2:5" x14ac:dyDescent="0.25">
      <c r="B2137" s="12"/>
      <c r="C2137" s="12"/>
      <c r="D2137" s="12"/>
      <c r="E2137" s="12"/>
    </row>
    <row r="2138" spans="2:5" x14ac:dyDescent="0.25">
      <c r="B2138" s="12"/>
      <c r="C2138" s="12"/>
      <c r="D2138" s="12"/>
      <c r="E2138" s="12"/>
    </row>
    <row r="2139" spans="2:5" x14ac:dyDescent="0.25">
      <c r="B2139" s="12"/>
      <c r="C2139" s="12"/>
      <c r="D2139" s="12"/>
      <c r="E2139" s="12"/>
    </row>
    <row r="2140" spans="2:5" x14ac:dyDescent="0.25">
      <c r="B2140" s="12"/>
      <c r="C2140" s="12"/>
      <c r="D2140" s="12"/>
      <c r="E2140" s="12"/>
    </row>
    <row r="2141" spans="2:5" x14ac:dyDescent="0.25">
      <c r="B2141" s="12"/>
      <c r="C2141" s="12"/>
      <c r="D2141" s="12"/>
      <c r="E2141" s="12"/>
    </row>
    <row r="2142" spans="2:5" x14ac:dyDescent="0.25">
      <c r="B2142" s="12"/>
      <c r="C2142" s="12"/>
      <c r="D2142" s="12"/>
      <c r="E2142" s="12"/>
    </row>
    <row r="2143" spans="2:5" x14ac:dyDescent="0.25">
      <c r="B2143" s="12"/>
      <c r="C2143" s="12"/>
      <c r="D2143" s="12"/>
      <c r="E2143" s="12"/>
    </row>
    <row r="2144" spans="2:5" x14ac:dyDescent="0.25">
      <c r="B2144" s="12"/>
      <c r="C2144" s="12"/>
      <c r="D2144" s="12"/>
      <c r="E2144" s="12"/>
    </row>
    <row r="2145" spans="2:5" x14ac:dyDescent="0.25">
      <c r="B2145" s="12"/>
      <c r="C2145" s="12"/>
      <c r="D2145" s="12"/>
      <c r="E2145" s="12"/>
    </row>
    <row r="2146" spans="2:5" x14ac:dyDescent="0.25">
      <c r="B2146" s="12"/>
      <c r="C2146" s="12"/>
      <c r="D2146" s="12"/>
      <c r="E2146" s="12"/>
    </row>
    <row r="2147" spans="2:5" x14ac:dyDescent="0.25">
      <c r="B2147" s="12"/>
      <c r="C2147" s="12"/>
      <c r="D2147" s="12"/>
      <c r="E2147" s="12"/>
    </row>
    <row r="2148" spans="2:5" x14ac:dyDescent="0.25">
      <c r="B2148" s="12"/>
      <c r="C2148" s="12"/>
      <c r="D2148" s="12"/>
      <c r="E2148" s="12"/>
    </row>
    <row r="2149" spans="2:5" x14ac:dyDescent="0.25">
      <c r="B2149" s="12"/>
      <c r="C2149" s="12"/>
      <c r="D2149" s="12"/>
      <c r="E2149" s="12"/>
    </row>
    <row r="2150" spans="2:5" x14ac:dyDescent="0.25">
      <c r="B2150" s="12"/>
      <c r="C2150" s="12"/>
      <c r="D2150" s="12"/>
      <c r="E2150" s="12"/>
    </row>
    <row r="2151" spans="2:5" x14ac:dyDescent="0.25">
      <c r="B2151" s="12"/>
      <c r="C2151" s="12"/>
      <c r="D2151" s="12"/>
      <c r="E2151" s="12"/>
    </row>
    <row r="2152" spans="2:5" x14ac:dyDescent="0.25">
      <c r="B2152" s="12"/>
      <c r="C2152" s="12"/>
      <c r="D2152" s="12"/>
      <c r="E2152" s="12"/>
    </row>
    <row r="2153" spans="2:5" x14ac:dyDescent="0.25">
      <c r="B2153" s="12"/>
      <c r="C2153" s="12"/>
      <c r="D2153" s="12"/>
      <c r="E2153" s="12"/>
    </row>
    <row r="2154" spans="2:5" x14ac:dyDescent="0.25">
      <c r="B2154" s="12"/>
      <c r="C2154" s="12"/>
      <c r="D2154" s="12"/>
      <c r="E2154" s="12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0652E0-ED49-4DE2-BDD9-86F8E2A33F84}">
  <sheetPr codeName="Sheet7"/>
  <dimension ref="A1:AJ2132"/>
  <sheetViews>
    <sheetView tabSelected="1" workbookViewId="0">
      <selection activeCell="C6" sqref="C6"/>
    </sheetView>
  </sheetViews>
  <sheetFormatPr defaultRowHeight="15.75" x14ac:dyDescent="0.25"/>
  <cols>
    <col min="2" max="2" width="10.125" bestFit="1" customWidth="1"/>
    <col min="3" max="3" width="4.875" bestFit="1" customWidth="1"/>
    <col min="4" max="4" width="10.375" bestFit="1" customWidth="1"/>
    <col min="5" max="5" width="13.75" style="7" bestFit="1" customWidth="1"/>
    <col min="6" max="6" width="14.75" style="7" bestFit="1" customWidth="1"/>
    <col min="7" max="8" width="14.75" style="7" customWidth="1"/>
    <col min="9" max="9" width="21" style="7" bestFit="1" customWidth="1"/>
    <col min="10" max="10" width="15.125" style="7" bestFit="1" customWidth="1"/>
    <col min="11" max="20" width="15.125" style="7" customWidth="1"/>
    <col min="21" max="21" width="15.125" style="7" bestFit="1" customWidth="1"/>
    <col min="22" max="22" width="14.25" style="8" bestFit="1" customWidth="1"/>
    <col min="23" max="23" width="18.75" style="8" bestFit="1" customWidth="1"/>
    <col min="24" max="24" width="9" style="14"/>
    <col min="29" max="29" width="13.375" bestFit="1" customWidth="1"/>
    <col min="30" max="30" width="14" bestFit="1" customWidth="1"/>
  </cols>
  <sheetData>
    <row r="1" spans="1:36" x14ac:dyDescent="0.25">
      <c r="Z1" s="6">
        <f>+COUNT(C:C)</f>
        <v>1512</v>
      </c>
      <c r="AA1">
        <f>+COUNT(F7:T7)</f>
        <v>15</v>
      </c>
      <c r="AC1">
        <v>0</v>
      </c>
      <c r="AD1">
        <v>0</v>
      </c>
    </row>
    <row r="2" spans="1:36" x14ac:dyDescent="0.25">
      <c r="A2" t="s">
        <v>55</v>
      </c>
      <c r="B2" s="27" t="str">
        <f>+"2015-01-01"</f>
        <v>2015-01-01</v>
      </c>
      <c r="D2" s="11" t="s">
        <v>15</v>
      </c>
      <c r="E2" s="30" t="s">
        <v>62</v>
      </c>
      <c r="F2" s="30" t="s">
        <v>63</v>
      </c>
      <c r="G2" s="30" t="s">
        <v>67</v>
      </c>
      <c r="H2" s="30" t="s">
        <v>68</v>
      </c>
      <c r="I2" s="30" t="s">
        <v>64</v>
      </c>
      <c r="J2" s="7" t="s">
        <v>65</v>
      </c>
      <c r="AC2">
        <v>0</v>
      </c>
      <c r="AD2">
        <v>0</v>
      </c>
    </row>
    <row r="3" spans="1:36" x14ac:dyDescent="0.25">
      <c r="D3" s="11" t="s">
        <v>16</v>
      </c>
      <c r="E3" s="30" t="s">
        <v>59</v>
      </c>
      <c r="F3" s="30" t="s">
        <v>60</v>
      </c>
      <c r="G3" s="30" t="s">
        <v>69</v>
      </c>
      <c r="H3" s="30" t="s">
        <v>70</v>
      </c>
      <c r="I3" s="30" t="s">
        <v>61</v>
      </c>
      <c r="J3" s="7" t="s">
        <v>20</v>
      </c>
      <c r="W3" s="8" t="s">
        <v>47</v>
      </c>
      <c r="X3" s="18">
        <v>30</v>
      </c>
      <c r="AB3" t="s">
        <v>52</v>
      </c>
      <c r="AC3" s="22" cm="1">
        <f t="array" aca="1" ref="AC3" ca="1">+_xlfn.T.TEST(IF($AA$7:$AA$1607=1,$AC$7:$AC$1607,""),AC1:AC2,1,3)</f>
        <v>1.5197490673769339E-7</v>
      </c>
      <c r="AD3" s="22" cm="1">
        <f t="array" aca="1" ref="AD3" ca="1">+_xlfn.T.TEST(IF($AB$7:$AB$1607=1,$AD$7:$AD$1607,""),AD1:AD2,1,3)</f>
        <v>2.4019946317879286E-2</v>
      </c>
      <c r="AH3" t="str">
        <f>+AC6</f>
        <v>bullish returns</v>
      </c>
    </row>
    <row r="4" spans="1:36" x14ac:dyDescent="0.25">
      <c r="D4" s="11" t="s">
        <v>17</v>
      </c>
      <c r="E4" s="30" t="s">
        <v>19</v>
      </c>
      <c r="F4" s="30" t="s">
        <v>18</v>
      </c>
      <c r="G4" s="30" t="s">
        <v>19</v>
      </c>
      <c r="H4" s="30" t="s">
        <v>18</v>
      </c>
      <c r="I4" s="30" t="s">
        <v>18</v>
      </c>
      <c r="AF4" s="32">
        <v>0.99</v>
      </c>
      <c r="AG4" s="32">
        <v>0.95</v>
      </c>
      <c r="AH4" s="7" t="s">
        <v>66</v>
      </c>
      <c r="AI4" s="32">
        <v>0.95</v>
      </c>
      <c r="AJ4" s="32">
        <v>0.99</v>
      </c>
    </row>
    <row r="5" spans="1:36" x14ac:dyDescent="0.25">
      <c r="J5" s="10">
        <v>250</v>
      </c>
      <c r="W5" s="31">
        <v>30</v>
      </c>
      <c r="Y5" s="6">
        <v>0</v>
      </c>
      <c r="AC5" s="23">
        <f t="array" aca="1" ref="AC5" ca="1">+SUM(IF($AA$7:$AA$1608=1,$AC$7:$AC$1608,""))/SUM(IF($AA$7:$AA$1608=1,1,""))</f>
        <v>1.8782439502570674E-2</v>
      </c>
      <c r="AD5" s="23">
        <f t="array" aca="1" ref="AD5" ca="1">+SUM(IF($AB$7:$AB$1608=1,$AD$7:$AD$1608,""))/SUM(IF($AB$7:$AB$1608=1,1,""))</f>
        <v>-8.4030860556471073E-3</v>
      </c>
      <c r="AF5" s="33" cm="1">
        <f t="array" aca="1" ref="AF5" ca="1">AH5-(2.58*(STDEV(IF($AA$7:$AA$1608=1,$AC$7:$AC$1608,""))/SQRT(SUM(IF($AA$7:$AA$1608=1,1,"")))))</f>
        <v>9.2443762395481004E-3</v>
      </c>
      <c r="AG5" s="33" cm="1">
        <f t="array" aca="1" ref="AG5" ca="1">AH5-(1.96*(STDEV(IF($AA$7:$AA$1608=1,$AC$7:$AC$1608,""))/SQRT(SUM(IF($AA$7:$AA$1608=1,1,"")))))</f>
        <v>1.1536468961669804E-2</v>
      </c>
      <c r="AH5" s="34">
        <f ca="1">+AC5</f>
        <v>1.8782439502570674E-2</v>
      </c>
      <c r="AI5" s="33" cm="1">
        <f t="array" aca="1" ref="AI5" ca="1">AH5+(1.96*(STDEV(IF($AA$7:$AA$1608=1,$AC$7:$AC$1608,""))/SQRT(SUM(IF($AA$7:$AA$1608=1,1,"")))))</f>
        <v>2.6028410043471544E-2</v>
      </c>
      <c r="AJ5" s="33" cm="1">
        <f t="array" aca="1" ref="AJ5" ca="1">AH5+(2.58*(STDEV(IF($AA$7:$AA$1608=1,$AC$7:$AC$1608,""))/SQRT(SUM(IF($AA$7:$AA$1608=1,1,"")))))</f>
        <v>2.8320502765593246E-2</v>
      </c>
    </row>
    <row r="6" spans="1:36" x14ac:dyDescent="0.25">
      <c r="C6" s="6" t="s">
        <v>71</v>
      </c>
      <c r="D6" s="36" t="s">
        <v>72</v>
      </c>
      <c r="E6" s="10" t="s">
        <v>73</v>
      </c>
      <c r="F6" s="10" t="s">
        <v>74</v>
      </c>
      <c r="G6" s="10" t="s">
        <v>75</v>
      </c>
      <c r="H6" s="10" t="s">
        <v>76</v>
      </c>
      <c r="I6" s="10" t="s">
        <v>77</v>
      </c>
      <c r="J6" s="37" t="s">
        <v>78</v>
      </c>
      <c r="K6" s="37" t="s">
        <v>79</v>
      </c>
      <c r="L6" s="37" t="s">
        <v>80</v>
      </c>
      <c r="M6" s="37" t="s">
        <v>81</v>
      </c>
      <c r="N6" s="37" t="s">
        <v>82</v>
      </c>
      <c r="O6" s="37" t="s">
        <v>83</v>
      </c>
      <c r="P6" s="37" t="s">
        <v>84</v>
      </c>
      <c r="Q6" s="37" t="s">
        <v>85</v>
      </c>
      <c r="R6" s="37" t="s">
        <v>86</v>
      </c>
      <c r="S6" s="37" t="s">
        <v>87</v>
      </c>
      <c r="T6" s="37" t="s">
        <v>88</v>
      </c>
      <c r="U6" s="8" t="s">
        <v>45</v>
      </c>
      <c r="V6" s="8" t="s">
        <v>57</v>
      </c>
      <c r="W6" s="8" t="s">
        <v>58</v>
      </c>
      <c r="X6" s="16" t="s">
        <v>46</v>
      </c>
      <c r="Y6" s="19">
        <v>0.1</v>
      </c>
      <c r="Z6" s="19">
        <f>1-Y6</f>
        <v>0.9</v>
      </c>
      <c r="AA6" s="7" t="s">
        <v>48</v>
      </c>
      <c r="AB6" t="s">
        <v>49</v>
      </c>
      <c r="AC6" s="16" t="s">
        <v>50</v>
      </c>
      <c r="AD6" s="16" t="s">
        <v>51</v>
      </c>
    </row>
    <row r="7" spans="1:36" x14ac:dyDescent="0.25">
      <c r="C7" s="6">
        <v>101</v>
      </c>
      <c r="D7" s="36">
        <v>42151</v>
      </c>
      <c r="E7" s="38">
        <v>20.925999999999998</v>
      </c>
      <c r="F7" s="38">
        <v>60.345926263086028</v>
      </c>
      <c r="G7" s="38">
        <v>34.67</v>
      </c>
      <c r="H7" s="38">
        <v>2.7783340919435595</v>
      </c>
      <c r="I7" s="38">
        <v>7.7378243058716425</v>
      </c>
      <c r="J7" s="10">
        <v>0</v>
      </c>
      <c r="K7" s="39">
        <v>0</v>
      </c>
      <c r="L7" s="39">
        <v>0</v>
      </c>
      <c r="M7" s="39">
        <v>0</v>
      </c>
      <c r="N7" s="39">
        <v>1</v>
      </c>
      <c r="O7" s="39">
        <v>0</v>
      </c>
      <c r="P7" s="39">
        <v>0</v>
      </c>
      <c r="Q7" s="39">
        <v>0</v>
      </c>
      <c r="R7" s="39">
        <v>0</v>
      </c>
      <c r="S7" s="39">
        <v>0</v>
      </c>
      <c r="T7" s="39">
        <v>0</v>
      </c>
      <c r="U7" s="29" t="str" cm="1">
        <f t="array" aca="1" ref="U7" ca="1">+fair_value_gap(OFFSET(T6,0,0,-1*$J$5,-1*$AA$1),OFFSET(E6,0,0,-1*$J$5,1),F7:T7,0)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V7" s="9" t="str" cm="1">
        <f t="array" aca="1" ref="V7" ca="1">z_score_diff(OFFSET(U7,0,0,$J$5*-1,1),OFFSET(E7,0,0,$J$5*-1,1))</f>
        <v/>
      </c>
      <c r="W7" s="9" t="str">
        <f ca="1">+IF(ISERROR(AVERAGE(OFFSET(V7,0,0,$W$5*-1,1))),"",AVERAGE(OFFSET(V7,0,0,$W$5*-1,1)))</f>
        <v/>
      </c>
      <c r="X7" s="17">
        <f t="shared" ref="X7:X70" ca="1" si="0">+LN(OFFSET(E7,$X$3,0,1,1)/E7)</f>
        <v>-4.5260131404864443E-2</v>
      </c>
      <c r="Y7" s="13">
        <f ca="1">+PERCENTILE(W7:W1509,Y6)*Y5</f>
        <v>0</v>
      </c>
      <c r="Z7" s="13">
        <f ca="1">+PERCENTILE(W7:W1509,Z6)*Y5</f>
        <v>0</v>
      </c>
      <c r="AA7" t="str">
        <f ca="1">+IF(W7="","",IF(W7&lt;Y7,1,0))</f>
        <v/>
      </c>
      <c r="AB7" t="str">
        <f ca="1">+IF(W7="","",IF(W7&gt;Z7,1,0))</f>
        <v/>
      </c>
      <c r="AC7" s="24" t="str">
        <f ca="1">+IF(ISERROR(AA7*X7),"",AA7*X7)</f>
        <v/>
      </c>
      <c r="AD7" s="24" t="str">
        <f ca="1">+IF(ISERROR(AB7*X7),"",AB7*X7)</f>
        <v/>
      </c>
    </row>
    <row r="8" spans="1:36" x14ac:dyDescent="0.25">
      <c r="C8" s="6">
        <v>102</v>
      </c>
      <c r="D8" s="36">
        <v>42152</v>
      </c>
      <c r="E8" s="38">
        <v>20.922000000000001</v>
      </c>
      <c r="F8" s="38">
        <v>60.439918592608159</v>
      </c>
      <c r="G8" s="38">
        <v>34.96</v>
      </c>
      <c r="H8" s="38">
        <v>2.7359112340752221</v>
      </c>
      <c r="I8" s="38">
        <v>7.6047830464036625</v>
      </c>
      <c r="J8" s="10">
        <v>0</v>
      </c>
      <c r="K8" s="39">
        <v>0</v>
      </c>
      <c r="L8" s="39">
        <v>0</v>
      </c>
      <c r="M8" s="39">
        <v>0</v>
      </c>
      <c r="N8" s="39">
        <v>1</v>
      </c>
      <c r="O8" s="39">
        <v>0</v>
      </c>
      <c r="P8" s="39">
        <v>0</v>
      </c>
      <c r="Q8" s="39">
        <v>0</v>
      </c>
      <c r="R8" s="39">
        <v>0</v>
      </c>
      <c r="S8" s="39">
        <v>0</v>
      </c>
      <c r="T8" s="39">
        <v>0</v>
      </c>
      <c r="U8" s="29" t="str" cm="1">
        <f t="array" aca="1" ref="U8" ca="1">+fair_value_gap(OFFSET(T7,0,0,-1*$J$5,-1*$AA$1),OFFSET(E7,0,0,-1*$J$5,1),F8:T8,0)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V8" s="9" t="str" cm="1">
        <f t="array" aca="1" ref="V8" ca="1">z_score_diff(OFFSET(U8,0,0,$J$5*-1,1),OFFSET(E8,0,0,$J$5*-1,1))</f>
        <v/>
      </c>
      <c r="W8" s="9" t="str">
        <f ca="1">+IF(ISERROR(AVERAGE(OFFSET(V8,0,0,$W$5*-1,1))),"",AVERAGE(OFFSET(V8,0,0,$W$5*-1,1)))</f>
        <v/>
      </c>
      <c r="X8" s="17">
        <f t="shared" ca="1" si="0"/>
        <v>-3.1659276457660458E-2</v>
      </c>
      <c r="Y8" s="13">
        <f ca="1">+Y7</f>
        <v>0</v>
      </c>
      <c r="Z8" s="13">
        <f ca="1">+Z7</f>
        <v>0</v>
      </c>
      <c r="AA8" t="str">
        <f t="shared" ref="AA8:AA10" ca="1" si="1">+IF(W8="","",IF(W8&lt;Y8,1,0))</f>
        <v/>
      </c>
      <c r="AB8" t="str">
        <f t="shared" ref="AB8:AB10" ca="1" si="2">+IF(W8="","",IF(W8&gt;Z8,1,0))</f>
        <v/>
      </c>
      <c r="AC8" s="24" t="str">
        <f t="shared" ref="AC8:AC10" ca="1" si="3">+IF(ISERROR(AA8*X8),"",AA8*X8)</f>
        <v/>
      </c>
      <c r="AD8" s="24" t="str">
        <f t="shared" ref="AD8:AD10" ca="1" si="4">+IF(ISERROR(AB8*X8),"",AB8*X8)</f>
        <v/>
      </c>
      <c r="AH8" t="str">
        <f>+AD6</f>
        <v>bearish returns</v>
      </c>
    </row>
    <row r="9" spans="1:36" x14ac:dyDescent="0.25">
      <c r="C9" s="6">
        <v>103</v>
      </c>
      <c r="D9" s="36">
        <v>42153</v>
      </c>
      <c r="E9" s="38">
        <v>20.824000000000002</v>
      </c>
      <c r="F9" s="38">
        <v>62.625972432646805</v>
      </c>
      <c r="G9" s="38">
        <v>35.74</v>
      </c>
      <c r="H9" s="38">
        <v>2.6994576691971823</v>
      </c>
      <c r="I9" s="38">
        <v>7.6791801165247824</v>
      </c>
      <c r="J9" s="10">
        <v>0</v>
      </c>
      <c r="K9" s="39">
        <v>0</v>
      </c>
      <c r="L9" s="39">
        <v>0</v>
      </c>
      <c r="M9" s="39">
        <v>0</v>
      </c>
      <c r="N9" s="39">
        <v>1</v>
      </c>
      <c r="O9" s="39">
        <v>0</v>
      </c>
      <c r="P9" s="39">
        <v>0</v>
      </c>
      <c r="Q9" s="39">
        <v>0</v>
      </c>
      <c r="R9" s="39">
        <v>0</v>
      </c>
      <c r="S9" s="39">
        <v>0</v>
      </c>
      <c r="T9" s="39">
        <v>0</v>
      </c>
      <c r="U9" s="29" t="str" cm="1">
        <f t="array" aca="1" ref="U9" ca="1">+fair_value_gap(OFFSET(T8,0,0,-1*$J$5,-1*$AA$1),OFFSET(E8,0,0,-1*$J$5,1),F9:T9,0)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V9" s="9" t="str" cm="1">
        <f t="array" aca="1" ref="V9" ca="1">z_score_diff(OFFSET(U9,0,0,$J$5*-1,1),OFFSET(E9,0,0,$J$5*-1,1))</f>
        <v/>
      </c>
      <c r="W9" s="9" t="str">
        <f ca="1">+IF(ISERROR(AVERAGE(OFFSET(V9,0,0,$W$5*-1,1))),"",AVERAGE(OFFSET(V9,0,0,$W$5*-1,1)))</f>
        <v/>
      </c>
      <c r="X9" s="17">
        <f t="shared" ca="1" si="0"/>
        <v>-2.5682345395283624E-2</v>
      </c>
      <c r="Y9" s="13">
        <f t="shared" ref="Y9:Z10" ca="1" si="5">+Y8</f>
        <v>0</v>
      </c>
      <c r="Z9" s="13">
        <f t="shared" ca="1" si="5"/>
        <v>0</v>
      </c>
      <c r="AA9" t="str">
        <f t="shared" ca="1" si="1"/>
        <v/>
      </c>
      <c r="AB9" t="str">
        <f t="shared" ca="1" si="2"/>
        <v/>
      </c>
      <c r="AC9" s="24" t="str">
        <f t="shared" ca="1" si="3"/>
        <v/>
      </c>
      <c r="AD9" s="24" t="str">
        <f t="shared" ca="1" si="4"/>
        <v/>
      </c>
      <c r="AF9" s="32">
        <v>0.99</v>
      </c>
      <c r="AG9" s="32">
        <v>0.95</v>
      </c>
      <c r="AH9" s="7" t="s">
        <v>66</v>
      </c>
      <c r="AI9" s="32">
        <v>0.95</v>
      </c>
      <c r="AJ9" s="32">
        <v>0.99</v>
      </c>
    </row>
    <row r="10" spans="1:36" x14ac:dyDescent="0.25">
      <c r="C10" s="6">
        <v>104</v>
      </c>
      <c r="D10" s="36">
        <v>42156</v>
      </c>
      <c r="E10" s="38">
        <v>20.734000000000002</v>
      </c>
      <c r="F10" s="38">
        <v>62.336572060931928</v>
      </c>
      <c r="G10" s="38">
        <v>35.65</v>
      </c>
      <c r="H10" s="38">
        <v>2.7256918260136391</v>
      </c>
      <c r="I10" s="38">
        <v>7.7227935070386451</v>
      </c>
      <c r="J10" s="10">
        <v>0</v>
      </c>
      <c r="K10" s="39">
        <v>0</v>
      </c>
      <c r="L10" s="39">
        <v>0</v>
      </c>
      <c r="M10" s="39">
        <v>0</v>
      </c>
      <c r="N10" s="39">
        <v>0</v>
      </c>
      <c r="O10" s="39">
        <v>1</v>
      </c>
      <c r="P10" s="39">
        <v>0</v>
      </c>
      <c r="Q10" s="39">
        <v>0</v>
      </c>
      <c r="R10" s="39">
        <v>0</v>
      </c>
      <c r="S10" s="39">
        <v>0</v>
      </c>
      <c r="T10" s="39">
        <v>0</v>
      </c>
      <c r="U10" s="29" t="str" cm="1">
        <f t="array" aca="1" ref="U10" ca="1">+fair_value_gap(OFFSET(T9,0,0,-1*$J$5,-1*$AA$1),OFFSET(E9,0,0,-1*$J$5,1),F10:T10,0)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V10" s="9" t="str" cm="1">
        <f t="array" aca="1" ref="V10" ca="1">z_score_diff(OFFSET(U10,0,0,$J$5*-1,1),OFFSET(E10,0,0,$J$5*-1,1))</f>
        <v/>
      </c>
      <c r="W10" s="9" t="str">
        <f ca="1">+IF(ISERROR(AVERAGE(OFFSET(V10,0,0,$W$5*-1,1))),"",AVERAGE(OFFSET(V10,0,0,$W$5*-1,1)))</f>
        <v/>
      </c>
      <c r="X10" s="17">
        <f t="shared" ca="1" si="0"/>
        <v>-1.898883678110188E-2</v>
      </c>
      <c r="Y10" s="13">
        <f t="shared" ca="1" si="5"/>
        <v>0</v>
      </c>
      <c r="Z10" s="13">
        <f t="shared" ca="1" si="5"/>
        <v>0</v>
      </c>
      <c r="AA10" t="str">
        <f t="shared" ca="1" si="1"/>
        <v/>
      </c>
      <c r="AB10" t="str">
        <f t="shared" ca="1" si="2"/>
        <v/>
      </c>
      <c r="AC10" s="24" t="str">
        <f t="shared" ca="1" si="3"/>
        <v/>
      </c>
      <c r="AD10" s="24" t="str">
        <f t="shared" ca="1" si="4"/>
        <v/>
      </c>
      <c r="AF10" s="33" cm="1">
        <f t="array" aca="1" ref="AF10" ca="1">AH10-(2.58*(STDEV(IF($AB$7:$AB$1608=1,$AD$7:$AD$1608,""))/SQRT(SUM(IF($AB$7:$AB$1608=1,1,"")))))</f>
        <v>-1.9430506175251334E-2</v>
      </c>
      <c r="AG10" s="33" cm="1">
        <f t="array" aca="1" ref="AG10" ca="1">AH10-(1.96*(STDEV(IF($AB$7:$AB$1608=1,$AD$7:$AD$1608,""))/SQRT(SUM(IF($AB$7:$AB$1608=1,1,"")))))</f>
        <v>-1.6780505991470476E-2</v>
      </c>
      <c r="AH10" s="34">
        <f ca="1">+AD5</f>
        <v>-8.4030860556471073E-3</v>
      </c>
      <c r="AI10" s="35" cm="1">
        <f t="array" aca="1" ref="AI10" ca="1">AH10+(1.96*(STDEV(IF($AB$7:$AB$1608=1,$AD$7:$AD$1608,""))/SQRT(SUM(IF($AB$7:$AB$1608=1,1,"")))))</f>
        <v>-2.566611982374005E-5</v>
      </c>
      <c r="AJ10" s="33" cm="1">
        <f t="array" aca="1" ref="AJ10" ca="1">AH10+(2.58*(STDEV(IF($AB$7:$AB$1608=1,$AD$7:$AD$1608,""))/SQRT(SUM(IF($AB$7:$AB$1608=1,1,"")))))</f>
        <v>2.6243340639571216E-3</v>
      </c>
    </row>
    <row r="11" spans="1:36" x14ac:dyDescent="0.25">
      <c r="C11" s="6">
        <v>105</v>
      </c>
      <c r="D11" s="36">
        <v>42157</v>
      </c>
      <c r="E11" s="38">
        <v>20.736999999999998</v>
      </c>
      <c r="F11" s="38">
        <v>61.832595259590065</v>
      </c>
      <c r="G11" s="38">
        <v>35.76</v>
      </c>
      <c r="H11" s="38">
        <v>2.6967736651014871</v>
      </c>
      <c r="I11" s="38">
        <v>7.5677042434343482</v>
      </c>
      <c r="J11" s="10">
        <v>0</v>
      </c>
      <c r="K11" s="39">
        <v>0</v>
      </c>
      <c r="L11" s="39">
        <v>0</v>
      </c>
      <c r="M11" s="39">
        <v>0</v>
      </c>
      <c r="N11" s="39">
        <v>0</v>
      </c>
      <c r="O11" s="39">
        <v>1</v>
      </c>
      <c r="P11" s="39">
        <v>0</v>
      </c>
      <c r="Q11" s="39">
        <v>0</v>
      </c>
      <c r="R11" s="39">
        <v>0</v>
      </c>
      <c r="S11" s="39">
        <v>0</v>
      </c>
      <c r="T11" s="39">
        <v>0</v>
      </c>
      <c r="U11" s="29" t="str" cm="1">
        <f t="array" aca="1" ref="U11" ca="1">+fair_value_gap(OFFSET(T10,0,0,-1*$J$5,-1*$AA$1),OFFSET(E10,0,0,-1*$J$5,1),F11:T11,0)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V11" s="9" t="str" cm="1">
        <f t="array" aca="1" ref="V11" ca="1">z_score_diff(OFFSET(U11,0,0,$J$5*-1,1),OFFSET(E11,0,0,$J$5*-1,1))</f>
        <v/>
      </c>
      <c r="W11" s="9" t="str">
        <f t="shared" ref="W11:W74" ca="1" si="6">+IF(ISERROR(AVERAGE(OFFSET(V11,0,0,$W$5*-1,1))),"",AVERAGE(OFFSET(V11,0,0,$W$5*-1,1)))</f>
        <v/>
      </c>
      <c r="X11" s="17">
        <f t="shared" ca="1" si="0"/>
        <v>-2.7871939157998449E-2</v>
      </c>
      <c r="Y11" s="13">
        <f t="shared" ref="Y11:Z11" ca="1" si="7">+Y10</f>
        <v>0</v>
      </c>
      <c r="Z11" s="13">
        <f t="shared" ca="1" si="7"/>
        <v>0</v>
      </c>
      <c r="AA11" t="str">
        <f t="shared" ref="AA11:AA74" ca="1" si="8">+IF(W11="","",IF(W11&lt;Y11,1,0))</f>
        <v/>
      </c>
      <c r="AB11" t="str">
        <f t="shared" ref="AB11:AB74" ca="1" si="9">+IF(W11="","",IF(W11&gt;Z11,1,0))</f>
        <v/>
      </c>
      <c r="AC11" s="24" t="str">
        <f t="shared" ref="AC11:AC74" ca="1" si="10">+IF(ISERROR(AA11*X11),"",AA11*X11)</f>
        <v/>
      </c>
      <c r="AD11" s="24" t="str">
        <f t="shared" ref="AD11:AD74" ca="1" si="11">+IF(ISERROR(AB11*X11),"",AB11*X11)</f>
        <v/>
      </c>
    </row>
    <row r="12" spans="1:36" x14ac:dyDescent="0.25">
      <c r="C12" s="6">
        <v>106</v>
      </c>
      <c r="D12" s="36">
        <v>42158</v>
      </c>
      <c r="E12" s="38">
        <v>20.745999999999999</v>
      </c>
      <c r="F12" s="38">
        <v>60.062678695057052</v>
      </c>
      <c r="G12" s="38">
        <v>35.79</v>
      </c>
      <c r="H12" s="38">
        <v>2.6380367017406638</v>
      </c>
      <c r="I12" s="38">
        <v>7.4869155141220851</v>
      </c>
      <c r="J12" s="10">
        <v>0</v>
      </c>
      <c r="K12" s="39">
        <v>0</v>
      </c>
      <c r="L12" s="39">
        <v>0</v>
      </c>
      <c r="M12" s="39">
        <v>0</v>
      </c>
      <c r="N12" s="39">
        <v>0</v>
      </c>
      <c r="O12" s="39">
        <v>1</v>
      </c>
      <c r="P12" s="39">
        <v>0</v>
      </c>
      <c r="Q12" s="39">
        <v>0</v>
      </c>
      <c r="R12" s="39">
        <v>0</v>
      </c>
      <c r="S12" s="39">
        <v>0</v>
      </c>
      <c r="T12" s="39">
        <v>0</v>
      </c>
      <c r="U12" s="29" t="str" cm="1">
        <f t="array" aca="1" ref="U12" ca="1">+fair_value_gap(OFFSET(T11,0,0,-1*$J$5,-1*$AA$1),OFFSET(E11,0,0,-1*$J$5,1),F12:T12,0)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V12" s="9" t="str" cm="1">
        <f t="array" aca="1" ref="V12" ca="1">z_score_diff(OFFSET(U12,0,0,$J$5*-1,1),OFFSET(E12,0,0,$J$5*-1,1))</f>
        <v/>
      </c>
      <c r="W12" s="9" t="str">
        <f t="shared" ca="1" si="6"/>
        <v/>
      </c>
      <c r="X12" s="17">
        <f t="shared" ca="1" si="0"/>
        <v>-2.3310169395972889E-2</v>
      </c>
      <c r="Y12" s="13">
        <f t="shared" ref="Y12:Z12" ca="1" si="12">+Y11</f>
        <v>0</v>
      </c>
      <c r="Z12" s="13">
        <f t="shared" ca="1" si="12"/>
        <v>0</v>
      </c>
      <c r="AA12" t="str">
        <f t="shared" ca="1" si="8"/>
        <v/>
      </c>
      <c r="AB12" t="str">
        <f t="shared" ca="1" si="9"/>
        <v/>
      </c>
      <c r="AC12" s="24" t="str">
        <f t="shared" ca="1" si="10"/>
        <v/>
      </c>
      <c r="AD12" s="24" t="str">
        <f t="shared" ca="1" si="11"/>
        <v/>
      </c>
    </row>
    <row r="13" spans="1:36" x14ac:dyDescent="0.25">
      <c r="C13" s="6">
        <v>107</v>
      </c>
      <c r="D13" s="36">
        <v>42159</v>
      </c>
      <c r="E13" s="38">
        <v>20.574999999999999</v>
      </c>
      <c r="F13" s="38">
        <v>58.897469079491685</v>
      </c>
      <c r="G13" s="38">
        <v>35.369999999999997</v>
      </c>
      <c r="H13" s="38">
        <v>2.6447730374581893</v>
      </c>
      <c r="I13" s="38">
        <v>7.5135597655062192</v>
      </c>
      <c r="J13" s="10">
        <v>0</v>
      </c>
      <c r="K13" s="39">
        <v>0</v>
      </c>
      <c r="L13" s="39">
        <v>0</v>
      </c>
      <c r="M13" s="39">
        <v>0</v>
      </c>
      <c r="N13" s="39">
        <v>0</v>
      </c>
      <c r="O13" s="39">
        <v>1</v>
      </c>
      <c r="P13" s="39">
        <v>0</v>
      </c>
      <c r="Q13" s="39">
        <v>0</v>
      </c>
      <c r="R13" s="39">
        <v>0</v>
      </c>
      <c r="S13" s="39">
        <v>0</v>
      </c>
      <c r="T13" s="39">
        <v>0</v>
      </c>
      <c r="U13" s="29" t="str" cm="1">
        <f t="array" aca="1" ref="U13" ca="1">+fair_value_gap(OFFSET(T12,0,0,-1*$J$5,-1*$AA$1),OFFSET(E12,0,0,-1*$J$5,1),F13:T13,0)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V13" s="9" t="str" cm="1">
        <f t="array" aca="1" ref="V13" ca="1">z_score_diff(OFFSET(U13,0,0,$J$5*-1,1),OFFSET(E13,0,0,$J$5*-1,1))</f>
        <v/>
      </c>
      <c r="W13" s="9" t="str">
        <f t="shared" ca="1" si="6"/>
        <v/>
      </c>
      <c r="X13" s="17">
        <f t="shared" ca="1" si="0"/>
        <v>-1.4589507776806704E-2</v>
      </c>
      <c r="Y13" s="13">
        <f t="shared" ref="Y13:Z13" ca="1" si="13">+Y12</f>
        <v>0</v>
      </c>
      <c r="Z13" s="13">
        <f t="shared" ca="1" si="13"/>
        <v>0</v>
      </c>
      <c r="AA13" t="str">
        <f t="shared" ca="1" si="8"/>
        <v/>
      </c>
      <c r="AB13" t="str">
        <f t="shared" ca="1" si="9"/>
        <v/>
      </c>
      <c r="AC13" s="24" t="str">
        <f t="shared" ca="1" si="10"/>
        <v/>
      </c>
      <c r="AD13" s="24" t="str">
        <f t="shared" ca="1" si="11"/>
        <v/>
      </c>
    </row>
    <row r="14" spans="1:36" x14ac:dyDescent="0.25">
      <c r="C14" s="6">
        <v>108</v>
      </c>
      <c r="D14" s="36">
        <v>42160</v>
      </c>
      <c r="E14" s="38">
        <v>20.661000000000001</v>
      </c>
      <c r="F14" s="38">
        <v>60.646822026139773</v>
      </c>
      <c r="G14" s="38">
        <v>35.21</v>
      </c>
      <c r="H14" s="38">
        <v>2.6509538700085837</v>
      </c>
      <c r="I14" s="38">
        <v>7.5920174848628577</v>
      </c>
      <c r="J14" s="10">
        <v>0</v>
      </c>
      <c r="K14" s="39">
        <v>0</v>
      </c>
      <c r="L14" s="39">
        <v>0</v>
      </c>
      <c r="M14" s="39">
        <v>0</v>
      </c>
      <c r="N14" s="39">
        <v>0</v>
      </c>
      <c r="O14" s="39">
        <v>1</v>
      </c>
      <c r="P14" s="39">
        <v>0</v>
      </c>
      <c r="Q14" s="39">
        <v>0</v>
      </c>
      <c r="R14" s="39">
        <v>0</v>
      </c>
      <c r="S14" s="39">
        <v>0</v>
      </c>
      <c r="T14" s="39">
        <v>0</v>
      </c>
      <c r="U14" s="29" t="str" cm="1">
        <f t="array" aca="1" ref="U14" ca="1">+fair_value_gap(OFFSET(T13,0,0,-1*$J$5,-1*$AA$1),OFFSET(E13,0,0,-1*$J$5,1),F14:T14,0)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V14" s="9" t="str" cm="1">
        <f t="array" aca="1" ref="V14" ca="1">z_score_diff(OFFSET(U14,0,0,$J$5*-1,1),OFFSET(E14,0,0,$J$5*-1,1))</f>
        <v/>
      </c>
      <c r="W14" s="9" t="str">
        <f t="shared" ca="1" si="6"/>
        <v/>
      </c>
      <c r="X14" s="17">
        <f t="shared" ca="1" si="0"/>
        <v>-1.9056571992523627E-2</v>
      </c>
      <c r="Y14" s="13">
        <f t="shared" ref="Y14:Z14" ca="1" si="14">+Y13</f>
        <v>0</v>
      </c>
      <c r="Z14" s="13">
        <f t="shared" ca="1" si="14"/>
        <v>0</v>
      </c>
      <c r="AA14" t="str">
        <f t="shared" ca="1" si="8"/>
        <v/>
      </c>
      <c r="AB14" t="str">
        <f t="shared" ca="1" si="9"/>
        <v/>
      </c>
      <c r="AC14" s="24" t="str">
        <f t="shared" ca="1" si="10"/>
        <v/>
      </c>
      <c r="AD14" s="24" t="str">
        <f t="shared" ca="1" si="11"/>
        <v/>
      </c>
    </row>
    <row r="15" spans="1:36" x14ac:dyDescent="0.25">
      <c r="C15" s="6">
        <v>109</v>
      </c>
      <c r="D15" s="36">
        <v>42163</v>
      </c>
      <c r="E15" s="38">
        <v>20.841999999999999</v>
      </c>
      <c r="F15" s="38">
        <v>59.056919151931019</v>
      </c>
      <c r="G15" s="38">
        <v>35.369999999999997</v>
      </c>
      <c r="H15" s="38">
        <v>2.6735286355238848</v>
      </c>
      <c r="I15" s="38">
        <v>7.4777865751737487</v>
      </c>
      <c r="J15" s="10">
        <v>0</v>
      </c>
      <c r="K15" s="39">
        <v>0</v>
      </c>
      <c r="L15" s="39">
        <v>0</v>
      </c>
      <c r="M15" s="39">
        <v>0</v>
      </c>
      <c r="N15" s="39">
        <v>0</v>
      </c>
      <c r="O15" s="39">
        <v>1</v>
      </c>
      <c r="P15" s="39">
        <v>0</v>
      </c>
      <c r="Q15" s="39">
        <v>0</v>
      </c>
      <c r="R15" s="39">
        <v>0</v>
      </c>
      <c r="S15" s="39">
        <v>0</v>
      </c>
      <c r="T15" s="39">
        <v>0</v>
      </c>
      <c r="U15" s="29" t="str" cm="1">
        <f t="array" aca="1" ref="U15" ca="1">+fair_value_gap(OFFSET(T14,0,0,-1*$J$5,-1*$AA$1),OFFSET(E14,0,0,-1*$J$5,1),F15:T15,0)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V15" s="9" t="str" cm="1">
        <f t="array" aca="1" ref="V15" ca="1">z_score_diff(OFFSET(U15,0,0,$J$5*-1,1),OFFSET(E15,0,0,$J$5*-1,1))</f>
        <v/>
      </c>
      <c r="W15" s="9" t="str">
        <f t="shared" ca="1" si="6"/>
        <v/>
      </c>
      <c r="X15" s="17">
        <f t="shared" ca="1" si="0"/>
        <v>-2.9161126790795515E-2</v>
      </c>
      <c r="Y15" s="13">
        <f t="shared" ref="Y15:Z15" ca="1" si="15">+Y14</f>
        <v>0</v>
      </c>
      <c r="Z15" s="13">
        <f t="shared" ca="1" si="15"/>
        <v>0</v>
      </c>
      <c r="AA15" t="str">
        <f t="shared" ca="1" si="8"/>
        <v/>
      </c>
      <c r="AB15" t="str">
        <f t="shared" ca="1" si="9"/>
        <v/>
      </c>
      <c r="AC15" s="24" t="str">
        <f t="shared" ca="1" si="10"/>
        <v/>
      </c>
      <c r="AD15" s="24" t="str">
        <f t="shared" ca="1" si="11"/>
        <v/>
      </c>
    </row>
    <row r="16" spans="1:36" x14ac:dyDescent="0.25">
      <c r="C16" s="6">
        <v>110</v>
      </c>
      <c r="D16" s="36">
        <v>42164</v>
      </c>
      <c r="E16" s="38">
        <v>20.744</v>
      </c>
      <c r="F16" s="38">
        <v>60.761191704508541</v>
      </c>
      <c r="G16" s="38">
        <v>35.450000000000003</v>
      </c>
      <c r="H16" s="38">
        <v>2.7427476944987488</v>
      </c>
      <c r="I16" s="38">
        <v>7.4818213745954312</v>
      </c>
      <c r="J16" s="10">
        <v>0</v>
      </c>
      <c r="K16" s="39">
        <v>0</v>
      </c>
      <c r="L16" s="39">
        <v>0</v>
      </c>
      <c r="M16" s="39">
        <v>0</v>
      </c>
      <c r="N16" s="39">
        <v>0</v>
      </c>
      <c r="O16" s="39">
        <v>1</v>
      </c>
      <c r="P16" s="39">
        <v>0</v>
      </c>
      <c r="Q16" s="39">
        <v>0</v>
      </c>
      <c r="R16" s="39">
        <v>0</v>
      </c>
      <c r="S16" s="39">
        <v>0</v>
      </c>
      <c r="T16" s="39">
        <v>0</v>
      </c>
      <c r="U16" s="29" t="str" cm="1">
        <f t="array" aca="1" ref="U16" ca="1">+fair_value_gap(OFFSET(T15,0,0,-1*$J$5,-1*$AA$1),OFFSET(E15,0,0,-1*$J$5,1),F16:T16,0)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V16" s="9" t="str" cm="1">
        <f t="array" aca="1" ref="V16" ca="1">z_score_diff(OFFSET(U16,0,0,$J$5*-1,1),OFFSET(E16,0,0,$J$5*-1,1))</f>
        <v/>
      </c>
      <c r="W16" s="9" t="str">
        <f t="shared" ca="1" si="6"/>
        <v/>
      </c>
      <c r="X16" s="17">
        <f t="shared" ca="1" si="0"/>
        <v>-3.0741529926644938E-2</v>
      </c>
      <c r="Y16" s="13">
        <f t="shared" ref="Y16:Z16" ca="1" si="16">+Y15</f>
        <v>0</v>
      </c>
      <c r="Z16" s="13">
        <f t="shared" ca="1" si="16"/>
        <v>0</v>
      </c>
      <c r="AA16" t="str">
        <f t="shared" ca="1" si="8"/>
        <v/>
      </c>
      <c r="AB16" t="str">
        <f t="shared" ca="1" si="9"/>
        <v/>
      </c>
      <c r="AC16" s="24" t="str">
        <f t="shared" ca="1" si="10"/>
        <v/>
      </c>
      <c r="AD16" s="24" t="str">
        <f t="shared" ca="1" si="11"/>
        <v/>
      </c>
    </row>
    <row r="17" spans="2:30" x14ac:dyDescent="0.25">
      <c r="C17" s="6">
        <v>111</v>
      </c>
      <c r="D17" s="36">
        <v>42165</v>
      </c>
      <c r="E17" s="38">
        <v>20.858000000000001</v>
      </c>
      <c r="F17" s="38">
        <v>61.422498794863934</v>
      </c>
      <c r="G17" s="38">
        <v>35.89</v>
      </c>
      <c r="H17" s="38">
        <v>2.7450808536745699</v>
      </c>
      <c r="I17" s="38">
        <v>7.4499320741487365</v>
      </c>
      <c r="J17" s="10">
        <v>0</v>
      </c>
      <c r="K17" s="39">
        <v>0</v>
      </c>
      <c r="L17" s="39">
        <v>0</v>
      </c>
      <c r="M17" s="39">
        <v>0</v>
      </c>
      <c r="N17" s="39">
        <v>0</v>
      </c>
      <c r="O17" s="39">
        <v>1</v>
      </c>
      <c r="P17" s="39">
        <v>0</v>
      </c>
      <c r="Q17" s="39">
        <v>0</v>
      </c>
      <c r="R17" s="39">
        <v>0</v>
      </c>
      <c r="S17" s="39">
        <v>0</v>
      </c>
      <c r="T17" s="39">
        <v>0</v>
      </c>
      <c r="U17" s="29" t="str" cm="1">
        <f t="array" aca="1" ref="U17" ca="1">+fair_value_gap(OFFSET(T16,0,0,-1*$J$5,-1*$AA$1),OFFSET(E16,0,0,-1*$J$5,1),F17:T17,0)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V17" s="9" t="str" cm="1">
        <f t="array" aca="1" ref="V17" ca="1">z_score_diff(OFFSET(U17,0,0,$J$5*-1,1),OFFSET(E17,0,0,$J$5*-1,1))</f>
        <v/>
      </c>
      <c r="W17" s="9" t="str">
        <f t="shared" ca="1" si="6"/>
        <v/>
      </c>
      <c r="X17" s="17">
        <f t="shared" ca="1" si="0"/>
        <v>-4.0007291482357168E-2</v>
      </c>
      <c r="Y17" s="13">
        <f t="shared" ref="Y17:Z17" ca="1" si="17">+Y16</f>
        <v>0</v>
      </c>
      <c r="Z17" s="13">
        <f t="shared" ca="1" si="17"/>
        <v>0</v>
      </c>
      <c r="AA17" t="str">
        <f t="shared" ca="1" si="8"/>
        <v/>
      </c>
      <c r="AB17" t="str">
        <f t="shared" ca="1" si="9"/>
        <v/>
      </c>
      <c r="AC17" s="24" t="str">
        <f t="shared" ca="1" si="10"/>
        <v/>
      </c>
      <c r="AD17" s="24" t="str">
        <f t="shared" ca="1" si="11"/>
        <v/>
      </c>
    </row>
    <row r="18" spans="2:30" x14ac:dyDescent="0.25">
      <c r="C18" s="6">
        <v>112</v>
      </c>
      <c r="D18" s="36">
        <v>42166</v>
      </c>
      <c r="E18" s="38">
        <v>20.689</v>
      </c>
      <c r="F18" s="38">
        <v>61.273278292281745</v>
      </c>
      <c r="G18" s="38">
        <v>36.03</v>
      </c>
      <c r="H18" s="38">
        <v>2.7450005553469334</v>
      </c>
      <c r="I18" s="38">
        <v>7.4927760823535428</v>
      </c>
      <c r="J18" s="10">
        <v>0</v>
      </c>
      <c r="K18" s="39">
        <v>0</v>
      </c>
      <c r="L18" s="39">
        <v>0</v>
      </c>
      <c r="M18" s="39">
        <v>0</v>
      </c>
      <c r="N18" s="39">
        <v>0</v>
      </c>
      <c r="O18" s="39">
        <v>1</v>
      </c>
      <c r="P18" s="39">
        <v>0</v>
      </c>
      <c r="Q18" s="39">
        <v>0</v>
      </c>
      <c r="R18" s="39">
        <v>0</v>
      </c>
      <c r="S18" s="39">
        <v>0</v>
      </c>
      <c r="T18" s="39">
        <v>0</v>
      </c>
      <c r="U18" s="29" t="str" cm="1">
        <f t="array" aca="1" ref="U18" ca="1">+fair_value_gap(OFFSET(T17,0,0,-1*$J$5,-1*$AA$1),OFFSET(E17,0,0,-1*$J$5,1),F18:T18,0)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V18" s="9" t="str" cm="1">
        <f t="array" aca="1" ref="V18" ca="1">z_score_diff(OFFSET(U18,0,0,$J$5*-1,1),OFFSET(E18,0,0,$J$5*-1,1))</f>
        <v/>
      </c>
      <c r="W18" s="9" t="str">
        <f t="shared" ca="1" si="6"/>
        <v/>
      </c>
      <c r="X18" s="17">
        <f t="shared" ca="1" si="0"/>
        <v>-3.4119915762824471E-2</v>
      </c>
      <c r="Y18" s="13">
        <f t="shared" ref="Y18:Z18" ca="1" si="18">+Y17</f>
        <v>0</v>
      </c>
      <c r="Z18" s="13">
        <f t="shared" ca="1" si="18"/>
        <v>0</v>
      </c>
      <c r="AA18" t="str">
        <f t="shared" ca="1" si="8"/>
        <v/>
      </c>
      <c r="AB18" t="str">
        <f t="shared" ca="1" si="9"/>
        <v/>
      </c>
      <c r="AC18" s="24" t="str">
        <f t="shared" ca="1" si="10"/>
        <v/>
      </c>
      <c r="AD18" s="24" t="str">
        <f t="shared" ca="1" si="11"/>
        <v/>
      </c>
    </row>
    <row r="19" spans="2:30" x14ac:dyDescent="0.25">
      <c r="C19" s="6">
        <v>113</v>
      </c>
      <c r="D19" s="36">
        <v>42167</v>
      </c>
      <c r="E19" s="38">
        <v>20.678000000000001</v>
      </c>
      <c r="F19" s="38">
        <v>60.162187818389796</v>
      </c>
      <c r="G19" s="38">
        <v>35.83</v>
      </c>
      <c r="H19" s="38">
        <v>2.7095879964459222</v>
      </c>
      <c r="I19" s="38">
        <v>7.485049713939012</v>
      </c>
      <c r="J19" s="10">
        <v>0</v>
      </c>
      <c r="K19" s="39">
        <v>0</v>
      </c>
      <c r="L19" s="39">
        <v>0</v>
      </c>
      <c r="M19" s="39">
        <v>0</v>
      </c>
      <c r="N19" s="39">
        <v>0</v>
      </c>
      <c r="O19" s="39">
        <v>1</v>
      </c>
      <c r="P19" s="39">
        <v>0</v>
      </c>
      <c r="Q19" s="39">
        <v>0</v>
      </c>
      <c r="R19" s="39">
        <v>0</v>
      </c>
      <c r="S19" s="39">
        <v>0</v>
      </c>
      <c r="T19" s="39">
        <v>0</v>
      </c>
      <c r="U19" s="29" t="str" cm="1">
        <f t="array" aca="1" ref="U19" ca="1">+fair_value_gap(OFFSET(T18,0,0,-1*$J$5,-1*$AA$1),OFFSET(E18,0,0,-1*$J$5,1),F19:T19,0)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V19" s="9" t="str" cm="1">
        <f t="array" aca="1" ref="V19" ca="1">z_score_diff(OFFSET(U19,0,0,$J$5*-1,1),OFFSET(E19,0,0,$J$5*-1,1))</f>
        <v/>
      </c>
      <c r="W19" s="9" t="str">
        <f t="shared" ca="1" si="6"/>
        <v/>
      </c>
      <c r="X19" s="17">
        <f t="shared" ca="1" si="0"/>
        <v>-3.6794024583900777E-2</v>
      </c>
      <c r="Y19" s="13">
        <f t="shared" ref="Y19:Z19" ca="1" si="19">+Y18</f>
        <v>0</v>
      </c>
      <c r="Z19" s="13">
        <f t="shared" ca="1" si="19"/>
        <v>0</v>
      </c>
      <c r="AA19" t="str">
        <f t="shared" ca="1" si="8"/>
        <v/>
      </c>
      <c r="AB19" t="str">
        <f t="shared" ca="1" si="9"/>
        <v/>
      </c>
      <c r="AC19" s="24" t="str">
        <f t="shared" ca="1" si="10"/>
        <v/>
      </c>
      <c r="AD19" s="24" t="str">
        <f t="shared" ca="1" si="11"/>
        <v/>
      </c>
    </row>
    <row r="20" spans="2:30" x14ac:dyDescent="0.25">
      <c r="C20" s="6">
        <v>114</v>
      </c>
      <c r="D20" s="36">
        <v>42170</v>
      </c>
      <c r="E20" s="38">
        <v>20.596</v>
      </c>
      <c r="F20" s="38">
        <v>59.843520016610491</v>
      </c>
      <c r="G20" s="38">
        <v>36.07</v>
      </c>
      <c r="H20" s="38">
        <v>2.7572712692157788</v>
      </c>
      <c r="I20" s="38">
        <v>7.3022819191100732</v>
      </c>
      <c r="J20" s="10">
        <v>0</v>
      </c>
      <c r="K20" s="39">
        <v>0</v>
      </c>
      <c r="L20" s="39">
        <v>0</v>
      </c>
      <c r="M20" s="39">
        <v>0</v>
      </c>
      <c r="N20" s="39">
        <v>0</v>
      </c>
      <c r="O20" s="39">
        <v>1</v>
      </c>
      <c r="P20" s="39">
        <v>0</v>
      </c>
      <c r="Q20" s="39">
        <v>0</v>
      </c>
      <c r="R20" s="39">
        <v>0</v>
      </c>
      <c r="S20" s="39">
        <v>0</v>
      </c>
      <c r="T20" s="39">
        <v>0</v>
      </c>
      <c r="U20" s="29" t="str" cm="1">
        <f t="array" aca="1" ref="U20" ca="1">+fair_value_gap(OFFSET(T19,0,0,-1*$J$5,-1*$AA$1),OFFSET(E19,0,0,-1*$J$5,1),F20:T20,0)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V20" s="9" t="str" cm="1">
        <f t="array" aca="1" ref="V20" ca="1">z_score_diff(OFFSET(U20,0,0,$J$5*-1,1),OFFSET(E20,0,0,$J$5*-1,1))</f>
        <v/>
      </c>
      <c r="W20" s="9" t="str">
        <f t="shared" ca="1" si="6"/>
        <v/>
      </c>
      <c r="X20" s="17">
        <f t="shared" ca="1" si="0"/>
        <v>-3.9061471608767981E-2</v>
      </c>
      <c r="Y20" s="13">
        <f t="shared" ref="Y20:Z20" ca="1" si="20">+Y19</f>
        <v>0</v>
      </c>
      <c r="Z20" s="13">
        <f t="shared" ca="1" si="20"/>
        <v>0</v>
      </c>
      <c r="AA20" t="str">
        <f t="shared" ca="1" si="8"/>
        <v/>
      </c>
      <c r="AB20" t="str">
        <f t="shared" ca="1" si="9"/>
        <v/>
      </c>
      <c r="AC20" s="24" t="str">
        <f t="shared" ca="1" si="10"/>
        <v/>
      </c>
      <c r="AD20" s="24" t="str">
        <f t="shared" ca="1" si="11"/>
        <v/>
      </c>
    </row>
    <row r="21" spans="2:30" x14ac:dyDescent="0.25">
      <c r="C21" s="6">
        <v>115</v>
      </c>
      <c r="D21" s="36">
        <v>42171</v>
      </c>
      <c r="E21" s="38">
        <v>20.678999999999998</v>
      </c>
      <c r="F21" s="38">
        <v>60.512383468006256</v>
      </c>
      <c r="G21" s="38">
        <v>36.14</v>
      </c>
      <c r="H21" s="38">
        <v>2.7631547604868874</v>
      </c>
      <c r="I21" s="38">
        <v>8.0283232185283122</v>
      </c>
      <c r="J21" s="10">
        <v>0</v>
      </c>
      <c r="K21" s="39">
        <v>0</v>
      </c>
      <c r="L21" s="39">
        <v>0</v>
      </c>
      <c r="M21" s="39">
        <v>0</v>
      </c>
      <c r="N21" s="39">
        <v>0</v>
      </c>
      <c r="O21" s="39">
        <v>1</v>
      </c>
      <c r="P21" s="39">
        <v>0</v>
      </c>
      <c r="Q21" s="39">
        <v>0</v>
      </c>
      <c r="R21" s="39">
        <v>0</v>
      </c>
      <c r="S21" s="39">
        <v>0</v>
      </c>
      <c r="T21" s="39">
        <v>0</v>
      </c>
      <c r="U21" s="29" t="str" cm="1">
        <f t="array" aca="1" ref="U21" ca="1">+fair_value_gap(OFFSET(T20,0,0,-1*$J$5,-1*$AA$1),OFFSET(E20,0,0,-1*$J$5,1),F21:T21,0)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V21" s="9" t="str" cm="1">
        <f t="array" aca="1" ref="V21" ca="1">z_score_diff(OFFSET(U21,0,0,$J$5*-1,1),OFFSET(E21,0,0,$J$5*-1,1))</f>
        <v/>
      </c>
      <c r="W21" s="9" t="str">
        <f t="shared" ca="1" si="6"/>
        <v/>
      </c>
      <c r="X21" s="17">
        <f t="shared" ca="1" si="0"/>
        <v>-4.3840876921492231E-2</v>
      </c>
      <c r="Y21" s="13">
        <f t="shared" ref="Y21:Z21" ca="1" si="21">+Y20</f>
        <v>0</v>
      </c>
      <c r="Z21" s="13">
        <f t="shared" ca="1" si="21"/>
        <v>0</v>
      </c>
      <c r="AA21" t="str">
        <f t="shared" ca="1" si="8"/>
        <v/>
      </c>
      <c r="AB21" t="str">
        <f t="shared" ca="1" si="9"/>
        <v/>
      </c>
      <c r="AC21" s="24" t="str">
        <f t="shared" ca="1" si="10"/>
        <v/>
      </c>
      <c r="AD21" s="24" t="str">
        <f t="shared" ca="1" si="11"/>
        <v/>
      </c>
    </row>
    <row r="22" spans="2:30" x14ac:dyDescent="0.25">
      <c r="C22" s="6">
        <v>116</v>
      </c>
      <c r="D22" s="36">
        <v>42172</v>
      </c>
      <c r="E22" s="38">
        <v>20.634</v>
      </c>
      <c r="F22" s="38">
        <v>60.302335094925375</v>
      </c>
      <c r="G22" s="38">
        <v>36.17</v>
      </c>
      <c r="H22" s="38">
        <v>2.7339277720985198</v>
      </c>
      <c r="I22" s="38">
        <v>7.9714010657150043</v>
      </c>
      <c r="J22" s="10">
        <v>0</v>
      </c>
      <c r="K22" s="39">
        <v>0</v>
      </c>
      <c r="L22" s="39">
        <v>0</v>
      </c>
      <c r="M22" s="39">
        <v>0</v>
      </c>
      <c r="N22" s="39">
        <v>0</v>
      </c>
      <c r="O22" s="39">
        <v>1</v>
      </c>
      <c r="P22" s="39">
        <v>0</v>
      </c>
      <c r="Q22" s="39">
        <v>0</v>
      </c>
      <c r="R22" s="39">
        <v>0</v>
      </c>
      <c r="S22" s="39">
        <v>0</v>
      </c>
      <c r="T22" s="39">
        <v>0</v>
      </c>
      <c r="U22" s="29" t="str" cm="1">
        <f t="array" aca="1" ref="U22" ca="1">+fair_value_gap(OFFSET(T21,0,0,-1*$J$5,-1*$AA$1),OFFSET(E21,0,0,-1*$J$5,1),F22:T22,0)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V22" s="9" t="str" cm="1">
        <f t="array" aca="1" ref="V22" ca="1">z_score_diff(OFFSET(U22,0,0,$J$5*-1,1),OFFSET(E22,0,0,$J$5*-1,1))</f>
        <v/>
      </c>
      <c r="W22" s="9" t="str">
        <f t="shared" ca="1" si="6"/>
        <v/>
      </c>
      <c r="X22" s="17">
        <f t="shared" ca="1" si="0"/>
        <v>-4.0046875791397506E-2</v>
      </c>
      <c r="Y22" s="13">
        <f t="shared" ref="Y22:Z22" ca="1" si="22">+Y21</f>
        <v>0</v>
      </c>
      <c r="Z22" s="13">
        <f t="shared" ca="1" si="22"/>
        <v>0</v>
      </c>
      <c r="AA22" t="str">
        <f t="shared" ca="1" si="8"/>
        <v/>
      </c>
      <c r="AB22" t="str">
        <f t="shared" ca="1" si="9"/>
        <v/>
      </c>
      <c r="AC22" s="24" t="str">
        <f t="shared" ca="1" si="10"/>
        <v/>
      </c>
      <c r="AD22" s="24" t="str">
        <f t="shared" ca="1" si="11"/>
        <v/>
      </c>
    </row>
    <row r="23" spans="2:30" x14ac:dyDescent="0.25">
      <c r="C23" s="6">
        <v>117</v>
      </c>
      <c r="D23" s="36">
        <v>42173</v>
      </c>
      <c r="E23" s="38">
        <v>20.68</v>
      </c>
      <c r="F23" s="38">
        <v>60.379309953239236</v>
      </c>
      <c r="G23" s="38">
        <v>36.22</v>
      </c>
      <c r="H23" s="38">
        <v>2.6948809491571617</v>
      </c>
      <c r="I23" s="38">
        <v>7.9492436425705577</v>
      </c>
      <c r="J23" s="10">
        <v>0</v>
      </c>
      <c r="K23" s="39">
        <v>0</v>
      </c>
      <c r="L23" s="39">
        <v>0</v>
      </c>
      <c r="M23" s="39">
        <v>0</v>
      </c>
      <c r="N23" s="39">
        <v>0</v>
      </c>
      <c r="O23" s="39">
        <v>1</v>
      </c>
      <c r="P23" s="39">
        <v>0</v>
      </c>
      <c r="Q23" s="39">
        <v>0</v>
      </c>
      <c r="R23" s="39">
        <v>0</v>
      </c>
      <c r="S23" s="39">
        <v>0</v>
      </c>
      <c r="T23" s="39">
        <v>0</v>
      </c>
      <c r="U23" s="29" t="str" cm="1">
        <f t="array" aca="1" ref="U23" ca="1">+fair_value_gap(OFFSET(T22,0,0,-1*$J$5,-1*$AA$1),OFFSET(E22,0,0,-1*$J$5,1),F23:T23,0)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V23" s="9" t="str" cm="1">
        <f t="array" aca="1" ref="V23" ca="1">z_score_diff(OFFSET(U23,0,0,$J$5*-1,1),OFFSET(E23,0,0,$J$5*-1,1))</f>
        <v/>
      </c>
      <c r="W23" s="9" t="str">
        <f t="shared" ca="1" si="6"/>
        <v/>
      </c>
      <c r="X23" s="17">
        <f t="shared" ca="1" si="0"/>
        <v>-3.658974777953853E-2</v>
      </c>
      <c r="Y23" s="13">
        <f t="shared" ref="Y23:Z23" ca="1" si="23">+Y22</f>
        <v>0</v>
      </c>
      <c r="Z23" s="13">
        <f t="shared" ca="1" si="23"/>
        <v>0</v>
      </c>
      <c r="AA23" t="str">
        <f t="shared" ca="1" si="8"/>
        <v/>
      </c>
      <c r="AB23" t="str">
        <f t="shared" ca="1" si="9"/>
        <v/>
      </c>
      <c r="AC23" s="24" t="str">
        <f t="shared" ca="1" si="10"/>
        <v/>
      </c>
      <c r="AD23" s="24" t="str">
        <f t="shared" ca="1" si="11"/>
        <v/>
      </c>
    </row>
    <row r="24" spans="2:30" x14ac:dyDescent="0.25">
      <c r="C24" s="6">
        <v>118</v>
      </c>
      <c r="D24" s="36">
        <v>42174</v>
      </c>
      <c r="E24" s="38">
        <v>20.817</v>
      </c>
      <c r="F24" s="38">
        <v>59.49408600975098</v>
      </c>
      <c r="G24" s="38">
        <v>36.869999999999997</v>
      </c>
      <c r="H24" s="38">
        <v>2.7189050919346727</v>
      </c>
      <c r="I24" s="38">
        <v>7.958197599422812</v>
      </c>
      <c r="J24" s="10">
        <v>0</v>
      </c>
      <c r="K24" s="39">
        <v>0</v>
      </c>
      <c r="L24" s="39">
        <v>0</v>
      </c>
      <c r="M24" s="39">
        <v>0</v>
      </c>
      <c r="N24" s="39">
        <v>0</v>
      </c>
      <c r="O24" s="39">
        <v>1</v>
      </c>
      <c r="P24" s="39">
        <v>0</v>
      </c>
      <c r="Q24" s="39">
        <v>0</v>
      </c>
      <c r="R24" s="39">
        <v>0</v>
      </c>
      <c r="S24" s="39">
        <v>0</v>
      </c>
      <c r="T24" s="39">
        <v>0</v>
      </c>
      <c r="U24" s="29" t="str" cm="1">
        <f t="array" aca="1" ref="U24" ca="1">+fair_value_gap(OFFSET(T23,0,0,-1*$J$5,-1*$AA$1),OFFSET(E23,0,0,-1*$J$5,1),F24:T24,0)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V24" s="9" t="str" cm="1">
        <f t="array" aca="1" ref="V24" ca="1">z_score_diff(OFFSET(U24,0,0,$J$5*-1,1),OFFSET(E24,0,0,$J$5*-1,1))</f>
        <v/>
      </c>
      <c r="W24" s="9" t="str">
        <f t="shared" ca="1" si="6"/>
        <v/>
      </c>
      <c r="X24" s="17">
        <f t="shared" ca="1" si="0"/>
        <v>-5.1857263836872634E-2</v>
      </c>
      <c r="Y24" s="13">
        <f t="shared" ref="Y24:Z24" ca="1" si="24">+Y23</f>
        <v>0</v>
      </c>
      <c r="Z24" s="13">
        <f t="shared" ca="1" si="24"/>
        <v>0</v>
      </c>
      <c r="AA24" t="str">
        <f t="shared" ca="1" si="8"/>
        <v/>
      </c>
      <c r="AB24" t="str">
        <f t="shared" ca="1" si="9"/>
        <v/>
      </c>
      <c r="AC24" s="24" t="str">
        <f t="shared" ca="1" si="10"/>
        <v/>
      </c>
      <c r="AD24" s="24" t="str">
        <f t="shared" ca="1" si="11"/>
        <v/>
      </c>
    </row>
    <row r="25" spans="2:30" x14ac:dyDescent="0.25">
      <c r="C25" s="6">
        <v>119</v>
      </c>
      <c r="D25" s="36">
        <v>42177</v>
      </c>
      <c r="E25" s="38">
        <v>20.978999999999999</v>
      </c>
      <c r="F25" s="38">
        <v>59.961806650548382</v>
      </c>
      <c r="G25" s="38">
        <v>37.31</v>
      </c>
      <c r="H25" s="38">
        <v>2.6901783524300082</v>
      </c>
      <c r="I25" s="38">
        <v>7.971547706647045</v>
      </c>
      <c r="J25" s="10">
        <v>0</v>
      </c>
      <c r="K25" s="39">
        <v>0</v>
      </c>
      <c r="L25" s="39">
        <v>0</v>
      </c>
      <c r="M25" s="39">
        <v>0</v>
      </c>
      <c r="N25" s="39">
        <v>0</v>
      </c>
      <c r="O25" s="39">
        <v>1</v>
      </c>
      <c r="P25" s="39">
        <v>0</v>
      </c>
      <c r="Q25" s="39">
        <v>0</v>
      </c>
      <c r="R25" s="39">
        <v>0</v>
      </c>
      <c r="S25" s="39">
        <v>0</v>
      </c>
      <c r="T25" s="39">
        <v>0</v>
      </c>
      <c r="U25" s="29" t="str" cm="1">
        <f t="array" aca="1" ref="U25" ca="1">+fair_value_gap(OFFSET(T24,0,0,-1*$J$5,-1*$AA$1),OFFSET(E24,0,0,-1*$J$5,1),F25:T25,0)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V25" s="9" t="str" cm="1">
        <f t="array" aca="1" ref="V25" ca="1">z_score_diff(OFFSET(U25,0,0,$J$5*-1,1),OFFSET(E25,0,0,$J$5*-1,1))</f>
        <v/>
      </c>
      <c r="W25" s="9" t="str">
        <f t="shared" ca="1" si="6"/>
        <v/>
      </c>
      <c r="X25" s="17">
        <f t="shared" ca="1" si="0"/>
        <v>-6.9575255907770778E-2</v>
      </c>
      <c r="Y25" s="13">
        <f t="shared" ref="Y25:Z25" ca="1" si="25">+Y24</f>
        <v>0</v>
      </c>
      <c r="Z25" s="13">
        <f t="shared" ca="1" si="25"/>
        <v>0</v>
      </c>
      <c r="AA25" t="str">
        <f t="shared" ca="1" si="8"/>
        <v/>
      </c>
      <c r="AB25" t="str">
        <f t="shared" ca="1" si="9"/>
        <v/>
      </c>
      <c r="AC25" s="24" t="str">
        <f t="shared" ca="1" si="10"/>
        <v/>
      </c>
      <c r="AD25" s="24" t="str">
        <f t="shared" ca="1" si="11"/>
        <v/>
      </c>
    </row>
    <row r="26" spans="2:30" x14ac:dyDescent="0.25">
      <c r="C26" s="6">
        <v>120</v>
      </c>
      <c r="D26" s="36">
        <v>42178</v>
      </c>
      <c r="E26" s="38">
        <v>21.001999999999999</v>
      </c>
      <c r="F26" s="38">
        <v>61.570350864707137</v>
      </c>
      <c r="G26" s="38">
        <v>37.32</v>
      </c>
      <c r="H26" s="38">
        <v>2.7391288876236568</v>
      </c>
      <c r="I26" s="38">
        <v>8.095509216425878</v>
      </c>
      <c r="J26" s="10">
        <v>0</v>
      </c>
      <c r="K26" s="39">
        <v>0</v>
      </c>
      <c r="L26" s="39">
        <v>0</v>
      </c>
      <c r="M26" s="39">
        <v>0</v>
      </c>
      <c r="N26" s="39">
        <v>0</v>
      </c>
      <c r="O26" s="39">
        <v>1</v>
      </c>
      <c r="P26" s="39">
        <v>0</v>
      </c>
      <c r="Q26" s="39">
        <v>0</v>
      </c>
      <c r="R26" s="39">
        <v>0</v>
      </c>
      <c r="S26" s="39">
        <v>0</v>
      </c>
      <c r="T26" s="39">
        <v>0</v>
      </c>
      <c r="U26" s="29" t="str" cm="1">
        <f t="array" aca="1" ref="U26" ca="1">+fair_value_gap(OFFSET(T25,0,0,-1*$J$5,-1*$AA$1),OFFSET(E25,0,0,-1*$J$5,1),F26:T26,0)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V26" s="9" t="str" cm="1">
        <f t="array" aca="1" ref="V26" ca="1">z_score_diff(OFFSET(U26,0,0,$J$5*-1,1),OFFSET(E26,0,0,$J$5*-1,1))</f>
        <v/>
      </c>
      <c r="W26" s="9" t="str">
        <f t="shared" ca="1" si="6"/>
        <v/>
      </c>
      <c r="X26" s="17">
        <f t="shared" ca="1" si="0"/>
        <v>-7.353676117093981E-2</v>
      </c>
      <c r="Y26" s="13">
        <f t="shared" ref="Y26:Z26" ca="1" si="26">+Y25</f>
        <v>0</v>
      </c>
      <c r="Z26" s="13">
        <f t="shared" ca="1" si="26"/>
        <v>0</v>
      </c>
      <c r="AA26" t="str">
        <f t="shared" ca="1" si="8"/>
        <v/>
      </c>
      <c r="AB26" t="str">
        <f t="shared" ca="1" si="9"/>
        <v/>
      </c>
      <c r="AC26" s="24" t="str">
        <f t="shared" ca="1" si="10"/>
        <v/>
      </c>
      <c r="AD26" s="24" t="str">
        <f t="shared" ca="1" si="11"/>
        <v/>
      </c>
    </row>
    <row r="27" spans="2:30" x14ac:dyDescent="0.25">
      <c r="B27" s="13"/>
      <c r="C27" s="6">
        <v>121</v>
      </c>
      <c r="D27" s="36">
        <v>42179</v>
      </c>
      <c r="E27" s="38">
        <v>20.913</v>
      </c>
      <c r="F27" s="38">
        <v>60.603376106802266</v>
      </c>
      <c r="G27" s="38">
        <v>37.07</v>
      </c>
      <c r="H27" s="38">
        <v>2.7462427412817871</v>
      </c>
      <c r="I27" s="38">
        <v>8.0615512727949223</v>
      </c>
      <c r="J27" s="10">
        <v>0</v>
      </c>
      <c r="K27" s="39">
        <v>0</v>
      </c>
      <c r="L27" s="39">
        <v>0</v>
      </c>
      <c r="M27" s="39">
        <v>0</v>
      </c>
      <c r="N27" s="39">
        <v>0</v>
      </c>
      <c r="O27" s="39">
        <v>1</v>
      </c>
      <c r="P27" s="39">
        <v>0</v>
      </c>
      <c r="Q27" s="39">
        <v>0</v>
      </c>
      <c r="R27" s="39">
        <v>0</v>
      </c>
      <c r="S27" s="39">
        <v>0</v>
      </c>
      <c r="T27" s="39">
        <v>0</v>
      </c>
      <c r="U27" s="29" t="str" cm="1">
        <f t="array" aca="1" ref="U27" ca="1">+fair_value_gap(OFFSET(T26,0,0,-1*$J$5,-1*$AA$1),OFFSET(E26,0,0,-1*$J$5,1),F27:T27,0)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V27" s="9" t="str" cm="1">
        <f t="array" aca="1" ref="V27" ca="1">z_score_diff(OFFSET(U27,0,0,$J$5*-1,1),OFFSET(E27,0,0,$J$5*-1,1))</f>
        <v/>
      </c>
      <c r="W27" s="9" t="str">
        <f t="shared" ca="1" si="6"/>
        <v/>
      </c>
      <c r="X27" s="17">
        <f t="shared" ca="1" si="0"/>
        <v>-6.4790389829233311E-2</v>
      </c>
      <c r="Y27" s="13">
        <f t="shared" ref="Y27:Z27" ca="1" si="27">+Y26</f>
        <v>0</v>
      </c>
      <c r="Z27" s="13">
        <f t="shared" ca="1" si="27"/>
        <v>0</v>
      </c>
      <c r="AA27" t="str">
        <f t="shared" ca="1" si="8"/>
        <v/>
      </c>
      <c r="AB27" t="str">
        <f t="shared" ca="1" si="9"/>
        <v/>
      </c>
      <c r="AC27" s="24" t="str">
        <f t="shared" ca="1" si="10"/>
        <v/>
      </c>
      <c r="AD27" s="24" t="str">
        <f t="shared" ca="1" si="11"/>
        <v/>
      </c>
    </row>
    <row r="28" spans="2:30" x14ac:dyDescent="0.25">
      <c r="B28" s="13"/>
      <c r="C28" s="6">
        <v>122</v>
      </c>
      <c r="D28" s="36">
        <v>42180</v>
      </c>
      <c r="E28" s="38">
        <v>20.885000000000002</v>
      </c>
      <c r="F28" s="38">
        <v>60.091767498715612</v>
      </c>
      <c r="G28" s="38">
        <v>37.340000000000003</v>
      </c>
      <c r="H28" s="38">
        <v>2.7698549081439223</v>
      </c>
      <c r="I28" s="38">
        <v>8.0606586709656831</v>
      </c>
      <c r="J28" s="10">
        <v>0</v>
      </c>
      <c r="K28" s="39">
        <v>0</v>
      </c>
      <c r="L28" s="39">
        <v>0</v>
      </c>
      <c r="M28" s="39">
        <v>0</v>
      </c>
      <c r="N28" s="39">
        <v>0</v>
      </c>
      <c r="O28" s="39">
        <v>1</v>
      </c>
      <c r="P28" s="39">
        <v>0</v>
      </c>
      <c r="Q28" s="39">
        <v>0</v>
      </c>
      <c r="R28" s="39">
        <v>0</v>
      </c>
      <c r="S28" s="39">
        <v>0</v>
      </c>
      <c r="T28" s="39">
        <v>0</v>
      </c>
      <c r="U28" s="29" t="str" cm="1">
        <f t="array" aca="1" ref="U28" ca="1">+fair_value_gap(OFFSET(T27,0,0,-1*$J$5,-1*$AA$1),OFFSET(E27,0,0,-1*$J$5,1),F28:T28,0)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V28" s="9" t="str" cm="1">
        <f t="array" aca="1" ref="V28" ca="1">z_score_diff(OFFSET(U28,0,0,$J$5*-1,1),OFFSET(E28,0,0,$J$5*-1,1))</f>
        <v/>
      </c>
      <c r="W28" s="9" t="str">
        <f t="shared" ca="1" si="6"/>
        <v/>
      </c>
      <c r="X28" s="17">
        <f t="shared" ca="1" si="0"/>
        <v>-6.2379812207939637E-2</v>
      </c>
      <c r="Y28" s="13">
        <f t="shared" ref="Y28:Z28" ca="1" si="28">+Y27</f>
        <v>0</v>
      </c>
      <c r="Z28" s="13">
        <f t="shared" ca="1" si="28"/>
        <v>0</v>
      </c>
      <c r="AA28" t="str">
        <f t="shared" ca="1" si="8"/>
        <v/>
      </c>
      <c r="AB28" t="str">
        <f t="shared" ca="1" si="9"/>
        <v/>
      </c>
      <c r="AC28" s="24" t="str">
        <f t="shared" ca="1" si="10"/>
        <v/>
      </c>
      <c r="AD28" s="24" t="str">
        <f t="shared" ca="1" si="11"/>
        <v/>
      </c>
    </row>
    <row r="29" spans="2:30" x14ac:dyDescent="0.25">
      <c r="B29" s="13"/>
      <c r="C29" s="6">
        <v>123</v>
      </c>
      <c r="D29" s="36">
        <v>42181</v>
      </c>
      <c r="E29" s="38">
        <v>20.885000000000002</v>
      </c>
      <c r="F29" s="38">
        <v>60.243962713991849</v>
      </c>
      <c r="G29" s="38">
        <v>37.4</v>
      </c>
      <c r="H29" s="38">
        <v>2.7388468219242865</v>
      </c>
      <c r="I29" s="38">
        <v>8.0894209930253176</v>
      </c>
      <c r="J29" s="10">
        <v>0</v>
      </c>
      <c r="K29" s="39">
        <v>0</v>
      </c>
      <c r="L29" s="39">
        <v>0</v>
      </c>
      <c r="M29" s="39">
        <v>0</v>
      </c>
      <c r="N29" s="39">
        <v>0</v>
      </c>
      <c r="O29" s="39">
        <v>1</v>
      </c>
      <c r="P29" s="39">
        <v>0</v>
      </c>
      <c r="Q29" s="39">
        <v>0</v>
      </c>
      <c r="R29" s="39">
        <v>0</v>
      </c>
      <c r="S29" s="39">
        <v>0</v>
      </c>
      <c r="T29" s="39">
        <v>0</v>
      </c>
      <c r="U29" s="29" t="str" cm="1">
        <f t="array" aca="1" ref="U29" ca="1">+fair_value_gap(OFFSET(T28,0,0,-1*$J$5,-1*$AA$1),OFFSET(E28,0,0,-1*$J$5,1),F29:T29,0)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V29" s="9" t="str" cm="1">
        <f t="array" aca="1" ref="V29" ca="1">z_score_diff(OFFSET(U29,0,0,$J$5*-1,1),OFFSET(E29,0,0,$J$5*-1,1))</f>
        <v/>
      </c>
      <c r="W29" s="9" t="str">
        <f t="shared" ca="1" si="6"/>
        <v/>
      </c>
      <c r="X29" s="17">
        <f t="shared" ca="1" si="0"/>
        <v>-6.8975771185130902E-2</v>
      </c>
      <c r="Y29" s="13">
        <f t="shared" ref="Y29:Z29" ca="1" si="29">+Y28</f>
        <v>0</v>
      </c>
      <c r="Z29" s="13">
        <f t="shared" ca="1" si="29"/>
        <v>0</v>
      </c>
      <c r="AA29" t="str">
        <f t="shared" ca="1" si="8"/>
        <v/>
      </c>
      <c r="AB29" t="str">
        <f t="shared" ca="1" si="9"/>
        <v/>
      </c>
      <c r="AC29" s="24" t="str">
        <f t="shared" ca="1" si="10"/>
        <v/>
      </c>
      <c r="AD29" s="24" t="str">
        <f t="shared" ca="1" si="11"/>
        <v/>
      </c>
    </row>
    <row r="30" spans="2:30" x14ac:dyDescent="0.25">
      <c r="B30" s="13"/>
      <c r="C30" s="6">
        <v>124</v>
      </c>
      <c r="D30" s="36">
        <v>42184</v>
      </c>
      <c r="E30" s="38">
        <v>20.792000000000002</v>
      </c>
      <c r="F30" s="38">
        <v>59.006688366622093</v>
      </c>
      <c r="G30" s="38">
        <v>37.270000000000003</v>
      </c>
      <c r="H30" s="38">
        <v>2.7587083875685043</v>
      </c>
      <c r="I30" s="38">
        <v>7.9034699323745548</v>
      </c>
      <c r="J30" s="10">
        <v>0</v>
      </c>
      <c r="K30" s="39">
        <v>0</v>
      </c>
      <c r="L30" s="39">
        <v>0</v>
      </c>
      <c r="M30" s="39">
        <v>0</v>
      </c>
      <c r="N30" s="39">
        <v>0</v>
      </c>
      <c r="O30" s="39">
        <v>1</v>
      </c>
      <c r="P30" s="39">
        <v>0</v>
      </c>
      <c r="Q30" s="39">
        <v>0</v>
      </c>
      <c r="R30" s="39">
        <v>0</v>
      </c>
      <c r="S30" s="39">
        <v>0</v>
      </c>
      <c r="T30" s="39">
        <v>0</v>
      </c>
      <c r="U30" s="29" t="str" cm="1">
        <f t="array" aca="1" ref="U30" ca="1">+fair_value_gap(OFFSET(T29,0,0,-1*$J$5,-1*$AA$1),OFFSET(E29,0,0,-1*$J$5,1),F30:T30,0)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V30" s="9" t="str" cm="1">
        <f t="array" aca="1" ref="V30" ca="1">z_score_diff(OFFSET(U30,0,0,$J$5*-1,1),OFFSET(E30,0,0,$J$5*-1,1))</f>
        <v/>
      </c>
      <c r="W30" s="9" t="str">
        <f t="shared" ca="1" si="6"/>
        <v/>
      </c>
      <c r="X30" s="17">
        <f t="shared" ca="1" si="0"/>
        <v>-6.4102551033085403E-2</v>
      </c>
      <c r="Y30" s="13">
        <f t="shared" ref="Y30:Z30" ca="1" si="30">+Y29</f>
        <v>0</v>
      </c>
      <c r="Z30" s="13">
        <f t="shared" ca="1" si="30"/>
        <v>0</v>
      </c>
      <c r="AA30" t="str">
        <f t="shared" ca="1" si="8"/>
        <v/>
      </c>
      <c r="AB30" t="str">
        <f t="shared" ca="1" si="9"/>
        <v/>
      </c>
      <c r="AC30" s="24" t="str">
        <f t="shared" ca="1" si="10"/>
        <v/>
      </c>
      <c r="AD30" s="24" t="str">
        <f t="shared" ca="1" si="11"/>
        <v/>
      </c>
    </row>
    <row r="31" spans="2:30" x14ac:dyDescent="0.25">
      <c r="B31" s="13"/>
      <c r="C31" s="6">
        <v>125</v>
      </c>
      <c r="D31" s="36">
        <v>42185</v>
      </c>
      <c r="E31" s="38">
        <v>20.577000000000002</v>
      </c>
      <c r="F31" s="38">
        <v>60.481301769347645</v>
      </c>
      <c r="G31" s="38">
        <v>35.409999999999997</v>
      </c>
      <c r="H31" s="38">
        <v>2.7874688659867308</v>
      </c>
      <c r="I31" s="38">
        <v>7.708313839765097</v>
      </c>
      <c r="J31" s="10">
        <v>0</v>
      </c>
      <c r="K31" s="39">
        <v>0</v>
      </c>
      <c r="L31" s="39">
        <v>0</v>
      </c>
      <c r="M31" s="39">
        <v>0</v>
      </c>
      <c r="N31" s="39">
        <v>0</v>
      </c>
      <c r="O31" s="39">
        <v>1</v>
      </c>
      <c r="P31" s="39">
        <v>0</v>
      </c>
      <c r="Q31" s="39">
        <v>0</v>
      </c>
      <c r="R31" s="39">
        <v>0</v>
      </c>
      <c r="S31" s="39">
        <v>0</v>
      </c>
      <c r="T31" s="39">
        <v>0</v>
      </c>
      <c r="U31" s="29" t="str" cm="1">
        <f t="array" aca="1" ref="U31" ca="1">+fair_value_gap(OFFSET(T30,0,0,-1*$J$5,-1*$AA$1),OFFSET(E30,0,0,-1*$J$5,1),F31:T31,0)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V31" s="9" t="str" cm="1">
        <f t="array" aca="1" ref="V31" ca="1">z_score_diff(OFFSET(U31,0,0,$J$5*-1,1),OFFSET(E31,0,0,$J$5*-1,1))</f>
        <v/>
      </c>
      <c r="W31" s="9" t="str">
        <f t="shared" ca="1" si="6"/>
        <v/>
      </c>
      <c r="X31" s="17">
        <f t="shared" ca="1" si="0"/>
        <v>-5.6583979577583529E-2</v>
      </c>
      <c r="Y31" s="13">
        <f t="shared" ref="Y31:Z31" ca="1" si="31">+Y30</f>
        <v>0</v>
      </c>
      <c r="Z31" s="13">
        <f t="shared" ca="1" si="31"/>
        <v>0</v>
      </c>
      <c r="AA31" t="str">
        <f t="shared" ca="1" si="8"/>
        <v/>
      </c>
      <c r="AB31" t="str">
        <f t="shared" ca="1" si="9"/>
        <v/>
      </c>
      <c r="AC31" s="24" t="str">
        <f t="shared" ca="1" si="10"/>
        <v/>
      </c>
      <c r="AD31" s="24" t="str">
        <f t="shared" ca="1" si="11"/>
        <v/>
      </c>
    </row>
    <row r="32" spans="2:30" x14ac:dyDescent="0.25">
      <c r="B32" s="13"/>
      <c r="C32" s="6">
        <v>126</v>
      </c>
      <c r="D32" s="36">
        <v>42186</v>
      </c>
      <c r="E32" s="38">
        <v>20.667000000000002</v>
      </c>
      <c r="F32" s="38">
        <v>59.617910329851064</v>
      </c>
      <c r="G32" s="38">
        <v>35.61</v>
      </c>
      <c r="H32" s="38">
        <v>2.7937198757189656</v>
      </c>
      <c r="I32" s="38">
        <v>7.7653203486404418</v>
      </c>
      <c r="J32" s="10">
        <v>0</v>
      </c>
      <c r="K32" s="39">
        <v>0</v>
      </c>
      <c r="L32" s="39">
        <v>0</v>
      </c>
      <c r="M32" s="39">
        <v>0</v>
      </c>
      <c r="N32" s="39">
        <v>0</v>
      </c>
      <c r="O32" s="39">
        <v>0</v>
      </c>
      <c r="P32" s="39">
        <v>1</v>
      </c>
      <c r="Q32" s="39">
        <v>0</v>
      </c>
      <c r="R32" s="39">
        <v>0</v>
      </c>
      <c r="S32" s="39">
        <v>0</v>
      </c>
      <c r="T32" s="39">
        <v>0</v>
      </c>
      <c r="U32" s="29" t="str" cm="1">
        <f t="array" aca="1" ref="U32" ca="1">+fair_value_gap(OFFSET(T31,0,0,-1*$J$5,-1*$AA$1),OFFSET(E31,0,0,-1*$J$5,1),F32:T32,0)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V32" s="9" t="str" cm="1">
        <f t="array" aca="1" ref="V32" ca="1">z_score_diff(OFFSET(U32,0,0,$J$5*-1,1),OFFSET(E32,0,0,$J$5*-1,1))</f>
        <v/>
      </c>
      <c r="W32" s="9" t="str">
        <f t="shared" ca="1" si="6"/>
        <v/>
      </c>
      <c r="X32" s="17">
        <f t="shared" ca="1" si="0"/>
        <v>-7.0092536511194209E-2</v>
      </c>
      <c r="Y32" s="13">
        <f t="shared" ref="Y32:Z32" ca="1" si="32">+Y31</f>
        <v>0</v>
      </c>
      <c r="Z32" s="13">
        <f t="shared" ca="1" si="32"/>
        <v>0</v>
      </c>
      <c r="AA32" t="str">
        <f t="shared" ca="1" si="8"/>
        <v/>
      </c>
      <c r="AB32" t="str">
        <f t="shared" ca="1" si="9"/>
        <v/>
      </c>
      <c r="AC32" s="24" t="str">
        <f t="shared" ca="1" si="10"/>
        <v/>
      </c>
      <c r="AD32" s="24" t="str">
        <f t="shared" ca="1" si="11"/>
        <v/>
      </c>
    </row>
    <row r="33" spans="2:30" x14ac:dyDescent="0.25">
      <c r="B33" s="13"/>
      <c r="C33" s="6">
        <v>127</v>
      </c>
      <c r="D33" s="36">
        <v>42187</v>
      </c>
      <c r="E33" s="38">
        <v>20.7</v>
      </c>
      <c r="F33" s="38">
        <v>59.430534239043816</v>
      </c>
      <c r="G33" s="38">
        <v>35.840000000000003</v>
      </c>
      <c r="H33" s="38">
        <v>2.8098992985101625</v>
      </c>
      <c r="I33" s="38">
        <v>7.7455796469448401</v>
      </c>
      <c r="J33" s="10">
        <v>0</v>
      </c>
      <c r="K33" s="39">
        <v>0</v>
      </c>
      <c r="L33" s="39">
        <v>0</v>
      </c>
      <c r="M33" s="39">
        <v>0</v>
      </c>
      <c r="N33" s="39">
        <v>0</v>
      </c>
      <c r="O33" s="39">
        <v>0</v>
      </c>
      <c r="P33" s="39">
        <v>1</v>
      </c>
      <c r="Q33" s="39">
        <v>0</v>
      </c>
      <c r="R33" s="39">
        <v>0</v>
      </c>
      <c r="S33" s="39">
        <v>0</v>
      </c>
      <c r="T33" s="39">
        <v>0</v>
      </c>
      <c r="U33" s="29" t="str" cm="1">
        <f t="array" aca="1" ref="U33" ca="1">+fair_value_gap(OFFSET(T32,0,0,-1*$J$5,-1*$AA$1),OFFSET(E32,0,0,-1*$J$5,1),F33:T33,0)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V33" s="9" t="str" cm="1">
        <f t="array" aca="1" ref="V33" ca="1">z_score_diff(OFFSET(U33,0,0,$J$5*-1,1),OFFSET(E33,0,0,$J$5*-1,1))</f>
        <v/>
      </c>
      <c r="W33" s="9" t="str">
        <f t="shared" ca="1" si="6"/>
        <v/>
      </c>
      <c r="X33" s="17">
        <f t="shared" ca="1" si="0"/>
        <v>-7.168801150334897E-2</v>
      </c>
      <c r="Y33" s="13">
        <f t="shared" ref="Y33:Z33" ca="1" si="33">+Y32</f>
        <v>0</v>
      </c>
      <c r="Z33" s="13">
        <f t="shared" ca="1" si="33"/>
        <v>0</v>
      </c>
      <c r="AA33" t="str">
        <f t="shared" ca="1" si="8"/>
        <v/>
      </c>
      <c r="AB33" t="str">
        <f t="shared" ca="1" si="9"/>
        <v/>
      </c>
      <c r="AC33" s="24" t="str">
        <f t="shared" ca="1" si="10"/>
        <v/>
      </c>
      <c r="AD33" s="24" t="str">
        <f t="shared" ca="1" si="11"/>
        <v/>
      </c>
    </row>
    <row r="34" spans="2:30" x14ac:dyDescent="0.25">
      <c r="B34" s="13"/>
      <c r="C34" s="6">
        <v>128</v>
      </c>
      <c r="D34" s="36">
        <v>42188</v>
      </c>
      <c r="E34" s="38">
        <v>20.585999999999999</v>
      </c>
      <c r="F34" s="38">
        <v>58.106297454220638</v>
      </c>
      <c r="G34" s="38">
        <v>35.9</v>
      </c>
      <c r="H34" s="38">
        <v>2.8030370701205896</v>
      </c>
      <c r="I34" s="38">
        <v>7.7266636891469416</v>
      </c>
      <c r="J34" s="10">
        <v>0</v>
      </c>
      <c r="K34" s="39">
        <v>0</v>
      </c>
      <c r="L34" s="39">
        <v>0</v>
      </c>
      <c r="M34" s="39">
        <v>0</v>
      </c>
      <c r="N34" s="39">
        <v>0</v>
      </c>
      <c r="O34" s="39">
        <v>0</v>
      </c>
      <c r="P34" s="39">
        <v>1</v>
      </c>
      <c r="Q34" s="39">
        <v>0</v>
      </c>
      <c r="R34" s="39">
        <v>0</v>
      </c>
      <c r="S34" s="39">
        <v>0</v>
      </c>
      <c r="T34" s="39">
        <v>0</v>
      </c>
      <c r="U34" s="29" t="str" cm="1">
        <f t="array" aca="1" ref="U34" ca="1">+fair_value_gap(OFFSET(T33,0,0,-1*$J$5,-1*$AA$1),OFFSET(E33,0,0,-1*$J$5,1),F34:T34,0)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V34" s="9" t="str" cm="1">
        <f t="array" aca="1" ref="V34" ca="1">z_score_diff(OFFSET(U34,0,0,$J$5*-1,1),OFFSET(E34,0,0,$J$5*-1,1))</f>
        <v/>
      </c>
      <c r="W34" s="9" t="str">
        <f t="shared" ca="1" si="6"/>
        <v/>
      </c>
      <c r="X34" s="17">
        <f t="shared" ca="1" si="0"/>
        <v>-6.5698557688913237E-2</v>
      </c>
      <c r="Y34" s="13">
        <f t="shared" ref="Y34:Z34" ca="1" si="34">+Y33</f>
        <v>0</v>
      </c>
      <c r="Z34" s="13">
        <f t="shared" ca="1" si="34"/>
        <v>0</v>
      </c>
      <c r="AA34" t="str">
        <f t="shared" ca="1" si="8"/>
        <v/>
      </c>
      <c r="AB34" t="str">
        <f t="shared" ca="1" si="9"/>
        <v/>
      </c>
      <c r="AC34" s="24" t="str">
        <f t="shared" ca="1" si="10"/>
        <v/>
      </c>
      <c r="AD34" s="24" t="str">
        <f t="shared" ca="1" si="11"/>
        <v/>
      </c>
    </row>
    <row r="35" spans="2:30" x14ac:dyDescent="0.25">
      <c r="B35" s="13"/>
      <c r="C35" s="6">
        <v>129</v>
      </c>
      <c r="D35" s="36">
        <v>42191</v>
      </c>
      <c r="E35" s="38">
        <v>20.373999999999999</v>
      </c>
      <c r="F35" s="38">
        <v>55.246089278901181</v>
      </c>
      <c r="G35" s="38">
        <v>35.619999999999997</v>
      </c>
      <c r="H35" s="38">
        <v>2.7766680880669701</v>
      </c>
      <c r="I35" s="38">
        <v>7.6306753147653561</v>
      </c>
      <c r="J35" s="10">
        <v>0</v>
      </c>
      <c r="K35" s="39">
        <v>0</v>
      </c>
      <c r="L35" s="39">
        <v>0</v>
      </c>
      <c r="M35" s="39">
        <v>0</v>
      </c>
      <c r="N35" s="39">
        <v>0</v>
      </c>
      <c r="O35" s="39">
        <v>0</v>
      </c>
      <c r="P35" s="39">
        <v>1</v>
      </c>
      <c r="Q35" s="39">
        <v>0</v>
      </c>
      <c r="R35" s="39">
        <v>0</v>
      </c>
      <c r="S35" s="39">
        <v>0</v>
      </c>
      <c r="T35" s="39">
        <v>0</v>
      </c>
      <c r="U35" s="29" t="str" cm="1">
        <f t="array" aca="1" ref="U35" ca="1">+fair_value_gap(OFFSET(T34,0,0,-1*$J$5,-1*$AA$1),OFFSET(E34,0,0,-1*$J$5,1),F35:T35,0)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V35" s="9" t="str" cm="1">
        <f t="array" aca="1" ref="V35" ca="1">z_score_diff(OFFSET(U35,0,0,$J$5*-1,1),OFFSET(E35,0,0,$J$5*-1,1))</f>
        <v/>
      </c>
      <c r="W35" s="9" t="str">
        <f t="shared" ca="1" si="6"/>
        <v/>
      </c>
      <c r="X35" s="17">
        <f t="shared" ca="1" si="0"/>
        <v>-5.6592685420676074E-2</v>
      </c>
      <c r="Y35" s="13">
        <f t="shared" ref="Y35:Z35" ca="1" si="35">+Y34</f>
        <v>0</v>
      </c>
      <c r="Z35" s="13">
        <f t="shared" ca="1" si="35"/>
        <v>0</v>
      </c>
      <c r="AA35" t="str">
        <f t="shared" ca="1" si="8"/>
        <v/>
      </c>
      <c r="AB35" t="str">
        <f t="shared" ca="1" si="9"/>
        <v/>
      </c>
      <c r="AC35" s="24" t="str">
        <f t="shared" ca="1" si="10"/>
        <v/>
      </c>
      <c r="AD35" s="24" t="str">
        <f t="shared" ca="1" si="11"/>
        <v/>
      </c>
    </row>
    <row r="36" spans="2:30" x14ac:dyDescent="0.25">
      <c r="B36" s="13"/>
      <c r="C36" s="6">
        <v>130</v>
      </c>
      <c r="D36" s="36">
        <v>42192</v>
      </c>
      <c r="E36" s="38">
        <v>20.277000000000001</v>
      </c>
      <c r="F36" s="38">
        <v>55.723974207142014</v>
      </c>
      <c r="G36" s="38">
        <v>35.42</v>
      </c>
      <c r="H36" s="38">
        <v>2.7744730440461125</v>
      </c>
      <c r="I36" s="38">
        <v>7.3510908026579385</v>
      </c>
      <c r="J36" s="10">
        <v>0</v>
      </c>
      <c r="K36" s="39">
        <v>0</v>
      </c>
      <c r="L36" s="39">
        <v>0</v>
      </c>
      <c r="M36" s="39">
        <v>0</v>
      </c>
      <c r="N36" s="39">
        <v>0</v>
      </c>
      <c r="O36" s="39">
        <v>0</v>
      </c>
      <c r="P36" s="39">
        <v>1</v>
      </c>
      <c r="Q36" s="39">
        <v>0</v>
      </c>
      <c r="R36" s="39">
        <v>0</v>
      </c>
      <c r="S36" s="39">
        <v>0</v>
      </c>
      <c r="T36" s="39">
        <v>0</v>
      </c>
      <c r="U36" s="29" t="str" cm="1">
        <f t="array" aca="1" ref="U36" ca="1">+fair_value_gap(OFFSET(T35,0,0,-1*$J$5,-1*$AA$1),OFFSET(E35,0,0,-1*$J$5,1),F36:T36,0)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V36" s="9" t="str" cm="1">
        <f t="array" aca="1" ref="V36" ca="1">z_score_diff(OFFSET(U36,0,0,$J$5*-1,1),OFFSET(E36,0,0,$J$5*-1,1))</f>
        <v/>
      </c>
      <c r="W36" s="9" t="str">
        <f t="shared" ca="1" si="6"/>
        <v/>
      </c>
      <c r="X36" s="17">
        <f t="shared" ca="1" si="0"/>
        <v>-4.7828945566087355E-2</v>
      </c>
      <c r="Y36" s="13">
        <f t="shared" ref="Y36:Z36" ca="1" si="36">+Y35</f>
        <v>0</v>
      </c>
      <c r="Z36" s="13">
        <f t="shared" ca="1" si="36"/>
        <v>0</v>
      </c>
      <c r="AA36" t="str">
        <f t="shared" ca="1" si="8"/>
        <v/>
      </c>
      <c r="AB36" t="str">
        <f t="shared" ca="1" si="9"/>
        <v/>
      </c>
      <c r="AC36" s="24" t="str">
        <f t="shared" ca="1" si="10"/>
        <v/>
      </c>
      <c r="AD36" s="24" t="str">
        <f t="shared" ca="1" si="11"/>
        <v/>
      </c>
    </row>
    <row r="37" spans="2:30" x14ac:dyDescent="0.25">
      <c r="B37" s="13"/>
      <c r="C37" s="6">
        <v>131</v>
      </c>
      <c r="D37" s="36">
        <v>42193</v>
      </c>
      <c r="E37" s="38">
        <v>20</v>
      </c>
      <c r="F37" s="38">
        <v>55.280259623631771</v>
      </c>
      <c r="G37" s="38">
        <v>35.42</v>
      </c>
      <c r="H37" s="38">
        <v>2.7505693382770087</v>
      </c>
      <c r="I37" s="38">
        <v>7.3043793114883098</v>
      </c>
      <c r="J37" s="10">
        <v>0</v>
      </c>
      <c r="K37" s="39">
        <v>0</v>
      </c>
      <c r="L37" s="39">
        <v>0</v>
      </c>
      <c r="M37" s="39">
        <v>0</v>
      </c>
      <c r="N37" s="39">
        <v>0</v>
      </c>
      <c r="O37" s="39">
        <v>0</v>
      </c>
      <c r="P37" s="39">
        <v>1</v>
      </c>
      <c r="Q37" s="39">
        <v>0</v>
      </c>
      <c r="R37" s="39">
        <v>0</v>
      </c>
      <c r="S37" s="39">
        <v>0</v>
      </c>
      <c r="T37" s="39">
        <v>0</v>
      </c>
      <c r="U37" s="29" t="str" cm="1">
        <f t="array" aca="1" ref="U37" ca="1">+fair_value_gap(OFFSET(T36,0,0,-1*$J$5,-1*$AA$1),OFFSET(E36,0,0,-1*$J$5,1),F37:T37,0)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V37" s="9" t="str" cm="1">
        <f t="array" aca="1" ref="V37" ca="1">z_score_diff(OFFSET(U37,0,0,$J$5*-1,1),OFFSET(E37,0,0,$J$5*-1,1))</f>
        <v/>
      </c>
      <c r="W37" s="9" t="str">
        <f t="shared" ca="1" si="6"/>
        <v/>
      </c>
      <c r="X37" s="17">
        <f t="shared" ca="1" si="0"/>
        <v>-3.9000737349732556E-2</v>
      </c>
      <c r="Y37" s="13">
        <f t="shared" ref="Y37:Z37" ca="1" si="37">+Y36</f>
        <v>0</v>
      </c>
      <c r="Z37" s="13">
        <f t="shared" ca="1" si="37"/>
        <v>0</v>
      </c>
      <c r="AA37" t="str">
        <f t="shared" ca="1" si="8"/>
        <v/>
      </c>
      <c r="AB37" t="str">
        <f t="shared" ca="1" si="9"/>
        <v/>
      </c>
      <c r="AC37" s="24" t="str">
        <f t="shared" ca="1" si="10"/>
        <v/>
      </c>
      <c r="AD37" s="24" t="str">
        <f t="shared" ca="1" si="11"/>
        <v/>
      </c>
    </row>
    <row r="38" spans="2:30" x14ac:dyDescent="0.25">
      <c r="B38" s="13"/>
      <c r="C38" s="6">
        <v>132</v>
      </c>
      <c r="D38" s="36">
        <v>42194</v>
      </c>
      <c r="E38" s="38">
        <v>20.27</v>
      </c>
      <c r="F38" s="38">
        <v>56.563366087175609</v>
      </c>
      <c r="G38" s="38">
        <v>35.17</v>
      </c>
      <c r="H38" s="38">
        <v>2.7741784544505634</v>
      </c>
      <c r="I38" s="38">
        <v>7.3336212791995106</v>
      </c>
      <c r="J38" s="10">
        <v>0</v>
      </c>
      <c r="K38" s="39">
        <v>0</v>
      </c>
      <c r="L38" s="39">
        <v>0</v>
      </c>
      <c r="M38" s="39">
        <v>0</v>
      </c>
      <c r="N38" s="39">
        <v>0</v>
      </c>
      <c r="O38" s="39">
        <v>0</v>
      </c>
      <c r="P38" s="39">
        <v>1</v>
      </c>
      <c r="Q38" s="39">
        <v>0</v>
      </c>
      <c r="R38" s="39">
        <v>0</v>
      </c>
      <c r="S38" s="39">
        <v>0</v>
      </c>
      <c r="T38" s="39">
        <v>0</v>
      </c>
      <c r="U38" s="29" t="str" cm="1">
        <f t="array" aca="1" ref="U38" ca="1">+fair_value_gap(OFFSET(T37,0,0,-1*$J$5,-1*$AA$1),OFFSET(E37,0,0,-1*$J$5,1),F38:T38,0)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V38" s="9" t="str" cm="1">
        <f t="array" aca="1" ref="V38" ca="1">z_score_diff(OFFSET(U38,0,0,$J$5*-1,1),OFFSET(E38,0,0,$J$5*-1,1))</f>
        <v/>
      </c>
      <c r="W38" s="9" t="str">
        <f t="shared" ca="1" si="6"/>
        <v/>
      </c>
      <c r="X38" s="17">
        <f t="shared" ca="1" si="0"/>
        <v>-6.6810463637032913E-2</v>
      </c>
      <c r="Y38" s="13">
        <f t="shared" ref="Y38:Z38" ca="1" si="38">+Y37</f>
        <v>0</v>
      </c>
      <c r="Z38" s="13">
        <f t="shared" ca="1" si="38"/>
        <v>0</v>
      </c>
      <c r="AA38" t="str">
        <f t="shared" ca="1" si="8"/>
        <v/>
      </c>
      <c r="AB38" t="str">
        <f t="shared" ca="1" si="9"/>
        <v/>
      </c>
      <c r="AC38" s="24" t="str">
        <f t="shared" ca="1" si="10"/>
        <v/>
      </c>
      <c r="AD38" s="24" t="str">
        <f t="shared" ca="1" si="11"/>
        <v/>
      </c>
    </row>
    <row r="39" spans="2:30" x14ac:dyDescent="0.25">
      <c r="C39" s="6">
        <v>133</v>
      </c>
      <c r="D39" s="36">
        <v>42195</v>
      </c>
      <c r="E39" s="38">
        <v>20.295999999999999</v>
      </c>
      <c r="F39" s="38">
        <v>56.240219092331763</v>
      </c>
      <c r="G39" s="38">
        <v>35.51</v>
      </c>
      <c r="H39" s="38">
        <v>2.7653293498363918</v>
      </c>
      <c r="I39" s="38">
        <v>7.2467634087352391</v>
      </c>
      <c r="J39" s="10">
        <v>0</v>
      </c>
      <c r="K39" s="39">
        <v>0</v>
      </c>
      <c r="L39" s="39">
        <v>0</v>
      </c>
      <c r="M39" s="39">
        <v>0</v>
      </c>
      <c r="N39" s="39">
        <v>0</v>
      </c>
      <c r="O39" s="39">
        <v>0</v>
      </c>
      <c r="P39" s="39">
        <v>1</v>
      </c>
      <c r="Q39" s="39">
        <v>0</v>
      </c>
      <c r="R39" s="39">
        <v>0</v>
      </c>
      <c r="S39" s="39">
        <v>0</v>
      </c>
      <c r="T39" s="39">
        <v>0</v>
      </c>
      <c r="U39" s="29" t="str" cm="1">
        <f t="array" aca="1" ref="U39" ca="1">+fair_value_gap(OFFSET(T38,0,0,-1*$J$5,-1*$AA$1),OFFSET(E38,0,0,-1*$J$5,1),F39:T39,0)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V39" s="9" t="str" cm="1">
        <f t="array" aca="1" ref="V39" ca="1">z_score_diff(OFFSET(U39,0,0,$J$5*-1,1),OFFSET(E39,0,0,$J$5*-1,1))</f>
        <v/>
      </c>
      <c r="W39" s="9" t="str">
        <f t="shared" ca="1" si="6"/>
        <v/>
      </c>
      <c r="X39" s="17">
        <f t="shared" ca="1" si="0"/>
        <v>-7.5663105734473227E-2</v>
      </c>
      <c r="Y39" s="13">
        <f t="shared" ref="Y39:Z39" ca="1" si="39">+Y38</f>
        <v>0</v>
      </c>
      <c r="Z39" s="13">
        <f t="shared" ca="1" si="39"/>
        <v>0</v>
      </c>
      <c r="AA39" t="str">
        <f t="shared" ca="1" si="8"/>
        <v/>
      </c>
      <c r="AB39" t="str">
        <f t="shared" ca="1" si="9"/>
        <v/>
      </c>
      <c r="AC39" s="24" t="str">
        <f t="shared" ca="1" si="10"/>
        <v/>
      </c>
      <c r="AD39" s="24" t="str">
        <f t="shared" ca="1" si="11"/>
        <v/>
      </c>
    </row>
    <row r="40" spans="2:30" x14ac:dyDescent="0.25">
      <c r="C40" s="6">
        <v>134</v>
      </c>
      <c r="D40" s="36">
        <v>42198</v>
      </c>
      <c r="E40" s="38">
        <v>20.344000000000001</v>
      </c>
      <c r="F40" s="38">
        <v>56.522648737167884</v>
      </c>
      <c r="G40" s="38">
        <v>35.68</v>
      </c>
      <c r="H40" s="38">
        <v>2.8342483245200807</v>
      </c>
      <c r="I40" s="38">
        <v>7.3493871603050138</v>
      </c>
      <c r="J40" s="10">
        <v>0</v>
      </c>
      <c r="K40" s="39">
        <v>0</v>
      </c>
      <c r="L40" s="39">
        <v>0</v>
      </c>
      <c r="M40" s="39">
        <v>0</v>
      </c>
      <c r="N40" s="39">
        <v>0</v>
      </c>
      <c r="O40" s="39">
        <v>0</v>
      </c>
      <c r="P40" s="39">
        <v>1</v>
      </c>
      <c r="Q40" s="39">
        <v>0</v>
      </c>
      <c r="R40" s="39">
        <v>0</v>
      </c>
      <c r="S40" s="39">
        <v>0</v>
      </c>
      <c r="T40" s="39">
        <v>0</v>
      </c>
      <c r="U40" s="29" t="str" cm="1">
        <f t="array" aca="1" ref="U40" ca="1">+fair_value_gap(OFFSET(T39,0,0,-1*$J$5,-1*$AA$1),OFFSET(E39,0,0,-1*$J$5,1),F40:T40,0)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V40" s="9" t="str" cm="1">
        <f t="array" aca="1" ref="V40" ca="1">z_score_diff(OFFSET(U40,0,0,$J$5*-1,1),OFFSET(E40,0,0,$J$5*-1,1))</f>
        <v/>
      </c>
      <c r="W40" s="9" t="str">
        <f t="shared" ca="1" si="6"/>
        <v/>
      </c>
      <c r="X40" s="17">
        <f t="shared" ca="1" si="0"/>
        <v>-0.10195826165627153</v>
      </c>
      <c r="Y40" s="13">
        <f t="shared" ref="Y40:Z40" ca="1" si="40">+Y39</f>
        <v>0</v>
      </c>
      <c r="Z40" s="13">
        <f t="shared" ca="1" si="40"/>
        <v>0</v>
      </c>
      <c r="AA40" t="str">
        <f t="shared" ca="1" si="8"/>
        <v/>
      </c>
      <c r="AB40" t="str">
        <f t="shared" ca="1" si="9"/>
        <v/>
      </c>
      <c r="AC40" s="24" t="str">
        <f t="shared" ca="1" si="10"/>
        <v/>
      </c>
      <c r="AD40" s="24" t="str">
        <f t="shared" ca="1" si="11"/>
        <v/>
      </c>
    </row>
    <row r="41" spans="2:30" x14ac:dyDescent="0.25">
      <c r="C41" s="6">
        <v>135</v>
      </c>
      <c r="D41" s="36">
        <v>42199</v>
      </c>
      <c r="E41" s="38">
        <v>20.167000000000002</v>
      </c>
      <c r="F41" s="38">
        <v>56.661693179410662</v>
      </c>
      <c r="G41" s="38">
        <v>35.31</v>
      </c>
      <c r="H41" s="38">
        <v>2.8091938893722137</v>
      </c>
      <c r="I41" s="38">
        <v>7.2573847270366887</v>
      </c>
      <c r="J41" s="10">
        <v>0</v>
      </c>
      <c r="K41" s="39">
        <v>0</v>
      </c>
      <c r="L41" s="39">
        <v>0</v>
      </c>
      <c r="M41" s="39">
        <v>0</v>
      </c>
      <c r="N41" s="39">
        <v>0</v>
      </c>
      <c r="O41" s="39">
        <v>0</v>
      </c>
      <c r="P41" s="39">
        <v>1</v>
      </c>
      <c r="Q41" s="39">
        <v>0</v>
      </c>
      <c r="R41" s="39">
        <v>0</v>
      </c>
      <c r="S41" s="39">
        <v>0</v>
      </c>
      <c r="T41" s="39">
        <v>0</v>
      </c>
      <c r="U41" s="29" t="str" cm="1">
        <f t="array" aca="1" ref="U41" ca="1">+fair_value_gap(OFFSET(T40,0,0,-1*$J$5,-1*$AA$1),OFFSET(E40,0,0,-1*$J$5,1),F41:T41,0)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V41" s="9" t="str" cm="1">
        <f t="array" aca="1" ref="V41" ca="1">z_score_diff(OFFSET(U41,0,0,$J$5*-1,1),OFFSET(E41,0,0,$J$5*-1,1))</f>
        <v/>
      </c>
      <c r="W41" s="9" t="str">
        <f t="shared" ca="1" si="6"/>
        <v/>
      </c>
      <c r="X41" s="17">
        <f t="shared" ca="1" si="0"/>
        <v>-7.8147841202394666E-2</v>
      </c>
      <c r="Y41" s="13">
        <f t="shared" ref="Y41:Z41" ca="1" si="41">+Y40</f>
        <v>0</v>
      </c>
      <c r="Z41" s="13">
        <f t="shared" ca="1" si="41"/>
        <v>0</v>
      </c>
      <c r="AA41" t="str">
        <f t="shared" ca="1" si="8"/>
        <v/>
      </c>
      <c r="AB41" t="str">
        <f t="shared" ca="1" si="9"/>
        <v/>
      </c>
      <c r="AC41" s="24" t="str">
        <f t="shared" ca="1" si="10"/>
        <v/>
      </c>
      <c r="AD41" s="24" t="str">
        <f t="shared" ca="1" si="11"/>
        <v/>
      </c>
    </row>
    <row r="42" spans="2:30" x14ac:dyDescent="0.25">
      <c r="C42" s="6">
        <v>136</v>
      </c>
      <c r="D42" s="36">
        <v>42200</v>
      </c>
      <c r="E42" s="38">
        <v>20.268000000000001</v>
      </c>
      <c r="F42" s="38">
        <v>55.378362921331004</v>
      </c>
      <c r="G42" s="38">
        <v>35.46</v>
      </c>
      <c r="H42" s="38">
        <v>2.8486774903722316</v>
      </c>
      <c r="I42" s="38">
        <v>7.2961672915992573</v>
      </c>
      <c r="J42" s="10">
        <v>0</v>
      </c>
      <c r="K42" s="39">
        <v>0</v>
      </c>
      <c r="L42" s="39">
        <v>0</v>
      </c>
      <c r="M42" s="39">
        <v>0</v>
      </c>
      <c r="N42" s="39">
        <v>0</v>
      </c>
      <c r="O42" s="39">
        <v>0</v>
      </c>
      <c r="P42" s="39">
        <v>1</v>
      </c>
      <c r="Q42" s="39">
        <v>0</v>
      </c>
      <c r="R42" s="39">
        <v>0</v>
      </c>
      <c r="S42" s="39">
        <v>0</v>
      </c>
      <c r="T42" s="39">
        <v>0</v>
      </c>
      <c r="U42" s="29" t="str" cm="1">
        <f t="array" aca="1" ref="U42" ca="1">+fair_value_gap(OFFSET(T41,0,0,-1*$J$5,-1*$AA$1),OFFSET(E41,0,0,-1*$J$5,1),F42:T42,0)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V42" s="9" t="str" cm="1">
        <f t="array" aca="1" ref="V42" ca="1">z_score_diff(OFFSET(U42,0,0,$J$5*-1,1),OFFSET(E42,0,0,$J$5*-1,1))</f>
        <v/>
      </c>
      <c r="W42" s="9" t="str">
        <f t="shared" ca="1" si="6"/>
        <v/>
      </c>
      <c r="X42" s="17">
        <f t="shared" ca="1" si="0"/>
        <v>-9.5009258044177661E-2</v>
      </c>
      <c r="Y42" s="13">
        <f t="shared" ref="Y42:Z42" ca="1" si="42">+Y41</f>
        <v>0</v>
      </c>
      <c r="Z42" s="13">
        <f t="shared" ca="1" si="42"/>
        <v>0</v>
      </c>
      <c r="AA42" t="str">
        <f t="shared" ca="1" si="8"/>
        <v/>
      </c>
      <c r="AB42" t="str">
        <f t="shared" ca="1" si="9"/>
        <v/>
      </c>
      <c r="AC42" s="24" t="str">
        <f t="shared" ca="1" si="10"/>
        <v/>
      </c>
      <c r="AD42" s="24" t="str">
        <f t="shared" ca="1" si="11"/>
        <v/>
      </c>
    </row>
    <row r="43" spans="2:30" x14ac:dyDescent="0.25">
      <c r="C43" s="6">
        <v>137</v>
      </c>
      <c r="D43" s="36">
        <v>42201</v>
      </c>
      <c r="E43" s="38">
        <v>20.277000000000001</v>
      </c>
      <c r="F43" s="38">
        <v>55.58322251348536</v>
      </c>
      <c r="G43" s="38">
        <v>35.380000000000003</v>
      </c>
      <c r="H43" s="38">
        <v>2.8420958541519594</v>
      </c>
      <c r="I43" s="38">
        <v>7.3423849890639517</v>
      </c>
      <c r="J43" s="10">
        <v>0</v>
      </c>
      <c r="K43" s="39">
        <v>0</v>
      </c>
      <c r="L43" s="39">
        <v>0</v>
      </c>
      <c r="M43" s="39">
        <v>0</v>
      </c>
      <c r="N43" s="39">
        <v>0</v>
      </c>
      <c r="O43" s="39">
        <v>0</v>
      </c>
      <c r="P43" s="39">
        <v>1</v>
      </c>
      <c r="Q43" s="39">
        <v>0</v>
      </c>
      <c r="R43" s="39">
        <v>0</v>
      </c>
      <c r="S43" s="39">
        <v>0</v>
      </c>
      <c r="T43" s="39">
        <v>0</v>
      </c>
      <c r="U43" s="29" t="str" cm="1">
        <f t="array" aca="1" ref="U43" ca="1">+fair_value_gap(OFFSET(T42,0,0,-1*$J$5,-1*$AA$1),OFFSET(E42,0,0,-1*$J$5,1),F43:T43,0)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V43" s="9" t="str" cm="1">
        <f t="array" aca="1" ref="V43" ca="1">z_score_diff(OFFSET(U43,0,0,$J$5*-1,1),OFFSET(E43,0,0,$J$5*-1,1))</f>
        <v/>
      </c>
      <c r="W43" s="9" t="str">
        <f t="shared" ca="1" si="6"/>
        <v/>
      </c>
      <c r="X43" s="17">
        <f t="shared" ca="1" si="0"/>
        <v>-8.2729979735866876E-2</v>
      </c>
      <c r="Y43" s="13">
        <f t="shared" ref="Y43:Z43" ca="1" si="43">+Y42</f>
        <v>0</v>
      </c>
      <c r="Z43" s="13">
        <f t="shared" ca="1" si="43"/>
        <v>0</v>
      </c>
      <c r="AA43" t="str">
        <f t="shared" ca="1" si="8"/>
        <v/>
      </c>
      <c r="AB43" t="str">
        <f t="shared" ca="1" si="9"/>
        <v/>
      </c>
      <c r="AC43" s="24" t="str">
        <f t="shared" ca="1" si="10"/>
        <v/>
      </c>
      <c r="AD43" s="24" t="str">
        <f t="shared" ca="1" si="11"/>
        <v/>
      </c>
    </row>
    <row r="44" spans="2:30" x14ac:dyDescent="0.25">
      <c r="C44" s="6">
        <v>138</v>
      </c>
      <c r="D44" s="36">
        <v>42202</v>
      </c>
      <c r="E44" s="38">
        <v>20.271000000000001</v>
      </c>
      <c r="F44" s="38">
        <v>56.132313190085668</v>
      </c>
      <c r="G44" s="38">
        <v>35.5</v>
      </c>
      <c r="H44" s="38">
        <v>2.8570119576671091</v>
      </c>
      <c r="I44" s="38">
        <v>7.3761854583772397</v>
      </c>
      <c r="J44" s="10">
        <v>0</v>
      </c>
      <c r="K44" s="39">
        <v>0</v>
      </c>
      <c r="L44" s="39">
        <v>0</v>
      </c>
      <c r="M44" s="39">
        <v>0</v>
      </c>
      <c r="N44" s="39">
        <v>0</v>
      </c>
      <c r="O44" s="39">
        <v>0</v>
      </c>
      <c r="P44" s="39">
        <v>1</v>
      </c>
      <c r="Q44" s="39">
        <v>0</v>
      </c>
      <c r="R44" s="39">
        <v>0</v>
      </c>
      <c r="S44" s="39">
        <v>0</v>
      </c>
      <c r="T44" s="39">
        <v>0</v>
      </c>
      <c r="U44" s="29" t="str" cm="1">
        <f t="array" aca="1" ref="U44" ca="1">+fair_value_gap(OFFSET(T43,0,0,-1*$J$5,-1*$AA$1),OFFSET(E43,0,0,-1*$J$5,1),F44:T44,0)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V44" s="9" t="str" cm="1">
        <f t="array" aca="1" ref="V44" ca="1">z_score_diff(OFFSET(U44,0,0,$J$5*-1,1),OFFSET(E44,0,0,$J$5*-1,1))</f>
        <v/>
      </c>
      <c r="W44" s="9" t="str">
        <f t="shared" ca="1" si="6"/>
        <v/>
      </c>
      <c r="X44" s="17">
        <f t="shared" ca="1" si="0"/>
        <v>-7.4536869192746588E-2</v>
      </c>
      <c r="Y44" s="13">
        <f t="shared" ref="Y44:Z44" ca="1" si="44">+Y43</f>
        <v>0</v>
      </c>
      <c r="Z44" s="13">
        <f t="shared" ca="1" si="44"/>
        <v>0</v>
      </c>
      <c r="AA44" t="str">
        <f t="shared" ca="1" si="8"/>
        <v/>
      </c>
      <c r="AB44" t="str">
        <f t="shared" ca="1" si="9"/>
        <v/>
      </c>
      <c r="AC44" s="24" t="str">
        <f t="shared" ca="1" si="10"/>
        <v/>
      </c>
      <c r="AD44" s="24" t="str">
        <f t="shared" ca="1" si="11"/>
        <v/>
      </c>
    </row>
    <row r="45" spans="2:30" x14ac:dyDescent="0.25">
      <c r="C45" s="6">
        <v>139</v>
      </c>
      <c r="D45" s="36">
        <v>42205</v>
      </c>
      <c r="E45" s="38">
        <v>20.242999999999999</v>
      </c>
      <c r="F45" s="38">
        <v>55.883175022108581</v>
      </c>
      <c r="G45" s="38">
        <v>35.03</v>
      </c>
      <c r="H45" s="38">
        <v>2.8445617459597421</v>
      </c>
      <c r="I45" s="38">
        <v>7.3771656104948207</v>
      </c>
      <c r="J45" s="10">
        <v>0</v>
      </c>
      <c r="K45" s="39">
        <v>0</v>
      </c>
      <c r="L45" s="39">
        <v>0</v>
      </c>
      <c r="M45" s="39">
        <v>0</v>
      </c>
      <c r="N45" s="39">
        <v>0</v>
      </c>
      <c r="O45" s="39">
        <v>0</v>
      </c>
      <c r="P45" s="39">
        <v>1</v>
      </c>
      <c r="Q45" s="39">
        <v>0</v>
      </c>
      <c r="R45" s="39">
        <v>0</v>
      </c>
      <c r="S45" s="39">
        <v>0</v>
      </c>
      <c r="T45" s="39">
        <v>0</v>
      </c>
      <c r="U45" s="29" t="str" cm="1">
        <f t="array" aca="1" ref="U45" ca="1">+fair_value_gap(OFFSET(T44,0,0,-1*$J$5,-1*$AA$1),OFFSET(E44,0,0,-1*$J$5,1),F45:T45,0)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V45" s="9" t="str" cm="1">
        <f t="array" aca="1" ref="V45" ca="1">z_score_diff(OFFSET(U45,0,0,$J$5*-1,1),OFFSET(E45,0,0,$J$5*-1,1))</f>
        <v/>
      </c>
      <c r="W45" s="9" t="str">
        <f t="shared" ca="1" si="6"/>
        <v/>
      </c>
      <c r="X45" s="17">
        <f t="shared" ca="1" si="0"/>
        <v>-7.38458076230811E-2</v>
      </c>
      <c r="Y45" s="13">
        <f t="shared" ref="Y45:Z45" ca="1" si="45">+Y44</f>
        <v>0</v>
      </c>
      <c r="Z45" s="13">
        <f t="shared" ca="1" si="45"/>
        <v>0</v>
      </c>
      <c r="AA45" t="str">
        <f t="shared" ca="1" si="8"/>
        <v/>
      </c>
      <c r="AB45" t="str">
        <f t="shared" ca="1" si="9"/>
        <v/>
      </c>
      <c r="AC45" s="24" t="str">
        <f t="shared" ca="1" si="10"/>
        <v/>
      </c>
      <c r="AD45" s="24" t="str">
        <f t="shared" ca="1" si="11"/>
        <v/>
      </c>
    </row>
    <row r="46" spans="2:30" x14ac:dyDescent="0.25">
      <c r="C46" s="6">
        <v>140</v>
      </c>
      <c r="D46" s="36">
        <v>42206</v>
      </c>
      <c r="E46" s="38">
        <v>20.116</v>
      </c>
      <c r="F46" s="38">
        <v>55.867087310125378</v>
      </c>
      <c r="G46" s="38">
        <v>35.06</v>
      </c>
      <c r="H46" s="38">
        <v>2.8500468960612748</v>
      </c>
      <c r="I46" s="38">
        <v>7.3019979354848079</v>
      </c>
      <c r="J46" s="10">
        <v>0</v>
      </c>
      <c r="K46" s="39">
        <v>0</v>
      </c>
      <c r="L46" s="39">
        <v>0</v>
      </c>
      <c r="M46" s="39">
        <v>0</v>
      </c>
      <c r="N46" s="39">
        <v>0</v>
      </c>
      <c r="O46" s="39">
        <v>0</v>
      </c>
      <c r="P46" s="39">
        <v>1</v>
      </c>
      <c r="Q46" s="39">
        <v>0</v>
      </c>
      <c r="R46" s="39">
        <v>0</v>
      </c>
      <c r="S46" s="39">
        <v>0</v>
      </c>
      <c r="T46" s="39">
        <v>0</v>
      </c>
      <c r="U46" s="29" t="str" cm="1">
        <f t="array" aca="1" ref="U46" ca="1">+fair_value_gap(OFFSET(T45,0,0,-1*$J$5,-1*$AA$1),OFFSET(E45,0,0,-1*$J$5,1),F46:T46,0)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V46" s="9" t="str" cm="1">
        <f t="array" aca="1" ref="V46" ca="1">z_score_diff(OFFSET(U46,0,0,$J$5*-1,1),OFFSET(E46,0,0,$J$5*-1,1))</f>
        <v/>
      </c>
      <c r="W46" s="9" t="str">
        <f t="shared" ca="1" si="6"/>
        <v/>
      </c>
      <c r="X46" s="17">
        <f t="shared" ca="1" si="0"/>
        <v>-5.4395924676420487E-2</v>
      </c>
      <c r="Y46" s="13">
        <f t="shared" ref="Y46:Z46" ca="1" si="46">+Y45</f>
        <v>0</v>
      </c>
      <c r="Z46" s="13">
        <f t="shared" ca="1" si="46"/>
        <v>0</v>
      </c>
      <c r="AA46" t="str">
        <f t="shared" ca="1" si="8"/>
        <v/>
      </c>
      <c r="AB46" t="str">
        <f t="shared" ca="1" si="9"/>
        <v/>
      </c>
      <c r="AC46" s="24" t="str">
        <f t="shared" ca="1" si="10"/>
        <v/>
      </c>
      <c r="AD46" s="24" t="str">
        <f t="shared" ca="1" si="11"/>
        <v/>
      </c>
    </row>
    <row r="47" spans="2:30" x14ac:dyDescent="0.25">
      <c r="C47" s="6">
        <v>141</v>
      </c>
      <c r="D47" s="36">
        <v>42207</v>
      </c>
      <c r="E47" s="38">
        <v>20.04</v>
      </c>
      <c r="F47" s="38">
        <v>55.235128270763788</v>
      </c>
      <c r="G47" s="38">
        <v>34.9</v>
      </c>
      <c r="H47" s="38">
        <v>2.8520751524525849</v>
      </c>
      <c r="I47" s="38">
        <v>7.3071944548832946</v>
      </c>
      <c r="J47" s="10">
        <v>0</v>
      </c>
      <c r="K47" s="39">
        <v>0</v>
      </c>
      <c r="L47" s="39">
        <v>0</v>
      </c>
      <c r="M47" s="39">
        <v>0</v>
      </c>
      <c r="N47" s="39">
        <v>0</v>
      </c>
      <c r="O47" s="39">
        <v>0</v>
      </c>
      <c r="P47" s="39">
        <v>1</v>
      </c>
      <c r="Q47" s="39">
        <v>0</v>
      </c>
      <c r="R47" s="39">
        <v>0</v>
      </c>
      <c r="S47" s="39">
        <v>0</v>
      </c>
      <c r="T47" s="39">
        <v>0</v>
      </c>
      <c r="U47" s="29" t="str" cm="1">
        <f t="array" aca="1" ref="U47" ca="1">+fair_value_gap(OFFSET(T46,0,0,-1*$J$5,-1*$AA$1),OFFSET(E46,0,0,-1*$J$5,1),F47:T47,0)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V47" s="9" t="str" cm="1">
        <f t="array" aca="1" ref="V47" ca="1">z_score_diff(OFFSET(U47,0,0,$J$5*-1,1),OFFSET(E47,0,0,$J$5*-1,1))</f>
        <v/>
      </c>
      <c r="W47" s="9" t="str">
        <f t="shared" ca="1" si="6"/>
        <v/>
      </c>
      <c r="X47" s="17">
        <f t="shared" ca="1" si="0"/>
        <v>-5.1608503216007497E-2</v>
      </c>
      <c r="Y47" s="13">
        <f t="shared" ref="Y47:Z47" ca="1" si="47">+Y46</f>
        <v>0</v>
      </c>
      <c r="Z47" s="13">
        <f t="shared" ca="1" si="47"/>
        <v>0</v>
      </c>
      <c r="AA47" t="str">
        <f t="shared" ca="1" si="8"/>
        <v/>
      </c>
      <c r="AB47" t="str">
        <f t="shared" ca="1" si="9"/>
        <v/>
      </c>
      <c r="AC47" s="24" t="str">
        <f t="shared" ca="1" si="10"/>
        <v/>
      </c>
      <c r="AD47" s="24" t="str">
        <f t="shared" ca="1" si="11"/>
        <v/>
      </c>
    </row>
    <row r="48" spans="2:30" x14ac:dyDescent="0.25">
      <c r="C48" s="6">
        <v>142</v>
      </c>
      <c r="D48" s="36">
        <v>42208</v>
      </c>
      <c r="E48" s="38">
        <v>19.995000000000001</v>
      </c>
      <c r="F48" s="38">
        <v>54.400734012559859</v>
      </c>
      <c r="G48" s="38">
        <v>34.85</v>
      </c>
      <c r="H48" s="38">
        <v>2.7895728314209394</v>
      </c>
      <c r="I48" s="38">
        <v>7.2696864010807909</v>
      </c>
      <c r="J48" s="10">
        <v>0</v>
      </c>
      <c r="K48" s="39">
        <v>0</v>
      </c>
      <c r="L48" s="39">
        <v>0</v>
      </c>
      <c r="M48" s="39">
        <v>0</v>
      </c>
      <c r="N48" s="39">
        <v>0</v>
      </c>
      <c r="O48" s="39">
        <v>0</v>
      </c>
      <c r="P48" s="39">
        <v>1</v>
      </c>
      <c r="Q48" s="39">
        <v>0</v>
      </c>
      <c r="R48" s="39">
        <v>0</v>
      </c>
      <c r="S48" s="39">
        <v>0</v>
      </c>
      <c r="T48" s="39">
        <v>0</v>
      </c>
      <c r="U48" s="29" t="str" cm="1">
        <f t="array" aca="1" ref="U48" ca="1">+fair_value_gap(OFFSET(T47,0,0,-1*$J$5,-1*$AA$1),OFFSET(E47,0,0,-1*$J$5,1),F48:T48,0)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V48" s="9" t="str" cm="1">
        <f t="array" aca="1" ref="V48" ca="1">z_score_diff(OFFSET(U48,0,0,$J$5*-1,1),OFFSET(E48,0,0,$J$5*-1,1))</f>
        <v/>
      </c>
      <c r="W48" s="9" t="str">
        <f t="shared" ca="1" si="6"/>
        <v/>
      </c>
      <c r="X48" s="17">
        <f t="shared" ca="1" si="0"/>
        <v>-3.3306752273633423E-2</v>
      </c>
      <c r="Y48" s="13">
        <f t="shared" ref="Y48:Z48" ca="1" si="48">+Y47</f>
        <v>0</v>
      </c>
      <c r="Z48" s="13">
        <f t="shared" ca="1" si="48"/>
        <v>0</v>
      </c>
      <c r="AA48" t="str">
        <f t="shared" ca="1" si="8"/>
        <v/>
      </c>
      <c r="AB48" t="str">
        <f t="shared" ca="1" si="9"/>
        <v/>
      </c>
      <c r="AC48" s="24" t="str">
        <f t="shared" ca="1" si="10"/>
        <v/>
      </c>
      <c r="AD48" s="24" t="str">
        <f t="shared" ca="1" si="11"/>
        <v/>
      </c>
    </row>
    <row r="49" spans="3:30" x14ac:dyDescent="0.25">
      <c r="C49" s="6">
        <v>143</v>
      </c>
      <c r="D49" s="36">
        <v>42209</v>
      </c>
      <c r="E49" s="38">
        <v>19.931000000000001</v>
      </c>
      <c r="F49" s="38">
        <v>53.855878634639701</v>
      </c>
      <c r="G49" s="38">
        <v>35.020000000000003</v>
      </c>
      <c r="H49" s="38">
        <v>2.7686472819216181</v>
      </c>
      <c r="I49" s="38">
        <v>7.2692793931731998</v>
      </c>
      <c r="J49" s="10">
        <v>0</v>
      </c>
      <c r="K49" s="39">
        <v>0</v>
      </c>
      <c r="L49" s="39">
        <v>0</v>
      </c>
      <c r="M49" s="39">
        <v>0</v>
      </c>
      <c r="N49" s="39">
        <v>0</v>
      </c>
      <c r="O49" s="39">
        <v>0</v>
      </c>
      <c r="P49" s="39">
        <v>1</v>
      </c>
      <c r="Q49" s="39">
        <v>0</v>
      </c>
      <c r="R49" s="39">
        <v>0</v>
      </c>
      <c r="S49" s="39">
        <v>0</v>
      </c>
      <c r="T49" s="39">
        <v>0</v>
      </c>
      <c r="U49" s="29" t="str" cm="1">
        <f t="array" aca="1" ref="U49" ca="1">+fair_value_gap(OFFSET(T48,0,0,-1*$J$5,-1*$AA$1),OFFSET(E48,0,0,-1*$J$5,1),F49:T49,0)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V49" s="9" t="str" cm="1">
        <f t="array" aca="1" ref="V49" ca="1">z_score_diff(OFFSET(U49,0,0,$J$5*-1,1),OFFSET(E49,0,0,$J$5*-1,1))</f>
        <v/>
      </c>
      <c r="W49" s="9" t="str">
        <f t="shared" ca="1" si="6"/>
        <v/>
      </c>
      <c r="X49" s="17">
        <f t="shared" ca="1" si="0"/>
        <v>-3.9242789559724885E-2</v>
      </c>
      <c r="Y49" s="13">
        <f t="shared" ref="Y49:Z49" ca="1" si="49">+Y48</f>
        <v>0</v>
      </c>
      <c r="Z49" s="13">
        <f t="shared" ca="1" si="49"/>
        <v>0</v>
      </c>
      <c r="AA49" t="str">
        <f t="shared" ca="1" si="8"/>
        <v/>
      </c>
      <c r="AB49" t="str">
        <f t="shared" ca="1" si="9"/>
        <v/>
      </c>
      <c r="AC49" s="24" t="str">
        <f t="shared" ca="1" si="10"/>
        <v/>
      </c>
      <c r="AD49" s="24" t="str">
        <f t="shared" ca="1" si="11"/>
        <v/>
      </c>
    </row>
    <row r="50" spans="3:30" x14ac:dyDescent="0.25">
      <c r="C50" s="6">
        <v>144</v>
      </c>
      <c r="D50" s="36">
        <v>42212</v>
      </c>
      <c r="E50" s="38">
        <v>19.806999999999999</v>
      </c>
      <c r="F50" s="38">
        <v>52.859219501285928</v>
      </c>
      <c r="G50" s="38">
        <v>35.020000000000003</v>
      </c>
      <c r="H50" s="38">
        <v>2.7534384434753436</v>
      </c>
      <c r="I50" s="38">
        <v>7.2011629207201171</v>
      </c>
      <c r="J50" s="10">
        <v>0</v>
      </c>
      <c r="K50" s="39">
        <v>0</v>
      </c>
      <c r="L50" s="39">
        <v>0</v>
      </c>
      <c r="M50" s="39">
        <v>0</v>
      </c>
      <c r="N50" s="39">
        <v>0</v>
      </c>
      <c r="O50" s="39">
        <v>0</v>
      </c>
      <c r="P50" s="39">
        <v>1</v>
      </c>
      <c r="Q50" s="39">
        <v>0</v>
      </c>
      <c r="R50" s="39">
        <v>0</v>
      </c>
      <c r="S50" s="39">
        <v>0</v>
      </c>
      <c r="T50" s="39">
        <v>0</v>
      </c>
      <c r="U50" s="29" t="str" cm="1">
        <f t="array" aca="1" ref="U50" ca="1">+fair_value_gap(OFFSET(T49,0,0,-1*$J$5,-1*$AA$1),OFFSET(E49,0,0,-1*$J$5,1),F50:T50,0)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V50" s="9" t="str" cm="1">
        <f t="array" aca="1" ref="V50" ca="1">z_score_diff(OFFSET(U50,0,0,$J$5*-1,1),OFFSET(E50,0,0,$J$5*-1,1))</f>
        <v/>
      </c>
      <c r="W50" s="9" t="str">
        <f t="shared" ca="1" si="6"/>
        <v/>
      </c>
      <c r="X50" s="17">
        <f t="shared" ca="1" si="0"/>
        <v>-4.354569841685553E-2</v>
      </c>
      <c r="Y50" s="13">
        <f t="shared" ref="Y50:Z50" ca="1" si="50">+Y49</f>
        <v>0</v>
      </c>
      <c r="Z50" s="13">
        <f t="shared" ca="1" si="50"/>
        <v>0</v>
      </c>
      <c r="AA50" t="str">
        <f t="shared" ca="1" si="8"/>
        <v/>
      </c>
      <c r="AB50" t="str">
        <f t="shared" ca="1" si="9"/>
        <v/>
      </c>
      <c r="AC50" s="24" t="str">
        <f t="shared" ca="1" si="10"/>
        <v/>
      </c>
      <c r="AD50" s="24" t="str">
        <f t="shared" ca="1" si="11"/>
        <v/>
      </c>
    </row>
    <row r="51" spans="3:30" x14ac:dyDescent="0.25">
      <c r="C51" s="6">
        <v>145</v>
      </c>
      <c r="D51" s="36">
        <v>42213</v>
      </c>
      <c r="E51" s="38">
        <v>19.792000000000002</v>
      </c>
      <c r="F51" s="38">
        <v>52.994389304246816</v>
      </c>
      <c r="G51" s="38">
        <v>34.74</v>
      </c>
      <c r="H51" s="38">
        <v>2.77978355541403</v>
      </c>
      <c r="I51" s="38">
        <v>7.2207994905075648</v>
      </c>
      <c r="J51" s="10">
        <v>0</v>
      </c>
      <c r="K51" s="39">
        <v>0</v>
      </c>
      <c r="L51" s="39">
        <v>0</v>
      </c>
      <c r="M51" s="39">
        <v>0</v>
      </c>
      <c r="N51" s="39">
        <v>0</v>
      </c>
      <c r="O51" s="39">
        <v>0</v>
      </c>
      <c r="P51" s="39">
        <v>1</v>
      </c>
      <c r="Q51" s="39">
        <v>0</v>
      </c>
      <c r="R51" s="39">
        <v>0</v>
      </c>
      <c r="S51" s="39">
        <v>0</v>
      </c>
      <c r="T51" s="39">
        <v>0</v>
      </c>
      <c r="U51" s="29" t="str" cm="1">
        <f t="array" aca="1" ref="U51" ca="1">+fair_value_gap(OFFSET(T50,0,0,-1*$J$5,-1*$AA$1),OFFSET(E50,0,0,-1*$J$5,1),F51:T51,0)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V51" s="9" t="str" cm="1">
        <f t="array" aca="1" ref="V51" ca="1">z_score_diff(OFFSET(U51,0,0,$J$5*-1,1),OFFSET(E51,0,0,$J$5*-1,1))</f>
        <v/>
      </c>
      <c r="W51" s="9" t="str">
        <f t="shared" ca="1" si="6"/>
        <v/>
      </c>
      <c r="X51" s="17">
        <f t="shared" ca="1" si="0"/>
        <v>-4.0470483281431595E-2</v>
      </c>
      <c r="Y51" s="13">
        <f t="shared" ref="Y51:Z51" ca="1" si="51">+Y50</f>
        <v>0</v>
      </c>
      <c r="Z51" s="13">
        <f t="shared" ca="1" si="51"/>
        <v>0</v>
      </c>
      <c r="AA51" t="str">
        <f t="shared" ca="1" si="8"/>
        <v/>
      </c>
      <c r="AB51" t="str">
        <f t="shared" ca="1" si="9"/>
        <v/>
      </c>
      <c r="AC51" s="24" t="str">
        <f t="shared" ca="1" si="10"/>
        <v/>
      </c>
      <c r="AD51" s="24" t="str">
        <f t="shared" ca="1" si="11"/>
        <v/>
      </c>
    </row>
    <row r="52" spans="3:30" x14ac:dyDescent="0.25">
      <c r="C52" s="6">
        <v>146</v>
      </c>
      <c r="D52" s="36">
        <v>42214</v>
      </c>
      <c r="E52" s="38">
        <v>19.824000000000002</v>
      </c>
      <c r="F52" s="38">
        <v>53.643183395004634</v>
      </c>
      <c r="G52" s="38">
        <v>35.18</v>
      </c>
      <c r="H52" s="38">
        <v>2.8077301110083259</v>
      </c>
      <c r="I52" s="38">
        <v>7.2722739361702136</v>
      </c>
      <c r="J52" s="10">
        <v>0</v>
      </c>
      <c r="K52" s="39">
        <v>0</v>
      </c>
      <c r="L52" s="39">
        <v>0</v>
      </c>
      <c r="M52" s="39">
        <v>0</v>
      </c>
      <c r="N52" s="39">
        <v>0</v>
      </c>
      <c r="O52" s="39">
        <v>0</v>
      </c>
      <c r="P52" s="39">
        <v>1</v>
      </c>
      <c r="Q52" s="39">
        <v>0</v>
      </c>
      <c r="R52" s="39">
        <v>0</v>
      </c>
      <c r="S52" s="39">
        <v>0</v>
      </c>
      <c r="T52" s="39">
        <v>0</v>
      </c>
      <c r="U52" s="29" t="str" cm="1">
        <f t="array" aca="1" ref="U52" ca="1">+fair_value_gap(OFFSET(T51,0,0,-1*$J$5,-1*$AA$1),OFFSET(E51,0,0,-1*$J$5,1),F52:T52,0)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V52" s="9" t="str" cm="1">
        <f t="array" aca="1" ref="V52" ca="1">z_score_diff(OFFSET(U52,0,0,$J$5*-1,1),OFFSET(E52,0,0,$J$5*-1,1))</f>
        <v/>
      </c>
      <c r="W52" s="9" t="str">
        <f t="shared" ca="1" si="6"/>
        <v/>
      </c>
      <c r="X52" s="17">
        <f t="shared" ca="1" si="0"/>
        <v>-3.7414435850257714E-2</v>
      </c>
      <c r="Y52" s="13">
        <f t="shared" ref="Y52:Z52" ca="1" si="52">+Y51</f>
        <v>0</v>
      </c>
      <c r="Z52" s="13">
        <f t="shared" ca="1" si="52"/>
        <v>0</v>
      </c>
      <c r="AA52" t="str">
        <f t="shared" ca="1" si="8"/>
        <v/>
      </c>
      <c r="AB52" t="str">
        <f t="shared" ca="1" si="9"/>
        <v/>
      </c>
      <c r="AC52" s="24" t="str">
        <f t="shared" ca="1" si="10"/>
        <v/>
      </c>
      <c r="AD52" s="24" t="str">
        <f t="shared" ca="1" si="11"/>
        <v/>
      </c>
    </row>
    <row r="53" spans="3:30" x14ac:dyDescent="0.25">
      <c r="C53" s="6">
        <v>147</v>
      </c>
      <c r="D53" s="36">
        <v>42215</v>
      </c>
      <c r="E53" s="38">
        <v>19.937000000000001</v>
      </c>
      <c r="F53" s="38">
        <v>53.882145053637224</v>
      </c>
      <c r="G53" s="38">
        <v>35.17</v>
      </c>
      <c r="H53" s="38">
        <v>2.7775610800376631</v>
      </c>
      <c r="I53" s="38">
        <v>7.3022098936326554</v>
      </c>
      <c r="J53" s="10">
        <v>0</v>
      </c>
      <c r="K53" s="39">
        <v>0</v>
      </c>
      <c r="L53" s="39">
        <v>0</v>
      </c>
      <c r="M53" s="39">
        <v>0</v>
      </c>
      <c r="N53" s="39">
        <v>0</v>
      </c>
      <c r="O53" s="39">
        <v>0</v>
      </c>
      <c r="P53" s="39">
        <v>1</v>
      </c>
      <c r="Q53" s="39">
        <v>0</v>
      </c>
      <c r="R53" s="39">
        <v>0</v>
      </c>
      <c r="S53" s="39">
        <v>0</v>
      </c>
      <c r="T53" s="39">
        <v>0</v>
      </c>
      <c r="U53" s="29" t="str" cm="1">
        <f t="array" aca="1" ref="U53" ca="1">+fair_value_gap(OFFSET(T52,0,0,-1*$J$5,-1*$AA$1),OFFSET(E52,0,0,-1*$J$5,1),F53:T53,0)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V53" s="9" t="str" cm="1">
        <f t="array" aca="1" ref="V53" ca="1">z_score_diff(OFFSET(U53,0,0,$J$5*-1,1),OFFSET(E53,0,0,$J$5*-1,1))</f>
        <v/>
      </c>
      <c r="W53" s="9" t="str">
        <f t="shared" ca="1" si="6"/>
        <v/>
      </c>
      <c r="X53" s="17">
        <f t="shared" ca="1" si="0"/>
        <v>-4.0326806918659815E-2</v>
      </c>
      <c r="Y53" s="13">
        <f t="shared" ref="Y53:Z53" ca="1" si="53">+Y52</f>
        <v>0</v>
      </c>
      <c r="Z53" s="13">
        <f t="shared" ca="1" si="53"/>
        <v>0</v>
      </c>
      <c r="AA53" t="str">
        <f t="shared" ca="1" si="8"/>
        <v/>
      </c>
      <c r="AB53" t="str">
        <f t="shared" ca="1" si="9"/>
        <v/>
      </c>
      <c r="AC53" s="24" t="str">
        <f t="shared" ca="1" si="10"/>
        <v/>
      </c>
      <c r="AD53" s="24" t="str">
        <f t="shared" ca="1" si="11"/>
        <v/>
      </c>
    </row>
    <row r="54" spans="3:30" x14ac:dyDescent="0.25">
      <c r="C54" s="6">
        <v>148</v>
      </c>
      <c r="D54" s="36">
        <v>42216</v>
      </c>
      <c r="E54" s="38">
        <v>19.765000000000001</v>
      </c>
      <c r="F54" s="38">
        <v>52.926441186722606</v>
      </c>
      <c r="G54" s="38">
        <v>34.25</v>
      </c>
      <c r="H54" s="38">
        <v>2.7424944870171739</v>
      </c>
      <c r="I54" s="38">
        <v>7.2693712942009387</v>
      </c>
      <c r="J54" s="10">
        <v>0</v>
      </c>
      <c r="K54" s="39">
        <v>0</v>
      </c>
      <c r="L54" s="39">
        <v>0</v>
      </c>
      <c r="M54" s="39">
        <v>0</v>
      </c>
      <c r="N54" s="39">
        <v>0</v>
      </c>
      <c r="O54" s="39">
        <v>0</v>
      </c>
      <c r="P54" s="39">
        <v>1</v>
      </c>
      <c r="Q54" s="39">
        <v>0</v>
      </c>
      <c r="R54" s="39">
        <v>0</v>
      </c>
      <c r="S54" s="39">
        <v>0</v>
      </c>
      <c r="T54" s="39">
        <v>0</v>
      </c>
      <c r="U54" s="29" t="str" cm="1">
        <f t="array" aca="1" ref="U54" ca="1">+fair_value_gap(OFFSET(T53,0,0,-1*$J$5,-1*$AA$1),OFFSET(E53,0,0,-1*$J$5,1),F54:T54,0)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V54" s="9" t="str" cm="1">
        <f t="array" aca="1" ref="V54" ca="1">z_score_diff(OFFSET(U54,0,0,$J$5*-1,1),OFFSET(E54,0,0,$J$5*-1,1))</f>
        <v/>
      </c>
      <c r="W54" s="9" t="str">
        <f t="shared" ca="1" si="6"/>
        <v/>
      </c>
      <c r="X54" s="17">
        <f t="shared" ca="1" si="0"/>
        <v>-3.9421087388253964E-2</v>
      </c>
      <c r="Y54" s="13">
        <f t="shared" ref="Y54:Z54" ca="1" si="54">+Y53</f>
        <v>0</v>
      </c>
      <c r="Z54" s="13">
        <f t="shared" ca="1" si="54"/>
        <v>0</v>
      </c>
      <c r="AA54" t="str">
        <f t="shared" ca="1" si="8"/>
        <v/>
      </c>
      <c r="AB54" t="str">
        <f t="shared" ca="1" si="9"/>
        <v/>
      </c>
      <c r="AC54" s="24" t="str">
        <f t="shared" ca="1" si="10"/>
        <v/>
      </c>
      <c r="AD54" s="24" t="str">
        <f t="shared" ca="1" si="11"/>
        <v/>
      </c>
    </row>
    <row r="55" spans="3:30" x14ac:dyDescent="0.25">
      <c r="C55" s="6">
        <v>149</v>
      </c>
      <c r="D55" s="36">
        <v>42219</v>
      </c>
      <c r="E55" s="38">
        <v>19.568999999999999</v>
      </c>
      <c r="F55" s="38">
        <v>50.910961981650317</v>
      </c>
      <c r="G55" s="38">
        <v>34.11</v>
      </c>
      <c r="H55" s="38">
        <v>2.7493731248097637</v>
      </c>
      <c r="I55" s="38">
        <v>7.2924064760193072</v>
      </c>
      <c r="J55" s="10">
        <v>0</v>
      </c>
      <c r="K55" s="39">
        <v>0</v>
      </c>
      <c r="L55" s="39">
        <v>0</v>
      </c>
      <c r="M55" s="39">
        <v>0</v>
      </c>
      <c r="N55" s="39">
        <v>0</v>
      </c>
      <c r="O55" s="39">
        <v>0</v>
      </c>
      <c r="P55" s="39">
        <v>0</v>
      </c>
      <c r="Q55" s="39">
        <v>1</v>
      </c>
      <c r="R55" s="39">
        <v>0</v>
      </c>
      <c r="S55" s="39">
        <v>0</v>
      </c>
      <c r="T55" s="39">
        <v>0</v>
      </c>
      <c r="U55" s="29" t="str" cm="1">
        <f t="array" aca="1" ref="U55" ca="1">+fair_value_gap(OFFSET(T54,0,0,-1*$J$5,-1*$AA$1),OFFSET(E54,0,0,-1*$J$5,1),F55:T55,0)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V55" s="9" t="str" cm="1">
        <f t="array" aca="1" ref="V55" ca="1">z_score_diff(OFFSET(U55,0,0,$J$5*-1,1),OFFSET(E55,0,0,$J$5*-1,1))</f>
        <v/>
      </c>
      <c r="W55" s="9" t="str">
        <f t="shared" ca="1" si="6"/>
        <v/>
      </c>
      <c r="X55" s="17">
        <f t="shared" ca="1" si="0"/>
        <v>-3.6638328065794888E-2</v>
      </c>
      <c r="Y55" s="13">
        <f t="shared" ref="Y55:Z55" ca="1" si="55">+Y54</f>
        <v>0</v>
      </c>
      <c r="Z55" s="13">
        <f t="shared" ca="1" si="55"/>
        <v>0</v>
      </c>
      <c r="AA55" t="str">
        <f t="shared" ca="1" si="8"/>
        <v/>
      </c>
      <c r="AB55" t="str">
        <f t="shared" ca="1" si="9"/>
        <v/>
      </c>
      <c r="AC55" s="24" t="str">
        <f t="shared" ca="1" si="10"/>
        <v/>
      </c>
      <c r="AD55" s="24" t="str">
        <f t="shared" ca="1" si="11"/>
        <v/>
      </c>
    </row>
    <row r="56" spans="3:30" x14ac:dyDescent="0.25">
      <c r="C56" s="6">
        <v>150</v>
      </c>
      <c r="D56" s="36">
        <v>42220</v>
      </c>
      <c r="E56" s="38">
        <v>19.513000000000002</v>
      </c>
      <c r="F56" s="38">
        <v>51.647605048368973</v>
      </c>
      <c r="G56" s="38">
        <v>34.380000000000003</v>
      </c>
      <c r="H56" s="38">
        <v>2.7722678498895283</v>
      </c>
      <c r="I56" s="38">
        <v>7.3313916529601526</v>
      </c>
      <c r="J56" s="10">
        <v>0</v>
      </c>
      <c r="K56" s="39">
        <v>0</v>
      </c>
      <c r="L56" s="39">
        <v>0</v>
      </c>
      <c r="M56" s="39">
        <v>0</v>
      </c>
      <c r="N56" s="39">
        <v>0</v>
      </c>
      <c r="O56" s="39">
        <v>0</v>
      </c>
      <c r="P56" s="39">
        <v>0</v>
      </c>
      <c r="Q56" s="39">
        <v>1</v>
      </c>
      <c r="R56" s="39">
        <v>0</v>
      </c>
      <c r="S56" s="39">
        <v>0</v>
      </c>
      <c r="T56" s="39">
        <v>0</v>
      </c>
      <c r="U56" s="29" t="str" cm="1">
        <f t="array" aca="1" ref="U56" ca="1">+fair_value_gap(OFFSET(T55,0,0,-1*$J$5,-1*$AA$1),OFFSET(E55,0,0,-1*$J$5,1),F56:T56,0)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V56" s="9" t="str" cm="1">
        <f t="array" aca="1" ref="V56" ca="1">z_score_diff(OFFSET(U56,0,0,$J$5*-1,1),OFFSET(E56,0,0,$J$5*-1,1))</f>
        <v/>
      </c>
      <c r="W56" s="9" t="str">
        <f t="shared" ca="1" si="6"/>
        <v/>
      </c>
      <c r="X56" s="17">
        <f t="shared" ca="1" si="0"/>
        <v>-4.2290042312752296E-2</v>
      </c>
      <c r="Y56" s="13">
        <f t="shared" ref="Y56:Z56" ca="1" si="56">+Y55</f>
        <v>0</v>
      </c>
      <c r="Z56" s="13">
        <f t="shared" ca="1" si="56"/>
        <v>0</v>
      </c>
      <c r="AA56" t="str">
        <f t="shared" ca="1" si="8"/>
        <v/>
      </c>
      <c r="AB56" t="str">
        <f t="shared" ca="1" si="9"/>
        <v/>
      </c>
      <c r="AC56" s="24" t="str">
        <f t="shared" ca="1" si="10"/>
        <v/>
      </c>
      <c r="AD56" s="24" t="str">
        <f t="shared" ca="1" si="11"/>
        <v/>
      </c>
    </row>
    <row r="57" spans="3:30" x14ac:dyDescent="0.25">
      <c r="C57" s="6">
        <v>151</v>
      </c>
      <c r="D57" s="36">
        <v>42221</v>
      </c>
      <c r="E57" s="38">
        <v>19.600999999999999</v>
      </c>
      <c r="F57" s="38">
        <v>51.159524948567622</v>
      </c>
      <c r="G57" s="38">
        <v>34.380000000000003</v>
      </c>
      <c r="H57" s="38">
        <v>2.7521550665665</v>
      </c>
      <c r="I57" s="38">
        <v>7.3214964593061227</v>
      </c>
      <c r="J57" s="10">
        <v>0</v>
      </c>
      <c r="K57" s="39">
        <v>0</v>
      </c>
      <c r="L57" s="39">
        <v>0</v>
      </c>
      <c r="M57" s="39">
        <v>0</v>
      </c>
      <c r="N57" s="39">
        <v>0</v>
      </c>
      <c r="O57" s="39">
        <v>0</v>
      </c>
      <c r="P57" s="39">
        <v>0</v>
      </c>
      <c r="Q57" s="39">
        <v>1</v>
      </c>
      <c r="R57" s="39">
        <v>0</v>
      </c>
      <c r="S57" s="39">
        <v>0</v>
      </c>
      <c r="T57" s="39">
        <v>0</v>
      </c>
      <c r="U57" s="29" t="str" cm="1">
        <f t="array" aca="1" ref="U57" ca="1">+fair_value_gap(OFFSET(T56,0,0,-1*$J$5,-1*$AA$1),OFFSET(E56,0,0,-1*$J$5,1),F57:T57,0)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V57" s="9" t="str" cm="1">
        <f t="array" aca="1" ref="V57" ca="1">z_score_diff(OFFSET(U57,0,0,$J$5*-1,1),OFFSET(E57,0,0,$J$5*-1,1))</f>
        <v/>
      </c>
      <c r="W57" s="9" t="str">
        <f t="shared" ca="1" si="6"/>
        <v/>
      </c>
      <c r="X57" s="17">
        <f t="shared" ca="1" si="0"/>
        <v>-3.8060221537561091E-2</v>
      </c>
      <c r="Y57" s="13">
        <f t="shared" ref="Y57:Z57" ca="1" si="57">+Y56</f>
        <v>0</v>
      </c>
      <c r="Z57" s="13">
        <f t="shared" ca="1" si="57"/>
        <v>0</v>
      </c>
      <c r="AA57" t="str">
        <f t="shared" ca="1" si="8"/>
        <v/>
      </c>
      <c r="AB57" t="str">
        <f t="shared" ca="1" si="9"/>
        <v/>
      </c>
      <c r="AC57" s="24" t="str">
        <f t="shared" ca="1" si="10"/>
        <v/>
      </c>
      <c r="AD57" s="24" t="str">
        <f t="shared" ca="1" si="11"/>
        <v/>
      </c>
    </row>
    <row r="58" spans="3:30" x14ac:dyDescent="0.25">
      <c r="C58" s="6">
        <v>152</v>
      </c>
      <c r="D58" s="36">
        <v>42222</v>
      </c>
      <c r="E58" s="38">
        <v>19.622</v>
      </c>
      <c r="F58" s="38">
        <v>51.178224968110072</v>
      </c>
      <c r="G58" s="38">
        <v>34.51</v>
      </c>
      <c r="H58" s="38">
        <v>2.757287018416716</v>
      </c>
      <c r="I58" s="38">
        <v>7.3085810004130947</v>
      </c>
      <c r="J58" s="10">
        <v>0</v>
      </c>
      <c r="K58" s="39">
        <v>0</v>
      </c>
      <c r="L58" s="39">
        <v>0</v>
      </c>
      <c r="M58" s="39">
        <v>0</v>
      </c>
      <c r="N58" s="39">
        <v>0</v>
      </c>
      <c r="O58" s="39">
        <v>0</v>
      </c>
      <c r="P58" s="39">
        <v>0</v>
      </c>
      <c r="Q58" s="39">
        <v>1</v>
      </c>
      <c r="R58" s="39">
        <v>0</v>
      </c>
      <c r="S58" s="39">
        <v>0</v>
      </c>
      <c r="T58" s="39">
        <v>0</v>
      </c>
      <c r="U58" s="29" t="str" cm="1">
        <f t="array" aca="1" ref="U58" ca="1">+fair_value_gap(OFFSET(T57,0,0,-1*$J$5,-1*$AA$1),OFFSET(E57,0,0,-1*$J$5,1),F58:T58,0)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V58" s="9" t="str" cm="1">
        <f t="array" aca="1" ref="V58" ca="1">z_score_diff(OFFSET(U58,0,0,$J$5*-1,1),OFFSET(E58,0,0,$J$5*-1,1))</f>
        <v/>
      </c>
      <c r="W58" s="9" t="str">
        <f t="shared" ca="1" si="6"/>
        <v/>
      </c>
      <c r="X58" s="17">
        <f t="shared" ca="1" si="0"/>
        <v>-4.5831036364351201E-2</v>
      </c>
      <c r="Y58" s="13">
        <f t="shared" ref="Y58:Z58" ca="1" si="58">+Y57</f>
        <v>0</v>
      </c>
      <c r="Z58" s="13">
        <f t="shared" ca="1" si="58"/>
        <v>0</v>
      </c>
      <c r="AA58" t="str">
        <f t="shared" ca="1" si="8"/>
        <v/>
      </c>
      <c r="AB58" t="str">
        <f t="shared" ca="1" si="9"/>
        <v/>
      </c>
      <c r="AC58" s="24" t="str">
        <f t="shared" ca="1" si="10"/>
        <v/>
      </c>
      <c r="AD58" s="24" t="str">
        <f t="shared" ca="1" si="11"/>
        <v/>
      </c>
    </row>
    <row r="59" spans="3:30" x14ac:dyDescent="0.25">
      <c r="C59" s="6">
        <v>153</v>
      </c>
      <c r="D59" s="36">
        <v>42223</v>
      </c>
      <c r="E59" s="38">
        <v>19.492999999999999</v>
      </c>
      <c r="F59" s="38">
        <v>50.373075306527348</v>
      </c>
      <c r="G59" s="38">
        <v>34.340000000000003</v>
      </c>
      <c r="H59" s="38">
        <v>2.744171122027939</v>
      </c>
      <c r="I59" s="38">
        <v>7.2762113084074151</v>
      </c>
      <c r="J59" s="10">
        <v>0</v>
      </c>
      <c r="K59" s="39">
        <v>0</v>
      </c>
      <c r="L59" s="39">
        <v>0</v>
      </c>
      <c r="M59" s="39">
        <v>0</v>
      </c>
      <c r="N59" s="39">
        <v>0</v>
      </c>
      <c r="O59" s="39">
        <v>0</v>
      </c>
      <c r="P59" s="39">
        <v>0</v>
      </c>
      <c r="Q59" s="39">
        <v>1</v>
      </c>
      <c r="R59" s="39">
        <v>0</v>
      </c>
      <c r="S59" s="39">
        <v>0</v>
      </c>
      <c r="T59" s="39">
        <v>0</v>
      </c>
      <c r="U59" s="29" t="str" cm="1">
        <f t="array" aca="1" ref="U59" ca="1">+fair_value_gap(OFFSET(T58,0,0,-1*$J$5,-1*$AA$1),OFFSET(E58,0,0,-1*$J$5,1),F59:T59,0)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V59" s="9" t="str" cm="1">
        <f t="array" aca="1" ref="V59" ca="1">z_score_diff(OFFSET(U59,0,0,$J$5*-1,1),OFFSET(E59,0,0,$J$5*-1,1))</f>
        <v/>
      </c>
      <c r="W59" s="9" t="str">
        <f t="shared" ca="1" si="6"/>
        <v/>
      </c>
      <c r="X59" s="17">
        <f t="shared" ca="1" si="0"/>
        <v>-4.4048435701582338E-2</v>
      </c>
      <c r="Y59" s="13">
        <f t="shared" ref="Y59:Z59" ca="1" si="59">+Y58</f>
        <v>0</v>
      </c>
      <c r="Z59" s="13">
        <f t="shared" ca="1" si="59"/>
        <v>0</v>
      </c>
      <c r="AA59" t="str">
        <f t="shared" ca="1" si="8"/>
        <v/>
      </c>
      <c r="AB59" t="str">
        <f t="shared" ca="1" si="9"/>
        <v/>
      </c>
      <c r="AC59" s="24" t="str">
        <f t="shared" ca="1" si="10"/>
        <v/>
      </c>
      <c r="AD59" s="24" t="str">
        <f t="shared" ca="1" si="11"/>
        <v/>
      </c>
    </row>
    <row r="60" spans="3:30" x14ac:dyDescent="0.25">
      <c r="C60" s="6">
        <v>154</v>
      </c>
      <c r="D60" s="36">
        <v>42226</v>
      </c>
      <c r="E60" s="38">
        <v>19.501000000000001</v>
      </c>
      <c r="F60" s="38">
        <v>51.510210252367642</v>
      </c>
      <c r="G60" s="38">
        <v>34.39</v>
      </c>
      <c r="H60" s="38">
        <v>2.7518906874867266</v>
      </c>
      <c r="I60" s="38">
        <v>7.2441857535213057</v>
      </c>
      <c r="J60" s="10">
        <v>0</v>
      </c>
      <c r="K60" s="39">
        <v>0</v>
      </c>
      <c r="L60" s="39">
        <v>0</v>
      </c>
      <c r="M60" s="39">
        <v>0</v>
      </c>
      <c r="N60" s="39">
        <v>0</v>
      </c>
      <c r="O60" s="39">
        <v>0</v>
      </c>
      <c r="P60" s="39">
        <v>0</v>
      </c>
      <c r="Q60" s="39">
        <v>1</v>
      </c>
      <c r="R60" s="39">
        <v>0</v>
      </c>
      <c r="S60" s="39">
        <v>0</v>
      </c>
      <c r="T60" s="39">
        <v>0</v>
      </c>
      <c r="U60" s="29" t="str" cm="1">
        <f t="array" aca="1" ref="U60" ca="1">+fair_value_gap(OFFSET(T59,0,0,-1*$J$5,-1*$AA$1),OFFSET(E59,0,0,-1*$J$5,1),F60:T60,0)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V60" s="9" t="str" cm="1">
        <f t="array" aca="1" ref="V60" ca="1">z_score_diff(OFFSET(U60,0,0,$J$5*-1,1),OFFSET(E60,0,0,$J$5*-1,1))</f>
        <v/>
      </c>
      <c r="W60" s="9" t="str">
        <f t="shared" ca="1" si="6"/>
        <v/>
      </c>
      <c r="X60" s="17">
        <f t="shared" ca="1" si="0"/>
        <v>-4.8433835682070166E-2</v>
      </c>
      <c r="Y60" s="13">
        <f t="shared" ref="Y60:Z60" ca="1" si="60">+Y59</f>
        <v>0</v>
      </c>
      <c r="Z60" s="13">
        <f t="shared" ca="1" si="60"/>
        <v>0</v>
      </c>
      <c r="AA60" t="str">
        <f t="shared" ca="1" si="8"/>
        <v/>
      </c>
      <c r="AB60" t="str">
        <f t="shared" ca="1" si="9"/>
        <v/>
      </c>
      <c r="AC60" s="24" t="str">
        <f t="shared" ca="1" si="10"/>
        <v/>
      </c>
      <c r="AD60" s="24" t="str">
        <f t="shared" ca="1" si="11"/>
        <v/>
      </c>
    </row>
    <row r="61" spans="3:30" x14ac:dyDescent="0.25">
      <c r="C61" s="6">
        <v>155</v>
      </c>
      <c r="D61" s="36">
        <v>42227</v>
      </c>
      <c r="E61" s="38">
        <v>19.445</v>
      </c>
      <c r="F61" s="38">
        <v>50.422659204628147</v>
      </c>
      <c r="G61" s="38">
        <v>34.520000000000003</v>
      </c>
      <c r="H61" s="38">
        <v>2.7443652925376623</v>
      </c>
      <c r="I61" s="38">
        <v>7.2314699197800927</v>
      </c>
      <c r="J61" s="10">
        <v>0</v>
      </c>
      <c r="K61" s="39">
        <v>0</v>
      </c>
      <c r="L61" s="39">
        <v>0</v>
      </c>
      <c r="M61" s="39">
        <v>0</v>
      </c>
      <c r="N61" s="39">
        <v>0</v>
      </c>
      <c r="O61" s="39">
        <v>0</v>
      </c>
      <c r="P61" s="39">
        <v>0</v>
      </c>
      <c r="Q61" s="39">
        <v>1</v>
      </c>
      <c r="R61" s="39">
        <v>0</v>
      </c>
      <c r="S61" s="39">
        <v>0</v>
      </c>
      <c r="T61" s="39">
        <v>0</v>
      </c>
      <c r="U61" s="29" t="str" cm="1">
        <f t="array" aca="1" ref="U61" ca="1">+fair_value_gap(OFFSET(T60,0,0,-1*$J$5,-1*$AA$1),OFFSET(E60,0,0,-1*$J$5,1),F61:T61,0)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V61" s="9" t="str" cm="1">
        <f t="array" aca="1" ref="V61" ca="1">z_score_diff(OFFSET(U61,0,0,$J$5*-1,1),OFFSET(E61,0,0,$J$5*-1,1))</f>
        <v/>
      </c>
      <c r="W61" s="9" t="str">
        <f t="shared" ca="1" si="6"/>
        <v/>
      </c>
      <c r="X61" s="17">
        <f t="shared" ca="1" si="0"/>
        <v>-4.3944632948620332E-2</v>
      </c>
      <c r="Y61" s="13">
        <f t="shared" ref="Y61:Z61" ca="1" si="61">+Y60</f>
        <v>0</v>
      </c>
      <c r="Z61" s="13">
        <f t="shared" ca="1" si="61"/>
        <v>0</v>
      </c>
      <c r="AA61" t="str">
        <f t="shared" ca="1" si="8"/>
        <v/>
      </c>
      <c r="AB61" t="str">
        <f t="shared" ca="1" si="9"/>
        <v/>
      </c>
      <c r="AC61" s="24" t="str">
        <f t="shared" ca="1" si="10"/>
        <v/>
      </c>
      <c r="AD61" s="24" t="str">
        <f t="shared" ca="1" si="11"/>
        <v/>
      </c>
    </row>
    <row r="62" spans="3:30" x14ac:dyDescent="0.25">
      <c r="C62" s="6">
        <v>156</v>
      </c>
      <c r="D62" s="36">
        <v>42228</v>
      </c>
      <c r="E62" s="38">
        <v>19.268000000000001</v>
      </c>
      <c r="F62" s="38">
        <v>50.327381349264556</v>
      </c>
      <c r="G62" s="38">
        <v>34.450000000000003</v>
      </c>
      <c r="H62" s="38">
        <v>2.752403685873928</v>
      </c>
      <c r="I62" s="38">
        <v>7.1566051909835666</v>
      </c>
      <c r="J62" s="10">
        <v>0</v>
      </c>
      <c r="K62" s="39">
        <v>0</v>
      </c>
      <c r="L62" s="39">
        <v>0</v>
      </c>
      <c r="M62" s="39">
        <v>0</v>
      </c>
      <c r="N62" s="39">
        <v>0</v>
      </c>
      <c r="O62" s="39">
        <v>0</v>
      </c>
      <c r="P62" s="39">
        <v>0</v>
      </c>
      <c r="Q62" s="39">
        <v>1</v>
      </c>
      <c r="R62" s="39">
        <v>0</v>
      </c>
      <c r="S62" s="39">
        <v>0</v>
      </c>
      <c r="T62" s="39">
        <v>0</v>
      </c>
      <c r="U62" s="29" t="str" cm="1">
        <f t="array" aca="1" ref="U62" ca="1">+fair_value_gap(OFFSET(T61,0,0,-1*$J$5,-1*$AA$1),OFFSET(E61,0,0,-1*$J$5,1),F62:T62,0)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V62" s="9" t="str" cm="1">
        <f t="array" aca="1" ref="V62" ca="1">z_score_diff(OFFSET(U62,0,0,$J$5*-1,1),OFFSET(E62,0,0,$J$5*-1,1))</f>
        <v/>
      </c>
      <c r="W62" s="9" t="str">
        <f t="shared" ca="1" si="6"/>
        <v/>
      </c>
      <c r="X62" s="17">
        <f t="shared" ca="1" si="0"/>
        <v>-3.8191556389940158E-2</v>
      </c>
      <c r="Y62" s="13">
        <f t="shared" ref="Y62:Z62" ca="1" si="62">+Y61</f>
        <v>0</v>
      </c>
      <c r="Z62" s="13">
        <f t="shared" ca="1" si="62"/>
        <v>0</v>
      </c>
      <c r="AA62" t="str">
        <f t="shared" ca="1" si="8"/>
        <v/>
      </c>
      <c r="AB62" t="str">
        <f t="shared" ca="1" si="9"/>
        <v/>
      </c>
      <c r="AC62" s="24" t="str">
        <f t="shared" ca="1" si="10"/>
        <v/>
      </c>
      <c r="AD62" s="24" t="str">
        <f t="shared" ca="1" si="11"/>
        <v/>
      </c>
    </row>
    <row r="63" spans="3:30" x14ac:dyDescent="0.25">
      <c r="C63" s="6">
        <v>157</v>
      </c>
      <c r="D63" s="36">
        <v>42229</v>
      </c>
      <c r="E63" s="38">
        <v>19.268000000000001</v>
      </c>
      <c r="F63" s="38">
        <v>50.073910158688932</v>
      </c>
      <c r="G63" s="38">
        <v>34.53</v>
      </c>
      <c r="H63" s="38">
        <v>2.7011450293417103</v>
      </c>
      <c r="I63" s="38">
        <v>7.1597686816597861</v>
      </c>
      <c r="J63" s="10">
        <v>0</v>
      </c>
      <c r="K63" s="39">
        <v>0</v>
      </c>
      <c r="L63" s="39">
        <v>0</v>
      </c>
      <c r="M63" s="39">
        <v>0</v>
      </c>
      <c r="N63" s="39">
        <v>0</v>
      </c>
      <c r="O63" s="39">
        <v>0</v>
      </c>
      <c r="P63" s="39">
        <v>0</v>
      </c>
      <c r="Q63" s="39">
        <v>1</v>
      </c>
      <c r="R63" s="39">
        <v>0</v>
      </c>
      <c r="S63" s="39">
        <v>0</v>
      </c>
      <c r="T63" s="39">
        <v>0</v>
      </c>
      <c r="U63" s="29" t="str" cm="1">
        <f t="array" aca="1" ref="U63" ca="1">+fair_value_gap(OFFSET(T62,0,0,-1*$J$5,-1*$AA$1),OFFSET(E62,0,0,-1*$J$5,1),F63:T63,0)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V63" s="9" t="str" cm="1">
        <f t="array" aca="1" ref="V63" ca="1">z_score_diff(OFFSET(U63,0,0,$J$5*-1,1),OFFSET(E63,0,0,$J$5*-1,1))</f>
        <v/>
      </c>
      <c r="W63" s="9" t="str">
        <f t="shared" ca="1" si="6"/>
        <v/>
      </c>
      <c r="X63" s="17">
        <f t="shared" ca="1" si="0"/>
        <v>-5.0070306432234701E-2</v>
      </c>
      <c r="Y63" s="13">
        <f t="shared" ref="Y63:Z63" ca="1" si="63">+Y62</f>
        <v>0</v>
      </c>
      <c r="Z63" s="13">
        <f t="shared" ca="1" si="63"/>
        <v>0</v>
      </c>
      <c r="AA63" t="str">
        <f t="shared" ca="1" si="8"/>
        <v/>
      </c>
      <c r="AB63" t="str">
        <f t="shared" ca="1" si="9"/>
        <v/>
      </c>
      <c r="AC63" s="24" t="str">
        <f t="shared" ca="1" si="10"/>
        <v/>
      </c>
      <c r="AD63" s="24" t="str">
        <f t="shared" ca="1" si="11"/>
        <v/>
      </c>
    </row>
    <row r="64" spans="3:30" x14ac:dyDescent="0.25">
      <c r="C64" s="6">
        <v>158</v>
      </c>
      <c r="D64" s="36">
        <v>42230</v>
      </c>
      <c r="E64" s="38">
        <v>19.277000000000001</v>
      </c>
      <c r="F64" s="38">
        <v>49.951137666834747</v>
      </c>
      <c r="G64" s="38">
        <v>34.65</v>
      </c>
      <c r="H64" s="38">
        <v>2.722011253954725</v>
      </c>
      <c r="I64" s="38">
        <v>7.1843247850280463</v>
      </c>
      <c r="J64" s="10">
        <v>0</v>
      </c>
      <c r="K64" s="39">
        <v>0</v>
      </c>
      <c r="L64" s="39">
        <v>0</v>
      </c>
      <c r="M64" s="39">
        <v>0</v>
      </c>
      <c r="N64" s="39">
        <v>0</v>
      </c>
      <c r="O64" s="39">
        <v>0</v>
      </c>
      <c r="P64" s="39">
        <v>0</v>
      </c>
      <c r="Q64" s="39">
        <v>1</v>
      </c>
      <c r="R64" s="39">
        <v>0</v>
      </c>
      <c r="S64" s="39">
        <v>0</v>
      </c>
      <c r="T64" s="39">
        <v>0</v>
      </c>
      <c r="U64" s="29" t="str" cm="1">
        <f t="array" aca="1" ref="U64" ca="1">+fair_value_gap(OFFSET(T63,0,0,-1*$J$5,-1*$AA$1),OFFSET(E63,0,0,-1*$J$5,1),F64:T64,0)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V64" s="9" t="str" cm="1">
        <f t="array" aca="1" ref="V64" ca="1">z_score_diff(OFFSET(U64,0,0,$J$5*-1,1),OFFSET(E64,0,0,$J$5*-1,1))</f>
        <v/>
      </c>
      <c r="W64" s="9" t="str">
        <f t="shared" ca="1" si="6"/>
        <v/>
      </c>
      <c r="X64" s="17">
        <f t="shared" ca="1" si="0"/>
        <v>-4.618164836486939E-2</v>
      </c>
      <c r="Y64" s="13">
        <f t="shared" ref="Y64:Z64" ca="1" si="64">+Y63</f>
        <v>0</v>
      </c>
      <c r="Z64" s="13">
        <f t="shared" ca="1" si="64"/>
        <v>0</v>
      </c>
      <c r="AA64" t="str">
        <f t="shared" ca="1" si="8"/>
        <v/>
      </c>
      <c r="AB64" t="str">
        <f t="shared" ca="1" si="9"/>
        <v/>
      </c>
      <c r="AC64" s="24" t="str">
        <f t="shared" ca="1" si="10"/>
        <v/>
      </c>
      <c r="AD64" s="24" t="str">
        <f t="shared" ca="1" si="11"/>
        <v/>
      </c>
    </row>
    <row r="65" spans="3:30" x14ac:dyDescent="0.25">
      <c r="C65" s="6">
        <v>159</v>
      </c>
      <c r="D65" s="36">
        <v>42233</v>
      </c>
      <c r="E65" s="38">
        <v>19.253</v>
      </c>
      <c r="F65" s="38">
        <v>50.271501922672314</v>
      </c>
      <c r="G65" s="38">
        <v>34.54</v>
      </c>
      <c r="H65" s="38">
        <v>2.6984560426524369</v>
      </c>
      <c r="I65" s="38">
        <v>7.2072233388693174</v>
      </c>
      <c r="J65" s="10">
        <v>0</v>
      </c>
      <c r="K65" s="39">
        <v>0</v>
      </c>
      <c r="L65" s="39">
        <v>0</v>
      </c>
      <c r="M65" s="39">
        <v>0</v>
      </c>
      <c r="N65" s="39">
        <v>0</v>
      </c>
      <c r="O65" s="39">
        <v>0</v>
      </c>
      <c r="P65" s="39">
        <v>0</v>
      </c>
      <c r="Q65" s="39">
        <v>1</v>
      </c>
      <c r="R65" s="39">
        <v>0</v>
      </c>
      <c r="S65" s="39">
        <v>0</v>
      </c>
      <c r="T65" s="39">
        <v>0</v>
      </c>
      <c r="U65" s="29" t="str" cm="1">
        <f t="array" aca="1" ref="U65" ca="1">+fair_value_gap(OFFSET(T64,0,0,-1*$J$5,-1*$AA$1),OFFSET(E64,0,0,-1*$J$5,1),F65:T65,0)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V65" s="9" t="str" cm="1">
        <f t="array" aca="1" ref="V65" ca="1">z_score_diff(OFFSET(U65,0,0,$J$5*-1,1),OFFSET(E65,0,0,$J$5*-1,1))</f>
        <v/>
      </c>
      <c r="W65" s="9" t="str">
        <f t="shared" ca="1" si="6"/>
        <v/>
      </c>
      <c r="X65" s="17">
        <f t="shared" ca="1" si="0"/>
        <v>-5.6904856784434368E-2</v>
      </c>
      <c r="Y65" s="13">
        <f t="shared" ref="Y65:Z65" ca="1" si="65">+Y64</f>
        <v>0</v>
      </c>
      <c r="Z65" s="13">
        <f t="shared" ca="1" si="65"/>
        <v>0</v>
      </c>
      <c r="AA65" t="str">
        <f t="shared" ca="1" si="8"/>
        <v/>
      </c>
      <c r="AB65" t="str">
        <f t="shared" ca="1" si="9"/>
        <v/>
      </c>
      <c r="AC65" s="24" t="str">
        <f t="shared" ca="1" si="10"/>
        <v/>
      </c>
      <c r="AD65" s="24" t="str">
        <f t="shared" ca="1" si="11"/>
        <v/>
      </c>
    </row>
    <row r="66" spans="3:30" x14ac:dyDescent="0.25">
      <c r="C66" s="6">
        <v>160</v>
      </c>
      <c r="D66" s="36">
        <v>42234</v>
      </c>
      <c r="E66" s="38">
        <v>19.329999999999998</v>
      </c>
      <c r="F66" s="38">
        <v>50.259659924619498</v>
      </c>
      <c r="G66" s="38">
        <v>34.619999999999997</v>
      </c>
      <c r="H66" s="38">
        <v>2.6856100929309203</v>
      </c>
      <c r="I66" s="38">
        <v>7.2377506689299995</v>
      </c>
      <c r="J66" s="10">
        <v>0</v>
      </c>
      <c r="K66" s="39">
        <v>0</v>
      </c>
      <c r="L66" s="39">
        <v>0</v>
      </c>
      <c r="M66" s="39">
        <v>0</v>
      </c>
      <c r="N66" s="39">
        <v>0</v>
      </c>
      <c r="O66" s="39">
        <v>0</v>
      </c>
      <c r="P66" s="39">
        <v>0</v>
      </c>
      <c r="Q66" s="39">
        <v>1</v>
      </c>
      <c r="R66" s="39">
        <v>0</v>
      </c>
      <c r="S66" s="39">
        <v>0</v>
      </c>
      <c r="T66" s="39">
        <v>0</v>
      </c>
      <c r="U66" s="29" t="str" cm="1">
        <f t="array" aca="1" ref="U66" ca="1">+fair_value_gap(OFFSET(T65,0,0,-1*$J$5,-1*$AA$1),OFFSET(E65,0,0,-1*$J$5,1),F66:T66,0)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V66" s="9" t="str" cm="1">
        <f t="array" aca="1" ref="V66" ca="1">z_score_diff(OFFSET(U66,0,0,$J$5*-1,1),OFFSET(E66,0,0,$J$5*-1,1))</f>
        <v/>
      </c>
      <c r="W66" s="9" t="str">
        <f t="shared" ca="1" si="6"/>
        <v/>
      </c>
      <c r="X66" s="17">
        <f t="shared" ca="1" si="0"/>
        <v>-6.2051531763631387E-2</v>
      </c>
      <c r="Y66" s="13">
        <f t="shared" ref="Y66:Z66" ca="1" si="66">+Y65</f>
        <v>0</v>
      </c>
      <c r="Z66" s="13">
        <f t="shared" ca="1" si="66"/>
        <v>0</v>
      </c>
      <c r="AA66" t="str">
        <f t="shared" ca="1" si="8"/>
        <v/>
      </c>
      <c r="AB66" t="str">
        <f t="shared" ca="1" si="9"/>
        <v/>
      </c>
      <c r="AC66" s="24" t="str">
        <f t="shared" ca="1" si="10"/>
        <v/>
      </c>
      <c r="AD66" s="24" t="str">
        <f t="shared" ca="1" si="11"/>
        <v/>
      </c>
    </row>
    <row r="67" spans="3:30" x14ac:dyDescent="0.25">
      <c r="C67" s="6">
        <v>161</v>
      </c>
      <c r="D67" s="36">
        <v>42235</v>
      </c>
      <c r="E67" s="38">
        <v>19.234999999999999</v>
      </c>
      <c r="F67" s="38">
        <v>48.350334750241984</v>
      </c>
      <c r="G67" s="38">
        <v>34.67</v>
      </c>
      <c r="H67" s="38">
        <v>2.6548080482789693</v>
      </c>
      <c r="I67" s="38">
        <v>7.1811844047868627</v>
      </c>
      <c r="J67" s="10">
        <v>0</v>
      </c>
      <c r="K67" s="39">
        <v>0</v>
      </c>
      <c r="L67" s="39">
        <v>0</v>
      </c>
      <c r="M67" s="39">
        <v>0</v>
      </c>
      <c r="N67" s="39">
        <v>0</v>
      </c>
      <c r="O67" s="39">
        <v>0</v>
      </c>
      <c r="P67" s="39">
        <v>0</v>
      </c>
      <c r="Q67" s="39">
        <v>1</v>
      </c>
      <c r="R67" s="39">
        <v>0</v>
      </c>
      <c r="S67" s="39">
        <v>0</v>
      </c>
      <c r="T67" s="39">
        <v>0</v>
      </c>
      <c r="U67" s="29" t="str" cm="1">
        <f t="array" aca="1" ref="U67" ca="1">+fair_value_gap(OFFSET(T66,0,0,-1*$J$5,-1*$AA$1),OFFSET(E66,0,0,-1*$J$5,1),F67:T67,0)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V67" s="9" t="str" cm="1">
        <f t="array" aca="1" ref="V67" ca="1">z_score_diff(OFFSET(U67,0,0,$J$5*-1,1),OFFSET(E67,0,0,$J$5*-1,1))</f>
        <v/>
      </c>
      <c r="W67" s="9" t="str">
        <f t="shared" ca="1" si="6"/>
        <v/>
      </c>
      <c r="X67" s="17">
        <f t="shared" ca="1" si="0"/>
        <v>-3.034934078506063E-2</v>
      </c>
      <c r="Y67" s="13">
        <f t="shared" ref="Y67:Z67" ca="1" si="67">+Y66</f>
        <v>0</v>
      </c>
      <c r="Z67" s="13">
        <f t="shared" ca="1" si="67"/>
        <v>0</v>
      </c>
      <c r="AA67" t="str">
        <f t="shared" ca="1" si="8"/>
        <v/>
      </c>
      <c r="AB67" t="str">
        <f t="shared" ca="1" si="9"/>
        <v/>
      </c>
      <c r="AC67" s="24" t="str">
        <f t="shared" ca="1" si="10"/>
        <v/>
      </c>
      <c r="AD67" s="24" t="str">
        <f t="shared" ca="1" si="11"/>
        <v/>
      </c>
    </row>
    <row r="68" spans="3:30" x14ac:dyDescent="0.25">
      <c r="C68" s="6">
        <v>162</v>
      </c>
      <c r="D68" s="36">
        <v>42236</v>
      </c>
      <c r="E68" s="38">
        <v>18.96</v>
      </c>
      <c r="F68" s="38">
        <v>47.166357135609893</v>
      </c>
      <c r="G68" s="38">
        <v>34.4</v>
      </c>
      <c r="H68" s="38">
        <v>2.6441745666932821</v>
      </c>
      <c r="I68" s="38">
        <v>7.1023040580183254</v>
      </c>
      <c r="J68" s="10">
        <v>0</v>
      </c>
      <c r="K68" s="39">
        <v>0</v>
      </c>
      <c r="L68" s="39">
        <v>0</v>
      </c>
      <c r="M68" s="39">
        <v>0</v>
      </c>
      <c r="N68" s="39">
        <v>0</v>
      </c>
      <c r="O68" s="39">
        <v>0</v>
      </c>
      <c r="P68" s="39">
        <v>0</v>
      </c>
      <c r="Q68" s="39">
        <v>1</v>
      </c>
      <c r="R68" s="39">
        <v>0</v>
      </c>
      <c r="S68" s="39">
        <v>0</v>
      </c>
      <c r="T68" s="39">
        <v>0</v>
      </c>
      <c r="U68" s="29" t="str" cm="1">
        <f t="array" aca="1" ref="U68" ca="1">+fair_value_gap(OFFSET(T67,0,0,-1*$J$5,-1*$AA$1),OFFSET(E67,0,0,-1*$J$5,1),F68:T68,0)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V68" s="9" t="str" cm="1">
        <f t="array" aca="1" ref="V68" ca="1">z_score_diff(OFFSET(U68,0,0,$J$5*-1,1),OFFSET(E68,0,0,$J$5*-1,1))</f>
        <v/>
      </c>
      <c r="W68" s="9" t="str">
        <f t="shared" ca="1" si="6"/>
        <v/>
      </c>
      <c r="X68" s="17">
        <f t="shared" ca="1" si="0"/>
        <v>-1.9116154112062095E-2</v>
      </c>
      <c r="Y68" s="13">
        <f t="shared" ref="Y68:Z68" ca="1" si="68">+Y67</f>
        <v>0</v>
      </c>
      <c r="Z68" s="13">
        <f t="shared" ca="1" si="68"/>
        <v>0</v>
      </c>
      <c r="AA68" t="str">
        <f t="shared" ca="1" si="8"/>
        <v/>
      </c>
      <c r="AB68" t="str">
        <f t="shared" ca="1" si="9"/>
        <v/>
      </c>
      <c r="AC68" s="24" t="str">
        <f t="shared" ca="1" si="10"/>
        <v/>
      </c>
      <c r="AD68" s="24" t="str">
        <f t="shared" ca="1" si="11"/>
        <v/>
      </c>
    </row>
    <row r="69" spans="3:30" x14ac:dyDescent="0.25">
      <c r="C69" s="6">
        <v>163</v>
      </c>
      <c r="D69" s="36">
        <v>42237</v>
      </c>
      <c r="E69" s="38">
        <v>18.817</v>
      </c>
      <c r="F69" s="38">
        <v>45.462898529771671</v>
      </c>
      <c r="G69" s="38">
        <v>34.24</v>
      </c>
      <c r="H69" s="38">
        <v>2.5622959286319591</v>
      </c>
      <c r="I69" s="38">
        <v>7.0110408652234097</v>
      </c>
      <c r="J69" s="10">
        <v>0</v>
      </c>
      <c r="K69" s="39">
        <v>0</v>
      </c>
      <c r="L69" s="39">
        <v>0</v>
      </c>
      <c r="M69" s="39">
        <v>0</v>
      </c>
      <c r="N69" s="39">
        <v>0</v>
      </c>
      <c r="O69" s="39">
        <v>0</v>
      </c>
      <c r="P69" s="39">
        <v>0</v>
      </c>
      <c r="Q69" s="39">
        <v>1</v>
      </c>
      <c r="R69" s="39">
        <v>0</v>
      </c>
      <c r="S69" s="39">
        <v>0</v>
      </c>
      <c r="T69" s="39">
        <v>0</v>
      </c>
      <c r="U69" s="29" t="str" cm="1">
        <f t="array" aca="1" ref="U69" ca="1">+fair_value_gap(OFFSET(T68,0,0,-1*$J$5,-1*$AA$1),OFFSET(E68,0,0,-1*$J$5,1),F69:T69,0)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V69" s="9" t="str" cm="1">
        <f t="array" aca="1" ref="V69" ca="1">z_score_diff(OFFSET(U69,0,0,$J$5*-1,1),OFFSET(E69,0,0,$J$5*-1,1))</f>
        <v/>
      </c>
      <c r="W69" s="9" t="str">
        <f t="shared" ca="1" si="6"/>
        <v/>
      </c>
      <c r="X69" s="17">
        <f t="shared" ca="1" si="0"/>
        <v>-2.1486565449038389E-2</v>
      </c>
      <c r="Y69" s="13">
        <f t="shared" ref="Y69:Z69" ca="1" si="69">+Y68</f>
        <v>0</v>
      </c>
      <c r="Z69" s="13">
        <f t="shared" ca="1" si="69"/>
        <v>0</v>
      </c>
      <c r="AA69" t="str">
        <f t="shared" ca="1" si="8"/>
        <v/>
      </c>
      <c r="AB69" t="str">
        <f t="shared" ca="1" si="9"/>
        <v/>
      </c>
      <c r="AC69" s="24" t="str">
        <f t="shared" ca="1" si="10"/>
        <v/>
      </c>
      <c r="AD69" s="24" t="str">
        <f t="shared" ca="1" si="11"/>
        <v/>
      </c>
    </row>
    <row r="70" spans="3:30" x14ac:dyDescent="0.25">
      <c r="C70" s="6">
        <v>164</v>
      </c>
      <c r="D70" s="36">
        <v>42240</v>
      </c>
      <c r="E70" s="38">
        <v>18.372</v>
      </c>
      <c r="F70" s="38">
        <v>42.601980791032965</v>
      </c>
      <c r="G70" s="38">
        <v>33.83</v>
      </c>
      <c r="H70" s="38">
        <v>2.4830477657276093</v>
      </c>
      <c r="I70" s="38">
        <v>6.8878478684036031</v>
      </c>
      <c r="J70" s="10">
        <v>0</v>
      </c>
      <c r="K70" s="39">
        <v>0</v>
      </c>
      <c r="L70" s="39">
        <v>0</v>
      </c>
      <c r="M70" s="39">
        <v>0</v>
      </c>
      <c r="N70" s="39">
        <v>0</v>
      </c>
      <c r="O70" s="39">
        <v>0</v>
      </c>
      <c r="P70" s="39">
        <v>0</v>
      </c>
      <c r="Q70" s="39">
        <v>1</v>
      </c>
      <c r="R70" s="39">
        <v>0</v>
      </c>
      <c r="S70" s="39">
        <v>0</v>
      </c>
      <c r="T70" s="39">
        <v>0</v>
      </c>
      <c r="U70" s="29" t="str" cm="1">
        <f t="array" aca="1" ref="U70" ca="1">+fair_value_gap(OFFSET(T69,0,0,-1*$J$5,-1*$AA$1),OFFSET(E69,0,0,-1*$J$5,1),F70:T70,0)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V70" s="9" t="str" cm="1">
        <f t="array" aca="1" ref="V70" ca="1">z_score_diff(OFFSET(U70,0,0,$J$5*-1,1),OFFSET(E70,0,0,$J$5*-1,1))</f>
        <v/>
      </c>
      <c r="W70" s="9" t="str">
        <f t="shared" ca="1" si="6"/>
        <v/>
      </c>
      <c r="X70" s="17">
        <f t="shared" ca="1" si="0"/>
        <v>5.5365717068714326E-3</v>
      </c>
      <c r="Y70" s="13">
        <f t="shared" ref="Y70:Z70" ca="1" si="70">+Y69</f>
        <v>0</v>
      </c>
      <c r="Z70" s="13">
        <f t="shared" ca="1" si="70"/>
        <v>0</v>
      </c>
      <c r="AA70" t="str">
        <f t="shared" ca="1" si="8"/>
        <v/>
      </c>
      <c r="AB70" t="str">
        <f t="shared" ca="1" si="9"/>
        <v/>
      </c>
      <c r="AC70" s="24" t="str">
        <f t="shared" ca="1" si="10"/>
        <v/>
      </c>
      <c r="AD70" s="24" t="str">
        <f t="shared" ca="1" si="11"/>
        <v/>
      </c>
    </row>
    <row r="71" spans="3:30" x14ac:dyDescent="0.25">
      <c r="C71" s="6">
        <v>165</v>
      </c>
      <c r="D71" s="36">
        <v>42241</v>
      </c>
      <c r="E71" s="38">
        <v>18.651</v>
      </c>
      <c r="F71" s="38">
        <v>43.452696050115442</v>
      </c>
      <c r="G71" s="38">
        <v>33.99</v>
      </c>
      <c r="H71" s="38">
        <v>2.501978649552282</v>
      </c>
      <c r="I71" s="38">
        <v>6.9403611746712164</v>
      </c>
      <c r="J71" s="10">
        <v>0</v>
      </c>
      <c r="K71" s="39">
        <v>0</v>
      </c>
      <c r="L71" s="39">
        <v>0</v>
      </c>
      <c r="M71" s="39">
        <v>0</v>
      </c>
      <c r="N71" s="39">
        <v>0</v>
      </c>
      <c r="O71" s="39">
        <v>0</v>
      </c>
      <c r="P71" s="39">
        <v>0</v>
      </c>
      <c r="Q71" s="39">
        <v>1</v>
      </c>
      <c r="R71" s="39">
        <v>0</v>
      </c>
      <c r="S71" s="39">
        <v>0</v>
      </c>
      <c r="T71" s="39">
        <v>0</v>
      </c>
      <c r="U71" s="29" t="str" cm="1">
        <f t="array" aca="1" ref="U71" ca="1">+fair_value_gap(OFFSET(T70,0,0,-1*$J$5,-1*$AA$1),OFFSET(E70,0,0,-1*$J$5,1),F71:T71,0)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V71" s="9" t="str" cm="1">
        <f t="array" aca="1" ref="V71" ca="1">z_score_diff(OFFSET(U71,0,0,$J$5*-1,1),OFFSET(E71,0,0,$J$5*-1,1))</f>
        <v/>
      </c>
      <c r="W71" s="9" t="str">
        <f t="shared" ca="1" si="6"/>
        <v/>
      </c>
      <c r="X71" s="17">
        <f t="shared" ref="X71:X134" ca="1" si="71">+LN(OFFSET(E71,$X$3,0,1,1)/E71)</f>
        <v>1.6378988864591111E-2</v>
      </c>
      <c r="Y71" s="13">
        <f t="shared" ref="Y71:Z71" ca="1" si="72">+Y70</f>
        <v>0</v>
      </c>
      <c r="Z71" s="13">
        <f t="shared" ca="1" si="72"/>
        <v>0</v>
      </c>
      <c r="AA71" t="str">
        <f t="shared" ca="1" si="8"/>
        <v/>
      </c>
      <c r="AB71" t="str">
        <f t="shared" ca="1" si="9"/>
        <v/>
      </c>
      <c r="AC71" s="24" t="str">
        <f t="shared" ca="1" si="10"/>
        <v/>
      </c>
      <c r="AD71" s="24" t="str">
        <f t="shared" ca="1" si="11"/>
        <v/>
      </c>
    </row>
    <row r="72" spans="3:30" x14ac:dyDescent="0.25">
      <c r="C72" s="6">
        <v>166</v>
      </c>
      <c r="D72" s="36">
        <v>42242</v>
      </c>
      <c r="E72" s="38">
        <v>18.431000000000001</v>
      </c>
      <c r="F72" s="38">
        <v>44.154139362818562</v>
      </c>
      <c r="G72" s="38">
        <v>34.119999999999997</v>
      </c>
      <c r="H72" s="38">
        <v>2.5560613665320044</v>
      </c>
      <c r="I72" s="38">
        <v>7.0636093376528111</v>
      </c>
      <c r="J72" s="10">
        <v>0</v>
      </c>
      <c r="K72" s="39">
        <v>0</v>
      </c>
      <c r="L72" s="39">
        <v>0</v>
      </c>
      <c r="M72" s="39">
        <v>0</v>
      </c>
      <c r="N72" s="39">
        <v>0</v>
      </c>
      <c r="O72" s="39">
        <v>0</v>
      </c>
      <c r="P72" s="39">
        <v>0</v>
      </c>
      <c r="Q72" s="39">
        <v>1</v>
      </c>
      <c r="R72" s="39">
        <v>0</v>
      </c>
      <c r="S72" s="39">
        <v>0</v>
      </c>
      <c r="T72" s="39">
        <v>0</v>
      </c>
      <c r="U72" s="29" t="str" cm="1">
        <f t="array" aca="1" ref="U72" ca="1">+fair_value_gap(OFFSET(T71,0,0,-1*$J$5,-1*$AA$1),OFFSET(E71,0,0,-1*$J$5,1),F72:T72,0)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V72" s="9" t="str" cm="1">
        <f t="array" aca="1" ref="V72" ca="1">z_score_diff(OFFSET(U72,0,0,$J$5*-1,1),OFFSET(E72,0,0,$J$5*-1,1))</f>
        <v/>
      </c>
      <c r="W72" s="9" t="str">
        <f t="shared" ca="1" si="6"/>
        <v/>
      </c>
      <c r="X72" s="17">
        <f t="shared" ca="1" si="71"/>
        <v>2.687240170072646E-2</v>
      </c>
      <c r="Y72" s="13">
        <f t="shared" ref="Y72:Z72" ca="1" si="73">+Y71</f>
        <v>0</v>
      </c>
      <c r="Z72" s="13">
        <f t="shared" ca="1" si="73"/>
        <v>0</v>
      </c>
      <c r="AA72" t="str">
        <f t="shared" ca="1" si="8"/>
        <v/>
      </c>
      <c r="AB72" t="str">
        <f t="shared" ca="1" si="9"/>
        <v/>
      </c>
      <c r="AC72" s="24" t="str">
        <f t="shared" ca="1" si="10"/>
        <v/>
      </c>
      <c r="AD72" s="24" t="str">
        <f t="shared" ca="1" si="11"/>
        <v/>
      </c>
    </row>
    <row r="73" spans="3:30" x14ac:dyDescent="0.25">
      <c r="C73" s="6">
        <v>167</v>
      </c>
      <c r="D73" s="36">
        <v>42243</v>
      </c>
      <c r="E73" s="38">
        <v>18.667000000000002</v>
      </c>
      <c r="F73" s="38">
        <v>48.174352673685398</v>
      </c>
      <c r="G73" s="38">
        <v>34.5</v>
      </c>
      <c r="H73" s="38">
        <v>2.5605312771411017</v>
      </c>
      <c r="I73" s="38">
        <v>7.1052315687645198</v>
      </c>
      <c r="J73" s="10">
        <v>0</v>
      </c>
      <c r="K73" s="39">
        <v>0</v>
      </c>
      <c r="L73" s="39">
        <v>0</v>
      </c>
      <c r="M73" s="39">
        <v>0</v>
      </c>
      <c r="N73" s="39">
        <v>0</v>
      </c>
      <c r="O73" s="39">
        <v>0</v>
      </c>
      <c r="P73" s="39">
        <v>0</v>
      </c>
      <c r="Q73" s="39">
        <v>1</v>
      </c>
      <c r="R73" s="39">
        <v>0</v>
      </c>
      <c r="S73" s="39">
        <v>0</v>
      </c>
      <c r="T73" s="39">
        <v>0</v>
      </c>
      <c r="U73" s="29" t="str" cm="1">
        <f t="array" aca="1" ref="U73" ca="1">+fair_value_gap(OFFSET(T72,0,0,-1*$J$5,-1*$AA$1),OFFSET(E72,0,0,-1*$J$5,1),F73:T73,0)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V73" s="9" t="str" cm="1">
        <f t="array" aca="1" ref="V73" ca="1">z_score_diff(OFFSET(U73,0,0,$J$5*-1,1),OFFSET(E73,0,0,$J$5*-1,1))</f>
        <v/>
      </c>
      <c r="W73" s="9" t="str">
        <f t="shared" ca="1" si="6"/>
        <v/>
      </c>
      <c r="X73" s="17">
        <f t="shared" ca="1" si="71"/>
        <v>1.6786582757944923E-2</v>
      </c>
      <c r="Y73" s="13">
        <f t="shared" ref="Y73:Z73" ca="1" si="74">+Y72</f>
        <v>0</v>
      </c>
      <c r="Z73" s="13">
        <f t="shared" ca="1" si="74"/>
        <v>0</v>
      </c>
      <c r="AA73" t="str">
        <f t="shared" ca="1" si="8"/>
        <v/>
      </c>
      <c r="AB73" t="str">
        <f t="shared" ca="1" si="9"/>
        <v/>
      </c>
      <c r="AC73" s="24" t="str">
        <f t="shared" ca="1" si="10"/>
        <v/>
      </c>
      <c r="AD73" s="24" t="str">
        <f t="shared" ca="1" si="11"/>
        <v/>
      </c>
    </row>
    <row r="74" spans="3:30" x14ac:dyDescent="0.25">
      <c r="C74" s="6">
        <v>168</v>
      </c>
      <c r="D74" s="36">
        <v>42244</v>
      </c>
      <c r="E74" s="38">
        <v>18.815000000000001</v>
      </c>
      <c r="F74" s="38">
        <v>50.542753186439199</v>
      </c>
      <c r="G74" s="38">
        <v>34.47</v>
      </c>
      <c r="H74" s="38">
        <v>2.5981496061943723</v>
      </c>
      <c r="I74" s="38">
        <v>7.1455771540364532</v>
      </c>
      <c r="J74" s="10">
        <v>0</v>
      </c>
      <c r="K74" s="39">
        <v>0</v>
      </c>
      <c r="L74" s="39">
        <v>0</v>
      </c>
      <c r="M74" s="39">
        <v>0</v>
      </c>
      <c r="N74" s="39">
        <v>0</v>
      </c>
      <c r="O74" s="39">
        <v>0</v>
      </c>
      <c r="P74" s="39">
        <v>0</v>
      </c>
      <c r="Q74" s="39">
        <v>1</v>
      </c>
      <c r="R74" s="39">
        <v>0</v>
      </c>
      <c r="S74" s="39">
        <v>0</v>
      </c>
      <c r="T74" s="39">
        <v>0</v>
      </c>
      <c r="U74" s="29" t="str" cm="1">
        <f t="array" aca="1" ref="U74" ca="1">+fair_value_gap(OFFSET(T73,0,0,-1*$J$5,-1*$AA$1),OFFSET(E73,0,0,-1*$J$5,1),F74:T74,0)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V74" s="9" t="str" cm="1">
        <f t="array" aca="1" ref="V74" ca="1">z_score_diff(OFFSET(U74,0,0,$J$5*-1,1),OFFSET(E74,0,0,$J$5*-1,1))</f>
        <v/>
      </c>
      <c r="W74" s="9" t="str">
        <f t="shared" ca="1" si="6"/>
        <v/>
      </c>
      <c r="X74" s="17">
        <f t="shared" ca="1" si="71"/>
        <v>8.9420950880619767E-3</v>
      </c>
      <c r="Y74" s="13">
        <f t="shared" ref="Y74:Z74" ca="1" si="75">+Y73</f>
        <v>0</v>
      </c>
      <c r="Z74" s="13">
        <f t="shared" ca="1" si="75"/>
        <v>0</v>
      </c>
      <c r="AA74" t="str">
        <f t="shared" ca="1" si="8"/>
        <v/>
      </c>
      <c r="AB74" t="str">
        <f t="shared" ca="1" si="9"/>
        <v/>
      </c>
      <c r="AC74" s="24" t="str">
        <f t="shared" ca="1" si="10"/>
        <v/>
      </c>
      <c r="AD74" s="24" t="str">
        <f t="shared" ca="1" si="11"/>
        <v/>
      </c>
    </row>
    <row r="75" spans="3:30" x14ac:dyDescent="0.25">
      <c r="C75" s="6">
        <v>169</v>
      </c>
      <c r="D75" s="36">
        <v>42247</v>
      </c>
      <c r="E75" s="38">
        <v>18.802</v>
      </c>
      <c r="F75" s="38">
        <v>53.663177925784964</v>
      </c>
      <c r="G75" s="38">
        <v>37.159999999999997</v>
      </c>
      <c r="H75" s="38">
        <v>2.5676542827429025</v>
      </c>
      <c r="I75" s="38">
        <v>7.1249972340849244</v>
      </c>
      <c r="J75" s="10">
        <v>0</v>
      </c>
      <c r="K75" s="39">
        <v>0</v>
      </c>
      <c r="L75" s="39">
        <v>0</v>
      </c>
      <c r="M75" s="39">
        <v>0</v>
      </c>
      <c r="N75" s="39">
        <v>0</v>
      </c>
      <c r="O75" s="39">
        <v>0</v>
      </c>
      <c r="P75" s="39">
        <v>0</v>
      </c>
      <c r="Q75" s="39">
        <v>1</v>
      </c>
      <c r="R75" s="39">
        <v>0</v>
      </c>
      <c r="S75" s="39">
        <v>0</v>
      </c>
      <c r="T75" s="39">
        <v>0</v>
      </c>
      <c r="U75" s="29" t="str" cm="1">
        <f t="array" aca="1" ref="U75" ca="1">+fair_value_gap(OFFSET(T74,0,0,-1*$J$5,-1*$AA$1),OFFSET(E74,0,0,-1*$J$5,1),F75:T75,0)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V75" s="9" t="str" cm="1">
        <f t="array" aca="1" ref="V75" ca="1">z_score_diff(OFFSET(U75,0,0,$J$5*-1,1),OFFSET(E75,0,0,$J$5*-1,1))</f>
        <v/>
      </c>
      <c r="W75" s="9" t="str">
        <f t="shared" ref="W75:W138" ca="1" si="76">+IF(ISERROR(AVERAGE(OFFSET(V75,0,0,$W$5*-1,1))),"",AVERAGE(OFFSET(V75,0,0,$W$5*-1,1)))</f>
        <v/>
      </c>
      <c r="X75" s="17">
        <f t="shared" ca="1" si="71"/>
        <v>-2.5561841589256565E-3</v>
      </c>
      <c r="Y75" s="13">
        <f t="shared" ref="Y75:Z75" ca="1" si="77">+Y74</f>
        <v>0</v>
      </c>
      <c r="Z75" s="13">
        <f t="shared" ca="1" si="77"/>
        <v>0</v>
      </c>
      <c r="AA75" t="str">
        <f t="shared" ref="AA75:AA138" ca="1" si="78">+IF(W75="","",IF(W75&lt;Y75,1,0))</f>
        <v/>
      </c>
      <c r="AB75" t="str">
        <f t="shared" ref="AB75:AB138" ca="1" si="79">+IF(W75="","",IF(W75&gt;Z75,1,0))</f>
        <v/>
      </c>
      <c r="AC75" s="24" t="str">
        <f t="shared" ref="AC75:AC138" ca="1" si="80">+IF(ISERROR(AA75*X75),"",AA75*X75)</f>
        <v/>
      </c>
      <c r="AD75" s="24" t="str">
        <f t="shared" ref="AD75:AD138" ca="1" si="81">+IF(ISERROR(AB75*X75),"",AB75*X75)</f>
        <v/>
      </c>
    </row>
    <row r="76" spans="3:30" x14ac:dyDescent="0.25">
      <c r="C76" s="6">
        <v>170</v>
      </c>
      <c r="D76" s="36">
        <v>42248</v>
      </c>
      <c r="E76" s="38">
        <v>19.050999999999998</v>
      </c>
      <c r="F76" s="38">
        <v>49.1125635057358</v>
      </c>
      <c r="G76" s="38">
        <v>37.04</v>
      </c>
      <c r="H76" s="38">
        <v>2.5459279618110808</v>
      </c>
      <c r="I76" s="38">
        <v>7.0574105001994498</v>
      </c>
      <c r="J76" s="10">
        <v>0</v>
      </c>
      <c r="K76" s="39">
        <v>0</v>
      </c>
      <c r="L76" s="39">
        <v>0</v>
      </c>
      <c r="M76" s="39">
        <v>0</v>
      </c>
      <c r="N76" s="39">
        <v>0</v>
      </c>
      <c r="O76" s="39">
        <v>0</v>
      </c>
      <c r="P76" s="39">
        <v>0</v>
      </c>
      <c r="Q76" s="39">
        <v>0</v>
      </c>
      <c r="R76" s="39">
        <v>1</v>
      </c>
      <c r="S76" s="39">
        <v>0</v>
      </c>
      <c r="T76" s="39">
        <v>0</v>
      </c>
      <c r="U76" s="29" t="str" cm="1">
        <f t="array" aca="1" ref="U76" ca="1">+fair_value_gap(OFFSET(T75,0,0,-1*$J$5,-1*$AA$1),OFFSET(E75,0,0,-1*$J$5,1),F76:T76,0)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V76" s="9" t="str" cm="1">
        <f t="array" aca="1" ref="V76" ca="1">z_score_diff(OFFSET(U76,0,0,$J$5*-1,1),OFFSET(E76,0,0,$J$5*-1,1))</f>
        <v/>
      </c>
      <c r="W76" s="9" t="str">
        <f t="shared" ca="1" si="76"/>
        <v/>
      </c>
      <c r="X76" s="17">
        <f t="shared" ca="1" si="71"/>
        <v>-2.9078627795178502E-2</v>
      </c>
      <c r="Y76" s="13">
        <f t="shared" ref="Y76:Z76" ca="1" si="82">+Y75</f>
        <v>0</v>
      </c>
      <c r="Z76" s="13">
        <f t="shared" ca="1" si="82"/>
        <v>0</v>
      </c>
      <c r="AA76" t="str">
        <f t="shared" ca="1" si="78"/>
        <v/>
      </c>
      <c r="AB76" t="str">
        <f t="shared" ca="1" si="79"/>
        <v/>
      </c>
      <c r="AC76" s="24" t="str">
        <f t="shared" ca="1" si="80"/>
        <v/>
      </c>
      <c r="AD76" s="24" t="str">
        <f t="shared" ca="1" si="81"/>
        <v/>
      </c>
    </row>
    <row r="77" spans="3:30" x14ac:dyDescent="0.25">
      <c r="C77" s="6">
        <v>171</v>
      </c>
      <c r="D77" s="36">
        <v>42249</v>
      </c>
      <c r="E77" s="38">
        <v>19.032</v>
      </c>
      <c r="F77" s="38">
        <v>50.33740910810171</v>
      </c>
      <c r="G77" s="38">
        <v>36.909999999999997</v>
      </c>
      <c r="H77" s="38">
        <v>2.5495685617428618</v>
      </c>
      <c r="I77" s="38">
        <v>7.1140474599757511</v>
      </c>
      <c r="J77" s="10">
        <v>0</v>
      </c>
      <c r="K77" s="39">
        <v>0</v>
      </c>
      <c r="L77" s="39">
        <v>0</v>
      </c>
      <c r="M77" s="39">
        <v>0</v>
      </c>
      <c r="N77" s="39">
        <v>0</v>
      </c>
      <c r="O77" s="39">
        <v>0</v>
      </c>
      <c r="P77" s="39">
        <v>0</v>
      </c>
      <c r="Q77" s="39">
        <v>0</v>
      </c>
      <c r="R77" s="39">
        <v>1</v>
      </c>
      <c r="S77" s="39">
        <v>0</v>
      </c>
      <c r="T77" s="39">
        <v>0</v>
      </c>
      <c r="U77" s="29" t="str" cm="1">
        <f t="array" aca="1" ref="U77" ca="1">+fair_value_gap(OFFSET(T76,0,0,-1*$J$5,-1*$AA$1),OFFSET(E76,0,0,-1*$J$5,1),F77:T77,0)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V77" s="9" t="str" cm="1">
        <f t="array" aca="1" ref="V77" ca="1">z_score_diff(OFFSET(U77,0,0,$J$5*-1,1),OFFSET(E77,0,0,$J$5*-1,1))</f>
        <v/>
      </c>
      <c r="W77" s="9" t="str">
        <f t="shared" ca="1" si="76"/>
        <v/>
      </c>
      <c r="X77" s="17">
        <f t="shared" ca="1" si="71"/>
        <v>-3.4423495056674906E-2</v>
      </c>
      <c r="Y77" s="13">
        <f t="shared" ref="Y77:Z77" ca="1" si="83">+Y76</f>
        <v>0</v>
      </c>
      <c r="Z77" s="13">
        <f t="shared" ca="1" si="83"/>
        <v>0</v>
      </c>
      <c r="AA77" t="str">
        <f t="shared" ca="1" si="78"/>
        <v/>
      </c>
      <c r="AB77" t="str">
        <f t="shared" ca="1" si="79"/>
        <v/>
      </c>
      <c r="AC77" s="24" t="str">
        <f t="shared" ca="1" si="80"/>
        <v/>
      </c>
      <c r="AD77" s="24" t="str">
        <f t="shared" ca="1" si="81"/>
        <v/>
      </c>
    </row>
    <row r="78" spans="3:30" x14ac:dyDescent="0.25">
      <c r="C78" s="6">
        <v>172</v>
      </c>
      <c r="D78" s="36">
        <v>42250</v>
      </c>
      <c r="E78" s="38">
        <v>19.34</v>
      </c>
      <c r="F78" s="38">
        <v>51.030416732055976</v>
      </c>
      <c r="G78" s="38">
        <v>37.11</v>
      </c>
      <c r="H78" s="38">
        <v>2.6126004023226286</v>
      </c>
      <c r="I78" s="38">
        <v>7.1779635626952762</v>
      </c>
      <c r="J78" s="10">
        <v>0</v>
      </c>
      <c r="K78" s="39">
        <v>0</v>
      </c>
      <c r="L78" s="39">
        <v>0</v>
      </c>
      <c r="M78" s="39">
        <v>0</v>
      </c>
      <c r="N78" s="39">
        <v>0</v>
      </c>
      <c r="O78" s="39">
        <v>0</v>
      </c>
      <c r="P78" s="39">
        <v>0</v>
      </c>
      <c r="Q78" s="39">
        <v>0</v>
      </c>
      <c r="R78" s="39">
        <v>1</v>
      </c>
      <c r="S78" s="39">
        <v>0</v>
      </c>
      <c r="T78" s="39">
        <v>0</v>
      </c>
      <c r="U78" s="29" t="str" cm="1">
        <f t="array" aca="1" ref="U78" ca="1">+fair_value_gap(OFFSET(T77,0,0,-1*$J$5,-1*$AA$1),OFFSET(E77,0,0,-1*$J$5,1),F78:T78,0)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V78" s="9" t="str" cm="1">
        <f t="array" aca="1" ref="V78" ca="1">z_score_diff(OFFSET(U78,0,0,$J$5*-1,1),OFFSET(E78,0,0,$J$5*-1,1))</f>
        <v/>
      </c>
      <c r="W78" s="9" t="str">
        <f t="shared" ca="1" si="76"/>
        <v/>
      </c>
      <c r="X78" s="17">
        <f t="shared" ca="1" si="71"/>
        <v>-4.4729134869701377E-2</v>
      </c>
      <c r="Y78" s="13">
        <f t="shared" ref="Y78:Z78" ca="1" si="84">+Y77</f>
        <v>0</v>
      </c>
      <c r="Z78" s="13">
        <f t="shared" ca="1" si="84"/>
        <v>0</v>
      </c>
      <c r="AA78" t="str">
        <f t="shared" ca="1" si="78"/>
        <v/>
      </c>
      <c r="AB78" t="str">
        <f t="shared" ca="1" si="79"/>
        <v/>
      </c>
      <c r="AC78" s="24" t="str">
        <f t="shared" ca="1" si="80"/>
        <v/>
      </c>
      <c r="AD78" s="24" t="str">
        <f t="shared" ca="1" si="81"/>
        <v/>
      </c>
    </row>
    <row r="79" spans="3:30" x14ac:dyDescent="0.25">
      <c r="C79" s="6">
        <v>173</v>
      </c>
      <c r="D79" s="36">
        <v>42251</v>
      </c>
      <c r="E79" s="38">
        <v>19.164000000000001</v>
      </c>
      <c r="F79" s="38">
        <v>49.971541389491648</v>
      </c>
      <c r="G79" s="38">
        <v>36.9</v>
      </c>
      <c r="H79" s="38">
        <v>2.5986268720429724</v>
      </c>
      <c r="I79" s="38">
        <v>7.1591192060047666</v>
      </c>
      <c r="J79" s="10">
        <v>0</v>
      </c>
      <c r="K79" s="39">
        <v>0</v>
      </c>
      <c r="L79" s="39">
        <v>0</v>
      </c>
      <c r="M79" s="39">
        <v>0</v>
      </c>
      <c r="N79" s="39">
        <v>0</v>
      </c>
      <c r="O79" s="39">
        <v>0</v>
      </c>
      <c r="P79" s="39">
        <v>0</v>
      </c>
      <c r="Q79" s="39">
        <v>0</v>
      </c>
      <c r="R79" s="39">
        <v>1</v>
      </c>
      <c r="S79" s="39">
        <v>0</v>
      </c>
      <c r="T79" s="39">
        <v>0</v>
      </c>
      <c r="U79" s="29" t="str" cm="1">
        <f t="array" aca="1" ref="U79" ca="1">+fair_value_gap(OFFSET(T78,0,0,-1*$J$5,-1*$AA$1),OFFSET(E78,0,0,-1*$J$5,1),F79:T79,0)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V79" s="9" t="str" cm="1">
        <f t="array" aca="1" ref="V79" ca="1">z_score_diff(OFFSET(U79,0,0,$J$5*-1,1),OFFSET(E79,0,0,$J$5*-1,1))</f>
        <v/>
      </c>
      <c r="W79" s="9" t="str">
        <f t="shared" ca="1" si="76"/>
        <v/>
      </c>
      <c r="X79" s="17">
        <f t="shared" ca="1" si="71"/>
        <v>-3.5046594091737604E-2</v>
      </c>
      <c r="Y79" s="13">
        <f t="shared" ref="Y79:Z79" ca="1" si="85">+Y78</f>
        <v>0</v>
      </c>
      <c r="Z79" s="13">
        <f t="shared" ca="1" si="85"/>
        <v>0</v>
      </c>
      <c r="AA79" t="str">
        <f t="shared" ca="1" si="78"/>
        <v/>
      </c>
      <c r="AB79" t="str">
        <f t="shared" ca="1" si="79"/>
        <v/>
      </c>
      <c r="AC79" s="24" t="str">
        <f t="shared" ca="1" si="80"/>
        <v/>
      </c>
      <c r="AD79" s="24" t="str">
        <f t="shared" ca="1" si="81"/>
        <v/>
      </c>
    </row>
    <row r="80" spans="3:30" x14ac:dyDescent="0.25">
      <c r="C80" s="6">
        <v>174</v>
      </c>
      <c r="D80" s="36">
        <v>42254</v>
      </c>
      <c r="E80" s="38">
        <v>18.963000000000001</v>
      </c>
      <c r="F80" s="38">
        <v>48.298793374084234</v>
      </c>
      <c r="G80" s="38">
        <v>37.01</v>
      </c>
      <c r="H80" s="38">
        <v>2.5957159139060906</v>
      </c>
      <c r="I80" s="38">
        <v>7.1510996259219812</v>
      </c>
      <c r="J80" s="10">
        <v>0</v>
      </c>
      <c r="K80" s="39">
        <v>0</v>
      </c>
      <c r="L80" s="39">
        <v>0</v>
      </c>
      <c r="M80" s="39">
        <v>0</v>
      </c>
      <c r="N80" s="39">
        <v>0</v>
      </c>
      <c r="O80" s="39">
        <v>0</v>
      </c>
      <c r="P80" s="39">
        <v>0</v>
      </c>
      <c r="Q80" s="39">
        <v>0</v>
      </c>
      <c r="R80" s="39">
        <v>1</v>
      </c>
      <c r="S80" s="39">
        <v>0</v>
      </c>
      <c r="T80" s="39">
        <v>0</v>
      </c>
      <c r="U80" s="29" t="str" cm="1">
        <f t="array" aca="1" ref="U80" ca="1">+fair_value_gap(OFFSET(T79,0,0,-1*$J$5,-1*$AA$1),OFFSET(E79,0,0,-1*$J$5,1),F80:T80,0)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V80" s="9" t="str" cm="1">
        <f t="array" aca="1" ref="V80" ca="1">z_score_diff(OFFSET(U80,0,0,$J$5*-1,1),OFFSET(E80,0,0,$J$5*-1,1))</f>
        <v/>
      </c>
      <c r="W80" s="9" t="str">
        <f t="shared" ca="1" si="76"/>
        <v/>
      </c>
      <c r="X80" s="17">
        <f t="shared" ca="1" si="71"/>
        <v>-1.9596984781238141E-2</v>
      </c>
      <c r="Y80" s="13">
        <f t="shared" ref="Y80:Z80" ca="1" si="86">+Y79</f>
        <v>0</v>
      </c>
      <c r="Z80" s="13">
        <f t="shared" ca="1" si="86"/>
        <v>0</v>
      </c>
      <c r="AA80" t="str">
        <f t="shared" ca="1" si="78"/>
        <v/>
      </c>
      <c r="AB80" t="str">
        <f t="shared" ca="1" si="79"/>
        <v/>
      </c>
      <c r="AC80" s="24" t="str">
        <f t="shared" ca="1" si="80"/>
        <v/>
      </c>
      <c r="AD80" s="24" t="str">
        <f t="shared" ca="1" si="81"/>
        <v/>
      </c>
    </row>
    <row r="81" spans="3:30" x14ac:dyDescent="0.25">
      <c r="C81" s="6">
        <v>175</v>
      </c>
      <c r="D81" s="36">
        <v>42255</v>
      </c>
      <c r="E81" s="38">
        <v>19.007000000000001</v>
      </c>
      <c r="F81" s="38">
        <v>49.801493336638089</v>
      </c>
      <c r="G81" s="38">
        <v>36.86</v>
      </c>
      <c r="H81" s="38">
        <v>2.6122326135161571</v>
      </c>
      <c r="I81" s="38">
        <v>7.1258802232480738</v>
      </c>
      <c r="J81" s="10">
        <v>0</v>
      </c>
      <c r="K81" s="39">
        <v>0</v>
      </c>
      <c r="L81" s="39">
        <v>0</v>
      </c>
      <c r="M81" s="39">
        <v>0</v>
      </c>
      <c r="N81" s="39">
        <v>0</v>
      </c>
      <c r="O81" s="39">
        <v>0</v>
      </c>
      <c r="P81" s="39">
        <v>0</v>
      </c>
      <c r="Q81" s="39">
        <v>0</v>
      </c>
      <c r="R81" s="39">
        <v>1</v>
      </c>
      <c r="S81" s="39">
        <v>0</v>
      </c>
      <c r="T81" s="39">
        <v>0</v>
      </c>
      <c r="U81" s="29" t="str" cm="1">
        <f t="array" aca="1" ref="U81" ca="1">+fair_value_gap(OFFSET(T80,0,0,-1*$J$5,-1*$AA$1),OFFSET(E80,0,0,-1*$J$5,1),F81:T81,0)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V81" s="9" t="str" cm="1">
        <f t="array" aca="1" ref="V81" ca="1">z_score_diff(OFFSET(U81,0,0,$J$5*-1,1),OFFSET(E81,0,0,$J$5*-1,1))</f>
        <v/>
      </c>
      <c r="W81" s="9" t="str">
        <f t="shared" ca="1" si="76"/>
        <v/>
      </c>
      <c r="X81" s="17">
        <f t="shared" ca="1" si="71"/>
        <v>-3.5668341399805022E-2</v>
      </c>
      <c r="Y81" s="13">
        <f t="shared" ref="Y81:Z81" ca="1" si="87">+Y80</f>
        <v>0</v>
      </c>
      <c r="Z81" s="13">
        <f t="shared" ca="1" si="87"/>
        <v>0</v>
      </c>
      <c r="AA81" t="str">
        <f t="shared" ca="1" si="78"/>
        <v/>
      </c>
      <c r="AB81" t="str">
        <f t="shared" ca="1" si="79"/>
        <v/>
      </c>
      <c r="AC81" s="24" t="str">
        <f t="shared" ca="1" si="80"/>
        <v/>
      </c>
      <c r="AD81" s="24" t="str">
        <f t="shared" ca="1" si="81"/>
        <v/>
      </c>
    </row>
    <row r="82" spans="3:30" x14ac:dyDescent="0.25">
      <c r="C82" s="6">
        <v>176</v>
      </c>
      <c r="D82" s="36">
        <v>42256</v>
      </c>
      <c r="E82" s="38">
        <v>19.096</v>
      </c>
      <c r="F82" s="38">
        <v>48.467268001780468</v>
      </c>
      <c r="G82" s="38">
        <v>37.29</v>
      </c>
      <c r="H82" s="38">
        <v>2.5892865834071506</v>
      </c>
      <c r="I82" s="38">
        <v>7.1236353371249361</v>
      </c>
      <c r="J82" s="10">
        <v>0</v>
      </c>
      <c r="K82" s="39">
        <v>0</v>
      </c>
      <c r="L82" s="39">
        <v>0</v>
      </c>
      <c r="M82" s="39">
        <v>0</v>
      </c>
      <c r="N82" s="39">
        <v>0</v>
      </c>
      <c r="O82" s="39">
        <v>0</v>
      </c>
      <c r="P82" s="39">
        <v>0</v>
      </c>
      <c r="Q82" s="39">
        <v>0</v>
      </c>
      <c r="R82" s="39">
        <v>1</v>
      </c>
      <c r="S82" s="39">
        <v>0</v>
      </c>
      <c r="T82" s="39">
        <v>0</v>
      </c>
      <c r="U82" s="29" t="str" cm="1">
        <f t="array" aca="1" ref="U82" ca="1">+fair_value_gap(OFFSET(T81,0,0,-1*$J$5,-1*$AA$1),OFFSET(E81,0,0,-1*$J$5,1),F82:T82,0)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V82" s="9" t="str" cm="1">
        <f t="array" aca="1" ref="V82" ca="1">z_score_diff(OFFSET(U82,0,0,$J$5*-1,1),OFFSET(E82,0,0,$J$5*-1,1))</f>
        <v/>
      </c>
      <c r="W82" s="9" t="str">
        <f t="shared" ca="1" si="76"/>
        <v/>
      </c>
      <c r="X82" s="17">
        <f t="shared" ca="1" si="71"/>
        <v>-4.7727678953431968E-2</v>
      </c>
      <c r="Y82" s="13">
        <f t="shared" ref="Y82:Z82" ca="1" si="88">+Y81</f>
        <v>0</v>
      </c>
      <c r="Z82" s="13">
        <f t="shared" ca="1" si="88"/>
        <v>0</v>
      </c>
      <c r="AA82" t="str">
        <f t="shared" ca="1" si="78"/>
        <v/>
      </c>
      <c r="AB82" t="str">
        <f t="shared" ca="1" si="79"/>
        <v/>
      </c>
      <c r="AC82" s="24" t="str">
        <f t="shared" ca="1" si="80"/>
        <v/>
      </c>
      <c r="AD82" s="24" t="str">
        <f t="shared" ca="1" si="81"/>
        <v/>
      </c>
    </row>
    <row r="83" spans="3:30" x14ac:dyDescent="0.25">
      <c r="C83" s="6">
        <v>177</v>
      </c>
      <c r="D83" s="36">
        <v>42257</v>
      </c>
      <c r="E83" s="38">
        <v>19.149000000000001</v>
      </c>
      <c r="F83" s="38">
        <v>49.325338781871707</v>
      </c>
      <c r="G83" s="38">
        <v>37.229999999999997</v>
      </c>
      <c r="H83" s="38">
        <v>2.5779701849084518</v>
      </c>
      <c r="I83" s="38">
        <v>7.0804025890525546</v>
      </c>
      <c r="J83" s="10">
        <v>0</v>
      </c>
      <c r="K83" s="39">
        <v>0</v>
      </c>
      <c r="L83" s="39">
        <v>0</v>
      </c>
      <c r="M83" s="39">
        <v>0</v>
      </c>
      <c r="N83" s="39">
        <v>0</v>
      </c>
      <c r="O83" s="39">
        <v>0</v>
      </c>
      <c r="P83" s="39">
        <v>0</v>
      </c>
      <c r="Q83" s="39">
        <v>0</v>
      </c>
      <c r="R83" s="39">
        <v>1</v>
      </c>
      <c r="S83" s="39">
        <v>0</v>
      </c>
      <c r="T83" s="39">
        <v>0</v>
      </c>
      <c r="U83" s="29" t="str" cm="1">
        <f t="array" aca="1" ref="U83" ca="1">+fair_value_gap(OFFSET(T82,0,0,-1*$J$5,-1*$AA$1),OFFSET(E82,0,0,-1*$J$5,1),F83:T83,0)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V83" s="9" t="str" cm="1">
        <f t="array" aca="1" ref="V83" ca="1">z_score_diff(OFFSET(U83,0,0,$J$5*-1,1),OFFSET(E83,0,0,$J$5*-1,1))</f>
        <v/>
      </c>
      <c r="W83" s="9" t="str">
        <f t="shared" ca="1" si="76"/>
        <v/>
      </c>
      <c r="X83" s="17">
        <f t="shared" ca="1" si="71"/>
        <v>-4.6771210365601085E-2</v>
      </c>
      <c r="Y83" s="13">
        <f t="shared" ref="Y83:Z83" ca="1" si="89">+Y82</f>
        <v>0</v>
      </c>
      <c r="Z83" s="13">
        <f t="shared" ca="1" si="89"/>
        <v>0</v>
      </c>
      <c r="AA83" t="str">
        <f t="shared" ca="1" si="78"/>
        <v/>
      </c>
      <c r="AB83" t="str">
        <f t="shared" ca="1" si="79"/>
        <v/>
      </c>
      <c r="AC83" s="24" t="str">
        <f t="shared" ca="1" si="80"/>
        <v/>
      </c>
      <c r="AD83" s="24" t="str">
        <f t="shared" ca="1" si="81"/>
        <v/>
      </c>
    </row>
    <row r="84" spans="3:30" x14ac:dyDescent="0.25">
      <c r="C84" s="6">
        <v>178</v>
      </c>
      <c r="D84" s="36">
        <v>42258</v>
      </c>
      <c r="E84" s="38">
        <v>19.001000000000001</v>
      </c>
      <c r="F84" s="38">
        <v>48.407130735991331</v>
      </c>
      <c r="G84" s="38">
        <v>37.53</v>
      </c>
      <c r="H84" s="38">
        <v>2.5559384895295749</v>
      </c>
      <c r="I84" s="38">
        <v>7.041514319203654</v>
      </c>
      <c r="J84" s="10">
        <v>0</v>
      </c>
      <c r="K84" s="39">
        <v>0</v>
      </c>
      <c r="L84" s="39">
        <v>0</v>
      </c>
      <c r="M84" s="39">
        <v>0</v>
      </c>
      <c r="N84" s="39">
        <v>0</v>
      </c>
      <c r="O84" s="39">
        <v>0</v>
      </c>
      <c r="P84" s="39">
        <v>0</v>
      </c>
      <c r="Q84" s="39">
        <v>0</v>
      </c>
      <c r="R84" s="39">
        <v>1</v>
      </c>
      <c r="S84" s="39">
        <v>0</v>
      </c>
      <c r="T84" s="39">
        <v>0</v>
      </c>
      <c r="U84" s="29" t="str" cm="1">
        <f t="array" aca="1" ref="U84" ca="1">+fair_value_gap(OFFSET(T83,0,0,-1*$J$5,-1*$AA$1),OFFSET(E83,0,0,-1*$J$5,1),F84:T84,0)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V84" s="9" t="str" cm="1">
        <f t="array" aca="1" ref="V84" ca="1">z_score_diff(OFFSET(U84,0,0,$J$5*-1,1),OFFSET(E84,0,0,$J$5*-1,1))</f>
        <v/>
      </c>
      <c r="W84" s="9" t="str">
        <f t="shared" ca="1" si="76"/>
        <v/>
      </c>
      <c r="X84" s="17">
        <f t="shared" ca="1" si="71"/>
        <v>-3.4208297638886727E-2</v>
      </c>
      <c r="Y84" s="13">
        <f t="shared" ref="Y84:Z84" ca="1" si="90">+Y83</f>
        <v>0</v>
      </c>
      <c r="Z84" s="13">
        <f t="shared" ca="1" si="90"/>
        <v>0</v>
      </c>
      <c r="AA84" t="str">
        <f t="shared" ca="1" si="78"/>
        <v/>
      </c>
      <c r="AB84" t="str">
        <f t="shared" ca="1" si="79"/>
        <v/>
      </c>
      <c r="AC84" s="24" t="str">
        <f t="shared" ca="1" si="80"/>
        <v/>
      </c>
      <c r="AD84" s="24" t="str">
        <f t="shared" ca="1" si="81"/>
        <v/>
      </c>
    </row>
    <row r="85" spans="3:30" x14ac:dyDescent="0.25">
      <c r="C85" s="6">
        <v>179</v>
      </c>
      <c r="D85" s="36">
        <v>42261</v>
      </c>
      <c r="E85" s="38">
        <v>18.864999999999998</v>
      </c>
      <c r="F85" s="38">
        <v>47.19068242493168</v>
      </c>
      <c r="G85" s="38">
        <v>37.56</v>
      </c>
      <c r="H85" s="38">
        <v>2.5882152967554437</v>
      </c>
      <c r="I85" s="38">
        <v>7.0531933442387684</v>
      </c>
      <c r="J85" s="10">
        <v>0</v>
      </c>
      <c r="K85" s="39">
        <v>0</v>
      </c>
      <c r="L85" s="39">
        <v>0</v>
      </c>
      <c r="M85" s="39">
        <v>0</v>
      </c>
      <c r="N85" s="39">
        <v>0</v>
      </c>
      <c r="O85" s="39">
        <v>0</v>
      </c>
      <c r="P85" s="39">
        <v>0</v>
      </c>
      <c r="Q85" s="39">
        <v>0</v>
      </c>
      <c r="R85" s="39">
        <v>1</v>
      </c>
      <c r="S85" s="39">
        <v>0</v>
      </c>
      <c r="T85" s="39">
        <v>0</v>
      </c>
      <c r="U85" s="29" t="str" cm="1">
        <f t="array" aca="1" ref="U85" ca="1">+fair_value_gap(OFFSET(T84,0,0,-1*$J$5,-1*$AA$1),OFFSET(E84,0,0,-1*$J$5,1),F85:T85,0)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V85" s="9" t="str" cm="1">
        <f t="array" aca="1" ref="V85" ca="1">z_score_diff(OFFSET(U85,0,0,$J$5*-1,1),OFFSET(E85,0,0,$J$5*-1,1))</f>
        <v/>
      </c>
      <c r="W85" s="9" t="str">
        <f t="shared" ca="1" si="76"/>
        <v/>
      </c>
      <c r="X85" s="17">
        <f t="shared" ca="1" si="71"/>
        <v>-3.5721937752511979E-2</v>
      </c>
      <c r="Y85" s="13">
        <f t="shared" ref="Y85:Z85" ca="1" si="91">+Y84</f>
        <v>0</v>
      </c>
      <c r="Z85" s="13">
        <f t="shared" ca="1" si="91"/>
        <v>0</v>
      </c>
      <c r="AA85" t="str">
        <f t="shared" ca="1" si="78"/>
        <v/>
      </c>
      <c r="AB85" t="str">
        <f t="shared" ca="1" si="79"/>
        <v/>
      </c>
      <c r="AC85" s="24" t="str">
        <f t="shared" ca="1" si="80"/>
        <v/>
      </c>
      <c r="AD85" s="24" t="str">
        <f t="shared" ca="1" si="81"/>
        <v/>
      </c>
    </row>
    <row r="86" spans="3:30" x14ac:dyDescent="0.25">
      <c r="C86" s="6">
        <v>180</v>
      </c>
      <c r="D86" s="36">
        <v>42262</v>
      </c>
      <c r="E86" s="38">
        <v>18.704999999999998</v>
      </c>
      <c r="F86" s="38">
        <v>47.531134036214787</v>
      </c>
      <c r="G86" s="38">
        <v>37.19</v>
      </c>
      <c r="H86" s="38">
        <v>2.5876498211425596</v>
      </c>
      <c r="I86" s="38">
        <v>7.080415044254794</v>
      </c>
      <c r="J86" s="10">
        <v>0</v>
      </c>
      <c r="K86" s="39">
        <v>0</v>
      </c>
      <c r="L86" s="39">
        <v>0</v>
      </c>
      <c r="M86" s="39">
        <v>0</v>
      </c>
      <c r="N86" s="39">
        <v>0</v>
      </c>
      <c r="O86" s="39">
        <v>0</v>
      </c>
      <c r="P86" s="39">
        <v>0</v>
      </c>
      <c r="Q86" s="39">
        <v>0</v>
      </c>
      <c r="R86" s="39">
        <v>1</v>
      </c>
      <c r="S86" s="39">
        <v>0</v>
      </c>
      <c r="T86" s="39">
        <v>0</v>
      </c>
      <c r="U86" s="29" t="str" cm="1">
        <f t="array" aca="1" ref="U86" ca="1">+fair_value_gap(OFFSET(T85,0,0,-1*$J$5,-1*$AA$1),OFFSET(E85,0,0,-1*$J$5,1),F86:T86,0)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V86" s="9" t="str" cm="1">
        <f t="array" aca="1" ref="V86" ca="1">z_score_diff(OFFSET(U86,0,0,$J$5*-1,1),OFFSET(E86,0,0,$J$5*-1,1))</f>
        <v/>
      </c>
      <c r="W86" s="9" t="str">
        <f t="shared" ca="1" si="76"/>
        <v/>
      </c>
      <c r="X86" s="17">
        <f t="shared" ca="1" si="71"/>
        <v>-2.7644036735986179E-2</v>
      </c>
      <c r="Y86" s="13">
        <f t="shared" ref="Y86:Z86" ca="1" si="92">+Y85</f>
        <v>0</v>
      </c>
      <c r="Z86" s="13">
        <f t="shared" ca="1" si="92"/>
        <v>0</v>
      </c>
      <c r="AA86" t="str">
        <f t="shared" ca="1" si="78"/>
        <v/>
      </c>
      <c r="AB86" t="str">
        <f t="shared" ca="1" si="79"/>
        <v/>
      </c>
      <c r="AC86" s="24" t="str">
        <f t="shared" ca="1" si="80"/>
        <v/>
      </c>
      <c r="AD86" s="24" t="str">
        <f t="shared" ca="1" si="81"/>
        <v/>
      </c>
    </row>
    <row r="87" spans="3:30" x14ac:dyDescent="0.25">
      <c r="C87" s="6">
        <v>181</v>
      </c>
      <c r="D87" s="36">
        <v>42263</v>
      </c>
      <c r="E87" s="38">
        <v>18.869</v>
      </c>
      <c r="F87" s="38">
        <v>49.225021900219261</v>
      </c>
      <c r="G87" s="38">
        <v>37.32</v>
      </c>
      <c r="H87" s="38">
        <v>2.5420054105391401</v>
      </c>
      <c r="I87" s="38">
        <v>7.0660026087154977</v>
      </c>
      <c r="J87" s="10">
        <v>0</v>
      </c>
      <c r="K87" s="39">
        <v>0</v>
      </c>
      <c r="L87" s="39">
        <v>0</v>
      </c>
      <c r="M87" s="39">
        <v>0</v>
      </c>
      <c r="N87" s="39">
        <v>0</v>
      </c>
      <c r="O87" s="39">
        <v>0</v>
      </c>
      <c r="P87" s="39">
        <v>0</v>
      </c>
      <c r="Q87" s="39">
        <v>0</v>
      </c>
      <c r="R87" s="39">
        <v>1</v>
      </c>
      <c r="S87" s="39">
        <v>0</v>
      </c>
      <c r="T87" s="39">
        <v>0</v>
      </c>
      <c r="U87" s="29" t="str" cm="1">
        <f t="array" aca="1" ref="U87" ca="1">+fair_value_gap(OFFSET(T86,0,0,-1*$J$5,-1*$AA$1),OFFSET(E86,0,0,-1*$J$5,1),F87:T87,0)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V87" s="9" t="str" cm="1">
        <f t="array" aca="1" ref="V87" ca="1">z_score_diff(OFFSET(U87,0,0,$J$5*-1,1),OFFSET(E87,0,0,$J$5*-1,1))</f>
        <v/>
      </c>
      <c r="W87" s="9" t="str">
        <f t="shared" ca="1" si="76"/>
        <v/>
      </c>
      <c r="X87" s="17">
        <f t="shared" ca="1" si="71"/>
        <v>-3.7748481397497063E-2</v>
      </c>
      <c r="Y87" s="13">
        <f t="shared" ref="Y87:Z87" ca="1" si="93">+Y86</f>
        <v>0</v>
      </c>
      <c r="Z87" s="13">
        <f t="shared" ca="1" si="93"/>
        <v>0</v>
      </c>
      <c r="AA87" t="str">
        <f t="shared" ca="1" si="78"/>
        <v/>
      </c>
      <c r="AB87" t="str">
        <f t="shared" ca="1" si="79"/>
        <v/>
      </c>
      <c r="AC87" s="24" t="str">
        <f t="shared" ca="1" si="80"/>
        <v/>
      </c>
      <c r="AD87" s="24" t="str">
        <f t="shared" ca="1" si="81"/>
        <v/>
      </c>
    </row>
    <row r="88" spans="3:30" x14ac:dyDescent="0.25">
      <c r="C88" s="6">
        <v>182</v>
      </c>
      <c r="D88" s="36">
        <v>42264</v>
      </c>
      <c r="E88" s="38">
        <v>18.742999999999999</v>
      </c>
      <c r="F88" s="38">
        <v>48.042418956622107</v>
      </c>
      <c r="G88" s="38">
        <v>37.46</v>
      </c>
      <c r="H88" s="38">
        <v>2.5088625939955653</v>
      </c>
      <c r="I88" s="38">
        <v>6.9859370050723983</v>
      </c>
      <c r="J88" s="10">
        <v>0</v>
      </c>
      <c r="K88" s="39">
        <v>0</v>
      </c>
      <c r="L88" s="39">
        <v>0</v>
      </c>
      <c r="M88" s="39">
        <v>0</v>
      </c>
      <c r="N88" s="39">
        <v>0</v>
      </c>
      <c r="O88" s="39">
        <v>0</v>
      </c>
      <c r="P88" s="39">
        <v>0</v>
      </c>
      <c r="Q88" s="39">
        <v>0</v>
      </c>
      <c r="R88" s="39">
        <v>1</v>
      </c>
      <c r="S88" s="39">
        <v>0</v>
      </c>
      <c r="T88" s="39">
        <v>0</v>
      </c>
      <c r="U88" s="29" t="str" cm="1">
        <f t="array" aca="1" ref="U88" ca="1">+fair_value_gap(OFFSET(T87,0,0,-1*$J$5,-1*$AA$1),OFFSET(E87,0,0,-1*$J$5,1),F88:T88,0)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V88" s="9" t="str" cm="1">
        <f t="array" aca="1" ref="V88" ca="1">z_score_diff(OFFSET(U88,0,0,$J$5*-1,1),OFFSET(E88,0,0,$J$5*-1,1))</f>
        <v/>
      </c>
      <c r="W88" s="9" t="str">
        <f t="shared" ca="1" si="76"/>
        <v/>
      </c>
      <c r="X88" s="17">
        <f t="shared" ca="1" si="71"/>
        <v>-2.9948356846816911E-2</v>
      </c>
      <c r="Y88" s="13">
        <f t="shared" ref="Y88:Z88" ca="1" si="94">+Y87</f>
        <v>0</v>
      </c>
      <c r="Z88" s="13">
        <f t="shared" ca="1" si="94"/>
        <v>0</v>
      </c>
      <c r="AA88" t="str">
        <f t="shared" ca="1" si="78"/>
        <v/>
      </c>
      <c r="AB88" t="str">
        <f t="shared" ca="1" si="79"/>
        <v/>
      </c>
      <c r="AC88" s="24" t="str">
        <f t="shared" ca="1" si="80"/>
        <v/>
      </c>
      <c r="AD88" s="24" t="str">
        <f t="shared" ca="1" si="81"/>
        <v/>
      </c>
    </row>
    <row r="89" spans="3:30" x14ac:dyDescent="0.25">
      <c r="C89" s="6">
        <v>183</v>
      </c>
      <c r="D89" s="36">
        <v>42265</v>
      </c>
      <c r="E89" s="38">
        <v>18.652999999999999</v>
      </c>
      <c r="F89" s="38">
        <v>47.278068886891319</v>
      </c>
      <c r="G89" s="38">
        <v>37.26</v>
      </c>
      <c r="H89" s="38">
        <v>2.4993970752669314</v>
      </c>
      <c r="I89" s="38">
        <v>7.0597005108416839</v>
      </c>
      <c r="J89" s="10">
        <v>0</v>
      </c>
      <c r="K89" s="39">
        <v>0</v>
      </c>
      <c r="L89" s="39">
        <v>0</v>
      </c>
      <c r="M89" s="39">
        <v>0</v>
      </c>
      <c r="N89" s="39">
        <v>0</v>
      </c>
      <c r="O89" s="39">
        <v>0</v>
      </c>
      <c r="P89" s="39">
        <v>0</v>
      </c>
      <c r="Q89" s="39">
        <v>0</v>
      </c>
      <c r="R89" s="39">
        <v>1</v>
      </c>
      <c r="S89" s="39">
        <v>0</v>
      </c>
      <c r="T89" s="39">
        <v>0</v>
      </c>
      <c r="U89" s="29" t="str" cm="1">
        <f t="array" aca="1" ref="U89" ca="1">+fair_value_gap(OFFSET(T88,0,0,-1*$J$5,-1*$AA$1),OFFSET(E88,0,0,-1*$J$5,1),F89:T89,0)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V89" s="9" t="str" cm="1">
        <f t="array" aca="1" ref="V89" ca="1">z_score_diff(OFFSET(U89,0,0,$J$5*-1,1),OFFSET(E89,0,0,$J$5*-1,1))</f>
        <v/>
      </c>
      <c r="W89" s="9" t="str">
        <f t="shared" ca="1" si="76"/>
        <v/>
      </c>
      <c r="X89" s="17">
        <f t="shared" ca="1" si="71"/>
        <v>4.9200591254498528E-3</v>
      </c>
      <c r="Y89" s="13">
        <f t="shared" ref="Y89:Z89" ca="1" si="95">+Y88</f>
        <v>0</v>
      </c>
      <c r="Z89" s="13">
        <f t="shared" ca="1" si="95"/>
        <v>0</v>
      </c>
      <c r="AA89" t="str">
        <f t="shared" ca="1" si="78"/>
        <v/>
      </c>
      <c r="AB89" t="str">
        <f t="shared" ca="1" si="79"/>
        <v/>
      </c>
      <c r="AC89" s="24" t="str">
        <f t="shared" ca="1" si="80"/>
        <v/>
      </c>
      <c r="AD89" s="24" t="str">
        <f t="shared" ca="1" si="81"/>
        <v/>
      </c>
    </row>
    <row r="90" spans="3:30" x14ac:dyDescent="0.25">
      <c r="C90" s="6">
        <v>184</v>
      </c>
      <c r="D90" s="36">
        <v>42268</v>
      </c>
      <c r="E90" s="38">
        <v>18.579000000000001</v>
      </c>
      <c r="F90" s="38">
        <v>48.976517501107665</v>
      </c>
      <c r="G90" s="38">
        <v>37.24</v>
      </c>
      <c r="H90" s="38">
        <v>2.5077536552946387</v>
      </c>
      <c r="I90" s="38">
        <v>7.1333628710677894</v>
      </c>
      <c r="J90" s="10">
        <v>0</v>
      </c>
      <c r="K90" s="39">
        <v>0</v>
      </c>
      <c r="L90" s="39">
        <v>0</v>
      </c>
      <c r="M90" s="39">
        <v>0</v>
      </c>
      <c r="N90" s="39">
        <v>0</v>
      </c>
      <c r="O90" s="39">
        <v>0</v>
      </c>
      <c r="P90" s="39">
        <v>0</v>
      </c>
      <c r="Q90" s="39">
        <v>0</v>
      </c>
      <c r="R90" s="39">
        <v>1</v>
      </c>
      <c r="S90" s="39">
        <v>0</v>
      </c>
      <c r="T90" s="39">
        <v>0</v>
      </c>
      <c r="U90" s="29" t="str" cm="1">
        <f t="array" aca="1" ref="U90" ca="1">+fair_value_gap(OFFSET(T89,0,0,-1*$J$5,-1*$AA$1),OFFSET(E89,0,0,-1*$J$5,1),F90:T90,0)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V90" s="9" t="str" cm="1">
        <f t="array" aca="1" ref="V90" ca="1">z_score_diff(OFFSET(U90,0,0,$J$5*-1,1),OFFSET(E90,0,0,$J$5*-1,1))</f>
        <v/>
      </c>
      <c r="W90" s="9" t="str">
        <f t="shared" ca="1" si="76"/>
        <v/>
      </c>
      <c r="X90" s="17">
        <f t="shared" ca="1" si="71"/>
        <v>-3.2299741882885761E-4</v>
      </c>
      <c r="Y90" s="13">
        <f t="shared" ref="Y90:Z90" ca="1" si="96">+Y89</f>
        <v>0</v>
      </c>
      <c r="Z90" s="13">
        <f t="shared" ca="1" si="96"/>
        <v>0</v>
      </c>
      <c r="AA90" t="str">
        <f t="shared" ca="1" si="78"/>
        <v/>
      </c>
      <c r="AB90" t="str">
        <f t="shared" ca="1" si="79"/>
        <v/>
      </c>
      <c r="AC90" s="24" t="str">
        <f t="shared" ca="1" si="80"/>
        <v/>
      </c>
      <c r="AD90" s="24" t="str">
        <f t="shared" ca="1" si="81"/>
        <v/>
      </c>
    </row>
    <row r="91" spans="3:30" x14ac:dyDescent="0.25">
      <c r="C91" s="6">
        <v>185</v>
      </c>
      <c r="D91" s="36">
        <v>42269</v>
      </c>
      <c r="E91" s="38">
        <v>18.609000000000002</v>
      </c>
      <c r="F91" s="38">
        <v>49.530317491295655</v>
      </c>
      <c r="G91" s="38">
        <v>37.159999999999997</v>
      </c>
      <c r="H91" s="38">
        <v>2.5219647085348456</v>
      </c>
      <c r="I91" s="38">
        <v>7.1737865384118402</v>
      </c>
      <c r="J91" s="10">
        <v>0</v>
      </c>
      <c r="K91" s="39">
        <v>0</v>
      </c>
      <c r="L91" s="39">
        <v>0</v>
      </c>
      <c r="M91" s="39">
        <v>0</v>
      </c>
      <c r="N91" s="39">
        <v>0</v>
      </c>
      <c r="O91" s="39">
        <v>0</v>
      </c>
      <c r="P91" s="39">
        <v>0</v>
      </c>
      <c r="Q91" s="39">
        <v>0</v>
      </c>
      <c r="R91" s="39">
        <v>1</v>
      </c>
      <c r="S91" s="39">
        <v>0</v>
      </c>
      <c r="T91" s="39">
        <v>0</v>
      </c>
      <c r="U91" s="29" t="str" cm="1">
        <f t="array" aca="1" ref="U91" ca="1">+fair_value_gap(OFFSET(T90,0,0,-1*$J$5,-1*$AA$1),OFFSET(E90,0,0,-1*$J$5,1),F91:T91,0)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V91" s="9" t="str" cm="1">
        <f t="array" aca="1" ref="V91" ca="1">z_score_diff(OFFSET(U91,0,0,$J$5*-1,1),OFFSET(E91,0,0,$J$5*-1,1))</f>
        <v/>
      </c>
      <c r="W91" s="9" t="str">
        <f t="shared" ca="1" si="76"/>
        <v/>
      </c>
      <c r="X91" s="17">
        <f t="shared" ca="1" si="71"/>
        <v>-2.7443717281027133E-3</v>
      </c>
      <c r="Y91" s="13">
        <f t="shared" ref="Y91:Z91" ca="1" si="97">+Y90</f>
        <v>0</v>
      </c>
      <c r="Z91" s="13">
        <f t="shared" ca="1" si="97"/>
        <v>0</v>
      </c>
      <c r="AA91" t="str">
        <f t="shared" ca="1" si="78"/>
        <v/>
      </c>
      <c r="AB91" t="str">
        <f t="shared" ca="1" si="79"/>
        <v/>
      </c>
      <c r="AC91" s="24" t="str">
        <f t="shared" ca="1" si="80"/>
        <v/>
      </c>
      <c r="AD91" s="24" t="str">
        <f t="shared" ca="1" si="81"/>
        <v/>
      </c>
    </row>
    <row r="92" spans="3:30" x14ac:dyDescent="0.25">
      <c r="C92" s="6">
        <v>186</v>
      </c>
      <c r="D92" s="36">
        <v>42270</v>
      </c>
      <c r="E92" s="38">
        <v>18.545999999999999</v>
      </c>
      <c r="F92" s="38">
        <v>48.097596006791292</v>
      </c>
      <c r="G92" s="38">
        <v>37.29</v>
      </c>
      <c r="H92" s="38">
        <v>2.5143738668250708</v>
      </c>
      <c r="I92" s="38">
        <v>7.1370626332658054</v>
      </c>
      <c r="J92" s="10">
        <v>0</v>
      </c>
      <c r="K92" s="39">
        <v>0</v>
      </c>
      <c r="L92" s="39">
        <v>0</v>
      </c>
      <c r="M92" s="39">
        <v>0</v>
      </c>
      <c r="N92" s="39">
        <v>0</v>
      </c>
      <c r="O92" s="39">
        <v>0</v>
      </c>
      <c r="P92" s="39">
        <v>0</v>
      </c>
      <c r="Q92" s="39">
        <v>0</v>
      </c>
      <c r="R92" s="39">
        <v>1</v>
      </c>
      <c r="S92" s="39">
        <v>0</v>
      </c>
      <c r="T92" s="39">
        <v>0</v>
      </c>
      <c r="U92" s="29" t="str" cm="1">
        <f t="array" aca="1" ref="U92" ca="1">+fair_value_gap(OFFSET(T91,0,0,-1*$J$5,-1*$AA$1),OFFSET(E91,0,0,-1*$J$5,1),F92:T92,0)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V92" s="9" t="str" cm="1">
        <f t="array" aca="1" ref="V92" ca="1">z_score_diff(OFFSET(U92,0,0,$J$5*-1,1),OFFSET(E92,0,0,$J$5*-1,1))</f>
        <v/>
      </c>
      <c r="W92" s="9" t="str">
        <f t="shared" ca="1" si="76"/>
        <v/>
      </c>
      <c r="X92" s="17">
        <f t="shared" ca="1" si="71"/>
        <v>2.1006713711813423E-3</v>
      </c>
      <c r="Y92" s="13">
        <f t="shared" ref="Y92:Z92" ca="1" si="98">+Y91</f>
        <v>0</v>
      </c>
      <c r="Z92" s="13">
        <f t="shared" ca="1" si="98"/>
        <v>0</v>
      </c>
      <c r="AA92" t="str">
        <f t="shared" ca="1" si="78"/>
        <v/>
      </c>
      <c r="AB92" t="str">
        <f t="shared" ca="1" si="79"/>
        <v/>
      </c>
      <c r="AC92" s="24" t="str">
        <f t="shared" ca="1" si="80"/>
        <v/>
      </c>
      <c r="AD92" s="24" t="str">
        <f t="shared" ca="1" si="81"/>
        <v/>
      </c>
    </row>
    <row r="93" spans="3:30" x14ac:dyDescent="0.25">
      <c r="C93" s="6">
        <v>187</v>
      </c>
      <c r="D93" s="36">
        <v>42271</v>
      </c>
      <c r="E93" s="38">
        <v>18.327000000000002</v>
      </c>
      <c r="F93" s="38">
        <v>48.362238480752538</v>
      </c>
      <c r="G93" s="38">
        <v>36.94</v>
      </c>
      <c r="H93" s="38">
        <v>2.5447749295824549</v>
      </c>
      <c r="I93" s="38">
        <v>7.1303300324186436</v>
      </c>
      <c r="J93" s="10">
        <v>0</v>
      </c>
      <c r="K93" s="39">
        <v>0</v>
      </c>
      <c r="L93" s="39">
        <v>0</v>
      </c>
      <c r="M93" s="39">
        <v>0</v>
      </c>
      <c r="N93" s="39">
        <v>0</v>
      </c>
      <c r="O93" s="39">
        <v>0</v>
      </c>
      <c r="P93" s="39">
        <v>0</v>
      </c>
      <c r="Q93" s="39">
        <v>0</v>
      </c>
      <c r="R93" s="39">
        <v>1</v>
      </c>
      <c r="S93" s="39">
        <v>0</v>
      </c>
      <c r="T93" s="39">
        <v>0</v>
      </c>
      <c r="U93" s="29" t="str" cm="1">
        <f t="array" aca="1" ref="U93" ca="1">+fair_value_gap(OFFSET(T92,0,0,-1*$J$5,-1*$AA$1),OFFSET(E92,0,0,-1*$J$5,1),F93:T93,0)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V93" s="9" t="str" cm="1">
        <f t="array" aca="1" ref="V93" ca="1">z_score_diff(OFFSET(U93,0,0,$J$5*-1,1),OFFSET(E93,0,0,$J$5*-1,1))</f>
        <v/>
      </c>
      <c r="W93" s="9" t="str">
        <f t="shared" ca="1" si="76"/>
        <v/>
      </c>
      <c r="X93" s="17">
        <f t="shared" ca="1" si="71"/>
        <v>-9.8264010527201193E-4</v>
      </c>
      <c r="Y93" s="13">
        <f t="shared" ref="Y93:Z93" ca="1" si="99">+Y92</f>
        <v>0</v>
      </c>
      <c r="Z93" s="13">
        <f t="shared" ca="1" si="99"/>
        <v>0</v>
      </c>
      <c r="AA93" t="str">
        <f t="shared" ca="1" si="78"/>
        <v/>
      </c>
      <c r="AB93" t="str">
        <f t="shared" ca="1" si="79"/>
        <v/>
      </c>
      <c r="AC93" s="24" t="str">
        <f t="shared" ca="1" si="80"/>
        <v/>
      </c>
      <c r="AD93" s="24" t="str">
        <f t="shared" ca="1" si="81"/>
        <v/>
      </c>
    </row>
    <row r="94" spans="3:30" x14ac:dyDescent="0.25">
      <c r="C94" s="6">
        <v>188</v>
      </c>
      <c r="D94" s="36">
        <v>42272</v>
      </c>
      <c r="E94" s="38">
        <v>18.407</v>
      </c>
      <c r="F94" s="38">
        <v>48.669370028141543</v>
      </c>
      <c r="G94" s="38">
        <v>36.99</v>
      </c>
      <c r="H94" s="38">
        <v>2.5154556936781227</v>
      </c>
      <c r="I94" s="38">
        <v>7.1351015976423149</v>
      </c>
      <c r="J94" s="10">
        <v>0</v>
      </c>
      <c r="K94" s="39">
        <v>0</v>
      </c>
      <c r="L94" s="39">
        <v>0</v>
      </c>
      <c r="M94" s="39">
        <v>0</v>
      </c>
      <c r="N94" s="39">
        <v>0</v>
      </c>
      <c r="O94" s="39">
        <v>0</v>
      </c>
      <c r="P94" s="39">
        <v>0</v>
      </c>
      <c r="Q94" s="39">
        <v>0</v>
      </c>
      <c r="R94" s="39">
        <v>1</v>
      </c>
      <c r="S94" s="39">
        <v>0</v>
      </c>
      <c r="T94" s="39">
        <v>0</v>
      </c>
      <c r="U94" s="29" t="str" cm="1">
        <f t="array" aca="1" ref="U94" ca="1">+fair_value_gap(OFFSET(T93,0,0,-1*$J$5,-1*$AA$1),OFFSET(E93,0,0,-1*$J$5,1),F94:T94,0)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V94" s="9" t="str" cm="1">
        <f t="array" aca="1" ref="V94" ca="1">z_score_diff(OFFSET(U94,0,0,$J$5*-1,1),OFFSET(E94,0,0,$J$5*-1,1))</f>
        <v/>
      </c>
      <c r="W94" s="9" t="str">
        <f t="shared" ca="1" si="76"/>
        <v/>
      </c>
      <c r="X94" s="17">
        <f t="shared" ca="1" si="71"/>
        <v>-1.4446215662558857E-2</v>
      </c>
      <c r="Y94" s="13">
        <f t="shared" ref="Y94:Z94" ca="1" si="100">+Y93</f>
        <v>0</v>
      </c>
      <c r="Z94" s="13">
        <f t="shared" ca="1" si="100"/>
        <v>0</v>
      </c>
      <c r="AA94" t="str">
        <f t="shared" ca="1" si="78"/>
        <v/>
      </c>
      <c r="AB94" t="str">
        <f t="shared" ca="1" si="79"/>
        <v/>
      </c>
      <c r="AC94" s="24" t="str">
        <f t="shared" ca="1" si="80"/>
        <v/>
      </c>
      <c r="AD94" s="24" t="str">
        <f t="shared" ca="1" si="81"/>
        <v/>
      </c>
    </row>
    <row r="95" spans="3:30" x14ac:dyDescent="0.25">
      <c r="C95" s="6">
        <v>189</v>
      </c>
      <c r="D95" s="36">
        <v>42275</v>
      </c>
      <c r="E95" s="38">
        <v>18.187999999999999</v>
      </c>
      <c r="F95" s="38">
        <v>47.351331717634075</v>
      </c>
      <c r="G95" s="38">
        <v>36.76</v>
      </c>
      <c r="H95" s="38">
        <v>2.5222893324176332</v>
      </c>
      <c r="I95" s="38">
        <v>7.0969692855511877</v>
      </c>
      <c r="J95" s="10">
        <v>0</v>
      </c>
      <c r="K95" s="39">
        <v>0</v>
      </c>
      <c r="L95" s="39">
        <v>0</v>
      </c>
      <c r="M95" s="39">
        <v>0</v>
      </c>
      <c r="N95" s="39">
        <v>0</v>
      </c>
      <c r="O95" s="39">
        <v>0</v>
      </c>
      <c r="P95" s="39">
        <v>0</v>
      </c>
      <c r="Q95" s="39">
        <v>0</v>
      </c>
      <c r="R95" s="39">
        <v>1</v>
      </c>
      <c r="S95" s="39">
        <v>0</v>
      </c>
      <c r="T95" s="39">
        <v>0</v>
      </c>
      <c r="U95" s="29" t="str" cm="1">
        <f t="array" aca="1" ref="U95" ca="1">+fair_value_gap(OFFSET(T94,0,0,-1*$J$5,-1*$AA$1),OFFSET(E94,0,0,-1*$J$5,1),F95:T95,0)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V95" s="9" t="str" cm="1">
        <f t="array" aca="1" ref="V95" ca="1">z_score_diff(OFFSET(U95,0,0,$J$5*-1,1),OFFSET(E95,0,0,$J$5*-1,1))</f>
        <v/>
      </c>
      <c r="W95" s="9" t="str">
        <f t="shared" ca="1" si="76"/>
        <v/>
      </c>
      <c r="X95" s="17">
        <f t="shared" ca="1" si="71"/>
        <v>-2.4883690884252473E-2</v>
      </c>
      <c r="Y95" s="13">
        <f t="shared" ref="Y95:Z95" ca="1" si="101">+Y94</f>
        <v>0</v>
      </c>
      <c r="Z95" s="13">
        <f t="shared" ca="1" si="101"/>
        <v>0</v>
      </c>
      <c r="AA95" t="str">
        <f t="shared" ca="1" si="78"/>
        <v/>
      </c>
      <c r="AB95" t="str">
        <f t="shared" ca="1" si="79"/>
        <v/>
      </c>
      <c r="AC95" s="24" t="str">
        <f t="shared" ca="1" si="80"/>
        <v/>
      </c>
      <c r="AD95" s="24" t="str">
        <f t="shared" ca="1" si="81"/>
        <v/>
      </c>
    </row>
    <row r="96" spans="3:30" x14ac:dyDescent="0.25">
      <c r="C96" s="6">
        <v>190</v>
      </c>
      <c r="D96" s="36">
        <v>42276</v>
      </c>
      <c r="E96" s="38">
        <v>18.167000000000002</v>
      </c>
      <c r="F96" s="38">
        <v>47.861484684589378</v>
      </c>
      <c r="G96" s="38">
        <v>36.619999999999997</v>
      </c>
      <c r="H96" s="38">
        <v>2.5037136950494352</v>
      </c>
      <c r="I96" s="38">
        <v>7.0967941004042094</v>
      </c>
      <c r="J96" s="10">
        <v>0</v>
      </c>
      <c r="K96" s="39">
        <v>0</v>
      </c>
      <c r="L96" s="39">
        <v>0</v>
      </c>
      <c r="M96" s="39">
        <v>0</v>
      </c>
      <c r="N96" s="39">
        <v>0</v>
      </c>
      <c r="O96" s="39">
        <v>0</v>
      </c>
      <c r="P96" s="39">
        <v>0</v>
      </c>
      <c r="Q96" s="39">
        <v>0</v>
      </c>
      <c r="R96" s="39">
        <v>1</v>
      </c>
      <c r="S96" s="39">
        <v>0</v>
      </c>
      <c r="T96" s="39">
        <v>0</v>
      </c>
      <c r="U96" s="29" t="str" cm="1">
        <f t="array" aca="1" ref="U96" ca="1">+fair_value_gap(OFFSET(T95,0,0,-1*$J$5,-1*$AA$1),OFFSET(E95,0,0,-1*$J$5,1),F96:T96,0)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V96" s="9" t="str" cm="1">
        <f t="array" aca="1" ref="V96" ca="1">z_score_diff(OFFSET(U96,0,0,$J$5*-1,1),OFFSET(E96,0,0,$J$5*-1,1))</f>
        <v/>
      </c>
      <c r="W96" s="9" t="str">
        <f t="shared" ca="1" si="76"/>
        <v/>
      </c>
      <c r="X96" s="17">
        <f t="shared" ca="1" si="71"/>
        <v>-2.8814322458466199E-2</v>
      </c>
      <c r="Y96" s="13">
        <f t="shared" ref="Y96:Z96" ca="1" si="102">+Y95</f>
        <v>0</v>
      </c>
      <c r="Z96" s="13">
        <f t="shared" ca="1" si="102"/>
        <v>0</v>
      </c>
      <c r="AA96" t="str">
        <f t="shared" ca="1" si="78"/>
        <v/>
      </c>
      <c r="AB96" t="str">
        <f t="shared" ca="1" si="79"/>
        <v/>
      </c>
      <c r="AC96" s="24" t="str">
        <f t="shared" ca="1" si="80"/>
        <v/>
      </c>
      <c r="AD96" s="24" t="str">
        <f t="shared" ca="1" si="81"/>
        <v/>
      </c>
    </row>
    <row r="97" spans="3:30" x14ac:dyDescent="0.25">
      <c r="C97" s="6">
        <v>191</v>
      </c>
      <c r="D97" s="36">
        <v>42277</v>
      </c>
      <c r="E97" s="38">
        <v>18.66</v>
      </c>
      <c r="F97" s="38">
        <v>48.317836610121375</v>
      </c>
      <c r="G97" s="38">
        <v>36.619999999999997</v>
      </c>
      <c r="H97" s="38">
        <v>2.4850947547732276</v>
      </c>
      <c r="I97" s="38">
        <v>7.1420966711619007</v>
      </c>
      <c r="J97" s="10">
        <v>0</v>
      </c>
      <c r="K97" s="39">
        <v>0</v>
      </c>
      <c r="L97" s="39">
        <v>0</v>
      </c>
      <c r="M97" s="39">
        <v>0</v>
      </c>
      <c r="N97" s="39">
        <v>0</v>
      </c>
      <c r="O97" s="39">
        <v>0</v>
      </c>
      <c r="P97" s="39">
        <v>0</v>
      </c>
      <c r="Q97" s="39">
        <v>0</v>
      </c>
      <c r="R97" s="39">
        <v>1</v>
      </c>
      <c r="S97" s="39">
        <v>0</v>
      </c>
      <c r="T97" s="39">
        <v>0</v>
      </c>
      <c r="U97" s="29" t="str" cm="1">
        <f t="array" aca="1" ref="U97" ca="1">+fair_value_gap(OFFSET(T96,0,0,-1*$J$5,-1*$AA$1),OFFSET(E96,0,0,-1*$J$5,1),F97:T97,0)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V97" s="9" t="str" cm="1">
        <f t="array" aca="1" ref="V97" ca="1">z_score_diff(OFFSET(U97,0,0,$J$5*-1,1),OFFSET(E97,0,0,$J$5*-1,1))</f>
        <v/>
      </c>
      <c r="W97" s="9" t="str">
        <f t="shared" ca="1" si="76"/>
        <v/>
      </c>
      <c r="X97" s="17">
        <f t="shared" ca="1" si="71"/>
        <v>-6.7845161043051647E-2</v>
      </c>
      <c r="Y97" s="13">
        <f t="shared" ref="Y97:Z97" ca="1" si="103">+Y96</f>
        <v>0</v>
      </c>
      <c r="Z97" s="13">
        <f t="shared" ca="1" si="103"/>
        <v>0</v>
      </c>
      <c r="AA97" t="str">
        <f t="shared" ca="1" si="78"/>
        <v/>
      </c>
      <c r="AB97" t="str">
        <f t="shared" ca="1" si="79"/>
        <v/>
      </c>
      <c r="AC97" s="24" t="str">
        <f t="shared" ca="1" si="80"/>
        <v/>
      </c>
      <c r="AD97" s="24" t="str">
        <f t="shared" ca="1" si="81"/>
        <v/>
      </c>
    </row>
    <row r="98" spans="3:30" x14ac:dyDescent="0.25">
      <c r="C98" s="6">
        <v>192</v>
      </c>
      <c r="D98" s="36">
        <v>42278</v>
      </c>
      <c r="E98" s="38">
        <v>18.600999999999999</v>
      </c>
      <c r="F98" s="38">
        <v>47.699937882860006</v>
      </c>
      <c r="G98" s="38">
        <v>36.799999999999997</v>
      </c>
      <c r="H98" s="38">
        <v>2.4368350209523504</v>
      </c>
      <c r="I98" s="38">
        <v>7.1332806976968808</v>
      </c>
      <c r="J98" s="10">
        <v>0</v>
      </c>
      <c r="K98" s="39">
        <v>0</v>
      </c>
      <c r="L98" s="39">
        <v>0</v>
      </c>
      <c r="M98" s="39">
        <v>0</v>
      </c>
      <c r="N98" s="39">
        <v>0</v>
      </c>
      <c r="O98" s="39">
        <v>0</v>
      </c>
      <c r="P98" s="39">
        <v>0</v>
      </c>
      <c r="Q98" s="39">
        <v>0</v>
      </c>
      <c r="R98" s="39">
        <v>0</v>
      </c>
      <c r="S98" s="39">
        <v>1</v>
      </c>
      <c r="T98" s="39">
        <v>0</v>
      </c>
      <c r="U98" s="29" t="str" cm="1">
        <f t="array" aca="1" ref="U98" ca="1">+fair_value_gap(OFFSET(T97,0,0,-1*$J$5,-1*$AA$1),OFFSET(E97,0,0,-1*$J$5,1),F98:T98,0)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V98" s="9" t="str" cm="1">
        <f t="array" aca="1" ref="V98" ca="1">z_score_diff(OFFSET(U98,0,0,$J$5*-1,1),OFFSET(E98,0,0,$J$5*-1,1))</f>
        <v/>
      </c>
      <c r="W98" s="9" t="str">
        <f t="shared" ca="1" si="76"/>
        <v/>
      </c>
      <c r="X98" s="17">
        <f t="shared" ca="1" si="71"/>
        <v>-6.8528334642938157E-2</v>
      </c>
      <c r="Y98" s="13">
        <f t="shared" ref="Y98:Z98" ca="1" si="104">+Y97</f>
        <v>0</v>
      </c>
      <c r="Z98" s="13">
        <f t="shared" ca="1" si="104"/>
        <v>0</v>
      </c>
      <c r="AA98" t="str">
        <f t="shared" ca="1" si="78"/>
        <v/>
      </c>
      <c r="AB98" t="str">
        <f t="shared" ca="1" si="79"/>
        <v/>
      </c>
      <c r="AC98" s="24" t="str">
        <f t="shared" ca="1" si="80"/>
        <v/>
      </c>
      <c r="AD98" s="24" t="str">
        <f t="shared" ca="1" si="81"/>
        <v/>
      </c>
    </row>
    <row r="99" spans="3:30" x14ac:dyDescent="0.25">
      <c r="C99" s="6">
        <v>193</v>
      </c>
      <c r="D99" s="36">
        <v>42279</v>
      </c>
      <c r="E99" s="38">
        <v>18.417000000000002</v>
      </c>
      <c r="F99" s="38">
        <v>47.994335907250473</v>
      </c>
      <c r="G99" s="38">
        <v>36.44</v>
      </c>
      <c r="H99" s="38">
        <v>2.4514901431510938</v>
      </c>
      <c r="I99" s="38">
        <v>7.1243666615040819</v>
      </c>
      <c r="J99" s="10">
        <v>0</v>
      </c>
      <c r="K99" s="39">
        <v>0</v>
      </c>
      <c r="L99" s="39">
        <v>0</v>
      </c>
      <c r="M99" s="39">
        <v>0</v>
      </c>
      <c r="N99" s="39">
        <v>0</v>
      </c>
      <c r="O99" s="39">
        <v>0</v>
      </c>
      <c r="P99" s="39">
        <v>0</v>
      </c>
      <c r="Q99" s="39">
        <v>0</v>
      </c>
      <c r="R99" s="39">
        <v>0</v>
      </c>
      <c r="S99" s="39">
        <v>1</v>
      </c>
      <c r="T99" s="39">
        <v>0</v>
      </c>
      <c r="U99" s="29" t="str" cm="1">
        <f t="array" aca="1" ref="U99" ca="1">+fair_value_gap(OFFSET(T98,0,0,-1*$J$5,-1*$AA$1),OFFSET(E98,0,0,-1*$J$5,1),F99:T99,0)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V99" s="9" t="str" cm="1">
        <f t="array" aca="1" ref="V99" ca="1">z_score_diff(OFFSET(U99,0,0,$J$5*-1,1),OFFSET(E99,0,0,$J$5*-1,1))</f>
        <v/>
      </c>
      <c r="W99" s="9" t="str">
        <f t="shared" ca="1" si="76"/>
        <v/>
      </c>
      <c r="X99" s="17">
        <f t="shared" ca="1" si="71"/>
        <v>-5.278902696750392E-2</v>
      </c>
      <c r="Y99" s="13">
        <f t="shared" ref="Y99:Z99" ca="1" si="105">+Y98</f>
        <v>0</v>
      </c>
      <c r="Z99" s="13">
        <f t="shared" ca="1" si="105"/>
        <v>0</v>
      </c>
      <c r="AA99" t="str">
        <f t="shared" ca="1" si="78"/>
        <v/>
      </c>
      <c r="AB99" t="str">
        <f t="shared" ca="1" si="79"/>
        <v/>
      </c>
      <c r="AC99" s="24" t="str">
        <f t="shared" ca="1" si="80"/>
        <v/>
      </c>
      <c r="AD99" s="24" t="str">
        <f t="shared" ca="1" si="81"/>
        <v/>
      </c>
    </row>
    <row r="100" spans="3:30" x14ac:dyDescent="0.25">
      <c r="C100" s="6">
        <v>194</v>
      </c>
      <c r="D100" s="36">
        <v>42282</v>
      </c>
      <c r="E100" s="38">
        <v>18.474</v>
      </c>
      <c r="F100" s="38">
        <v>49.030424029427117</v>
      </c>
      <c r="G100" s="38">
        <v>36.5</v>
      </c>
      <c r="H100" s="38">
        <v>2.4670287456700724</v>
      </c>
      <c r="I100" s="38">
        <v>7.1334703314095131</v>
      </c>
      <c r="J100" s="10">
        <v>0</v>
      </c>
      <c r="K100" s="39">
        <v>0</v>
      </c>
      <c r="L100" s="39">
        <v>0</v>
      </c>
      <c r="M100" s="39">
        <v>0</v>
      </c>
      <c r="N100" s="39">
        <v>0</v>
      </c>
      <c r="O100" s="39">
        <v>0</v>
      </c>
      <c r="P100" s="39">
        <v>0</v>
      </c>
      <c r="Q100" s="39">
        <v>0</v>
      </c>
      <c r="R100" s="39">
        <v>0</v>
      </c>
      <c r="S100" s="39">
        <v>1</v>
      </c>
      <c r="T100" s="39">
        <v>0</v>
      </c>
      <c r="U100" s="29" t="str" cm="1">
        <f t="array" aca="1" ref="U100" ca="1">+fair_value_gap(OFFSET(T99,0,0,-1*$J$5,-1*$AA$1),OFFSET(E99,0,0,-1*$J$5,1),F100:T100,0)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V100" s="9" t="str" cm="1">
        <f t="array" aca="1" ref="V100" ca="1">z_score_diff(OFFSET(U100,0,0,$J$5*-1,1),OFFSET(E100,0,0,$J$5*-1,1))</f>
        <v/>
      </c>
      <c r="W100" s="9" t="str">
        <f t="shared" ca="1" si="76"/>
        <v/>
      </c>
      <c r="X100" s="17">
        <f t="shared" ca="1" si="71"/>
        <v>-3.6323539112618902E-2</v>
      </c>
      <c r="Y100" s="13">
        <f t="shared" ref="Y100:Z100" ca="1" si="106">+Y99</f>
        <v>0</v>
      </c>
      <c r="Z100" s="13">
        <f t="shared" ca="1" si="106"/>
        <v>0</v>
      </c>
      <c r="AA100" t="str">
        <f t="shared" ca="1" si="78"/>
        <v/>
      </c>
      <c r="AB100" t="str">
        <f t="shared" ca="1" si="79"/>
        <v/>
      </c>
      <c r="AC100" s="24" t="str">
        <f t="shared" ca="1" si="80"/>
        <v/>
      </c>
      <c r="AD100" s="24" t="str">
        <f t="shared" ca="1" si="81"/>
        <v/>
      </c>
    </row>
    <row r="101" spans="3:30" x14ac:dyDescent="0.25">
      <c r="C101" s="6">
        <v>195</v>
      </c>
      <c r="D101" s="36">
        <v>42283</v>
      </c>
      <c r="E101" s="38">
        <v>18.959</v>
      </c>
      <c r="F101" s="38">
        <v>50.597712983373157</v>
      </c>
      <c r="G101" s="38">
        <v>36.18</v>
      </c>
      <c r="H101" s="38">
        <v>2.4577289106532385</v>
      </c>
      <c r="I101" s="38">
        <v>7.083679817672242</v>
      </c>
      <c r="J101" s="10">
        <v>0</v>
      </c>
      <c r="K101" s="39">
        <v>0</v>
      </c>
      <c r="L101" s="39">
        <v>0</v>
      </c>
      <c r="M101" s="39">
        <v>0</v>
      </c>
      <c r="N101" s="39">
        <v>0</v>
      </c>
      <c r="O101" s="39">
        <v>0</v>
      </c>
      <c r="P101" s="39">
        <v>0</v>
      </c>
      <c r="Q101" s="39">
        <v>0</v>
      </c>
      <c r="R101" s="39">
        <v>0</v>
      </c>
      <c r="S101" s="39">
        <v>1</v>
      </c>
      <c r="T101" s="39">
        <v>0</v>
      </c>
      <c r="U101" s="29" t="str" cm="1">
        <f t="array" aca="1" ref="U101" ca="1">+fair_value_gap(OFFSET(T100,0,0,-1*$J$5,-1*$AA$1),OFFSET(E100,0,0,-1*$J$5,1),F101:T101,0)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V101" s="9" t="str" cm="1">
        <f t="array" aca="1" ref="V101" ca="1">z_score_diff(OFFSET(U101,0,0,$J$5*-1,1),OFFSET(E101,0,0,$J$5*-1,1))</f>
        <v/>
      </c>
      <c r="W101" s="9" t="str">
        <f t="shared" ca="1" si="76"/>
        <v/>
      </c>
      <c r="X101" s="17">
        <f t="shared" ca="1" si="71"/>
        <v>-2.7810766096873642E-2</v>
      </c>
      <c r="Y101" s="13">
        <f t="shared" ref="Y101:Z101" ca="1" si="107">+Y100</f>
        <v>0</v>
      </c>
      <c r="Z101" s="13">
        <f t="shared" ca="1" si="107"/>
        <v>0</v>
      </c>
      <c r="AA101" t="str">
        <f t="shared" ca="1" si="78"/>
        <v/>
      </c>
      <c r="AB101" t="str">
        <f t="shared" ca="1" si="79"/>
        <v/>
      </c>
      <c r="AC101" s="24" t="str">
        <f t="shared" ca="1" si="80"/>
        <v/>
      </c>
      <c r="AD101" s="24" t="str">
        <f t="shared" ca="1" si="81"/>
        <v/>
      </c>
    </row>
    <row r="102" spans="3:30" x14ac:dyDescent="0.25">
      <c r="C102" s="6">
        <v>196</v>
      </c>
      <c r="D102" s="36">
        <v>42284</v>
      </c>
      <c r="E102" s="38">
        <v>18.933</v>
      </c>
      <c r="F102" s="38">
        <v>50.260661519650036</v>
      </c>
      <c r="G102" s="38">
        <v>36.369999999999997</v>
      </c>
      <c r="H102" s="38">
        <v>2.4649177404332145</v>
      </c>
      <c r="I102" s="38">
        <v>7.1069440581974854</v>
      </c>
      <c r="J102" s="10">
        <v>0</v>
      </c>
      <c r="K102" s="39">
        <v>0</v>
      </c>
      <c r="L102" s="39">
        <v>0</v>
      </c>
      <c r="M102" s="39">
        <v>0</v>
      </c>
      <c r="N102" s="39">
        <v>0</v>
      </c>
      <c r="O102" s="39">
        <v>0</v>
      </c>
      <c r="P102" s="39">
        <v>0</v>
      </c>
      <c r="Q102" s="39">
        <v>0</v>
      </c>
      <c r="R102" s="39">
        <v>0</v>
      </c>
      <c r="S102" s="39">
        <v>1</v>
      </c>
      <c r="T102" s="39">
        <v>0</v>
      </c>
      <c r="U102" s="29" t="str" cm="1">
        <f t="array" aca="1" ref="U102" ca="1">+fair_value_gap(OFFSET(T101,0,0,-1*$J$5,-1*$AA$1),OFFSET(E101,0,0,-1*$J$5,1),F102:T102,0)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V102" s="9" t="str" cm="1">
        <f t="array" aca="1" ref="V102" ca="1">z_score_diff(OFFSET(U102,0,0,$J$5*-1,1),OFFSET(E102,0,0,$J$5*-1,1))</f>
        <v/>
      </c>
      <c r="W102" s="9" t="str">
        <f t="shared" ca="1" si="76"/>
        <v/>
      </c>
      <c r="X102" s="17">
        <f t="shared" ca="1" si="71"/>
        <v>-4.5049743143477768E-2</v>
      </c>
      <c r="Y102" s="13">
        <f t="shared" ref="Y102:Z102" ca="1" si="108">+Y101</f>
        <v>0</v>
      </c>
      <c r="Z102" s="13">
        <f t="shared" ca="1" si="108"/>
        <v>0</v>
      </c>
      <c r="AA102" t="str">
        <f t="shared" ca="1" si="78"/>
        <v/>
      </c>
      <c r="AB102" t="str">
        <f t="shared" ca="1" si="79"/>
        <v/>
      </c>
      <c r="AC102" s="24" t="str">
        <f t="shared" ca="1" si="80"/>
        <v/>
      </c>
      <c r="AD102" s="24" t="str">
        <f t="shared" ca="1" si="81"/>
        <v/>
      </c>
    </row>
    <row r="103" spans="3:30" x14ac:dyDescent="0.25">
      <c r="C103" s="6">
        <v>197</v>
      </c>
      <c r="D103" s="36">
        <v>42285</v>
      </c>
      <c r="E103" s="38">
        <v>18.983000000000001</v>
      </c>
      <c r="F103" s="38">
        <v>51.093400531082771</v>
      </c>
      <c r="G103" s="38">
        <v>36.130000000000003</v>
      </c>
      <c r="H103" s="38">
        <v>2.4838413931332299</v>
      </c>
      <c r="I103" s="38">
        <v>7.0828633420908611</v>
      </c>
      <c r="J103" s="10">
        <v>0</v>
      </c>
      <c r="K103" s="39">
        <v>0</v>
      </c>
      <c r="L103" s="39">
        <v>0</v>
      </c>
      <c r="M103" s="39">
        <v>0</v>
      </c>
      <c r="N103" s="39">
        <v>0</v>
      </c>
      <c r="O103" s="39">
        <v>0</v>
      </c>
      <c r="P103" s="39">
        <v>0</v>
      </c>
      <c r="Q103" s="39">
        <v>0</v>
      </c>
      <c r="R103" s="39">
        <v>0</v>
      </c>
      <c r="S103" s="39">
        <v>1</v>
      </c>
      <c r="T103" s="39">
        <v>0</v>
      </c>
      <c r="U103" s="29" t="str" cm="1">
        <f t="array" aca="1" ref="U103" ca="1">+fair_value_gap(OFFSET(T102,0,0,-1*$J$5,-1*$AA$1),OFFSET(E102,0,0,-1*$J$5,1),F103:T103,0)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V103" s="9" t="str" cm="1">
        <f t="array" aca="1" ref="V103" ca="1">z_score_diff(OFFSET(U103,0,0,$J$5*-1,1),OFFSET(E103,0,0,$J$5*-1,1))</f>
        <v/>
      </c>
      <c r="W103" s="9" t="str">
        <f t="shared" ca="1" si="76"/>
        <v/>
      </c>
      <c r="X103" s="17">
        <f t="shared" ca="1" si="71"/>
        <v>-4.6913929297625313E-2</v>
      </c>
      <c r="Y103" s="13">
        <f t="shared" ref="Y103:Z103" ca="1" si="109">+Y102</f>
        <v>0</v>
      </c>
      <c r="Z103" s="13">
        <f t="shared" ca="1" si="109"/>
        <v>0</v>
      </c>
      <c r="AA103" t="str">
        <f t="shared" ca="1" si="78"/>
        <v/>
      </c>
      <c r="AB103" t="str">
        <f t="shared" ca="1" si="79"/>
        <v/>
      </c>
      <c r="AC103" s="24" t="str">
        <f t="shared" ca="1" si="80"/>
        <v/>
      </c>
      <c r="AD103" s="24" t="str">
        <f t="shared" ca="1" si="81"/>
        <v/>
      </c>
    </row>
    <row r="104" spans="3:30" x14ac:dyDescent="0.25">
      <c r="C104" s="6">
        <v>198</v>
      </c>
      <c r="D104" s="36">
        <v>42286</v>
      </c>
      <c r="E104" s="38">
        <v>18.984000000000002</v>
      </c>
      <c r="F104" s="38">
        <v>50.560801001951646</v>
      </c>
      <c r="G104" s="38">
        <v>36.200000000000003</v>
      </c>
      <c r="H104" s="38">
        <v>2.4716671604756999</v>
      </c>
      <c r="I104" s="38">
        <v>7.0356862241263745</v>
      </c>
      <c r="J104" s="10">
        <v>0</v>
      </c>
      <c r="K104" s="39">
        <v>0</v>
      </c>
      <c r="L104" s="39">
        <v>0</v>
      </c>
      <c r="M104" s="39">
        <v>0</v>
      </c>
      <c r="N104" s="39">
        <v>0</v>
      </c>
      <c r="O104" s="39">
        <v>0</v>
      </c>
      <c r="P104" s="39">
        <v>0</v>
      </c>
      <c r="Q104" s="39">
        <v>0</v>
      </c>
      <c r="R104" s="39">
        <v>0</v>
      </c>
      <c r="S104" s="39">
        <v>1</v>
      </c>
      <c r="T104" s="39">
        <v>0</v>
      </c>
      <c r="U104" s="29" t="str" cm="1">
        <f t="array" aca="1" ref="U104" ca="1">+fair_value_gap(OFFSET(T103,0,0,-1*$J$5,-1*$AA$1),OFFSET(E103,0,0,-1*$J$5,1),F104:T104,0)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V104" s="9" t="str" cm="1">
        <f t="array" aca="1" ref="V104" ca="1">z_score_diff(OFFSET(U104,0,0,$J$5*-1,1),OFFSET(E104,0,0,$J$5*-1,1))</f>
        <v/>
      </c>
      <c r="W104" s="9" t="str">
        <f t="shared" ca="1" si="76"/>
        <v/>
      </c>
      <c r="X104" s="17">
        <f t="shared" ca="1" si="71"/>
        <v>-5.2891483447177486E-2</v>
      </c>
      <c r="Y104" s="13">
        <f t="shared" ref="Y104:Z104" ca="1" si="110">+Y103</f>
        <v>0</v>
      </c>
      <c r="Z104" s="13">
        <f t="shared" ca="1" si="110"/>
        <v>0</v>
      </c>
      <c r="AA104" t="str">
        <f t="shared" ca="1" si="78"/>
        <v/>
      </c>
      <c r="AB104" t="str">
        <f t="shared" ca="1" si="79"/>
        <v/>
      </c>
      <c r="AC104" s="24" t="str">
        <f t="shared" ca="1" si="80"/>
        <v/>
      </c>
      <c r="AD104" s="24" t="str">
        <f t="shared" ca="1" si="81"/>
        <v/>
      </c>
    </row>
    <row r="105" spans="3:30" x14ac:dyDescent="0.25">
      <c r="C105" s="6">
        <v>199</v>
      </c>
      <c r="D105" s="36">
        <v>42289</v>
      </c>
      <c r="E105" s="38">
        <v>18.754000000000001</v>
      </c>
      <c r="F105" s="38">
        <v>48.607301228985463</v>
      </c>
      <c r="G105" s="38">
        <v>36.44</v>
      </c>
      <c r="H105" s="38">
        <v>2.4906437060359017</v>
      </c>
      <c r="I105" s="38">
        <v>7.0325085351066328</v>
      </c>
      <c r="J105" s="10">
        <v>0</v>
      </c>
      <c r="K105" s="39">
        <v>0</v>
      </c>
      <c r="L105" s="39">
        <v>0</v>
      </c>
      <c r="M105" s="39">
        <v>0</v>
      </c>
      <c r="N105" s="39">
        <v>0</v>
      </c>
      <c r="O105" s="39">
        <v>0</v>
      </c>
      <c r="P105" s="39">
        <v>0</v>
      </c>
      <c r="Q105" s="39">
        <v>0</v>
      </c>
      <c r="R105" s="39">
        <v>0</v>
      </c>
      <c r="S105" s="39">
        <v>1</v>
      </c>
      <c r="T105" s="39">
        <v>0</v>
      </c>
      <c r="U105" s="29" t="str" cm="1">
        <f t="array" aca="1" ref="U105" ca="1">+fair_value_gap(OFFSET(T104,0,0,-1*$J$5,-1*$AA$1),OFFSET(E104,0,0,-1*$J$5,1),F105:T105,0)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V105" s="9" t="str" cm="1">
        <f t="array" aca="1" ref="V105" ca="1">z_score_diff(OFFSET(U105,0,0,$J$5*-1,1),OFFSET(E105,0,0,$J$5*-1,1))</f>
        <v/>
      </c>
      <c r="W105" s="9" t="str">
        <f t="shared" ca="1" si="76"/>
        <v/>
      </c>
      <c r="X105" s="17">
        <f t="shared" ca="1" si="71"/>
        <v>-4.6773961962162276E-2</v>
      </c>
      <c r="Y105" s="13">
        <f t="shared" ref="Y105:Z105" ca="1" si="111">+Y104</f>
        <v>0</v>
      </c>
      <c r="Z105" s="13">
        <f t="shared" ca="1" si="111"/>
        <v>0</v>
      </c>
      <c r="AA105" t="str">
        <f t="shared" ca="1" si="78"/>
        <v/>
      </c>
      <c r="AB105" t="str">
        <f t="shared" ca="1" si="79"/>
        <v/>
      </c>
      <c r="AC105" s="24" t="str">
        <f t="shared" ca="1" si="80"/>
        <v/>
      </c>
      <c r="AD105" s="24" t="str">
        <f t="shared" ca="1" si="81"/>
        <v/>
      </c>
    </row>
    <row r="106" spans="3:30" x14ac:dyDescent="0.25">
      <c r="C106" s="6">
        <v>200</v>
      </c>
      <c r="D106" s="36">
        <v>42290</v>
      </c>
      <c r="E106" s="38">
        <v>18.504999999999999</v>
      </c>
      <c r="F106" s="38">
        <v>48.334318324851942</v>
      </c>
      <c r="G106" s="38">
        <v>35.94</v>
      </c>
      <c r="H106" s="38">
        <v>2.4729388834554547</v>
      </c>
      <c r="I106" s="38">
        <v>7.016974977728732</v>
      </c>
      <c r="J106" s="10">
        <v>0</v>
      </c>
      <c r="K106" s="39">
        <v>0</v>
      </c>
      <c r="L106" s="39">
        <v>0</v>
      </c>
      <c r="M106" s="39">
        <v>0</v>
      </c>
      <c r="N106" s="39">
        <v>0</v>
      </c>
      <c r="O106" s="39">
        <v>0</v>
      </c>
      <c r="P106" s="39">
        <v>0</v>
      </c>
      <c r="Q106" s="39">
        <v>0</v>
      </c>
      <c r="R106" s="39">
        <v>0</v>
      </c>
      <c r="S106" s="39">
        <v>1</v>
      </c>
      <c r="T106" s="39">
        <v>0</v>
      </c>
      <c r="U106" s="29" t="str" cm="1">
        <f t="array" aca="1" ref="U106" ca="1">+fair_value_gap(OFFSET(T105,0,0,-1*$J$5,-1*$AA$1),OFFSET(E105,0,0,-1*$J$5,1),F106:T106,0)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V106" s="9" t="str" cm="1">
        <f t="array" aca="1" ref="V106" ca="1">z_score_diff(OFFSET(U106,0,0,$J$5*-1,1),OFFSET(E106,0,0,$J$5*-1,1))</f>
        <v/>
      </c>
      <c r="W106" s="9" t="str">
        <f t="shared" ca="1" si="76"/>
        <v/>
      </c>
      <c r="X106" s="17">
        <f t="shared" ca="1" si="71"/>
        <v>-2.1411053327339696E-2</v>
      </c>
      <c r="Y106" s="13">
        <f t="shared" ref="Y106:Z106" ca="1" si="112">+Y105</f>
        <v>0</v>
      </c>
      <c r="Z106" s="13">
        <f t="shared" ca="1" si="112"/>
        <v>0</v>
      </c>
      <c r="AA106" t="str">
        <f t="shared" ca="1" si="78"/>
        <v/>
      </c>
      <c r="AB106" t="str">
        <f t="shared" ca="1" si="79"/>
        <v/>
      </c>
      <c r="AC106" s="24" t="str">
        <f t="shared" ca="1" si="80"/>
        <v/>
      </c>
      <c r="AD106" s="24" t="str">
        <f t="shared" ca="1" si="81"/>
        <v/>
      </c>
    </row>
    <row r="107" spans="3:30" x14ac:dyDescent="0.25">
      <c r="C107" s="6">
        <v>201</v>
      </c>
      <c r="D107" s="36">
        <v>42291</v>
      </c>
      <c r="E107" s="38">
        <v>18.388000000000002</v>
      </c>
      <c r="F107" s="38">
        <v>47.965446889035142</v>
      </c>
      <c r="G107" s="38">
        <v>36.130000000000003</v>
      </c>
      <c r="H107" s="38">
        <v>2.4588129373517296</v>
      </c>
      <c r="I107" s="38">
        <v>6.9621681834968072</v>
      </c>
      <c r="J107" s="10">
        <v>0</v>
      </c>
      <c r="K107" s="39">
        <v>0</v>
      </c>
      <c r="L107" s="39">
        <v>0</v>
      </c>
      <c r="M107" s="39">
        <v>0</v>
      </c>
      <c r="N107" s="39">
        <v>0</v>
      </c>
      <c r="O107" s="39">
        <v>0</v>
      </c>
      <c r="P107" s="39">
        <v>0</v>
      </c>
      <c r="Q107" s="39">
        <v>0</v>
      </c>
      <c r="R107" s="39">
        <v>0</v>
      </c>
      <c r="S107" s="39">
        <v>1</v>
      </c>
      <c r="T107" s="39">
        <v>0</v>
      </c>
      <c r="U107" s="29" t="str" cm="1">
        <f t="array" aca="1" ref="U107" ca="1">+fair_value_gap(OFFSET(T106,0,0,-1*$J$5,-1*$AA$1),OFFSET(E106,0,0,-1*$J$5,1),F107:T107,0)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V107" s="9" t="str" cm="1">
        <f t="array" aca="1" ref="V107" ca="1">z_score_diff(OFFSET(U107,0,0,$J$5*-1,1),OFFSET(E107,0,0,$J$5*-1,1))</f>
        <v/>
      </c>
      <c r="W107" s="9" t="str">
        <f t="shared" ca="1" si="76"/>
        <v/>
      </c>
      <c r="X107" s="17">
        <f t="shared" ca="1" si="71"/>
        <v>-6.6568696744945229E-3</v>
      </c>
      <c r="Y107" s="13">
        <f t="shared" ref="Y107:Z107" ca="1" si="113">+Y106</f>
        <v>0</v>
      </c>
      <c r="Z107" s="13">
        <f t="shared" ca="1" si="113"/>
        <v>0</v>
      </c>
      <c r="AA107" t="str">
        <f t="shared" ca="1" si="78"/>
        <v/>
      </c>
      <c r="AB107" t="str">
        <f t="shared" ca="1" si="79"/>
        <v/>
      </c>
      <c r="AC107" s="24" t="str">
        <f t="shared" ca="1" si="80"/>
        <v/>
      </c>
      <c r="AD107" s="24" t="str">
        <f t="shared" ca="1" si="81"/>
        <v/>
      </c>
    </row>
    <row r="108" spans="3:30" x14ac:dyDescent="0.25">
      <c r="C108" s="6">
        <v>202</v>
      </c>
      <c r="D108" s="36">
        <v>42292</v>
      </c>
      <c r="E108" s="38">
        <v>18.494</v>
      </c>
      <c r="F108" s="38">
        <v>48.192918160978472</v>
      </c>
      <c r="G108" s="38">
        <v>36.21</v>
      </c>
      <c r="H108" s="38">
        <v>2.4379844251510003</v>
      </c>
      <c r="I108" s="38">
        <v>7.0192326975914012</v>
      </c>
      <c r="J108" s="10">
        <v>0</v>
      </c>
      <c r="K108" s="39">
        <v>0</v>
      </c>
      <c r="L108" s="39">
        <v>0</v>
      </c>
      <c r="M108" s="39">
        <v>0</v>
      </c>
      <c r="N108" s="39">
        <v>0</v>
      </c>
      <c r="O108" s="39">
        <v>0</v>
      </c>
      <c r="P108" s="39">
        <v>0</v>
      </c>
      <c r="Q108" s="39">
        <v>0</v>
      </c>
      <c r="R108" s="39">
        <v>0</v>
      </c>
      <c r="S108" s="39">
        <v>1</v>
      </c>
      <c r="T108" s="39">
        <v>0</v>
      </c>
      <c r="U108" s="29" t="str" cm="1">
        <f t="array" aca="1" ref="U108" ca="1">+fair_value_gap(OFFSET(T107,0,0,-1*$J$5,-1*$AA$1),OFFSET(E107,0,0,-1*$J$5,1),F108:T108,0)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V108" s="9" t="str" cm="1">
        <f t="array" aca="1" ref="V108" ca="1">z_score_diff(OFFSET(U108,0,0,$J$5*-1,1),OFFSET(E108,0,0,$J$5*-1,1))</f>
        <v/>
      </c>
      <c r="W108" s="9" t="str">
        <f t="shared" ca="1" si="76"/>
        <v/>
      </c>
      <c r="X108" s="17">
        <f t="shared" ca="1" si="71"/>
        <v>-9.2892538574089138E-3</v>
      </c>
      <c r="Y108" s="13">
        <f t="shared" ref="Y108:Z108" ca="1" si="114">+Y107</f>
        <v>0</v>
      </c>
      <c r="Z108" s="13">
        <f t="shared" ca="1" si="114"/>
        <v>0</v>
      </c>
      <c r="AA108" t="str">
        <f t="shared" ca="1" si="78"/>
        <v/>
      </c>
      <c r="AB108" t="str">
        <f t="shared" ca="1" si="79"/>
        <v/>
      </c>
      <c r="AC108" s="24" t="str">
        <f t="shared" ca="1" si="80"/>
        <v/>
      </c>
      <c r="AD108" s="24" t="str">
        <f t="shared" ca="1" si="81"/>
        <v/>
      </c>
    </row>
    <row r="109" spans="3:30" x14ac:dyDescent="0.25">
      <c r="C109" s="6">
        <v>203</v>
      </c>
      <c r="D109" s="36">
        <v>42293</v>
      </c>
      <c r="E109" s="38">
        <v>18.504000000000001</v>
      </c>
      <c r="F109" s="38">
        <v>49.290293240513193</v>
      </c>
      <c r="G109" s="38">
        <v>36.090000000000003</v>
      </c>
      <c r="H109" s="38">
        <v>2.4339050051161855</v>
      </c>
      <c r="I109" s="38">
        <v>7.0402210891790498</v>
      </c>
      <c r="J109" s="10">
        <v>0</v>
      </c>
      <c r="K109" s="39">
        <v>0</v>
      </c>
      <c r="L109" s="39">
        <v>0</v>
      </c>
      <c r="M109" s="39">
        <v>0</v>
      </c>
      <c r="N109" s="39">
        <v>0</v>
      </c>
      <c r="O109" s="39">
        <v>0</v>
      </c>
      <c r="P109" s="39">
        <v>0</v>
      </c>
      <c r="Q109" s="39">
        <v>0</v>
      </c>
      <c r="R109" s="39">
        <v>0</v>
      </c>
      <c r="S109" s="39">
        <v>1</v>
      </c>
      <c r="T109" s="39">
        <v>0</v>
      </c>
      <c r="U109" s="29" t="str" cm="1">
        <f t="array" aca="1" ref="U109" ca="1">+fair_value_gap(OFFSET(T108,0,0,-1*$J$5,-1*$AA$1),OFFSET(E108,0,0,-1*$J$5,1),F109:T109,0)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V109" s="9" t="str" cm="1">
        <f t="array" aca="1" ref="V109" ca="1">z_score_diff(OFFSET(U109,0,0,$J$5*-1,1),OFFSET(E109,0,0,$J$5*-1,1))</f>
        <v/>
      </c>
      <c r="W109" s="9" t="str">
        <f t="shared" ca="1" si="76"/>
        <v/>
      </c>
      <c r="X109" s="17">
        <f t="shared" ca="1" si="71"/>
        <v>-1.3986241974739952E-2</v>
      </c>
      <c r="Y109" s="13">
        <f t="shared" ref="Y109:Z109" ca="1" si="115">+Y108</f>
        <v>0</v>
      </c>
      <c r="Z109" s="13">
        <f t="shared" ca="1" si="115"/>
        <v>0</v>
      </c>
      <c r="AA109" t="str">
        <f t="shared" ca="1" si="78"/>
        <v/>
      </c>
      <c r="AB109" t="str">
        <f t="shared" ca="1" si="79"/>
        <v/>
      </c>
      <c r="AC109" s="24" t="str">
        <f t="shared" ca="1" si="80"/>
        <v/>
      </c>
      <c r="AD109" s="24" t="str">
        <f t="shared" ca="1" si="81"/>
        <v/>
      </c>
    </row>
    <row r="110" spans="3:30" x14ac:dyDescent="0.25">
      <c r="C110" s="6">
        <v>204</v>
      </c>
      <c r="D110" s="36">
        <v>42296</v>
      </c>
      <c r="E110" s="38">
        <v>18.594999999999999</v>
      </c>
      <c r="F110" s="38">
        <v>48.076375659637826</v>
      </c>
      <c r="G110" s="38">
        <v>35.979999999999997</v>
      </c>
      <c r="H110" s="38">
        <v>2.4454224966607541</v>
      </c>
      <c r="I110" s="38">
        <v>7.0507346339968029</v>
      </c>
      <c r="J110" s="10">
        <v>0</v>
      </c>
      <c r="K110" s="39">
        <v>0</v>
      </c>
      <c r="L110" s="39">
        <v>0</v>
      </c>
      <c r="M110" s="39">
        <v>0</v>
      </c>
      <c r="N110" s="39">
        <v>0</v>
      </c>
      <c r="O110" s="39">
        <v>0</v>
      </c>
      <c r="P110" s="39">
        <v>0</v>
      </c>
      <c r="Q110" s="39">
        <v>0</v>
      </c>
      <c r="R110" s="39">
        <v>0</v>
      </c>
      <c r="S110" s="39">
        <v>1</v>
      </c>
      <c r="T110" s="39">
        <v>0</v>
      </c>
      <c r="U110" s="29" t="str" cm="1">
        <f t="array" aca="1" ref="U110" ca="1">+fair_value_gap(OFFSET(T109,0,0,-1*$J$5,-1*$AA$1),OFFSET(E109,0,0,-1*$J$5,1),F110:T110,0)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V110" s="9" t="str" cm="1">
        <f t="array" aca="1" ref="V110" ca="1">z_score_diff(OFFSET(U110,0,0,$J$5*-1,1),OFFSET(E110,0,0,$J$5*-1,1))</f>
        <v/>
      </c>
      <c r="W110" s="9" t="str">
        <f t="shared" ca="1" si="76"/>
        <v/>
      </c>
      <c r="X110" s="17">
        <f t="shared" ca="1" si="71"/>
        <v>1.9966056569889513E-2</v>
      </c>
      <c r="Y110" s="13">
        <f t="shared" ref="Y110:Z110" ca="1" si="116">+Y109</f>
        <v>0</v>
      </c>
      <c r="Z110" s="13">
        <f t="shared" ca="1" si="116"/>
        <v>0</v>
      </c>
      <c r="AA110" t="str">
        <f t="shared" ca="1" si="78"/>
        <v/>
      </c>
      <c r="AB110" t="str">
        <f t="shared" ca="1" si="79"/>
        <v/>
      </c>
      <c r="AC110" s="24" t="str">
        <f t="shared" ca="1" si="80"/>
        <v/>
      </c>
      <c r="AD110" s="24" t="str">
        <f t="shared" ca="1" si="81"/>
        <v/>
      </c>
    </row>
    <row r="111" spans="3:30" x14ac:dyDescent="0.25">
      <c r="C111" s="6">
        <v>205</v>
      </c>
      <c r="D111" s="36">
        <v>42297</v>
      </c>
      <c r="E111" s="38">
        <v>18.341000000000001</v>
      </c>
      <c r="F111" s="38">
        <v>48.126182391674554</v>
      </c>
      <c r="G111" s="38">
        <v>35.770000000000003</v>
      </c>
      <c r="H111" s="38">
        <v>2.4487091167862025</v>
      </c>
      <c r="I111" s="38">
        <v>7.0375253088643097</v>
      </c>
      <c r="J111" s="10">
        <v>0</v>
      </c>
      <c r="K111" s="39">
        <v>0</v>
      </c>
      <c r="L111" s="39">
        <v>0</v>
      </c>
      <c r="M111" s="39">
        <v>0</v>
      </c>
      <c r="N111" s="39">
        <v>0</v>
      </c>
      <c r="O111" s="39">
        <v>0</v>
      </c>
      <c r="P111" s="39">
        <v>0</v>
      </c>
      <c r="Q111" s="39">
        <v>0</v>
      </c>
      <c r="R111" s="39">
        <v>0</v>
      </c>
      <c r="S111" s="39">
        <v>1</v>
      </c>
      <c r="T111" s="39">
        <v>0</v>
      </c>
      <c r="U111" s="29" t="str" cm="1">
        <f t="array" aca="1" ref="U111" ca="1">+fair_value_gap(OFFSET(T110,0,0,-1*$J$5,-1*$AA$1),OFFSET(E110,0,0,-1*$J$5,1),F111:T111,0)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V111" s="9" t="str" cm="1">
        <f t="array" aca="1" ref="V111" ca="1">z_score_diff(OFFSET(U111,0,0,$J$5*-1,1),OFFSET(E111,0,0,$J$5*-1,1))</f>
        <v/>
      </c>
      <c r="W111" s="9" t="str">
        <f t="shared" ca="1" si="76"/>
        <v/>
      </c>
      <c r="X111" s="17">
        <f t="shared" ca="1" si="71"/>
        <v>4.5562933027103535E-2</v>
      </c>
      <c r="Y111" s="13">
        <f t="shared" ref="Y111:Z111" ca="1" si="117">+Y110</f>
        <v>0</v>
      </c>
      <c r="Z111" s="13">
        <f t="shared" ca="1" si="117"/>
        <v>0</v>
      </c>
      <c r="AA111" t="str">
        <f t="shared" ca="1" si="78"/>
        <v/>
      </c>
      <c r="AB111" t="str">
        <f t="shared" ca="1" si="79"/>
        <v/>
      </c>
      <c r="AC111" s="24" t="str">
        <f t="shared" ca="1" si="80"/>
        <v/>
      </c>
      <c r="AD111" s="24" t="str">
        <f t="shared" ca="1" si="81"/>
        <v/>
      </c>
    </row>
    <row r="112" spans="3:30" x14ac:dyDescent="0.25">
      <c r="C112" s="6">
        <v>206</v>
      </c>
      <c r="D112" s="36">
        <v>42298</v>
      </c>
      <c r="E112" s="38">
        <v>18.206</v>
      </c>
      <c r="F112" s="38">
        <v>47.534955519112863</v>
      </c>
      <c r="G112" s="38">
        <v>35.770000000000003</v>
      </c>
      <c r="H112" s="38">
        <v>2.4213774285969309</v>
      </c>
      <c r="I112" s="38">
        <v>7.0444843874973975</v>
      </c>
      <c r="J112" s="10">
        <v>0</v>
      </c>
      <c r="K112" s="39">
        <v>0</v>
      </c>
      <c r="L112" s="39">
        <v>0</v>
      </c>
      <c r="M112" s="39">
        <v>0</v>
      </c>
      <c r="N112" s="39">
        <v>0</v>
      </c>
      <c r="O112" s="39">
        <v>0</v>
      </c>
      <c r="P112" s="39">
        <v>0</v>
      </c>
      <c r="Q112" s="39">
        <v>0</v>
      </c>
      <c r="R112" s="39">
        <v>0</v>
      </c>
      <c r="S112" s="39">
        <v>1</v>
      </c>
      <c r="T112" s="39">
        <v>0</v>
      </c>
      <c r="U112" s="29" t="str" cm="1">
        <f t="array" aca="1" ref="U112" ca="1">+fair_value_gap(OFFSET(T111,0,0,-1*$J$5,-1*$AA$1),OFFSET(E111,0,0,-1*$J$5,1),F112:T112,0)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V112" s="9" t="str" cm="1">
        <f t="array" aca="1" ref="V112" ca="1">z_score_diff(OFFSET(U112,0,0,$J$5*-1,1),OFFSET(E112,0,0,$J$5*-1,1))</f>
        <v/>
      </c>
      <c r="W112" s="9" t="str">
        <f t="shared" ca="1" si="76"/>
        <v/>
      </c>
      <c r="X112" s="17">
        <f t="shared" ca="1" si="71"/>
        <v>3.3168924074136595E-2</v>
      </c>
      <c r="Y112" s="13">
        <f t="shared" ref="Y112:Z112" ca="1" si="118">+Y111</f>
        <v>0</v>
      </c>
      <c r="Z112" s="13">
        <f t="shared" ca="1" si="118"/>
        <v>0</v>
      </c>
      <c r="AA112" t="str">
        <f t="shared" ca="1" si="78"/>
        <v/>
      </c>
      <c r="AB112" t="str">
        <f t="shared" ca="1" si="79"/>
        <v/>
      </c>
      <c r="AC112" s="24" t="str">
        <f t="shared" ca="1" si="80"/>
        <v/>
      </c>
      <c r="AD112" s="24" t="str">
        <f t="shared" ca="1" si="81"/>
        <v/>
      </c>
    </row>
    <row r="113" spans="3:30" x14ac:dyDescent="0.25">
      <c r="C113" s="6">
        <v>207</v>
      </c>
      <c r="D113" s="36">
        <v>42299</v>
      </c>
      <c r="E113" s="38">
        <v>18.274000000000001</v>
      </c>
      <c r="F113" s="38">
        <v>48.8458275661919</v>
      </c>
      <c r="G113" s="38">
        <v>35.909999999999997</v>
      </c>
      <c r="H113" s="38">
        <v>2.4628298432825826</v>
      </c>
      <c r="I113" s="38">
        <v>7.1884627405456092</v>
      </c>
      <c r="J113" s="10">
        <v>0</v>
      </c>
      <c r="K113" s="39">
        <v>0</v>
      </c>
      <c r="L113" s="39">
        <v>0</v>
      </c>
      <c r="M113" s="39">
        <v>0</v>
      </c>
      <c r="N113" s="39">
        <v>0</v>
      </c>
      <c r="O113" s="39">
        <v>0</v>
      </c>
      <c r="P113" s="39">
        <v>0</v>
      </c>
      <c r="Q113" s="39">
        <v>0</v>
      </c>
      <c r="R113" s="39">
        <v>0</v>
      </c>
      <c r="S113" s="39">
        <v>1</v>
      </c>
      <c r="T113" s="39">
        <v>0</v>
      </c>
      <c r="U113" s="29" t="str" cm="1">
        <f t="array" aca="1" ref="U113" ca="1">+fair_value_gap(OFFSET(T112,0,0,-1*$J$5,-1*$AA$1),OFFSET(E112,0,0,-1*$J$5,1),F113:T113,0)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V113" s="9" t="str" cm="1">
        <f t="array" aca="1" ref="V113" ca="1">z_score_diff(OFFSET(U113,0,0,$J$5*-1,1),OFFSET(E113,0,0,$J$5*-1,1))</f>
        <v/>
      </c>
      <c r="W113" s="9" t="str">
        <f t="shared" ca="1" si="76"/>
        <v/>
      </c>
      <c r="X113" s="17">
        <f t="shared" ca="1" si="71"/>
        <v>3.8232609791745854E-3</v>
      </c>
      <c r="Y113" s="13">
        <f t="shared" ref="Y113:Z113" ca="1" si="119">+Y112</f>
        <v>0</v>
      </c>
      <c r="Z113" s="13">
        <f t="shared" ca="1" si="119"/>
        <v>0</v>
      </c>
      <c r="AA113" t="str">
        <f t="shared" ca="1" si="78"/>
        <v/>
      </c>
      <c r="AB113" t="str">
        <f t="shared" ca="1" si="79"/>
        <v/>
      </c>
      <c r="AC113" s="24" t="str">
        <f t="shared" ca="1" si="80"/>
        <v/>
      </c>
      <c r="AD113" s="24" t="str">
        <f t="shared" ca="1" si="81"/>
        <v/>
      </c>
    </row>
    <row r="114" spans="3:30" x14ac:dyDescent="0.25">
      <c r="C114" s="6">
        <v>208</v>
      </c>
      <c r="D114" s="36">
        <v>42300</v>
      </c>
      <c r="E114" s="38">
        <v>18.361999999999998</v>
      </c>
      <c r="F114" s="38">
        <v>49.020313427733498</v>
      </c>
      <c r="G114" s="38">
        <v>36.11</v>
      </c>
      <c r="H114" s="38">
        <v>2.4307742132819947</v>
      </c>
      <c r="I114" s="38">
        <v>7.2419438996743377</v>
      </c>
      <c r="J114" s="10">
        <v>0</v>
      </c>
      <c r="K114" s="39">
        <v>0</v>
      </c>
      <c r="L114" s="39">
        <v>0</v>
      </c>
      <c r="M114" s="39">
        <v>0</v>
      </c>
      <c r="N114" s="39">
        <v>0</v>
      </c>
      <c r="O114" s="39">
        <v>0</v>
      </c>
      <c r="P114" s="39">
        <v>0</v>
      </c>
      <c r="Q114" s="39">
        <v>0</v>
      </c>
      <c r="R114" s="39">
        <v>0</v>
      </c>
      <c r="S114" s="39">
        <v>1</v>
      </c>
      <c r="T114" s="39">
        <v>0</v>
      </c>
      <c r="U114" s="29" t="str" cm="1">
        <f t="array" aca="1" ref="U114" ca="1">+fair_value_gap(OFFSET(T113,0,0,-1*$J$5,-1*$AA$1),OFFSET(E113,0,0,-1*$J$5,1),F114:T114,0)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V114" s="9" t="str" cm="1">
        <f t="array" aca="1" ref="V114" ca="1">z_score_diff(OFFSET(U114,0,0,$J$5*-1,1),OFFSET(E114,0,0,$J$5*-1,1))</f>
        <v/>
      </c>
      <c r="W114" s="9" t="str">
        <f t="shared" ca="1" si="76"/>
        <v/>
      </c>
      <c r="X114" s="17">
        <f t="shared" ca="1" si="71"/>
        <v>5.2145691218768346E-3</v>
      </c>
      <c r="Y114" s="13">
        <f t="shared" ref="Y114:Z114" ca="1" si="120">+Y113</f>
        <v>0</v>
      </c>
      <c r="Z114" s="13">
        <f t="shared" ca="1" si="120"/>
        <v>0</v>
      </c>
      <c r="AA114" t="str">
        <f t="shared" ca="1" si="78"/>
        <v/>
      </c>
      <c r="AB114" t="str">
        <f t="shared" ca="1" si="79"/>
        <v/>
      </c>
      <c r="AC114" s="24" t="str">
        <f t="shared" ca="1" si="80"/>
        <v/>
      </c>
      <c r="AD114" s="24" t="str">
        <f t="shared" ca="1" si="81"/>
        <v/>
      </c>
    </row>
    <row r="115" spans="3:30" x14ac:dyDescent="0.25">
      <c r="C115" s="6">
        <v>209</v>
      </c>
      <c r="D115" s="36">
        <v>42303</v>
      </c>
      <c r="E115" s="38">
        <v>18.202999999999999</v>
      </c>
      <c r="F115" s="38">
        <v>48.626550957469703</v>
      </c>
      <c r="G115" s="38">
        <v>36</v>
      </c>
      <c r="H115" s="38">
        <v>2.3488488847450335</v>
      </c>
      <c r="I115" s="38">
        <v>7.2168830237395118</v>
      </c>
      <c r="J115" s="10">
        <v>0</v>
      </c>
      <c r="K115" s="39">
        <v>0</v>
      </c>
      <c r="L115" s="39">
        <v>0</v>
      </c>
      <c r="M115" s="39">
        <v>0</v>
      </c>
      <c r="N115" s="39">
        <v>0</v>
      </c>
      <c r="O115" s="39">
        <v>0</v>
      </c>
      <c r="P115" s="39">
        <v>0</v>
      </c>
      <c r="Q115" s="39">
        <v>0</v>
      </c>
      <c r="R115" s="39">
        <v>0</v>
      </c>
      <c r="S115" s="39">
        <v>1</v>
      </c>
      <c r="T115" s="39">
        <v>0</v>
      </c>
      <c r="U115" s="29" t="str" cm="1">
        <f t="array" aca="1" ref="U115" ca="1">+fair_value_gap(OFFSET(T114,0,0,-1*$J$5,-1*$AA$1),OFFSET(E114,0,0,-1*$J$5,1),F115:T115,0)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V115" s="9" t="str" cm="1">
        <f t="array" aca="1" ref="V115" ca="1">z_score_diff(OFFSET(U115,0,0,$J$5*-1,1),OFFSET(E115,0,0,$J$5*-1,1))</f>
        <v/>
      </c>
      <c r="W115" s="9" t="str">
        <f t="shared" ca="1" si="76"/>
        <v/>
      </c>
      <c r="X115" s="17">
        <f t="shared" ca="1" si="71"/>
        <v>-1.7624042952780618E-2</v>
      </c>
      <c r="Y115" s="13">
        <f t="shared" ref="Y115:Z115" ca="1" si="121">+Y114</f>
        <v>0</v>
      </c>
      <c r="Z115" s="13">
        <f t="shared" ca="1" si="121"/>
        <v>0</v>
      </c>
      <c r="AA115" t="str">
        <f t="shared" ca="1" si="78"/>
        <v/>
      </c>
      <c r="AB115" t="str">
        <f t="shared" ca="1" si="79"/>
        <v/>
      </c>
      <c r="AC115" s="24" t="str">
        <f t="shared" ca="1" si="80"/>
        <v/>
      </c>
      <c r="AD115" s="24" t="str">
        <f t="shared" ca="1" si="81"/>
        <v/>
      </c>
    </row>
    <row r="116" spans="3:30" x14ac:dyDescent="0.25">
      <c r="C116" s="6">
        <v>210</v>
      </c>
      <c r="D116" s="36">
        <v>42304</v>
      </c>
      <c r="E116" s="38">
        <v>18.195</v>
      </c>
      <c r="F116" s="38">
        <v>48.075887761913989</v>
      </c>
      <c r="G116" s="38">
        <v>35.950000000000003</v>
      </c>
      <c r="H116" s="38">
        <v>2.3679034677807209</v>
      </c>
      <c r="I116" s="38">
        <v>7.2230477133894677</v>
      </c>
      <c r="J116" s="10">
        <v>0</v>
      </c>
      <c r="K116" s="39">
        <v>0</v>
      </c>
      <c r="L116" s="39">
        <v>0</v>
      </c>
      <c r="M116" s="39">
        <v>0</v>
      </c>
      <c r="N116" s="39">
        <v>0</v>
      </c>
      <c r="O116" s="39">
        <v>0</v>
      </c>
      <c r="P116" s="39">
        <v>0</v>
      </c>
      <c r="Q116" s="39">
        <v>0</v>
      </c>
      <c r="R116" s="39">
        <v>0</v>
      </c>
      <c r="S116" s="39">
        <v>1</v>
      </c>
      <c r="T116" s="39">
        <v>0</v>
      </c>
      <c r="U116" s="29" t="str" cm="1">
        <f t="array" aca="1" ref="U116" ca="1">+fair_value_gap(OFFSET(T115,0,0,-1*$J$5,-1*$AA$1),OFFSET(E115,0,0,-1*$J$5,1),F116:T116,0)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V116" s="9" t="str" cm="1">
        <f t="array" aca="1" ref="V116" ca="1">z_score_diff(OFFSET(U116,0,0,$J$5*-1,1),OFFSET(E116,0,0,$J$5*-1,1))</f>
        <v/>
      </c>
      <c r="W116" s="9" t="str">
        <f t="shared" ca="1" si="76"/>
        <v/>
      </c>
      <c r="X116" s="17">
        <f t="shared" ca="1" si="71"/>
        <v>-1.7184458353142001E-2</v>
      </c>
      <c r="Y116" s="13">
        <f t="shared" ref="Y116:Z116" ca="1" si="122">+Y115</f>
        <v>0</v>
      </c>
      <c r="Z116" s="13">
        <f t="shared" ca="1" si="122"/>
        <v>0</v>
      </c>
      <c r="AA116" t="str">
        <f t="shared" ca="1" si="78"/>
        <v/>
      </c>
      <c r="AB116" t="str">
        <f t="shared" ca="1" si="79"/>
        <v/>
      </c>
      <c r="AC116" s="24" t="str">
        <f t="shared" ca="1" si="80"/>
        <v/>
      </c>
      <c r="AD116" s="24" t="str">
        <f t="shared" ca="1" si="81"/>
        <v/>
      </c>
    </row>
    <row r="117" spans="3:30" x14ac:dyDescent="0.25">
      <c r="C117" s="6">
        <v>211</v>
      </c>
      <c r="D117" s="36">
        <v>42305</v>
      </c>
      <c r="E117" s="38">
        <v>18.170000000000002</v>
      </c>
      <c r="F117" s="38">
        <v>50.607416009653335</v>
      </c>
      <c r="G117" s="38">
        <v>35.950000000000003</v>
      </c>
      <c r="H117" s="38">
        <v>2.3616189292421592</v>
      </c>
      <c r="I117" s="38">
        <v>7.303508405839179</v>
      </c>
      <c r="J117" s="10">
        <v>0</v>
      </c>
      <c r="K117" s="39">
        <v>0</v>
      </c>
      <c r="L117" s="39">
        <v>0</v>
      </c>
      <c r="M117" s="39">
        <v>0</v>
      </c>
      <c r="N117" s="39">
        <v>0</v>
      </c>
      <c r="O117" s="39">
        <v>0</v>
      </c>
      <c r="P117" s="39">
        <v>0</v>
      </c>
      <c r="Q117" s="39">
        <v>0</v>
      </c>
      <c r="R117" s="39">
        <v>0</v>
      </c>
      <c r="S117" s="39">
        <v>1</v>
      </c>
      <c r="T117" s="39">
        <v>0</v>
      </c>
      <c r="U117" s="29" t="str" cm="1">
        <f t="array" aca="1" ref="U117" ca="1">+fair_value_gap(OFFSET(T116,0,0,-1*$J$5,-1*$AA$1),OFFSET(E116,0,0,-1*$J$5,1),F117:T117,0)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V117" s="9" t="str" cm="1">
        <f t="array" aca="1" ref="V117" ca="1">z_score_diff(OFFSET(U117,0,0,$J$5*-1,1),OFFSET(E117,0,0,$J$5*-1,1))</f>
        <v/>
      </c>
      <c r="W117" s="9" t="str">
        <f t="shared" ca="1" si="76"/>
        <v/>
      </c>
      <c r="X117" s="17">
        <f t="shared" ca="1" si="71"/>
        <v>-2.3161039761952218E-2</v>
      </c>
      <c r="Y117" s="13">
        <f t="shared" ref="Y117:Z117" ca="1" si="123">+Y116</f>
        <v>0</v>
      </c>
      <c r="Z117" s="13">
        <f t="shared" ca="1" si="123"/>
        <v>0</v>
      </c>
      <c r="AA117" t="str">
        <f t="shared" ca="1" si="78"/>
        <v/>
      </c>
      <c r="AB117" t="str">
        <f t="shared" ca="1" si="79"/>
        <v/>
      </c>
      <c r="AC117" s="24" t="str">
        <f t="shared" ca="1" si="80"/>
        <v/>
      </c>
      <c r="AD117" s="24" t="str">
        <f t="shared" ca="1" si="81"/>
        <v/>
      </c>
    </row>
    <row r="118" spans="3:30" x14ac:dyDescent="0.25">
      <c r="C118" s="6">
        <v>212</v>
      </c>
      <c r="D118" s="36">
        <v>42306</v>
      </c>
      <c r="E118" s="38">
        <v>18.190000000000001</v>
      </c>
      <c r="F118" s="38">
        <v>50.1966728014146</v>
      </c>
      <c r="G118" s="38">
        <v>36.07</v>
      </c>
      <c r="H118" s="38">
        <v>2.4006712135974881</v>
      </c>
      <c r="I118" s="38">
        <v>7.2624589513189708</v>
      </c>
      <c r="J118" s="10">
        <v>0</v>
      </c>
      <c r="K118" s="39">
        <v>0</v>
      </c>
      <c r="L118" s="39">
        <v>0</v>
      </c>
      <c r="M118" s="39">
        <v>0</v>
      </c>
      <c r="N118" s="39">
        <v>0</v>
      </c>
      <c r="O118" s="39">
        <v>0</v>
      </c>
      <c r="P118" s="39">
        <v>0</v>
      </c>
      <c r="Q118" s="39">
        <v>0</v>
      </c>
      <c r="R118" s="39">
        <v>0</v>
      </c>
      <c r="S118" s="39">
        <v>1</v>
      </c>
      <c r="T118" s="39">
        <v>0</v>
      </c>
      <c r="U118" s="29" t="str" cm="1">
        <f t="array" aca="1" ref="U118" ca="1">+fair_value_gap(OFFSET(T117,0,0,-1*$J$5,-1*$AA$1),OFFSET(E117,0,0,-1*$J$5,1),F118:T118,0)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V118" s="9" t="str" cm="1">
        <f t="array" aca="1" ref="V118" ca="1">z_score_diff(OFFSET(U118,0,0,$J$5*-1,1),OFFSET(E118,0,0,$J$5*-1,1))</f>
        <v/>
      </c>
      <c r="W118" s="9" t="str">
        <f t="shared" ca="1" si="76"/>
        <v/>
      </c>
      <c r="X118" s="17">
        <f t="shared" ca="1" si="71"/>
        <v>-2.6403806469079163E-2</v>
      </c>
      <c r="Y118" s="13">
        <f t="shared" ref="Y118:Z118" ca="1" si="124">+Y117</f>
        <v>0</v>
      </c>
      <c r="Z118" s="13">
        <f t="shared" ca="1" si="124"/>
        <v>0</v>
      </c>
      <c r="AA118" t="str">
        <f t="shared" ca="1" si="78"/>
        <v/>
      </c>
      <c r="AB118" t="str">
        <f t="shared" ca="1" si="79"/>
        <v/>
      </c>
      <c r="AC118" s="24" t="str">
        <f t="shared" ca="1" si="80"/>
        <v/>
      </c>
      <c r="AD118" s="24" t="str">
        <f t="shared" ca="1" si="81"/>
        <v/>
      </c>
    </row>
    <row r="119" spans="3:30" x14ac:dyDescent="0.25">
      <c r="C119" s="6">
        <v>213</v>
      </c>
      <c r="D119" s="36">
        <v>42307</v>
      </c>
      <c r="E119" s="38">
        <v>18.745000000000001</v>
      </c>
      <c r="F119" s="38">
        <v>50.620884128922192</v>
      </c>
      <c r="G119" s="38">
        <v>37.26</v>
      </c>
      <c r="H119" s="38">
        <v>2.4347691513128948</v>
      </c>
      <c r="I119" s="38">
        <v>7.2431233067512215</v>
      </c>
      <c r="J119" s="10">
        <v>0</v>
      </c>
      <c r="K119" s="39">
        <v>0</v>
      </c>
      <c r="L119" s="39">
        <v>0</v>
      </c>
      <c r="M119" s="39">
        <v>0</v>
      </c>
      <c r="N119" s="39">
        <v>0</v>
      </c>
      <c r="O119" s="39">
        <v>0</v>
      </c>
      <c r="P119" s="39">
        <v>0</v>
      </c>
      <c r="Q119" s="39">
        <v>0</v>
      </c>
      <c r="R119" s="39">
        <v>0</v>
      </c>
      <c r="S119" s="39">
        <v>1</v>
      </c>
      <c r="T119" s="39">
        <v>0</v>
      </c>
      <c r="U119" s="29" t="str" cm="1">
        <f t="array" aca="1" ref="U119" ca="1">+fair_value_gap(OFFSET(T118,0,0,-1*$J$5,-1*$AA$1),OFFSET(E118,0,0,-1*$J$5,1),F119:T119,0)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V119" s="9" t="str" cm="1">
        <f t="array" aca="1" ref="V119" ca="1">z_score_diff(OFFSET(U119,0,0,$J$5*-1,1),OFFSET(E119,0,0,$J$5*-1,1))</f>
        <v/>
      </c>
      <c r="W119" s="9" t="str">
        <f t="shared" ca="1" si="76"/>
        <v/>
      </c>
      <c r="X119" s="17">
        <f t="shared" ca="1" si="71"/>
        <v>-6.3937652526609892E-2</v>
      </c>
      <c r="Y119" s="13">
        <f t="shared" ref="Y119:Z119" ca="1" si="125">+Y118</f>
        <v>0</v>
      </c>
      <c r="Z119" s="13">
        <f t="shared" ca="1" si="125"/>
        <v>0</v>
      </c>
      <c r="AA119" t="str">
        <f t="shared" ca="1" si="78"/>
        <v/>
      </c>
      <c r="AB119" t="str">
        <f t="shared" ca="1" si="79"/>
        <v/>
      </c>
      <c r="AC119" s="24" t="str">
        <f t="shared" ca="1" si="80"/>
        <v/>
      </c>
      <c r="AD119" s="24" t="str">
        <f t="shared" ca="1" si="81"/>
        <v/>
      </c>
    </row>
    <row r="120" spans="3:30" x14ac:dyDescent="0.25">
      <c r="C120" s="6">
        <v>214</v>
      </c>
      <c r="D120" s="36">
        <v>42310</v>
      </c>
      <c r="E120" s="38">
        <v>18.573</v>
      </c>
      <c r="F120" s="38">
        <v>50.161042399887037</v>
      </c>
      <c r="G120" s="38">
        <v>37.06</v>
      </c>
      <c r="H120" s="38">
        <v>2.4167602820243226</v>
      </c>
      <c r="I120" s="38">
        <v>7.2403871493471526</v>
      </c>
      <c r="J120" s="10">
        <v>0</v>
      </c>
      <c r="K120" s="39">
        <v>0</v>
      </c>
      <c r="L120" s="39">
        <v>0</v>
      </c>
      <c r="M120" s="39">
        <v>0</v>
      </c>
      <c r="N120" s="39">
        <v>0</v>
      </c>
      <c r="O120" s="39">
        <v>0</v>
      </c>
      <c r="P120" s="39">
        <v>0</v>
      </c>
      <c r="Q120" s="39">
        <v>0</v>
      </c>
      <c r="R120" s="39">
        <v>0</v>
      </c>
      <c r="S120" s="39">
        <v>0</v>
      </c>
      <c r="T120" s="39">
        <v>1</v>
      </c>
      <c r="U120" s="29" t="str" cm="1">
        <f t="array" aca="1" ref="U120" ca="1">+fair_value_gap(OFFSET(T119,0,0,-1*$J$5,-1*$AA$1),OFFSET(E119,0,0,-1*$J$5,1),F120:T120,0)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V120" s="9" t="str" cm="1">
        <f t="array" aca="1" ref="V120" ca="1">z_score_diff(OFFSET(U120,0,0,$J$5*-1,1),OFFSET(E120,0,0,$J$5*-1,1))</f>
        <v/>
      </c>
      <c r="W120" s="9" t="str">
        <f t="shared" ca="1" si="76"/>
        <v/>
      </c>
      <c r="X120" s="17">
        <f t="shared" ca="1" si="71"/>
        <v>-7.470869345161317E-2</v>
      </c>
      <c r="Y120" s="13">
        <f t="shared" ref="Y120:Z120" ca="1" si="126">+Y119</f>
        <v>0</v>
      </c>
      <c r="Z120" s="13">
        <f t="shared" ca="1" si="126"/>
        <v>0</v>
      </c>
      <c r="AA120" t="str">
        <f t="shared" ca="1" si="78"/>
        <v/>
      </c>
      <c r="AB120" t="str">
        <f t="shared" ca="1" si="79"/>
        <v/>
      </c>
      <c r="AC120" s="24" t="str">
        <f t="shared" ca="1" si="80"/>
        <v/>
      </c>
      <c r="AD120" s="24" t="str">
        <f t="shared" ca="1" si="81"/>
        <v/>
      </c>
    </row>
    <row r="121" spans="3:30" x14ac:dyDescent="0.25">
      <c r="C121" s="6">
        <v>215</v>
      </c>
      <c r="D121" s="36">
        <v>42311</v>
      </c>
      <c r="E121" s="38">
        <v>18.558</v>
      </c>
      <c r="F121" s="38">
        <v>51.71264851471738</v>
      </c>
      <c r="G121" s="38">
        <v>36.979999999999997</v>
      </c>
      <c r="H121" s="38">
        <v>2.4389010588135438</v>
      </c>
      <c r="I121" s="38">
        <v>7.2688461767675037</v>
      </c>
      <c r="J121" s="10">
        <v>0</v>
      </c>
      <c r="K121" s="39">
        <v>0</v>
      </c>
      <c r="L121" s="39">
        <v>0</v>
      </c>
      <c r="M121" s="39">
        <v>0</v>
      </c>
      <c r="N121" s="39">
        <v>0</v>
      </c>
      <c r="O121" s="39">
        <v>0</v>
      </c>
      <c r="P121" s="39">
        <v>0</v>
      </c>
      <c r="Q121" s="39">
        <v>0</v>
      </c>
      <c r="R121" s="39">
        <v>0</v>
      </c>
      <c r="S121" s="39">
        <v>0</v>
      </c>
      <c r="T121" s="39">
        <v>1</v>
      </c>
      <c r="U121" s="29" t="str" cm="1">
        <f t="array" aca="1" ref="U121" ca="1">+fair_value_gap(OFFSET(T120,0,0,-1*$J$5,-1*$AA$1),OFFSET(E120,0,0,-1*$J$5,1),F121:T121,0)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V121" s="9" t="str" cm="1">
        <f t="array" aca="1" ref="V121" ca="1">z_score_diff(OFFSET(U121,0,0,$J$5*-1,1),OFFSET(E121,0,0,$J$5*-1,1))</f>
        <v/>
      </c>
      <c r="W121" s="9" t="str">
        <f t="shared" ca="1" si="76"/>
        <v/>
      </c>
      <c r="X121" s="17">
        <f t="shared" ca="1" si="71"/>
        <v>-6.4200898072553858E-2</v>
      </c>
      <c r="Y121" s="13">
        <f t="shared" ref="Y121:Z121" ca="1" si="127">+Y120</f>
        <v>0</v>
      </c>
      <c r="Z121" s="13">
        <f t="shared" ca="1" si="127"/>
        <v>0</v>
      </c>
      <c r="AA121" t="str">
        <f t="shared" ca="1" si="78"/>
        <v/>
      </c>
      <c r="AB121" t="str">
        <f t="shared" ca="1" si="79"/>
        <v/>
      </c>
      <c r="AC121" s="24" t="str">
        <f t="shared" ca="1" si="80"/>
        <v/>
      </c>
      <c r="AD121" s="24" t="str">
        <f t="shared" ca="1" si="81"/>
        <v/>
      </c>
    </row>
    <row r="122" spans="3:30" x14ac:dyDescent="0.25">
      <c r="C122" s="6">
        <v>216</v>
      </c>
      <c r="D122" s="36">
        <v>42312</v>
      </c>
      <c r="E122" s="38">
        <v>18.585000000000001</v>
      </c>
      <c r="F122" s="38">
        <v>50.519598906107568</v>
      </c>
      <c r="G122" s="38">
        <v>36.89</v>
      </c>
      <c r="H122" s="38">
        <v>2.453053783044667</v>
      </c>
      <c r="I122" s="38">
        <v>7.3381950774840483</v>
      </c>
      <c r="J122" s="10">
        <v>0</v>
      </c>
      <c r="K122" s="39">
        <v>0</v>
      </c>
      <c r="L122" s="39">
        <v>0</v>
      </c>
      <c r="M122" s="39">
        <v>0</v>
      </c>
      <c r="N122" s="39">
        <v>0</v>
      </c>
      <c r="O122" s="39">
        <v>0</v>
      </c>
      <c r="P122" s="39">
        <v>0</v>
      </c>
      <c r="Q122" s="39">
        <v>0</v>
      </c>
      <c r="R122" s="39">
        <v>0</v>
      </c>
      <c r="S122" s="39">
        <v>0</v>
      </c>
      <c r="T122" s="39">
        <v>1</v>
      </c>
      <c r="U122" s="29" t="str" cm="1">
        <f t="array" aca="1" ref="U122" ca="1">+fair_value_gap(OFFSET(T121,0,0,-1*$J$5,-1*$AA$1),OFFSET(E121,0,0,-1*$J$5,1),F122:T122,0)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V122" s="9" t="str" cm="1">
        <f t="array" aca="1" ref="V122" ca="1">z_score_diff(OFFSET(U122,0,0,$J$5*-1,1),OFFSET(E122,0,0,$J$5*-1,1))</f>
        <v/>
      </c>
      <c r="W122" s="9" t="str">
        <f t="shared" ca="1" si="76"/>
        <v/>
      </c>
      <c r="X122" s="17">
        <f t="shared" ca="1" si="71"/>
        <v>-8.6791282348045881E-2</v>
      </c>
      <c r="Y122" s="13">
        <f t="shared" ref="Y122:Z122" ca="1" si="128">+Y121</f>
        <v>0</v>
      </c>
      <c r="Z122" s="13">
        <f t="shared" ca="1" si="128"/>
        <v>0</v>
      </c>
      <c r="AA122" t="str">
        <f t="shared" ca="1" si="78"/>
        <v/>
      </c>
      <c r="AB122" t="str">
        <f t="shared" ca="1" si="79"/>
        <v/>
      </c>
      <c r="AC122" s="24" t="str">
        <f t="shared" ca="1" si="80"/>
        <v/>
      </c>
      <c r="AD122" s="24" t="str">
        <f t="shared" ca="1" si="81"/>
        <v/>
      </c>
    </row>
    <row r="123" spans="3:30" x14ac:dyDescent="0.25">
      <c r="C123" s="6">
        <v>217</v>
      </c>
      <c r="D123" s="36">
        <v>42313</v>
      </c>
      <c r="E123" s="38">
        <v>18.309000000000001</v>
      </c>
      <c r="F123" s="38">
        <v>49.910218034116241</v>
      </c>
      <c r="G123" s="38">
        <v>36.4</v>
      </c>
      <c r="H123" s="38">
        <v>2.4955109017058117</v>
      </c>
      <c r="I123" s="38">
        <v>7.326354033089638</v>
      </c>
      <c r="J123" s="10">
        <v>0</v>
      </c>
      <c r="K123" s="39">
        <v>0</v>
      </c>
      <c r="L123" s="39">
        <v>0</v>
      </c>
      <c r="M123" s="39">
        <v>0</v>
      </c>
      <c r="N123" s="39">
        <v>0</v>
      </c>
      <c r="O123" s="39">
        <v>0</v>
      </c>
      <c r="P123" s="39">
        <v>0</v>
      </c>
      <c r="Q123" s="39">
        <v>0</v>
      </c>
      <c r="R123" s="39">
        <v>0</v>
      </c>
      <c r="S123" s="39">
        <v>0</v>
      </c>
      <c r="T123" s="39">
        <v>1</v>
      </c>
      <c r="U123" s="29" t="str" cm="1">
        <f t="array" aca="1" ref="U123" ca="1">+fair_value_gap(OFFSET(T122,0,0,-1*$J$5,-1*$AA$1),OFFSET(E122,0,0,-1*$J$5,1),F123:T123,0)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V123" s="9" t="str" cm="1">
        <f t="array" aca="1" ref="V123" ca="1">z_score_diff(OFFSET(U123,0,0,$J$5*-1,1),OFFSET(E123,0,0,$J$5*-1,1))</f>
        <v/>
      </c>
      <c r="W123" s="9" t="str">
        <f t="shared" ca="1" si="76"/>
        <v/>
      </c>
      <c r="X123" s="17">
        <f t="shared" ca="1" si="71"/>
        <v>-7.294486640463152E-2</v>
      </c>
      <c r="Y123" s="13">
        <f t="shared" ref="Y123:Z123" ca="1" si="129">+Y122</f>
        <v>0</v>
      </c>
      <c r="Z123" s="13">
        <f t="shared" ca="1" si="129"/>
        <v>0</v>
      </c>
      <c r="AA123" t="str">
        <f t="shared" ca="1" si="78"/>
        <v/>
      </c>
      <c r="AB123" t="str">
        <f t="shared" ca="1" si="79"/>
        <v/>
      </c>
      <c r="AC123" s="24" t="str">
        <f t="shared" ca="1" si="80"/>
        <v/>
      </c>
      <c r="AD123" s="24" t="str">
        <f t="shared" ca="1" si="81"/>
        <v/>
      </c>
    </row>
    <row r="124" spans="3:30" x14ac:dyDescent="0.25">
      <c r="C124" s="6">
        <v>218</v>
      </c>
      <c r="D124" s="36">
        <v>42314</v>
      </c>
      <c r="E124" s="38">
        <v>18.143000000000001</v>
      </c>
      <c r="F124" s="38">
        <v>50.035654203971532</v>
      </c>
      <c r="G124" s="38">
        <v>36.340000000000003</v>
      </c>
      <c r="H124" s="38">
        <v>2.5289609793758396</v>
      </c>
      <c r="I124" s="38">
        <v>7.4164429449819709</v>
      </c>
      <c r="J124" s="10">
        <v>0</v>
      </c>
      <c r="K124" s="39">
        <v>0</v>
      </c>
      <c r="L124" s="39">
        <v>0</v>
      </c>
      <c r="M124" s="39">
        <v>0</v>
      </c>
      <c r="N124" s="39">
        <v>0</v>
      </c>
      <c r="O124" s="39">
        <v>0</v>
      </c>
      <c r="P124" s="39">
        <v>0</v>
      </c>
      <c r="Q124" s="39">
        <v>0</v>
      </c>
      <c r="R124" s="39">
        <v>0</v>
      </c>
      <c r="S124" s="39">
        <v>0</v>
      </c>
      <c r="T124" s="39">
        <v>1</v>
      </c>
      <c r="U124" s="29" t="str" cm="1">
        <f t="array" aca="1" ref="U124" ca="1">+fair_value_gap(OFFSET(T123,0,0,-1*$J$5,-1*$AA$1),OFFSET(E123,0,0,-1*$J$5,1),F124:T124,0)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V124" s="9" t="str" cm="1">
        <f t="array" aca="1" ref="V124" ca="1">z_score_diff(OFFSET(U124,0,0,$J$5*-1,1),OFFSET(E124,0,0,$J$5*-1,1))</f>
        <v/>
      </c>
      <c r="W124" s="9" t="str">
        <f t="shared" ca="1" si="76"/>
        <v/>
      </c>
      <c r="X124" s="17">
        <f t="shared" ca="1" si="71"/>
        <v>-7.8573982079509982E-2</v>
      </c>
      <c r="Y124" s="13">
        <f t="shared" ref="Y124:Z124" ca="1" si="130">+Y123</f>
        <v>0</v>
      </c>
      <c r="Z124" s="13">
        <f t="shared" ca="1" si="130"/>
        <v>0</v>
      </c>
      <c r="AA124" t="str">
        <f t="shared" ca="1" si="78"/>
        <v/>
      </c>
      <c r="AB124" t="str">
        <f t="shared" ca="1" si="79"/>
        <v/>
      </c>
      <c r="AC124" s="24" t="str">
        <f t="shared" ca="1" si="80"/>
        <v/>
      </c>
      <c r="AD124" s="24" t="str">
        <f t="shared" ca="1" si="81"/>
        <v/>
      </c>
    </row>
    <row r="125" spans="3:30" x14ac:dyDescent="0.25">
      <c r="C125" s="6">
        <v>219</v>
      </c>
      <c r="D125" s="36">
        <v>42317</v>
      </c>
      <c r="E125" s="38">
        <v>17.741</v>
      </c>
      <c r="F125" s="38">
        <v>49.801318659500723</v>
      </c>
      <c r="G125" s="38">
        <v>36.200000000000003</v>
      </c>
      <c r="H125" s="38">
        <v>2.4781165578813944</v>
      </c>
      <c r="I125" s="38">
        <v>7.3994207310627687</v>
      </c>
      <c r="J125" s="10">
        <v>0</v>
      </c>
      <c r="K125" s="39">
        <v>0</v>
      </c>
      <c r="L125" s="39">
        <v>0</v>
      </c>
      <c r="M125" s="39">
        <v>0</v>
      </c>
      <c r="N125" s="39">
        <v>0</v>
      </c>
      <c r="O125" s="39">
        <v>0</v>
      </c>
      <c r="P125" s="39">
        <v>0</v>
      </c>
      <c r="Q125" s="39">
        <v>0</v>
      </c>
      <c r="R125" s="39">
        <v>0</v>
      </c>
      <c r="S125" s="39">
        <v>0</v>
      </c>
      <c r="T125" s="39">
        <v>1</v>
      </c>
      <c r="U125" s="29" t="str" cm="1">
        <f t="array" aca="1" ref="U125" ca="1">+fair_value_gap(OFFSET(T124,0,0,-1*$J$5,-1*$AA$1),OFFSET(E124,0,0,-1*$J$5,1),F125:T125,0)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V125" s="9" t="str" cm="1">
        <f t="array" aca="1" ref="V125" ca="1">z_score_diff(OFFSET(U125,0,0,$J$5*-1,1),OFFSET(E125,0,0,$J$5*-1,1))</f>
        <v/>
      </c>
      <c r="W125" s="9" t="str">
        <f t="shared" ca="1" si="76"/>
        <v/>
      </c>
      <c r="X125" s="17">
        <f t="shared" ca="1" si="71"/>
        <v>-7.7073780707837353E-2</v>
      </c>
      <c r="Y125" s="13">
        <f t="shared" ref="Y125:Z125" ca="1" si="131">+Y124</f>
        <v>0</v>
      </c>
      <c r="Z125" s="13">
        <f t="shared" ca="1" si="131"/>
        <v>0</v>
      </c>
      <c r="AA125" t="str">
        <f t="shared" ca="1" si="78"/>
        <v/>
      </c>
      <c r="AB125" t="str">
        <f t="shared" ca="1" si="79"/>
        <v/>
      </c>
      <c r="AC125" s="24" t="str">
        <f t="shared" ca="1" si="80"/>
        <v/>
      </c>
      <c r="AD125" s="24" t="str">
        <f t="shared" ca="1" si="81"/>
        <v/>
      </c>
    </row>
    <row r="126" spans="3:30" x14ac:dyDescent="0.25">
      <c r="C126" s="6">
        <v>220</v>
      </c>
      <c r="D126" s="36">
        <v>42318</v>
      </c>
      <c r="E126" s="38">
        <v>17.651</v>
      </c>
      <c r="F126" s="38">
        <v>50.115953655421706</v>
      </c>
      <c r="G126" s="38">
        <v>36.17</v>
      </c>
      <c r="H126" s="38">
        <v>2.5164017944001071</v>
      </c>
      <c r="I126" s="38">
        <v>7.4228781403154507</v>
      </c>
      <c r="J126" s="10">
        <v>0</v>
      </c>
      <c r="K126" s="39">
        <v>0</v>
      </c>
      <c r="L126" s="39">
        <v>0</v>
      </c>
      <c r="M126" s="39">
        <v>0</v>
      </c>
      <c r="N126" s="39">
        <v>0</v>
      </c>
      <c r="O126" s="39">
        <v>0</v>
      </c>
      <c r="P126" s="39">
        <v>0</v>
      </c>
      <c r="Q126" s="39">
        <v>0</v>
      </c>
      <c r="R126" s="39">
        <v>0</v>
      </c>
      <c r="S126" s="39">
        <v>0</v>
      </c>
      <c r="T126" s="39">
        <v>1</v>
      </c>
      <c r="U126" s="29" t="str" cm="1">
        <f t="array" aca="1" ref="U126" ca="1">+fair_value_gap(OFFSET(T125,0,0,-1*$J$5,-1*$AA$1),OFFSET(E125,0,0,-1*$J$5,1),F126:T126,0)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V126" s="9" t="str" cm="1">
        <f t="array" aca="1" ref="V126" ca="1">z_score_diff(OFFSET(U126,0,0,$J$5*-1,1),OFFSET(E126,0,0,$J$5*-1,1))</f>
        <v/>
      </c>
      <c r="W126" s="9" t="str">
        <f t="shared" ca="1" si="76"/>
        <v/>
      </c>
      <c r="X126" s="17">
        <f t="shared" ca="1" si="71"/>
        <v>-7.265780979062185E-2</v>
      </c>
      <c r="Y126" s="13">
        <f t="shared" ref="Y126:Z126" ca="1" si="132">+Y125</f>
        <v>0</v>
      </c>
      <c r="Z126" s="13">
        <f t="shared" ca="1" si="132"/>
        <v>0</v>
      </c>
      <c r="AA126" t="str">
        <f t="shared" ca="1" si="78"/>
        <v/>
      </c>
      <c r="AB126" t="str">
        <f t="shared" ca="1" si="79"/>
        <v/>
      </c>
      <c r="AC126" s="24" t="str">
        <f t="shared" ca="1" si="80"/>
        <v/>
      </c>
      <c r="AD126" s="24" t="str">
        <f t="shared" ca="1" si="81"/>
        <v/>
      </c>
    </row>
    <row r="127" spans="3:30" x14ac:dyDescent="0.25">
      <c r="C127" s="6">
        <v>221</v>
      </c>
      <c r="D127" s="36">
        <v>42319</v>
      </c>
      <c r="E127" s="38">
        <v>17.436</v>
      </c>
      <c r="F127" s="38">
        <v>48.778781460196832</v>
      </c>
      <c r="G127" s="38">
        <v>36.08</v>
      </c>
      <c r="H127" s="38">
        <v>2.5056773567589312</v>
      </c>
      <c r="I127" s="38">
        <v>7.4102508162782508</v>
      </c>
      <c r="J127" s="10">
        <v>0</v>
      </c>
      <c r="K127" s="39">
        <v>0</v>
      </c>
      <c r="L127" s="39">
        <v>0</v>
      </c>
      <c r="M127" s="39">
        <v>0</v>
      </c>
      <c r="N127" s="39">
        <v>0</v>
      </c>
      <c r="O127" s="39">
        <v>0</v>
      </c>
      <c r="P127" s="39">
        <v>0</v>
      </c>
      <c r="Q127" s="39">
        <v>0</v>
      </c>
      <c r="R127" s="39">
        <v>0</v>
      </c>
      <c r="S127" s="39">
        <v>0</v>
      </c>
      <c r="T127" s="39">
        <v>1</v>
      </c>
      <c r="U127" s="29" t="str" cm="1">
        <f t="array" aca="1" ref="U127" ca="1">+fair_value_gap(OFFSET(T126,0,0,-1*$J$5,-1*$AA$1),OFFSET(E126,0,0,-1*$J$5,1),F127:T127,0)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V127" s="9" t="str" cm="1">
        <f t="array" aca="1" ref="V127" ca="1">z_score_diff(OFFSET(U127,0,0,$J$5*-1,1),OFFSET(E127,0,0,$J$5*-1,1))</f>
        <v/>
      </c>
      <c r="W127" s="9" t="str">
        <f t="shared" ca="1" si="76"/>
        <v/>
      </c>
      <c r="X127" s="17">
        <f t="shared" ca="1" si="71"/>
        <v>-7.0998125183680413E-2</v>
      </c>
      <c r="Y127" s="13">
        <f t="shared" ref="Y127:Z127" ca="1" si="133">+Y126</f>
        <v>0</v>
      </c>
      <c r="Z127" s="13">
        <f t="shared" ca="1" si="133"/>
        <v>0</v>
      </c>
      <c r="AA127" t="str">
        <f t="shared" ca="1" si="78"/>
        <v/>
      </c>
      <c r="AB127" t="str">
        <f t="shared" ca="1" si="79"/>
        <v/>
      </c>
      <c r="AC127" s="24" t="str">
        <f t="shared" ca="1" si="80"/>
        <v/>
      </c>
      <c r="AD127" s="24" t="str">
        <f t="shared" ca="1" si="81"/>
        <v/>
      </c>
    </row>
    <row r="128" spans="3:30" x14ac:dyDescent="0.25">
      <c r="C128" s="6">
        <v>222</v>
      </c>
      <c r="D128" s="36">
        <v>42320</v>
      </c>
      <c r="E128" s="38">
        <v>17.369</v>
      </c>
      <c r="F128" s="38">
        <v>47.371100429840403</v>
      </c>
      <c r="G128" s="38">
        <v>35.33</v>
      </c>
      <c r="H128" s="38">
        <v>2.4914840781737402</v>
      </c>
      <c r="I128" s="38">
        <v>7.3574639872702168</v>
      </c>
      <c r="J128" s="10">
        <v>0</v>
      </c>
      <c r="K128" s="39">
        <v>0</v>
      </c>
      <c r="L128" s="39">
        <v>0</v>
      </c>
      <c r="M128" s="39">
        <v>0</v>
      </c>
      <c r="N128" s="39">
        <v>0</v>
      </c>
      <c r="O128" s="39">
        <v>0</v>
      </c>
      <c r="P128" s="39">
        <v>0</v>
      </c>
      <c r="Q128" s="39">
        <v>0</v>
      </c>
      <c r="R128" s="39">
        <v>0</v>
      </c>
      <c r="S128" s="39">
        <v>0</v>
      </c>
      <c r="T128" s="39">
        <v>1</v>
      </c>
      <c r="U128" s="29" t="str" cm="1">
        <f t="array" aca="1" ref="U128" ca="1">+fair_value_gap(OFFSET(T127,0,0,-1*$J$5,-1*$AA$1),OFFSET(E127,0,0,-1*$J$5,1),F128:T128,0)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V128" s="9" t="str" cm="1">
        <f t="array" aca="1" ref="V128" ca="1">z_score_diff(OFFSET(U128,0,0,$J$5*-1,1),OFFSET(E128,0,0,$J$5*-1,1))</f>
        <v/>
      </c>
      <c r="W128" s="9" t="str">
        <f t="shared" ca="1" si="76"/>
        <v/>
      </c>
      <c r="X128" s="17">
        <f t="shared" ca="1" si="71"/>
        <v>-7.48123925312945E-2</v>
      </c>
      <c r="Y128" s="13">
        <f t="shared" ref="Y128:Z128" ca="1" si="134">+Y127</f>
        <v>0</v>
      </c>
      <c r="Z128" s="13">
        <f t="shared" ca="1" si="134"/>
        <v>0</v>
      </c>
      <c r="AA128" t="str">
        <f t="shared" ca="1" si="78"/>
        <v/>
      </c>
      <c r="AB128" t="str">
        <f t="shared" ca="1" si="79"/>
        <v/>
      </c>
      <c r="AC128" s="24" t="str">
        <f t="shared" ca="1" si="80"/>
        <v/>
      </c>
      <c r="AD128" s="24" t="str">
        <f t="shared" ca="1" si="81"/>
        <v/>
      </c>
    </row>
    <row r="129" spans="3:30" x14ac:dyDescent="0.25">
      <c r="C129" s="6">
        <v>223</v>
      </c>
      <c r="D129" s="36">
        <v>42321</v>
      </c>
      <c r="E129" s="38">
        <v>17.47</v>
      </c>
      <c r="F129" s="38">
        <v>47.217140907389471</v>
      </c>
      <c r="G129" s="38">
        <v>35.58</v>
      </c>
      <c r="H129" s="38">
        <v>2.5374384839011985</v>
      </c>
      <c r="I129" s="38">
        <v>7.403544688439526</v>
      </c>
      <c r="J129" s="10">
        <v>0</v>
      </c>
      <c r="K129" s="39">
        <v>0</v>
      </c>
      <c r="L129" s="39">
        <v>0</v>
      </c>
      <c r="M129" s="39">
        <v>0</v>
      </c>
      <c r="N129" s="39">
        <v>0</v>
      </c>
      <c r="O129" s="39">
        <v>0</v>
      </c>
      <c r="P129" s="39">
        <v>0</v>
      </c>
      <c r="Q129" s="39">
        <v>0</v>
      </c>
      <c r="R129" s="39">
        <v>0</v>
      </c>
      <c r="S129" s="39">
        <v>0</v>
      </c>
      <c r="T129" s="39">
        <v>1</v>
      </c>
      <c r="U129" s="29" t="str" cm="1">
        <f t="array" aca="1" ref="U129" ca="1">+fair_value_gap(OFFSET(T128,0,0,-1*$J$5,-1*$AA$1),OFFSET(E128,0,0,-1*$J$5,1),F129:T129,0)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V129" s="9" t="str" cm="1">
        <f t="array" aca="1" ref="V129" ca="1">z_score_diff(OFFSET(U129,0,0,$J$5*-1,1),OFFSET(E129,0,0,$J$5*-1,1))</f>
        <v/>
      </c>
      <c r="W129" s="9" t="str">
        <f t="shared" ca="1" si="76"/>
        <v/>
      </c>
      <c r="X129" s="17">
        <f t="shared" ca="1" si="71"/>
        <v>-5.8034247622270801E-2</v>
      </c>
      <c r="Y129" s="13">
        <f t="shared" ref="Y129:Z129" ca="1" si="135">+Y128</f>
        <v>0</v>
      </c>
      <c r="Z129" s="13">
        <f t="shared" ca="1" si="135"/>
        <v>0</v>
      </c>
      <c r="AA129" t="str">
        <f t="shared" ca="1" si="78"/>
        <v/>
      </c>
      <c r="AB129" t="str">
        <f t="shared" ca="1" si="79"/>
        <v/>
      </c>
      <c r="AC129" s="24" t="str">
        <f t="shared" ca="1" si="80"/>
        <v/>
      </c>
      <c r="AD129" s="24" t="str">
        <f t="shared" ca="1" si="81"/>
        <v/>
      </c>
    </row>
    <row r="130" spans="3:30" x14ac:dyDescent="0.25">
      <c r="C130" s="6">
        <v>224</v>
      </c>
      <c r="D130" s="36">
        <v>42324</v>
      </c>
      <c r="E130" s="38">
        <v>17.815000000000001</v>
      </c>
      <c r="F130" s="38">
        <v>48.304575102928247</v>
      </c>
      <c r="G130" s="38">
        <v>36.01</v>
      </c>
      <c r="H130" s="38">
        <v>2.5581718092242216</v>
      </c>
      <c r="I130" s="38">
        <v>7.4478419762224179</v>
      </c>
      <c r="J130" s="10">
        <v>0</v>
      </c>
      <c r="K130" s="39">
        <v>0</v>
      </c>
      <c r="L130" s="39">
        <v>0</v>
      </c>
      <c r="M130" s="39">
        <v>0</v>
      </c>
      <c r="N130" s="39">
        <v>0</v>
      </c>
      <c r="O130" s="39">
        <v>0</v>
      </c>
      <c r="P130" s="39">
        <v>0</v>
      </c>
      <c r="Q130" s="39">
        <v>0</v>
      </c>
      <c r="R130" s="39">
        <v>0</v>
      </c>
      <c r="S130" s="39">
        <v>0</v>
      </c>
      <c r="T130" s="39">
        <v>1</v>
      </c>
      <c r="U130" s="29" t="str" cm="1">
        <f t="array" aca="1" ref="U130" ca="1">+fair_value_gap(OFFSET(T129,0,0,-1*$J$5,-1*$AA$1),OFFSET(E129,0,0,-1*$J$5,1),F130:T130,0)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V130" s="9" t="str" cm="1">
        <f t="array" aca="1" ref="V130" ca="1">z_score_diff(OFFSET(U130,0,0,$J$5*-1,1),OFFSET(E130,0,0,$J$5*-1,1))</f>
        <v/>
      </c>
      <c r="W130" s="9" t="str">
        <f t="shared" ca="1" si="76"/>
        <v/>
      </c>
      <c r="X130" s="17">
        <f t="shared" ca="1" si="71"/>
        <v>-6.0926379381084923E-2</v>
      </c>
      <c r="Y130" s="13">
        <f t="shared" ref="Y130:Z130" ca="1" si="136">+Y129</f>
        <v>0</v>
      </c>
      <c r="Z130" s="13">
        <f t="shared" ca="1" si="136"/>
        <v>0</v>
      </c>
      <c r="AA130" t="str">
        <f t="shared" ca="1" si="78"/>
        <v/>
      </c>
      <c r="AB130" t="str">
        <f t="shared" ca="1" si="79"/>
        <v/>
      </c>
      <c r="AC130" s="24" t="str">
        <f t="shared" ca="1" si="80"/>
        <v/>
      </c>
      <c r="AD130" s="24" t="str">
        <f t="shared" ca="1" si="81"/>
        <v/>
      </c>
    </row>
    <row r="131" spans="3:30" x14ac:dyDescent="0.25">
      <c r="C131" s="6">
        <v>225</v>
      </c>
      <c r="D131" s="36">
        <v>42325</v>
      </c>
      <c r="E131" s="38">
        <v>18.439</v>
      </c>
      <c r="F131" s="38">
        <v>47.497602373766021</v>
      </c>
      <c r="G131" s="38">
        <v>35.33</v>
      </c>
      <c r="H131" s="38">
        <v>2.560562692471593</v>
      </c>
      <c r="I131" s="38">
        <v>7.4737235947774927</v>
      </c>
      <c r="J131" s="10">
        <v>0</v>
      </c>
      <c r="K131" s="39">
        <v>0</v>
      </c>
      <c r="L131" s="39">
        <v>0</v>
      </c>
      <c r="M131" s="39">
        <v>0</v>
      </c>
      <c r="N131" s="39">
        <v>0</v>
      </c>
      <c r="O131" s="39">
        <v>0</v>
      </c>
      <c r="P131" s="39">
        <v>0</v>
      </c>
      <c r="Q131" s="39">
        <v>0</v>
      </c>
      <c r="R131" s="39">
        <v>0</v>
      </c>
      <c r="S131" s="39">
        <v>0</v>
      </c>
      <c r="T131" s="39">
        <v>1</v>
      </c>
      <c r="U131" s="29" t="str" cm="1">
        <f t="array" aca="1" ref="U131" ca="1">+fair_value_gap(OFFSET(T130,0,0,-1*$J$5,-1*$AA$1),OFFSET(E130,0,0,-1*$J$5,1),F131:T131,0)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V131" s="9" t="str" cm="1">
        <f t="array" aca="1" ref="V131" ca="1">z_score_diff(OFFSET(U131,0,0,$J$5*-1,1),OFFSET(E131,0,0,$J$5*-1,1))</f>
        <v/>
      </c>
      <c r="W131" s="9" t="str">
        <f t="shared" ca="1" si="76"/>
        <v/>
      </c>
      <c r="X131" s="17">
        <f t="shared" ca="1" si="71"/>
        <v>-0.11688182030996254</v>
      </c>
      <c r="Y131" s="13">
        <f t="shared" ref="Y131:Z131" ca="1" si="137">+Y130</f>
        <v>0</v>
      </c>
      <c r="Z131" s="13">
        <f t="shared" ca="1" si="137"/>
        <v>0</v>
      </c>
      <c r="AA131" t="str">
        <f t="shared" ca="1" si="78"/>
        <v/>
      </c>
      <c r="AB131" t="str">
        <f t="shared" ca="1" si="79"/>
        <v/>
      </c>
      <c r="AC131" s="24" t="str">
        <f t="shared" ca="1" si="80"/>
        <v/>
      </c>
      <c r="AD131" s="24" t="str">
        <f t="shared" ca="1" si="81"/>
        <v/>
      </c>
    </row>
    <row r="132" spans="3:30" x14ac:dyDescent="0.25">
      <c r="C132" s="6">
        <v>226</v>
      </c>
      <c r="D132" s="36">
        <v>42326</v>
      </c>
      <c r="E132" s="38">
        <v>18.099</v>
      </c>
      <c r="F132" s="38">
        <v>47.919513772337311</v>
      </c>
      <c r="G132" s="38">
        <v>34.880000000000003</v>
      </c>
      <c r="H132" s="38">
        <v>2.5161223882009449</v>
      </c>
      <c r="I132" s="38">
        <v>7.4685786227941025</v>
      </c>
      <c r="J132" s="10">
        <v>0</v>
      </c>
      <c r="K132" s="39">
        <v>0</v>
      </c>
      <c r="L132" s="39">
        <v>0</v>
      </c>
      <c r="M132" s="39">
        <v>0</v>
      </c>
      <c r="N132" s="39">
        <v>0</v>
      </c>
      <c r="O132" s="39">
        <v>0</v>
      </c>
      <c r="P132" s="39">
        <v>0</v>
      </c>
      <c r="Q132" s="39">
        <v>0</v>
      </c>
      <c r="R132" s="39">
        <v>0</v>
      </c>
      <c r="S132" s="39">
        <v>0</v>
      </c>
      <c r="T132" s="39">
        <v>1</v>
      </c>
      <c r="U132" s="29" t="str" cm="1">
        <f t="array" aca="1" ref="U132" ca="1">+fair_value_gap(OFFSET(T131,0,0,-1*$J$5,-1*$AA$1),OFFSET(E131,0,0,-1*$J$5,1),F132:T132,0)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V132" s="9" t="str" cm="1">
        <f t="array" aca="1" ref="V132" ca="1">z_score_diff(OFFSET(U132,0,0,$J$5*-1,1),OFFSET(E132,0,0,$J$5*-1,1))</f>
        <v/>
      </c>
      <c r="W132" s="9" t="str">
        <f t="shared" ca="1" si="76"/>
        <v/>
      </c>
      <c r="X132" s="17">
        <f t="shared" ca="1" si="71"/>
        <v>-0.10138417238694888</v>
      </c>
      <c r="Y132" s="13">
        <f t="shared" ref="Y132:Z132" ca="1" si="138">+Y131</f>
        <v>0</v>
      </c>
      <c r="Z132" s="13">
        <f t="shared" ca="1" si="138"/>
        <v>0</v>
      </c>
      <c r="AA132" t="str">
        <f t="shared" ca="1" si="78"/>
        <v/>
      </c>
      <c r="AB132" t="str">
        <f t="shared" ca="1" si="79"/>
        <v/>
      </c>
      <c r="AC132" s="24" t="str">
        <f t="shared" ca="1" si="80"/>
        <v/>
      </c>
      <c r="AD132" s="24" t="str">
        <f t="shared" ca="1" si="81"/>
        <v/>
      </c>
    </row>
    <row r="133" spans="3:30" x14ac:dyDescent="0.25">
      <c r="C133" s="6">
        <v>227</v>
      </c>
      <c r="D133" s="36">
        <v>42327</v>
      </c>
      <c r="E133" s="38">
        <v>18.113</v>
      </c>
      <c r="F133" s="38">
        <v>47.461959078676365</v>
      </c>
      <c r="G133" s="38">
        <v>34.979999999999997</v>
      </c>
      <c r="H133" s="38">
        <v>2.4499761999681438</v>
      </c>
      <c r="I133" s="38">
        <v>7.4116153362433517</v>
      </c>
      <c r="J133" s="10">
        <v>0</v>
      </c>
      <c r="K133" s="39">
        <v>0</v>
      </c>
      <c r="L133" s="39">
        <v>0</v>
      </c>
      <c r="M133" s="39">
        <v>0</v>
      </c>
      <c r="N133" s="39">
        <v>0</v>
      </c>
      <c r="O133" s="39">
        <v>0</v>
      </c>
      <c r="P133" s="39">
        <v>0</v>
      </c>
      <c r="Q133" s="39">
        <v>0</v>
      </c>
      <c r="R133" s="39">
        <v>0</v>
      </c>
      <c r="S133" s="39">
        <v>0</v>
      </c>
      <c r="T133" s="39">
        <v>1</v>
      </c>
      <c r="U133" s="29" t="str" cm="1">
        <f t="array" aca="1" ref="U133" ca="1">+fair_value_gap(OFFSET(T132,0,0,-1*$J$5,-1*$AA$1),OFFSET(E132,0,0,-1*$J$5,1),F133:T133,0)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V133" s="9" t="str" cm="1">
        <f t="array" aca="1" ref="V133" ca="1">z_score_diff(OFFSET(U133,0,0,$J$5*-1,1),OFFSET(E133,0,0,$J$5*-1,1))</f>
        <v/>
      </c>
      <c r="W133" s="9" t="str">
        <f t="shared" ca="1" si="76"/>
        <v/>
      </c>
      <c r="X133" s="17">
        <f t="shared" ca="1" si="71"/>
        <v>-0.11378150133338315</v>
      </c>
      <c r="Y133" s="13">
        <f t="shared" ref="Y133:Z133" ca="1" si="139">+Y132</f>
        <v>0</v>
      </c>
      <c r="Z133" s="13">
        <f t="shared" ca="1" si="139"/>
        <v>0</v>
      </c>
      <c r="AA133" t="str">
        <f t="shared" ca="1" si="78"/>
        <v/>
      </c>
      <c r="AB133" t="str">
        <f t="shared" ca="1" si="79"/>
        <v/>
      </c>
      <c r="AC133" s="24" t="str">
        <f t="shared" ca="1" si="80"/>
        <v/>
      </c>
      <c r="AD133" s="24" t="str">
        <f t="shared" ca="1" si="81"/>
        <v/>
      </c>
    </row>
    <row r="134" spans="3:30" x14ac:dyDescent="0.25">
      <c r="C134" s="6">
        <v>228</v>
      </c>
      <c r="D134" s="36">
        <v>42328</v>
      </c>
      <c r="E134" s="38">
        <v>18.006</v>
      </c>
      <c r="F134" s="38">
        <v>47.936698308848243</v>
      </c>
      <c r="G134" s="38">
        <v>35.06</v>
      </c>
      <c r="H134" s="38">
        <v>2.401476346339861</v>
      </c>
      <c r="I134" s="38">
        <v>7.4727037448921063</v>
      </c>
      <c r="J134" s="10">
        <v>0</v>
      </c>
      <c r="K134" s="39">
        <v>0</v>
      </c>
      <c r="L134" s="39">
        <v>0</v>
      </c>
      <c r="M134" s="39">
        <v>0</v>
      </c>
      <c r="N134" s="39">
        <v>0</v>
      </c>
      <c r="O134" s="39">
        <v>0</v>
      </c>
      <c r="P134" s="39">
        <v>0</v>
      </c>
      <c r="Q134" s="39">
        <v>0</v>
      </c>
      <c r="R134" s="39">
        <v>0</v>
      </c>
      <c r="S134" s="39">
        <v>0</v>
      </c>
      <c r="T134" s="39">
        <v>1</v>
      </c>
      <c r="U134" s="29" t="str" cm="1">
        <f t="array" aca="1" ref="U134" ca="1">+fair_value_gap(OFFSET(T133,0,0,-1*$J$5,-1*$AA$1),OFFSET(E133,0,0,-1*$J$5,1),F134:T134,0)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V134" s="9" t="str" cm="1">
        <f t="array" aca="1" ref="V134" ca="1">z_score_diff(OFFSET(U134,0,0,$J$5*-1,1),OFFSET(E134,0,0,$J$5*-1,1))</f>
        <v/>
      </c>
      <c r="W134" s="9" t="str">
        <f t="shared" ca="1" si="76"/>
        <v/>
      </c>
      <c r="X134" s="17">
        <f t="shared" ca="1" si="71"/>
        <v>-9.9662634788257154E-2</v>
      </c>
      <c r="Y134" s="13">
        <f t="shared" ref="Y134:Z134" ca="1" si="140">+Y133</f>
        <v>0</v>
      </c>
      <c r="Z134" s="13">
        <f t="shared" ca="1" si="140"/>
        <v>0</v>
      </c>
      <c r="AA134" t="str">
        <f t="shared" ca="1" si="78"/>
        <v/>
      </c>
      <c r="AB134" t="str">
        <f t="shared" ca="1" si="79"/>
        <v/>
      </c>
      <c r="AC134" s="24" t="str">
        <f t="shared" ca="1" si="80"/>
        <v/>
      </c>
      <c r="AD134" s="24" t="str">
        <f t="shared" ca="1" si="81"/>
        <v/>
      </c>
    </row>
    <row r="135" spans="3:30" x14ac:dyDescent="0.25">
      <c r="C135" s="6">
        <v>229</v>
      </c>
      <c r="D135" s="36">
        <v>42331</v>
      </c>
      <c r="E135" s="38">
        <v>17.896999999999998</v>
      </c>
      <c r="F135" s="38">
        <v>48.209897476157515</v>
      </c>
      <c r="G135" s="38">
        <v>34.979999999999997</v>
      </c>
      <c r="H135" s="38">
        <v>2.4509098003874255</v>
      </c>
      <c r="I135" s="38">
        <v>7.4790841141466187</v>
      </c>
      <c r="J135" s="10">
        <v>0</v>
      </c>
      <c r="K135" s="39">
        <v>0</v>
      </c>
      <c r="L135" s="39">
        <v>0</v>
      </c>
      <c r="M135" s="39">
        <v>0</v>
      </c>
      <c r="N135" s="39">
        <v>0</v>
      </c>
      <c r="O135" s="39">
        <v>0</v>
      </c>
      <c r="P135" s="39">
        <v>0</v>
      </c>
      <c r="Q135" s="39">
        <v>0</v>
      </c>
      <c r="R135" s="39">
        <v>0</v>
      </c>
      <c r="S135" s="39">
        <v>0</v>
      </c>
      <c r="T135" s="39">
        <v>1</v>
      </c>
      <c r="U135" s="29" t="str" cm="1">
        <f t="array" aca="1" ref="U135" ca="1">+fair_value_gap(OFFSET(T134,0,0,-1*$J$5,-1*$AA$1),OFFSET(E134,0,0,-1*$J$5,1),F135:T135,0)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V135" s="9" t="str" cm="1">
        <f t="array" aca="1" ref="V135" ca="1">z_score_diff(OFFSET(U135,0,0,$J$5*-1,1),OFFSET(E135,0,0,$J$5*-1,1))</f>
        <v/>
      </c>
      <c r="W135" s="9" t="str">
        <f t="shared" ca="1" si="76"/>
        <v/>
      </c>
      <c r="X135" s="17">
        <f t="shared" ref="X135:X198" ca="1" si="141">+LN(OFFSET(E135,$X$3,0,1,1)/E135)</f>
        <v>-9.0160585295485679E-2</v>
      </c>
      <c r="Y135" s="13">
        <f t="shared" ref="Y135:Z135" ca="1" si="142">+Y134</f>
        <v>0</v>
      </c>
      <c r="Z135" s="13">
        <f t="shared" ca="1" si="142"/>
        <v>0</v>
      </c>
      <c r="AA135" t="str">
        <f t="shared" ca="1" si="78"/>
        <v/>
      </c>
      <c r="AB135" t="str">
        <f t="shared" ca="1" si="79"/>
        <v/>
      </c>
      <c r="AC135" s="24" t="str">
        <f t="shared" ca="1" si="80"/>
        <v/>
      </c>
      <c r="AD135" s="24" t="str">
        <f t="shared" ca="1" si="81"/>
        <v/>
      </c>
    </row>
    <row r="136" spans="3:30" x14ac:dyDescent="0.25">
      <c r="C136" s="6">
        <v>230</v>
      </c>
      <c r="D136" s="36">
        <v>42332</v>
      </c>
      <c r="E136" s="38">
        <v>18.113</v>
      </c>
      <c r="F136" s="38">
        <v>49.454662848332539</v>
      </c>
      <c r="G136" s="38">
        <v>35.340000000000003</v>
      </c>
      <c r="H136" s="38">
        <v>2.4435111975709605</v>
      </c>
      <c r="I136" s="38">
        <v>7.4678303494480769</v>
      </c>
      <c r="J136" s="10">
        <v>0</v>
      </c>
      <c r="K136" s="39">
        <v>0</v>
      </c>
      <c r="L136" s="39">
        <v>0</v>
      </c>
      <c r="M136" s="39">
        <v>0</v>
      </c>
      <c r="N136" s="39">
        <v>0</v>
      </c>
      <c r="O136" s="39">
        <v>0</v>
      </c>
      <c r="P136" s="39">
        <v>0</v>
      </c>
      <c r="Q136" s="39">
        <v>0</v>
      </c>
      <c r="R136" s="39">
        <v>0</v>
      </c>
      <c r="S136" s="39">
        <v>0</v>
      </c>
      <c r="T136" s="39">
        <v>1</v>
      </c>
      <c r="U136" s="29" t="str" cm="1">
        <f t="array" aca="1" ref="U136" ca="1">+fair_value_gap(OFFSET(T135,0,0,-1*$J$5,-1*$AA$1),OFFSET(E135,0,0,-1*$J$5,1),F136:T136,0)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V136" s="9" t="str" cm="1">
        <f t="array" aca="1" ref="V136" ca="1">z_score_diff(OFFSET(U136,0,0,$J$5*-1,1),OFFSET(E136,0,0,$J$5*-1,1))</f>
        <v/>
      </c>
      <c r="W136" s="9" t="str">
        <f t="shared" ca="1" si="76"/>
        <v/>
      </c>
      <c r="X136" s="17">
        <f t="shared" ca="1" si="141"/>
        <v>-8.6324010704222034E-2</v>
      </c>
      <c r="Y136" s="13">
        <f t="shared" ref="Y136:Z136" ca="1" si="143">+Y135</f>
        <v>0</v>
      </c>
      <c r="Z136" s="13">
        <f t="shared" ca="1" si="143"/>
        <v>0</v>
      </c>
      <c r="AA136" t="str">
        <f t="shared" ca="1" si="78"/>
        <v/>
      </c>
      <c r="AB136" t="str">
        <f t="shared" ca="1" si="79"/>
        <v/>
      </c>
      <c r="AC136" s="24" t="str">
        <f t="shared" ca="1" si="80"/>
        <v/>
      </c>
      <c r="AD136" s="24" t="str">
        <f t="shared" ca="1" si="81"/>
        <v/>
      </c>
    </row>
    <row r="137" spans="3:30" x14ac:dyDescent="0.25">
      <c r="C137" s="6">
        <v>231</v>
      </c>
      <c r="D137" s="36">
        <v>42333</v>
      </c>
      <c r="E137" s="38">
        <v>18.265999999999998</v>
      </c>
      <c r="F137" s="38">
        <v>49.565211730867411</v>
      </c>
      <c r="G137" s="38">
        <v>35.36</v>
      </c>
      <c r="H137" s="38">
        <v>2.4401335005965494</v>
      </c>
      <c r="I137" s="38">
        <v>7.4859278505343845</v>
      </c>
      <c r="J137" s="10">
        <v>0</v>
      </c>
      <c r="K137" s="39">
        <v>0</v>
      </c>
      <c r="L137" s="39">
        <v>0</v>
      </c>
      <c r="M137" s="39">
        <v>0</v>
      </c>
      <c r="N137" s="39">
        <v>0</v>
      </c>
      <c r="O137" s="39">
        <v>0</v>
      </c>
      <c r="P137" s="39">
        <v>0</v>
      </c>
      <c r="Q137" s="39">
        <v>0</v>
      </c>
      <c r="R137" s="39">
        <v>0</v>
      </c>
      <c r="S137" s="39">
        <v>0</v>
      </c>
      <c r="T137" s="39">
        <v>1</v>
      </c>
      <c r="U137" s="29" t="str" cm="1">
        <f t="array" aca="1" ref="U137" ca="1">+fair_value_gap(OFFSET(T136,0,0,-1*$J$5,-1*$AA$1),OFFSET(E136,0,0,-1*$J$5,1),F137:T137,0)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V137" s="9" t="str" cm="1">
        <f t="array" aca="1" ref="V137" ca="1">z_score_diff(OFFSET(U137,0,0,$J$5*-1,1),OFFSET(E137,0,0,$J$5*-1,1))</f>
        <v/>
      </c>
      <c r="W137" s="9" t="str">
        <f t="shared" ca="1" si="76"/>
        <v/>
      </c>
      <c r="X137" s="17">
        <f t="shared" ca="1" si="141"/>
        <v>-0.1295818109380229</v>
      </c>
      <c r="Y137" s="13">
        <f t="shared" ref="Y137:Z137" ca="1" si="144">+Y136</f>
        <v>0</v>
      </c>
      <c r="Z137" s="13">
        <f t="shared" ca="1" si="144"/>
        <v>0</v>
      </c>
      <c r="AA137" t="str">
        <f t="shared" ca="1" si="78"/>
        <v/>
      </c>
      <c r="AB137" t="str">
        <f t="shared" ca="1" si="79"/>
        <v/>
      </c>
      <c r="AC137" s="24" t="str">
        <f t="shared" ca="1" si="80"/>
        <v/>
      </c>
      <c r="AD137" s="24" t="str">
        <f t="shared" ca="1" si="81"/>
        <v/>
      </c>
    </row>
    <row r="138" spans="3:30" x14ac:dyDescent="0.25">
      <c r="C138" s="6">
        <v>232</v>
      </c>
      <c r="D138" s="36">
        <v>42334</v>
      </c>
      <c r="E138" s="38">
        <v>18.323</v>
      </c>
      <c r="F138" s="38">
        <v>48.958936285448935</v>
      </c>
      <c r="G138" s="38">
        <v>35.54</v>
      </c>
      <c r="H138" s="38">
        <v>2.4418979055886334</v>
      </c>
      <c r="I138" s="38">
        <v>7.4913407545687889</v>
      </c>
      <c r="J138" s="10">
        <v>0</v>
      </c>
      <c r="K138" s="39">
        <v>0</v>
      </c>
      <c r="L138" s="39">
        <v>0</v>
      </c>
      <c r="M138" s="39">
        <v>0</v>
      </c>
      <c r="N138" s="39">
        <v>0</v>
      </c>
      <c r="O138" s="39">
        <v>0</v>
      </c>
      <c r="P138" s="39">
        <v>0</v>
      </c>
      <c r="Q138" s="39">
        <v>0</v>
      </c>
      <c r="R138" s="39">
        <v>0</v>
      </c>
      <c r="S138" s="39">
        <v>0</v>
      </c>
      <c r="T138" s="39">
        <v>1</v>
      </c>
      <c r="U138" s="29" t="str" cm="1">
        <f t="array" aca="1" ref="U138" ca="1">+fair_value_gap(OFFSET(T137,0,0,-1*$J$5,-1*$AA$1),OFFSET(E137,0,0,-1*$J$5,1),F138:T138,0)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V138" s="9" t="str" cm="1">
        <f t="array" aca="1" ref="V138" ca="1">z_score_diff(OFFSET(U138,0,0,$J$5*-1,1),OFFSET(E138,0,0,$J$5*-1,1))</f>
        <v/>
      </c>
      <c r="W138" s="9" t="str">
        <f t="shared" ca="1" si="76"/>
        <v/>
      </c>
      <c r="X138" s="17">
        <f t="shared" ca="1" si="141"/>
        <v>-0.14190088713146601</v>
      </c>
      <c r="Y138" s="13">
        <f t="shared" ref="Y138:Z138" ca="1" si="145">+Y137</f>
        <v>0</v>
      </c>
      <c r="Z138" s="13">
        <f t="shared" ca="1" si="145"/>
        <v>0</v>
      </c>
      <c r="AA138" t="str">
        <f t="shared" ca="1" si="78"/>
        <v/>
      </c>
      <c r="AB138" t="str">
        <f t="shared" ca="1" si="79"/>
        <v/>
      </c>
      <c r="AC138" s="24" t="str">
        <f t="shared" ca="1" si="80"/>
        <v/>
      </c>
      <c r="AD138" s="24" t="str">
        <f t="shared" ca="1" si="81"/>
        <v/>
      </c>
    </row>
    <row r="139" spans="3:30" x14ac:dyDescent="0.25">
      <c r="C139" s="6">
        <v>233</v>
      </c>
      <c r="D139" s="36">
        <v>42335</v>
      </c>
      <c r="E139" s="38">
        <v>18.247</v>
      </c>
      <c r="F139" s="38">
        <v>48.301345224615694</v>
      </c>
      <c r="G139" s="38">
        <v>35.15</v>
      </c>
      <c r="H139" s="38">
        <v>2.5525252666452323</v>
      </c>
      <c r="I139" s="38">
        <v>7.50194538024612</v>
      </c>
      <c r="J139" s="10">
        <v>0</v>
      </c>
      <c r="K139" s="39">
        <v>0</v>
      </c>
      <c r="L139" s="39">
        <v>0</v>
      </c>
      <c r="M139" s="39">
        <v>0</v>
      </c>
      <c r="N139" s="39">
        <v>0</v>
      </c>
      <c r="O139" s="39">
        <v>0</v>
      </c>
      <c r="P139" s="39">
        <v>0</v>
      </c>
      <c r="Q139" s="39">
        <v>0</v>
      </c>
      <c r="R139" s="39">
        <v>0</v>
      </c>
      <c r="S139" s="39">
        <v>0</v>
      </c>
      <c r="T139" s="39">
        <v>1</v>
      </c>
      <c r="U139" s="29" t="str" cm="1">
        <f t="array" aca="1" ref="U139" ca="1">+fair_value_gap(OFFSET(T138,0,0,-1*$J$5,-1*$AA$1),OFFSET(E138,0,0,-1*$J$5,1),F139:T139,0)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V139" s="9" t="str" cm="1">
        <f t="array" aca="1" ref="V139" ca="1">z_score_diff(OFFSET(U139,0,0,$J$5*-1,1),OFFSET(E139,0,0,$J$5*-1,1))</f>
        <v/>
      </c>
      <c r="W139" s="9" t="str">
        <f t="shared" ref="W139:W202" ca="1" si="146">+IF(ISERROR(AVERAGE(OFFSET(V139,0,0,$W$5*-1,1))),"",AVERAGE(OFFSET(V139,0,0,$W$5*-1,1)))</f>
        <v/>
      </c>
      <c r="X139" s="17">
        <f t="shared" ca="1" si="141"/>
        <v>-0.17216885318738967</v>
      </c>
      <c r="Y139" s="13">
        <f t="shared" ref="Y139:Z139" ca="1" si="147">+Y138</f>
        <v>0</v>
      </c>
      <c r="Z139" s="13">
        <f t="shared" ca="1" si="147"/>
        <v>0</v>
      </c>
      <c r="AA139" t="str">
        <f t="shared" ref="AA139:AA202" ca="1" si="148">+IF(W139="","",IF(W139&lt;Y139,1,0))</f>
        <v/>
      </c>
      <c r="AB139" t="str">
        <f t="shared" ref="AB139:AB202" ca="1" si="149">+IF(W139="","",IF(W139&gt;Z139,1,0))</f>
        <v/>
      </c>
      <c r="AC139" s="24" t="str">
        <f t="shared" ref="AC139:AC202" ca="1" si="150">+IF(ISERROR(AA139*X139),"",AA139*X139)</f>
        <v/>
      </c>
      <c r="AD139" s="24" t="str">
        <f t="shared" ref="AD139:AD202" ca="1" si="151">+IF(ISERROR(AB139*X139),"",AB139*X139)</f>
        <v/>
      </c>
    </row>
    <row r="140" spans="3:30" x14ac:dyDescent="0.25">
      <c r="C140" s="6">
        <v>234</v>
      </c>
      <c r="D140" s="36">
        <v>42338</v>
      </c>
      <c r="E140" s="38">
        <v>18.97</v>
      </c>
      <c r="F140" s="38">
        <v>47.922128643212318</v>
      </c>
      <c r="G140" s="38">
        <v>34.14</v>
      </c>
      <c r="H140" s="38">
        <v>2.5750319075978387</v>
      </c>
      <c r="I140" s="38">
        <v>7.5214103251678539</v>
      </c>
      <c r="J140" s="10">
        <v>0</v>
      </c>
      <c r="K140" s="39">
        <v>0</v>
      </c>
      <c r="L140" s="39">
        <v>0</v>
      </c>
      <c r="M140" s="39">
        <v>0</v>
      </c>
      <c r="N140" s="39">
        <v>0</v>
      </c>
      <c r="O140" s="39">
        <v>0</v>
      </c>
      <c r="P140" s="39">
        <v>0</v>
      </c>
      <c r="Q140" s="39">
        <v>0</v>
      </c>
      <c r="R140" s="39">
        <v>0</v>
      </c>
      <c r="S140" s="39">
        <v>0</v>
      </c>
      <c r="T140" s="39">
        <v>1</v>
      </c>
      <c r="U140" s="29" t="str" cm="1">
        <f t="array" aca="1" ref="U140" ca="1">+fair_value_gap(OFFSET(T139,0,0,-1*$J$5,-1*$AA$1),OFFSET(E139,0,0,-1*$J$5,1),F140:T140,0)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V140" s="9" t="str" cm="1">
        <f t="array" aca="1" ref="V140" ca="1">z_score_diff(OFFSET(U140,0,0,$J$5*-1,1),OFFSET(E140,0,0,$J$5*-1,1))</f>
        <v/>
      </c>
      <c r="W140" s="9" t="str">
        <f t="shared" ca="1" si="146"/>
        <v/>
      </c>
      <c r="X140" s="17">
        <f t="shared" ca="1" si="141"/>
        <v>-0.21096185637043255</v>
      </c>
      <c r="Y140" s="13">
        <f t="shared" ref="Y140:Z140" ca="1" si="152">+Y139</f>
        <v>0</v>
      </c>
      <c r="Z140" s="13">
        <f t="shared" ca="1" si="152"/>
        <v>0</v>
      </c>
      <c r="AA140" t="str">
        <f t="shared" ca="1" si="148"/>
        <v/>
      </c>
      <c r="AB140" t="str">
        <f t="shared" ca="1" si="149"/>
        <v/>
      </c>
      <c r="AC140" s="24" t="str">
        <f t="shared" ca="1" si="150"/>
        <v/>
      </c>
      <c r="AD140" s="24" t="str">
        <f t="shared" ca="1" si="151"/>
        <v/>
      </c>
    </row>
    <row r="141" spans="3:30" x14ac:dyDescent="0.25">
      <c r="C141" s="6">
        <v>235</v>
      </c>
      <c r="D141" s="36">
        <v>42339</v>
      </c>
      <c r="E141" s="38">
        <v>19.196000000000002</v>
      </c>
      <c r="F141" s="38">
        <v>47.498352041147903</v>
      </c>
      <c r="G141" s="38">
        <v>35.33</v>
      </c>
      <c r="H141" s="38">
        <v>2.5633883890854059</v>
      </c>
      <c r="I141" s="38">
        <v>7.4738415545590433</v>
      </c>
      <c r="J141" s="10">
        <v>0</v>
      </c>
      <c r="K141" s="39">
        <v>0</v>
      </c>
      <c r="L141" s="39">
        <v>0</v>
      </c>
      <c r="M141" s="39">
        <v>0</v>
      </c>
      <c r="N141" s="39">
        <v>0</v>
      </c>
      <c r="O141" s="39">
        <v>0</v>
      </c>
      <c r="P141" s="39">
        <v>0</v>
      </c>
      <c r="Q141" s="39">
        <v>0</v>
      </c>
      <c r="R141" s="39">
        <v>0</v>
      </c>
      <c r="S141" s="39">
        <v>0</v>
      </c>
      <c r="T141" s="39">
        <v>0</v>
      </c>
      <c r="U141" s="29" t="str" cm="1">
        <f t="array" aca="1" ref="U141" ca="1">+fair_value_gap(OFFSET(T140,0,0,-1*$J$5,-1*$AA$1),OFFSET(E140,0,0,-1*$J$5,1),F141:T141,0)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V141" s="9" t="str" cm="1">
        <f t="array" aca="1" ref="V141" ca="1">z_score_diff(OFFSET(U141,0,0,$J$5*-1,1),OFFSET(E141,0,0,$J$5*-1,1))</f>
        <v/>
      </c>
      <c r="W141" s="9" t="str">
        <f t="shared" ca="1" si="146"/>
        <v/>
      </c>
      <c r="X141" s="17">
        <f t="shared" ca="1" si="141"/>
        <v>-0.2519323073377146</v>
      </c>
      <c r="Y141" s="13">
        <f t="shared" ref="Y141:Z141" ca="1" si="153">+Y140</f>
        <v>0</v>
      </c>
      <c r="Z141" s="13">
        <f t="shared" ca="1" si="153"/>
        <v>0</v>
      </c>
      <c r="AA141" t="str">
        <f t="shared" ca="1" si="148"/>
        <v/>
      </c>
      <c r="AB141" t="str">
        <f t="shared" ca="1" si="149"/>
        <v/>
      </c>
      <c r="AC141" s="24" t="str">
        <f t="shared" ca="1" si="150"/>
        <v/>
      </c>
      <c r="AD141" s="24" t="str">
        <f t="shared" ca="1" si="151"/>
        <v/>
      </c>
    </row>
    <row r="142" spans="3:30" x14ac:dyDescent="0.25">
      <c r="C142" s="6">
        <v>236</v>
      </c>
      <c r="D142" s="36">
        <v>42340</v>
      </c>
      <c r="E142" s="38">
        <v>18.82</v>
      </c>
      <c r="F142" s="38">
        <v>46.389513812226639</v>
      </c>
      <c r="G142" s="38">
        <v>35.11</v>
      </c>
      <c r="H142" s="38">
        <v>2.5352408711333161</v>
      </c>
      <c r="I142" s="38">
        <v>7.4866797551809228</v>
      </c>
      <c r="J142" s="10">
        <v>0</v>
      </c>
      <c r="K142" s="39">
        <v>0</v>
      </c>
      <c r="L142" s="39">
        <v>0</v>
      </c>
      <c r="M142" s="39">
        <v>0</v>
      </c>
      <c r="N142" s="39">
        <v>0</v>
      </c>
      <c r="O142" s="39">
        <v>0</v>
      </c>
      <c r="P142" s="39">
        <v>0</v>
      </c>
      <c r="Q142" s="39">
        <v>0</v>
      </c>
      <c r="R142" s="39">
        <v>0</v>
      </c>
      <c r="S142" s="39">
        <v>0</v>
      </c>
      <c r="T142" s="39">
        <v>0</v>
      </c>
      <c r="U142" s="29" t="str" cm="1">
        <f t="array" aca="1" ref="U142" ca="1">+fair_value_gap(OFFSET(T141,0,0,-1*$J$5,-1*$AA$1),OFFSET(E141,0,0,-1*$J$5,1),F142:T142,0)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V142" s="9" t="str" cm="1">
        <f t="array" aca="1" ref="V142" ca="1">z_score_diff(OFFSET(U142,0,0,$J$5*-1,1),OFFSET(E142,0,0,$J$5*-1,1))</f>
        <v/>
      </c>
      <c r="W142" s="9" t="str">
        <f t="shared" ca="1" si="146"/>
        <v/>
      </c>
      <c r="X142" s="17">
        <f t="shared" ca="1" si="141"/>
        <v>-0.26304994050978037</v>
      </c>
      <c r="Y142" s="13">
        <f t="shared" ref="Y142:Z142" ca="1" si="154">+Y141</f>
        <v>0</v>
      </c>
      <c r="Z142" s="13">
        <f t="shared" ca="1" si="154"/>
        <v>0</v>
      </c>
      <c r="AA142" t="str">
        <f t="shared" ca="1" si="148"/>
        <v/>
      </c>
      <c r="AB142" t="str">
        <f t="shared" ca="1" si="149"/>
        <v/>
      </c>
      <c r="AC142" s="24" t="str">
        <f t="shared" ca="1" si="150"/>
        <v/>
      </c>
      <c r="AD142" s="24" t="str">
        <f t="shared" ca="1" si="151"/>
        <v/>
      </c>
    </row>
    <row r="143" spans="3:30" x14ac:dyDescent="0.25">
      <c r="C143" s="6">
        <v>237</v>
      </c>
      <c r="D143" s="36">
        <v>42341</v>
      </c>
      <c r="E143" s="38">
        <v>18.344000000000001</v>
      </c>
      <c r="F143" s="38">
        <v>45.85102792572151</v>
      </c>
      <c r="G143" s="38">
        <v>34.659999999999997</v>
      </c>
      <c r="H143" s="38">
        <v>2.4545324927762748</v>
      </c>
      <c r="I143" s="38">
        <v>7.264333296635666</v>
      </c>
      <c r="J143" s="10">
        <v>0</v>
      </c>
      <c r="K143" s="39">
        <v>0</v>
      </c>
      <c r="L143" s="39">
        <v>0</v>
      </c>
      <c r="M143" s="39">
        <v>0</v>
      </c>
      <c r="N143" s="39">
        <v>0</v>
      </c>
      <c r="O143" s="39">
        <v>0</v>
      </c>
      <c r="P143" s="39">
        <v>0</v>
      </c>
      <c r="Q143" s="39">
        <v>0</v>
      </c>
      <c r="R143" s="39">
        <v>0</v>
      </c>
      <c r="S143" s="39">
        <v>0</v>
      </c>
      <c r="T143" s="39">
        <v>0</v>
      </c>
      <c r="U143" s="29" t="str" cm="1">
        <f t="array" aca="1" ref="U143" ca="1">+fair_value_gap(OFFSET(T142,0,0,-1*$J$5,-1*$AA$1),OFFSET(E142,0,0,-1*$J$5,1),F143:T143,0)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V143" s="9" t="str" cm="1">
        <f t="array" aca="1" ref="V143" ca="1">z_score_diff(OFFSET(U143,0,0,$J$5*-1,1),OFFSET(E143,0,0,$J$5*-1,1))</f>
        <v/>
      </c>
      <c r="W143" s="9" t="str">
        <f t="shared" ca="1" si="146"/>
        <v/>
      </c>
      <c r="X143" s="17">
        <f t="shared" ca="1" si="141"/>
        <v>-0.23074981524241636</v>
      </c>
      <c r="Y143" s="13">
        <f t="shared" ref="Y143:Z143" ca="1" si="155">+Y142</f>
        <v>0</v>
      </c>
      <c r="Z143" s="13">
        <f t="shared" ca="1" si="155"/>
        <v>0</v>
      </c>
      <c r="AA143" t="str">
        <f t="shared" ca="1" si="148"/>
        <v/>
      </c>
      <c r="AB143" t="str">
        <f t="shared" ca="1" si="149"/>
        <v/>
      </c>
      <c r="AC143" s="24" t="str">
        <f t="shared" ca="1" si="150"/>
        <v/>
      </c>
      <c r="AD143" s="24" t="str">
        <f t="shared" ca="1" si="151"/>
        <v/>
      </c>
    </row>
    <row r="144" spans="3:30" x14ac:dyDescent="0.25">
      <c r="C144" s="6">
        <v>238</v>
      </c>
      <c r="D144" s="36">
        <v>42342</v>
      </c>
      <c r="E144" s="38">
        <v>18.457999999999998</v>
      </c>
      <c r="F144" s="38">
        <v>45.408347863398603</v>
      </c>
      <c r="G144" s="38">
        <v>34.81</v>
      </c>
      <c r="H144" s="38">
        <v>2.4763231147126685</v>
      </c>
      <c r="I144" s="38">
        <v>7.3180620680752506</v>
      </c>
      <c r="J144" s="10">
        <v>0</v>
      </c>
      <c r="K144" s="39">
        <v>0</v>
      </c>
      <c r="L144" s="39">
        <v>0</v>
      </c>
      <c r="M144" s="39">
        <v>0</v>
      </c>
      <c r="N144" s="39">
        <v>0</v>
      </c>
      <c r="O144" s="39">
        <v>0</v>
      </c>
      <c r="P144" s="39">
        <v>0</v>
      </c>
      <c r="Q144" s="39">
        <v>0</v>
      </c>
      <c r="R144" s="39">
        <v>0</v>
      </c>
      <c r="S144" s="39">
        <v>0</v>
      </c>
      <c r="T144" s="39">
        <v>0</v>
      </c>
      <c r="U144" s="29" t="str" cm="1">
        <f t="array" aca="1" ref="U144" ca="1">+fair_value_gap(OFFSET(T143,0,0,-1*$J$5,-1*$AA$1),OFFSET(E143,0,0,-1*$J$5,1),F144:T144,0)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V144" s="9" t="str" cm="1">
        <f t="array" aca="1" ref="V144" ca="1">z_score_diff(OFFSET(U144,0,0,$J$5*-1,1),OFFSET(E144,0,0,$J$5*-1,1))</f>
        <v/>
      </c>
      <c r="W144" s="9" t="str">
        <f t="shared" ca="1" si="146"/>
        <v/>
      </c>
      <c r="X144" s="17">
        <f t="shared" ca="1" si="141"/>
        <v>-0.2383193434082618</v>
      </c>
      <c r="Y144" s="13">
        <f t="shared" ref="Y144:Z144" ca="1" si="156">+Y143</f>
        <v>0</v>
      </c>
      <c r="Z144" s="13">
        <f t="shared" ca="1" si="156"/>
        <v>0</v>
      </c>
      <c r="AA144" t="str">
        <f t="shared" ca="1" si="148"/>
        <v/>
      </c>
      <c r="AB144" t="str">
        <f t="shared" ca="1" si="149"/>
        <v/>
      </c>
      <c r="AC144" s="24" t="str">
        <f t="shared" ca="1" si="150"/>
        <v/>
      </c>
      <c r="AD144" s="24" t="str">
        <f t="shared" ca="1" si="151"/>
        <v/>
      </c>
    </row>
    <row r="145" spans="3:30" x14ac:dyDescent="0.25">
      <c r="C145" s="6">
        <v>239</v>
      </c>
      <c r="D145" s="36">
        <v>42345</v>
      </c>
      <c r="E145" s="38">
        <v>17.885000000000002</v>
      </c>
      <c r="F145" s="38">
        <v>43.820586286079966</v>
      </c>
      <c r="G145" s="38">
        <v>34.630000000000003</v>
      </c>
      <c r="H145" s="38">
        <v>2.4512909615824641</v>
      </c>
      <c r="I145" s="38">
        <v>7.3383756938411437</v>
      </c>
      <c r="J145" s="10">
        <v>0</v>
      </c>
      <c r="K145" s="39">
        <v>0</v>
      </c>
      <c r="L145" s="39">
        <v>0</v>
      </c>
      <c r="M145" s="39">
        <v>0</v>
      </c>
      <c r="N145" s="39">
        <v>0</v>
      </c>
      <c r="O145" s="39">
        <v>0</v>
      </c>
      <c r="P145" s="39">
        <v>0</v>
      </c>
      <c r="Q145" s="39">
        <v>0</v>
      </c>
      <c r="R145" s="39">
        <v>0</v>
      </c>
      <c r="S145" s="39">
        <v>0</v>
      </c>
      <c r="T145" s="39">
        <v>0</v>
      </c>
      <c r="U145" s="29" t="str" cm="1">
        <f t="array" aca="1" ref="U145" ca="1">+fair_value_gap(OFFSET(T144,0,0,-1*$J$5,-1*$AA$1),OFFSET(E144,0,0,-1*$J$5,1),F145:T145,0)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V145" s="9" t="str" cm="1">
        <f t="array" aca="1" ref="V145" ca="1">z_score_diff(OFFSET(U145,0,0,$J$5*-1,1),OFFSET(E145,0,0,$J$5*-1,1))</f>
        <v/>
      </c>
      <c r="W145" s="9" t="str">
        <f t="shared" ca="1" si="146"/>
        <v/>
      </c>
      <c r="X145" s="17">
        <f t="shared" ca="1" si="141"/>
        <v>-0.24269320529912222</v>
      </c>
      <c r="Y145" s="13">
        <f t="shared" ref="Y145:Z145" ca="1" si="157">+Y144</f>
        <v>0</v>
      </c>
      <c r="Z145" s="13">
        <f t="shared" ca="1" si="157"/>
        <v>0</v>
      </c>
      <c r="AA145" t="str">
        <f t="shared" ca="1" si="148"/>
        <v/>
      </c>
      <c r="AB145" t="str">
        <f t="shared" ca="1" si="149"/>
        <v/>
      </c>
      <c r="AC145" s="24" t="str">
        <f t="shared" ca="1" si="150"/>
        <v/>
      </c>
      <c r="AD145" s="24" t="str">
        <f t="shared" ca="1" si="151"/>
        <v/>
      </c>
    </row>
    <row r="146" spans="3:30" x14ac:dyDescent="0.25">
      <c r="C146" s="6">
        <v>240</v>
      </c>
      <c r="D146" s="36">
        <v>42346</v>
      </c>
      <c r="E146" s="38">
        <v>17.885000000000002</v>
      </c>
      <c r="F146" s="38">
        <v>43.276849380055282</v>
      </c>
      <c r="G146" s="38">
        <v>34.11</v>
      </c>
      <c r="H146" s="38">
        <v>2.440955809719739</v>
      </c>
      <c r="I146" s="38">
        <v>7.3020045589906735</v>
      </c>
      <c r="J146" s="10">
        <v>0</v>
      </c>
      <c r="K146" s="39">
        <v>0</v>
      </c>
      <c r="L146" s="39">
        <v>0</v>
      </c>
      <c r="M146" s="39">
        <v>0</v>
      </c>
      <c r="N146" s="39">
        <v>0</v>
      </c>
      <c r="O146" s="39">
        <v>0</v>
      </c>
      <c r="P146" s="39">
        <v>0</v>
      </c>
      <c r="Q146" s="39">
        <v>0</v>
      </c>
      <c r="R146" s="39">
        <v>0</v>
      </c>
      <c r="S146" s="39">
        <v>0</v>
      </c>
      <c r="T146" s="39">
        <v>0</v>
      </c>
      <c r="U146" s="29" t="str" cm="1">
        <f t="array" aca="1" ref="U146" ca="1">+fair_value_gap(OFFSET(T145,0,0,-1*$J$5,-1*$AA$1),OFFSET(E145,0,0,-1*$J$5,1),F146:T146,0)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V146" s="9" t="str" cm="1">
        <f t="array" aca="1" ref="V146" ca="1">z_score_diff(OFFSET(U146,0,0,$J$5*-1,1),OFFSET(E146,0,0,$J$5*-1,1))</f>
        <v/>
      </c>
      <c r="W146" s="9" t="str">
        <f t="shared" ca="1" si="146"/>
        <v/>
      </c>
      <c r="X146" s="17">
        <f t="shared" ca="1" si="141"/>
        <v>-0.24526224974356442</v>
      </c>
      <c r="Y146" s="13">
        <f t="shared" ref="Y146:Z146" ca="1" si="158">+Y145</f>
        <v>0</v>
      </c>
      <c r="Z146" s="13">
        <f t="shared" ca="1" si="158"/>
        <v>0</v>
      </c>
      <c r="AA146" t="str">
        <f t="shared" ca="1" si="148"/>
        <v/>
      </c>
      <c r="AB146" t="str">
        <f t="shared" ca="1" si="149"/>
        <v/>
      </c>
      <c r="AC146" s="24" t="str">
        <f t="shared" ca="1" si="150"/>
        <v/>
      </c>
      <c r="AD146" s="24" t="str">
        <f t="shared" ca="1" si="151"/>
        <v/>
      </c>
    </row>
    <row r="147" spans="3:30" x14ac:dyDescent="0.25">
      <c r="C147" s="6">
        <v>241</v>
      </c>
      <c r="D147" s="36">
        <v>42347</v>
      </c>
      <c r="E147" s="38">
        <v>17.754000000000001</v>
      </c>
      <c r="F147" s="38">
        <v>42.63211158928317</v>
      </c>
      <c r="G147" s="38">
        <v>34.270000000000003</v>
      </c>
      <c r="H147" s="38">
        <v>2.4175526693922773</v>
      </c>
      <c r="I147" s="38">
        <v>7.2159061878412434</v>
      </c>
      <c r="J147" s="10">
        <v>0</v>
      </c>
      <c r="K147" s="39">
        <v>0</v>
      </c>
      <c r="L147" s="39">
        <v>0</v>
      </c>
      <c r="M147" s="39">
        <v>0</v>
      </c>
      <c r="N147" s="39">
        <v>0</v>
      </c>
      <c r="O147" s="39">
        <v>0</v>
      </c>
      <c r="P147" s="39">
        <v>0</v>
      </c>
      <c r="Q147" s="39">
        <v>0</v>
      </c>
      <c r="R147" s="39">
        <v>0</v>
      </c>
      <c r="S147" s="39">
        <v>0</v>
      </c>
      <c r="T147" s="39">
        <v>0</v>
      </c>
      <c r="U147" s="29" t="str" cm="1">
        <f t="array" aca="1" ref="U147" ca="1">+fair_value_gap(OFFSET(T146,0,0,-1*$J$5,-1*$AA$1),OFFSET(E146,0,0,-1*$J$5,1),F147:T147,0)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V147" s="9" t="str" cm="1">
        <f t="array" aca="1" ref="V147" ca="1">z_score_diff(OFFSET(U147,0,0,$J$5*-1,1),OFFSET(E147,0,0,$J$5*-1,1))</f>
        <v/>
      </c>
      <c r="W147" s="9" t="str">
        <f t="shared" ca="1" si="146"/>
        <v/>
      </c>
      <c r="X147" s="17">
        <f t="shared" ca="1" si="141"/>
        <v>-0.16277739678819034</v>
      </c>
      <c r="Y147" s="13">
        <f t="shared" ref="Y147:Z147" ca="1" si="159">+Y146</f>
        <v>0</v>
      </c>
      <c r="Z147" s="13">
        <f t="shared" ca="1" si="159"/>
        <v>0</v>
      </c>
      <c r="AA147" t="str">
        <f t="shared" ca="1" si="148"/>
        <v/>
      </c>
      <c r="AB147" t="str">
        <f t="shared" ca="1" si="149"/>
        <v/>
      </c>
      <c r="AC147" s="24" t="str">
        <f t="shared" ca="1" si="150"/>
        <v/>
      </c>
      <c r="AD147" s="24" t="str">
        <f t="shared" ca="1" si="151"/>
        <v/>
      </c>
    </row>
    <row r="148" spans="3:30" x14ac:dyDescent="0.25">
      <c r="C148" s="6">
        <v>242</v>
      </c>
      <c r="D148" s="36">
        <v>42348</v>
      </c>
      <c r="E148" s="38">
        <v>17.716000000000001</v>
      </c>
      <c r="F148" s="38">
        <v>42.947366900186204</v>
      </c>
      <c r="G148" s="38">
        <v>33.83</v>
      </c>
      <c r="H148" s="38">
        <v>2.4236907645100878</v>
      </c>
      <c r="I148" s="38">
        <v>7.2692662646446378</v>
      </c>
      <c r="J148" s="10">
        <v>0</v>
      </c>
      <c r="K148" s="39">
        <v>0</v>
      </c>
      <c r="L148" s="39">
        <v>0</v>
      </c>
      <c r="M148" s="39">
        <v>0</v>
      </c>
      <c r="N148" s="39">
        <v>0</v>
      </c>
      <c r="O148" s="39">
        <v>0</v>
      </c>
      <c r="P148" s="39">
        <v>0</v>
      </c>
      <c r="Q148" s="39">
        <v>0</v>
      </c>
      <c r="R148" s="39">
        <v>0</v>
      </c>
      <c r="S148" s="39">
        <v>0</v>
      </c>
      <c r="T148" s="39">
        <v>0</v>
      </c>
      <c r="U148" s="29" t="str" cm="1">
        <f t="array" aca="1" ref="U148" ca="1">+fair_value_gap(OFFSET(T147,0,0,-1*$J$5,-1*$AA$1),OFFSET(E147,0,0,-1*$J$5,1),F148:T148,0)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V148" s="9" t="str" cm="1">
        <f t="array" aca="1" ref="V148" ca="1">z_score_diff(OFFSET(U148,0,0,$J$5*-1,1),OFFSET(E148,0,0,$J$5*-1,1))</f>
        <v/>
      </c>
      <c r="W148" s="9" t="str">
        <f t="shared" ca="1" si="146"/>
        <v/>
      </c>
      <c r="X148" s="17">
        <f t="shared" ca="1" si="141"/>
        <v>-0.18989134114438394</v>
      </c>
      <c r="Y148" s="13">
        <f t="shared" ref="Y148:Z148" ca="1" si="160">+Y147</f>
        <v>0</v>
      </c>
      <c r="Z148" s="13">
        <f t="shared" ca="1" si="160"/>
        <v>0</v>
      </c>
      <c r="AA148" t="str">
        <f t="shared" ca="1" si="148"/>
        <v/>
      </c>
      <c r="AB148" t="str">
        <f t="shared" ca="1" si="149"/>
        <v/>
      </c>
      <c r="AC148" s="24" t="str">
        <f t="shared" ca="1" si="150"/>
        <v/>
      </c>
      <c r="AD148" s="24" t="str">
        <f t="shared" ca="1" si="151"/>
        <v/>
      </c>
    </row>
    <row r="149" spans="3:30" x14ac:dyDescent="0.25">
      <c r="C149" s="6">
        <v>243</v>
      </c>
      <c r="D149" s="36">
        <v>42349</v>
      </c>
      <c r="E149" s="38">
        <v>17.584</v>
      </c>
      <c r="F149" s="38">
        <v>41.651479356508048</v>
      </c>
      <c r="G149" s="38">
        <v>33.619999999999997</v>
      </c>
      <c r="H149" s="38">
        <v>2.4002699966250423</v>
      </c>
      <c r="I149" s="38">
        <v>7.2449094386320185</v>
      </c>
      <c r="J149" s="10">
        <v>0</v>
      </c>
      <c r="K149" s="39">
        <v>0</v>
      </c>
      <c r="L149" s="39">
        <v>0</v>
      </c>
      <c r="M149" s="39">
        <v>0</v>
      </c>
      <c r="N149" s="39">
        <v>0</v>
      </c>
      <c r="O149" s="39">
        <v>0</v>
      </c>
      <c r="P149" s="39">
        <v>0</v>
      </c>
      <c r="Q149" s="39">
        <v>0</v>
      </c>
      <c r="R149" s="39">
        <v>0</v>
      </c>
      <c r="S149" s="39">
        <v>0</v>
      </c>
      <c r="T149" s="39">
        <v>0</v>
      </c>
      <c r="U149" s="29" t="str" cm="1">
        <f t="array" aca="1" ref="U149" ca="1">+fair_value_gap(OFFSET(T148,0,0,-1*$J$5,-1*$AA$1),OFFSET(E148,0,0,-1*$J$5,1),F149:T149,0)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V149" s="9" t="str" cm="1">
        <f t="array" aca="1" ref="V149" ca="1">z_score_diff(OFFSET(U149,0,0,$J$5*-1,1),OFFSET(E149,0,0,$J$5*-1,1))</f>
        <v/>
      </c>
      <c r="W149" s="9" t="str">
        <f t="shared" ca="1" si="146"/>
        <v/>
      </c>
      <c r="X149" s="17">
        <f t="shared" ca="1" si="141"/>
        <v>-0.16636671238785214</v>
      </c>
      <c r="Y149" s="13">
        <f t="shared" ref="Y149:Z149" ca="1" si="161">+Y148</f>
        <v>0</v>
      </c>
      <c r="Z149" s="13">
        <f t="shared" ca="1" si="161"/>
        <v>0</v>
      </c>
      <c r="AA149" t="str">
        <f t="shared" ca="1" si="148"/>
        <v/>
      </c>
      <c r="AB149" t="str">
        <f t="shared" ca="1" si="149"/>
        <v/>
      </c>
      <c r="AC149" s="24" t="str">
        <f t="shared" ca="1" si="150"/>
        <v/>
      </c>
      <c r="AD149" s="24" t="str">
        <f t="shared" ca="1" si="151"/>
        <v/>
      </c>
    </row>
    <row r="150" spans="3:30" x14ac:dyDescent="0.25">
      <c r="C150" s="6">
        <v>244</v>
      </c>
      <c r="D150" s="36">
        <v>42352</v>
      </c>
      <c r="E150" s="38">
        <v>17.236000000000001</v>
      </c>
      <c r="F150" s="38">
        <v>41.122406137253897</v>
      </c>
      <c r="G150" s="38">
        <v>33.42</v>
      </c>
      <c r="H150" s="38">
        <v>2.3285315237316917</v>
      </c>
      <c r="I150" s="38">
        <v>7.2373277088957995</v>
      </c>
      <c r="J150" s="10">
        <v>0</v>
      </c>
      <c r="K150" s="39">
        <v>0</v>
      </c>
      <c r="L150" s="39">
        <v>0</v>
      </c>
      <c r="M150" s="39">
        <v>0</v>
      </c>
      <c r="N150" s="39">
        <v>0</v>
      </c>
      <c r="O150" s="39">
        <v>0</v>
      </c>
      <c r="P150" s="39">
        <v>0</v>
      </c>
      <c r="Q150" s="39">
        <v>0</v>
      </c>
      <c r="R150" s="39">
        <v>0</v>
      </c>
      <c r="S150" s="39">
        <v>0</v>
      </c>
      <c r="T150" s="39">
        <v>0</v>
      </c>
      <c r="U150" s="29" t="str" cm="1">
        <f t="array" aca="1" ref="U150" ca="1">+fair_value_gap(OFFSET(T149,0,0,-1*$J$5,-1*$AA$1),OFFSET(E149,0,0,-1*$J$5,1),F150:T150,0)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V150" s="9" t="str" cm="1">
        <f t="array" aca="1" ref="V150" ca="1">z_score_diff(OFFSET(U150,0,0,$J$5*-1,1),OFFSET(E150,0,0,$J$5*-1,1))</f>
        <v/>
      </c>
      <c r="W150" s="9" t="str">
        <f t="shared" ca="1" si="146"/>
        <v/>
      </c>
      <c r="X150" s="17">
        <f t="shared" ca="1" si="141"/>
        <v>-0.12557322160974296</v>
      </c>
      <c r="Y150" s="13">
        <f t="shared" ref="Y150:Z150" ca="1" si="162">+Y149</f>
        <v>0</v>
      </c>
      <c r="Z150" s="13">
        <f t="shared" ca="1" si="162"/>
        <v>0</v>
      </c>
      <c r="AA150" t="str">
        <f t="shared" ca="1" si="148"/>
        <v/>
      </c>
      <c r="AB150" t="str">
        <f t="shared" ca="1" si="149"/>
        <v/>
      </c>
      <c r="AC150" s="24" t="str">
        <f t="shared" ca="1" si="150"/>
        <v/>
      </c>
      <c r="AD150" s="24" t="str">
        <f t="shared" ca="1" si="151"/>
        <v/>
      </c>
    </row>
    <row r="151" spans="3:30" x14ac:dyDescent="0.25">
      <c r="C151" s="6">
        <v>245</v>
      </c>
      <c r="D151" s="36">
        <v>42353</v>
      </c>
      <c r="E151" s="38">
        <v>17.404</v>
      </c>
      <c r="F151" s="38">
        <v>41.765732211142954</v>
      </c>
      <c r="G151" s="38">
        <v>33.71</v>
      </c>
      <c r="H151" s="38">
        <v>2.3052514532124353</v>
      </c>
      <c r="I151" s="38">
        <v>7.277362430729454</v>
      </c>
      <c r="J151" s="10">
        <v>0</v>
      </c>
      <c r="K151" s="39">
        <v>0</v>
      </c>
      <c r="L151" s="39">
        <v>0</v>
      </c>
      <c r="M151" s="39">
        <v>0</v>
      </c>
      <c r="N151" s="39">
        <v>0</v>
      </c>
      <c r="O151" s="39">
        <v>0</v>
      </c>
      <c r="P151" s="39">
        <v>0</v>
      </c>
      <c r="Q151" s="39">
        <v>0</v>
      </c>
      <c r="R151" s="39">
        <v>0</v>
      </c>
      <c r="S151" s="39">
        <v>0</v>
      </c>
      <c r="T151" s="39">
        <v>0</v>
      </c>
      <c r="U151" s="29" t="str" cm="1">
        <f t="array" aca="1" ref="U151" ca="1">+fair_value_gap(OFFSET(T150,0,0,-1*$J$5,-1*$AA$1),OFFSET(E150,0,0,-1*$J$5,1),F151:T151,0)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V151" s="9" t="str" cm="1">
        <f t="array" aca="1" ref="V151" ca="1">z_score_diff(OFFSET(U151,0,0,$J$5*-1,1),OFFSET(E151,0,0,$J$5*-1,1))</f>
        <v/>
      </c>
      <c r="W151" s="9" t="str">
        <f t="shared" ca="1" si="146"/>
        <v/>
      </c>
      <c r="X151" s="17">
        <f t="shared" ca="1" si="141"/>
        <v>-0.10310304880025323</v>
      </c>
      <c r="Y151" s="13">
        <f t="shared" ref="Y151:Z151" ca="1" si="163">+Y150</f>
        <v>0</v>
      </c>
      <c r="Z151" s="13">
        <f t="shared" ca="1" si="163"/>
        <v>0</v>
      </c>
      <c r="AA151" t="str">
        <f t="shared" ca="1" si="148"/>
        <v/>
      </c>
      <c r="AB151" t="str">
        <f t="shared" ca="1" si="149"/>
        <v/>
      </c>
      <c r="AC151" s="24" t="str">
        <f t="shared" ca="1" si="150"/>
        <v/>
      </c>
      <c r="AD151" s="24" t="str">
        <f t="shared" ca="1" si="151"/>
        <v/>
      </c>
    </row>
    <row r="152" spans="3:30" x14ac:dyDescent="0.25">
      <c r="C152" s="6">
        <v>246</v>
      </c>
      <c r="D152" s="36">
        <v>42354</v>
      </c>
      <c r="E152" s="38">
        <v>17.04</v>
      </c>
      <c r="F152" s="38">
        <v>40.747582310116265</v>
      </c>
      <c r="G152" s="38">
        <v>33.549999999999997</v>
      </c>
      <c r="H152" s="38">
        <v>2.3461552392335836</v>
      </c>
      <c r="I152" s="38">
        <v>7.2892897243652435</v>
      </c>
      <c r="J152" s="10">
        <v>0</v>
      </c>
      <c r="K152" s="39">
        <v>0</v>
      </c>
      <c r="L152" s="39">
        <v>0</v>
      </c>
      <c r="M152" s="39">
        <v>0</v>
      </c>
      <c r="N152" s="39">
        <v>0</v>
      </c>
      <c r="O152" s="39">
        <v>0</v>
      </c>
      <c r="P152" s="39">
        <v>0</v>
      </c>
      <c r="Q152" s="39">
        <v>0</v>
      </c>
      <c r="R152" s="39">
        <v>0</v>
      </c>
      <c r="S152" s="39">
        <v>0</v>
      </c>
      <c r="T152" s="39">
        <v>0</v>
      </c>
      <c r="U152" s="29" t="str" cm="1">
        <f t="array" aca="1" ref="U152" ca="1">+fair_value_gap(OFFSET(T151,0,0,-1*$J$5,-1*$AA$1),OFFSET(E151,0,0,-1*$J$5,1),F152:T152,0)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V152" s="9" t="str" cm="1">
        <f t="array" aca="1" ref="V152" ca="1">z_score_diff(OFFSET(U152,0,0,$J$5*-1,1),OFFSET(E152,0,0,$J$5*-1,1))</f>
        <v/>
      </c>
      <c r="W152" s="9" t="str">
        <f t="shared" ca="1" si="146"/>
        <v/>
      </c>
      <c r="X152" s="17">
        <f t="shared" ca="1" si="141"/>
        <v>-9.1438576161969015E-2</v>
      </c>
      <c r="Y152" s="13">
        <f t="shared" ref="Y152:Z152" ca="1" si="164">+Y151</f>
        <v>0</v>
      </c>
      <c r="Z152" s="13">
        <f t="shared" ca="1" si="164"/>
        <v>0</v>
      </c>
      <c r="AA152" t="str">
        <f t="shared" ca="1" si="148"/>
        <v/>
      </c>
      <c r="AB152" t="str">
        <f t="shared" ca="1" si="149"/>
        <v/>
      </c>
      <c r="AC152" s="24" t="str">
        <f t="shared" ca="1" si="150"/>
        <v/>
      </c>
      <c r="AD152" s="24" t="str">
        <f t="shared" ca="1" si="151"/>
        <v/>
      </c>
    </row>
    <row r="153" spans="3:30" x14ac:dyDescent="0.25">
      <c r="C153" s="6">
        <v>247</v>
      </c>
      <c r="D153" s="36">
        <v>42355</v>
      </c>
      <c r="E153" s="38">
        <v>17.021000000000001</v>
      </c>
      <c r="F153" s="38">
        <v>41.32423865227274</v>
      </c>
      <c r="G153" s="38">
        <v>33.42</v>
      </c>
      <c r="H153" s="38">
        <v>2.4009154346259676</v>
      </c>
      <c r="I153" s="38">
        <v>7.3516048873103994</v>
      </c>
      <c r="J153" s="10">
        <v>0</v>
      </c>
      <c r="K153" s="39">
        <v>0</v>
      </c>
      <c r="L153" s="39">
        <v>0</v>
      </c>
      <c r="M153" s="39">
        <v>0</v>
      </c>
      <c r="N153" s="39">
        <v>0</v>
      </c>
      <c r="O153" s="39">
        <v>0</v>
      </c>
      <c r="P153" s="39">
        <v>0</v>
      </c>
      <c r="Q153" s="39">
        <v>0</v>
      </c>
      <c r="R153" s="39">
        <v>0</v>
      </c>
      <c r="S153" s="39">
        <v>0</v>
      </c>
      <c r="T153" s="39">
        <v>0</v>
      </c>
      <c r="U153" s="29" t="str" cm="1">
        <f t="array" aca="1" ref="U153" ca="1">+fair_value_gap(OFFSET(T152,0,0,-1*$J$5,-1*$AA$1),OFFSET(E152,0,0,-1*$J$5,1),F153:T153,0)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V153" s="9" t="str" cm="1">
        <f t="array" aca="1" ref="V153" ca="1">z_score_diff(OFFSET(U153,0,0,$J$5*-1,1),OFFSET(E153,0,0,$J$5*-1,1))</f>
        <v/>
      </c>
      <c r="W153" s="9" t="str">
        <f t="shared" ca="1" si="146"/>
        <v/>
      </c>
      <c r="X153" s="17">
        <f t="shared" ca="1" si="141"/>
        <v>-0.12233925459612456</v>
      </c>
      <c r="Y153" s="13">
        <f t="shared" ref="Y153:Z153" ca="1" si="165">+Y152</f>
        <v>0</v>
      </c>
      <c r="Z153" s="13">
        <f t="shared" ca="1" si="165"/>
        <v>0</v>
      </c>
      <c r="AA153" t="str">
        <f t="shared" ca="1" si="148"/>
        <v/>
      </c>
      <c r="AB153" t="str">
        <f t="shared" ca="1" si="149"/>
        <v/>
      </c>
      <c r="AC153" s="24" t="str">
        <f t="shared" ca="1" si="150"/>
        <v/>
      </c>
      <c r="AD153" s="24" t="str">
        <f t="shared" ca="1" si="151"/>
        <v/>
      </c>
    </row>
    <row r="154" spans="3:30" x14ac:dyDescent="0.25">
      <c r="C154" s="6">
        <v>248</v>
      </c>
      <c r="D154" s="36">
        <v>42356</v>
      </c>
      <c r="E154" s="38">
        <v>16.771999999999998</v>
      </c>
      <c r="F154" s="38">
        <v>40.690909090909088</v>
      </c>
      <c r="G154" s="38">
        <v>33.020000000000003</v>
      </c>
      <c r="H154" s="38">
        <v>2.4027272727272724</v>
      </c>
      <c r="I154" s="38">
        <v>7.3181818181818183</v>
      </c>
      <c r="J154" s="10">
        <v>0</v>
      </c>
      <c r="K154" s="39">
        <v>0</v>
      </c>
      <c r="L154" s="39">
        <v>0</v>
      </c>
      <c r="M154" s="39">
        <v>0</v>
      </c>
      <c r="N154" s="39">
        <v>0</v>
      </c>
      <c r="O154" s="39">
        <v>0</v>
      </c>
      <c r="P154" s="39">
        <v>0</v>
      </c>
      <c r="Q154" s="39">
        <v>0</v>
      </c>
      <c r="R154" s="39">
        <v>0</v>
      </c>
      <c r="S154" s="39">
        <v>0</v>
      </c>
      <c r="T154" s="39">
        <v>0</v>
      </c>
      <c r="U154" s="29" t="str" cm="1">
        <f t="array" aca="1" ref="U154" ca="1">+fair_value_gap(OFFSET(T153,0,0,-1*$J$5,-1*$AA$1),OFFSET(E153,0,0,-1*$J$5,1),F154:T154,0)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V154" s="9" t="str" cm="1">
        <f t="array" aca="1" ref="V154" ca="1">z_score_diff(OFFSET(U154,0,0,$J$5*-1,1),OFFSET(E154,0,0,$J$5*-1,1))</f>
        <v/>
      </c>
      <c r="W154" s="9" t="str">
        <f t="shared" ca="1" si="146"/>
        <v/>
      </c>
      <c r="X154" s="17">
        <f t="shared" ca="1" si="141"/>
        <v>-0.12299124454869066</v>
      </c>
      <c r="Y154" s="13">
        <f t="shared" ref="Y154:Z154" ca="1" si="166">+Y153</f>
        <v>0</v>
      </c>
      <c r="Z154" s="13">
        <f t="shared" ca="1" si="166"/>
        <v>0</v>
      </c>
      <c r="AA154" t="str">
        <f t="shared" ca="1" si="148"/>
        <v/>
      </c>
      <c r="AB154" t="str">
        <f t="shared" ca="1" si="149"/>
        <v/>
      </c>
      <c r="AC154" s="24" t="str">
        <f t="shared" ca="1" si="150"/>
        <v/>
      </c>
      <c r="AD154" s="24" t="str">
        <f t="shared" ca="1" si="151"/>
        <v/>
      </c>
    </row>
    <row r="155" spans="3:30" x14ac:dyDescent="0.25">
      <c r="C155" s="6">
        <v>249</v>
      </c>
      <c r="D155" s="36">
        <v>42359</v>
      </c>
      <c r="E155" s="38">
        <v>16.425000000000001</v>
      </c>
      <c r="F155" s="38">
        <v>39.901147191903618</v>
      </c>
      <c r="G155" s="38">
        <v>32.53</v>
      </c>
      <c r="H155" s="38">
        <v>2.4152360689726291</v>
      </c>
      <c r="I155" s="38">
        <v>7.2818915188126088</v>
      </c>
      <c r="J155" s="10">
        <v>0</v>
      </c>
      <c r="K155" s="39">
        <v>0</v>
      </c>
      <c r="L155" s="39">
        <v>0</v>
      </c>
      <c r="M155" s="39">
        <v>0</v>
      </c>
      <c r="N155" s="39">
        <v>0</v>
      </c>
      <c r="O155" s="39">
        <v>0</v>
      </c>
      <c r="P155" s="39">
        <v>0</v>
      </c>
      <c r="Q155" s="39">
        <v>0</v>
      </c>
      <c r="R155" s="39">
        <v>0</v>
      </c>
      <c r="S155" s="39">
        <v>0</v>
      </c>
      <c r="T155" s="39">
        <v>0</v>
      </c>
      <c r="U155" s="29" t="str" cm="1">
        <f t="array" aca="1" ref="U155" ca="1">+fair_value_gap(OFFSET(T154,0,0,-1*$J$5,-1*$AA$1),OFFSET(E154,0,0,-1*$J$5,1),F155:T155,0)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V155" s="9" t="str" cm="1">
        <f t="array" aca="1" ref="V155" ca="1">z_score_diff(OFFSET(U155,0,0,$J$5*-1,1),OFFSET(E155,0,0,$J$5*-1,1))</f>
        <v/>
      </c>
      <c r="W155" s="9" t="str">
        <f t="shared" ca="1" si="146"/>
        <v/>
      </c>
      <c r="X155" s="17">
        <f t="shared" ca="1" si="141"/>
        <v>-9.4026377138883413E-2</v>
      </c>
      <c r="Y155" s="13">
        <f t="shared" ref="Y155:Z155" ca="1" si="167">+Y154</f>
        <v>0</v>
      </c>
      <c r="Z155" s="13">
        <f t="shared" ca="1" si="167"/>
        <v>0</v>
      </c>
      <c r="AA155" t="str">
        <f t="shared" ca="1" si="148"/>
        <v/>
      </c>
      <c r="AB155" t="str">
        <f t="shared" ca="1" si="149"/>
        <v/>
      </c>
      <c r="AC155" s="24" t="str">
        <f t="shared" ca="1" si="150"/>
        <v/>
      </c>
      <c r="AD155" s="24" t="str">
        <f t="shared" ca="1" si="151"/>
        <v/>
      </c>
    </row>
    <row r="156" spans="3:30" x14ac:dyDescent="0.25">
      <c r="C156" s="6">
        <v>250</v>
      </c>
      <c r="D156" s="36">
        <v>42360</v>
      </c>
      <c r="E156" s="38">
        <v>16.414000000000001</v>
      </c>
      <c r="F156" s="38">
        <v>39.289613495865034</v>
      </c>
      <c r="G156" s="38">
        <v>32.42</v>
      </c>
      <c r="H156" s="38">
        <v>2.3755881496467266</v>
      </c>
      <c r="I156" s="38">
        <v>7.2574894135317471</v>
      </c>
      <c r="J156" s="10">
        <v>0</v>
      </c>
      <c r="K156" s="39">
        <v>0</v>
      </c>
      <c r="L156" s="39">
        <v>0</v>
      </c>
      <c r="M156" s="39">
        <v>0</v>
      </c>
      <c r="N156" s="39">
        <v>0</v>
      </c>
      <c r="O156" s="39">
        <v>0</v>
      </c>
      <c r="P156" s="39">
        <v>0</v>
      </c>
      <c r="Q156" s="39">
        <v>0</v>
      </c>
      <c r="R156" s="39">
        <v>0</v>
      </c>
      <c r="S156" s="39">
        <v>0</v>
      </c>
      <c r="T156" s="39">
        <v>0</v>
      </c>
      <c r="U156" s="29" t="str" cm="1">
        <f t="array" aca="1" ref="U156" ca="1">+fair_value_gap(OFFSET(T155,0,0,-1*$J$5,-1*$AA$1),OFFSET(E155,0,0,-1*$J$5,1),F156:T156,0)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V156" s="9" t="str" cm="1">
        <f t="array" aca="1" ref="V156" ca="1">z_score_diff(OFFSET(U156,0,0,$J$5*-1,1),OFFSET(E156,0,0,$J$5*-1,1))</f>
        <v/>
      </c>
      <c r="W156" s="9" t="str">
        <f t="shared" ca="1" si="146"/>
        <v/>
      </c>
      <c r="X156" s="17">
        <f t="shared" ca="1" si="141"/>
        <v>-0.11239820570189429</v>
      </c>
      <c r="Y156" s="13">
        <f t="shared" ref="Y156:Z156" ca="1" si="168">+Y155</f>
        <v>0</v>
      </c>
      <c r="Z156" s="13">
        <f t="shared" ca="1" si="168"/>
        <v>0</v>
      </c>
      <c r="AA156" t="str">
        <f t="shared" ca="1" si="148"/>
        <v/>
      </c>
      <c r="AB156" t="str">
        <f t="shared" ca="1" si="149"/>
        <v/>
      </c>
      <c r="AC156" s="24" t="str">
        <f t="shared" ca="1" si="150"/>
        <v/>
      </c>
      <c r="AD156" s="24" t="str">
        <f t="shared" ca="1" si="151"/>
        <v/>
      </c>
    </row>
    <row r="157" spans="3:30" x14ac:dyDescent="0.25">
      <c r="C157" s="6">
        <v>251</v>
      </c>
      <c r="D157" s="36">
        <v>42361</v>
      </c>
      <c r="E157" s="38">
        <v>16.241</v>
      </c>
      <c r="F157" s="38">
        <v>40.380260268556327</v>
      </c>
      <c r="G157" s="38">
        <v>32.35</v>
      </c>
      <c r="H157" s="38">
        <v>2.3958532196087199</v>
      </c>
      <c r="I157" s="38">
        <v>7.2834661698830043</v>
      </c>
      <c r="J157" s="10">
        <v>0</v>
      </c>
      <c r="K157" s="39">
        <v>0</v>
      </c>
      <c r="L157" s="39">
        <v>0</v>
      </c>
      <c r="M157" s="39">
        <v>0</v>
      </c>
      <c r="N157" s="39">
        <v>0</v>
      </c>
      <c r="O157" s="39">
        <v>0</v>
      </c>
      <c r="P157" s="39">
        <v>0</v>
      </c>
      <c r="Q157" s="39">
        <v>0</v>
      </c>
      <c r="R157" s="39">
        <v>0</v>
      </c>
      <c r="S157" s="39">
        <v>0</v>
      </c>
      <c r="T157" s="39">
        <v>0</v>
      </c>
      <c r="U157" s="29" t="str" cm="1">
        <f t="array" aca="1" ref="U157" ca="1">+fair_value_gap(OFFSET(T156,0,0,-1*$J$5,-1*$AA$1),OFFSET(E156,0,0,-1*$J$5,1),F157:T157,0)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V157" s="9" t="str" cm="1">
        <f t="array" aca="1" ref="V157" ca="1">z_score_diff(OFFSET(U157,0,0,$J$5*-1,1),OFFSET(E157,0,0,$J$5*-1,1))</f>
        <v/>
      </c>
      <c r="W157" s="9" t="str">
        <f t="shared" ca="1" si="146"/>
        <v/>
      </c>
      <c r="X157" s="17">
        <f t="shared" ca="1" si="141"/>
        <v>-0.10946693160994196</v>
      </c>
      <c r="Y157" s="13">
        <f t="shared" ref="Y157:Z157" ca="1" si="169">+Y156</f>
        <v>0</v>
      </c>
      <c r="Z157" s="13">
        <f t="shared" ca="1" si="169"/>
        <v>0</v>
      </c>
      <c r="AA157" t="str">
        <f t="shared" ca="1" si="148"/>
        <v/>
      </c>
      <c r="AB157" t="str">
        <f t="shared" ca="1" si="149"/>
        <v/>
      </c>
      <c r="AC157" s="24" t="str">
        <f t="shared" ca="1" si="150"/>
        <v/>
      </c>
      <c r="AD157" s="24" t="str">
        <f t="shared" ca="1" si="151"/>
        <v/>
      </c>
    </row>
    <row r="158" spans="3:30" x14ac:dyDescent="0.25">
      <c r="C158" s="6">
        <v>252</v>
      </c>
      <c r="D158" s="36">
        <v>42362</v>
      </c>
      <c r="E158" s="38">
        <v>16.117000000000001</v>
      </c>
      <c r="F158" s="38">
        <v>40.78224819348511</v>
      </c>
      <c r="G158" s="38">
        <v>32.299999999999997</v>
      </c>
      <c r="H158" s="38">
        <v>2.3975782838131039</v>
      </c>
      <c r="I158" s="38">
        <v>7.2503776050696809</v>
      </c>
      <c r="J158" s="10">
        <v>0</v>
      </c>
      <c r="K158" s="39">
        <v>0</v>
      </c>
      <c r="L158" s="39">
        <v>0</v>
      </c>
      <c r="M158" s="39">
        <v>0</v>
      </c>
      <c r="N158" s="39">
        <v>0</v>
      </c>
      <c r="O158" s="39">
        <v>0</v>
      </c>
      <c r="P158" s="39">
        <v>0</v>
      </c>
      <c r="Q158" s="39">
        <v>0</v>
      </c>
      <c r="R158" s="39">
        <v>0</v>
      </c>
      <c r="S158" s="39">
        <v>0</v>
      </c>
      <c r="T158" s="39">
        <v>0</v>
      </c>
      <c r="U158" s="29" t="str" cm="1">
        <f t="array" aca="1" ref="U158" ca="1">+fair_value_gap(OFFSET(T157,0,0,-1*$J$5,-1*$AA$1),OFFSET(E157,0,0,-1*$J$5,1),F158:T158,0)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V158" s="9" t="str" cm="1">
        <f t="array" aca="1" ref="V158" ca="1">z_score_diff(OFFSET(U158,0,0,$J$5*-1,1),OFFSET(E158,0,0,$J$5*-1,1))</f>
        <v/>
      </c>
      <c r="W158" s="9" t="str">
        <f t="shared" ca="1" si="146"/>
        <v/>
      </c>
      <c r="X158" s="17">
        <f t="shared" ca="1" si="141"/>
        <v>-0.12206563087511768</v>
      </c>
      <c r="Y158" s="13">
        <f t="shared" ref="Y158:Z158" ca="1" si="170">+Y157</f>
        <v>0</v>
      </c>
      <c r="Z158" s="13">
        <f t="shared" ca="1" si="170"/>
        <v>0</v>
      </c>
      <c r="AA158" t="str">
        <f t="shared" ca="1" si="148"/>
        <v/>
      </c>
      <c r="AB158" t="str">
        <f t="shared" ca="1" si="149"/>
        <v/>
      </c>
      <c r="AC158" s="24" t="str">
        <f t="shared" ca="1" si="150"/>
        <v/>
      </c>
      <c r="AD158" s="24" t="str">
        <f t="shared" ca="1" si="151"/>
        <v/>
      </c>
    </row>
    <row r="159" spans="3:30" x14ac:dyDescent="0.25">
      <c r="C159" s="6">
        <v>253</v>
      </c>
      <c r="D159" s="36">
        <v>42366</v>
      </c>
      <c r="E159" s="38">
        <v>16.484999999999999</v>
      </c>
      <c r="F159" s="38">
        <v>39.724118562046321</v>
      </c>
      <c r="G159" s="38">
        <v>32.35</v>
      </c>
      <c r="H159" s="38">
        <v>2.4862455351999082</v>
      </c>
      <c r="I159" s="38">
        <v>7.2462985366977772</v>
      </c>
      <c r="J159" s="10">
        <v>0</v>
      </c>
      <c r="K159" s="39">
        <v>0</v>
      </c>
      <c r="L159" s="39">
        <v>0</v>
      </c>
      <c r="M159" s="39">
        <v>0</v>
      </c>
      <c r="N159" s="39">
        <v>0</v>
      </c>
      <c r="O159" s="39">
        <v>0</v>
      </c>
      <c r="P159" s="39">
        <v>0</v>
      </c>
      <c r="Q159" s="39">
        <v>0</v>
      </c>
      <c r="R159" s="39">
        <v>0</v>
      </c>
      <c r="S159" s="39">
        <v>0</v>
      </c>
      <c r="T159" s="39">
        <v>0</v>
      </c>
      <c r="U159" s="29" t="str" cm="1">
        <f t="array" aca="1" ref="U159" ca="1">+fair_value_gap(OFFSET(T158,0,0,-1*$J$5,-1*$AA$1),OFFSET(E158,0,0,-1*$J$5,1),F159:T159,0)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V159" s="9" t="str" cm="1">
        <f t="array" aca="1" ref="V159" ca="1">z_score_diff(OFFSET(U159,0,0,$J$5*-1,1),OFFSET(E159,0,0,$J$5*-1,1))</f>
        <v/>
      </c>
      <c r="W159" s="9" t="str">
        <f t="shared" ca="1" si="146"/>
        <v/>
      </c>
      <c r="X159" s="17">
        <f t="shared" ca="1" si="141"/>
        <v>-0.15691458081072659</v>
      </c>
      <c r="Y159" s="13">
        <f t="shared" ref="Y159:Z159" ca="1" si="171">+Y158</f>
        <v>0</v>
      </c>
      <c r="Z159" s="13">
        <f t="shared" ca="1" si="171"/>
        <v>0</v>
      </c>
      <c r="AA159" t="str">
        <f t="shared" ca="1" si="148"/>
        <v/>
      </c>
      <c r="AB159" t="str">
        <f t="shared" ca="1" si="149"/>
        <v/>
      </c>
      <c r="AC159" s="24" t="str">
        <f t="shared" ca="1" si="150"/>
        <v/>
      </c>
      <c r="AD159" s="24" t="str">
        <f t="shared" ca="1" si="151"/>
        <v/>
      </c>
    </row>
    <row r="160" spans="3:30" x14ac:dyDescent="0.25">
      <c r="C160" s="6">
        <v>254</v>
      </c>
      <c r="D160" s="36">
        <v>42367</v>
      </c>
      <c r="E160" s="38">
        <v>16.762</v>
      </c>
      <c r="F160" s="38">
        <v>40.747602431306731</v>
      </c>
      <c r="G160" s="38">
        <v>32.85</v>
      </c>
      <c r="H160" s="38">
        <v>2.5247073552538755</v>
      </c>
      <c r="I160" s="38">
        <v>7.2715185008206431</v>
      </c>
      <c r="J160" s="10">
        <v>0</v>
      </c>
      <c r="K160" s="39">
        <v>0</v>
      </c>
      <c r="L160" s="39">
        <v>0</v>
      </c>
      <c r="M160" s="39">
        <v>0</v>
      </c>
      <c r="N160" s="39">
        <v>0</v>
      </c>
      <c r="O160" s="39">
        <v>0</v>
      </c>
      <c r="P160" s="39">
        <v>0</v>
      </c>
      <c r="Q160" s="39">
        <v>0</v>
      </c>
      <c r="R160" s="39">
        <v>0</v>
      </c>
      <c r="S160" s="39">
        <v>0</v>
      </c>
      <c r="T160" s="39">
        <v>0</v>
      </c>
      <c r="U160" s="29" t="str" cm="1">
        <f t="array" aca="1" ref="U160" ca="1">+fair_value_gap(OFFSET(T159,0,0,-1*$J$5,-1*$AA$1),OFFSET(E159,0,0,-1*$J$5,1),F160:T160,0)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V160" s="9" t="str" cm="1">
        <f t="array" aca="1" ref="V160" ca="1">z_score_diff(OFFSET(U160,0,0,$J$5*-1,1),OFFSET(E160,0,0,$J$5*-1,1))</f>
        <v/>
      </c>
      <c r="W160" s="9" t="str">
        <f t="shared" ca="1" si="146"/>
        <v/>
      </c>
      <c r="X160" s="17">
        <f t="shared" ca="1" si="141"/>
        <v>-0.18844934962404916</v>
      </c>
      <c r="Y160" s="13">
        <f t="shared" ref="Y160:Z160" ca="1" si="172">+Y159</f>
        <v>0</v>
      </c>
      <c r="Z160" s="13">
        <f t="shared" ca="1" si="172"/>
        <v>0</v>
      </c>
      <c r="AA160" t="str">
        <f t="shared" ca="1" si="148"/>
        <v/>
      </c>
      <c r="AB160" t="str">
        <f t="shared" ca="1" si="149"/>
        <v/>
      </c>
      <c r="AC160" s="24" t="str">
        <f t="shared" ca="1" si="150"/>
        <v/>
      </c>
      <c r="AD160" s="24" t="str">
        <f t="shared" ca="1" si="151"/>
        <v/>
      </c>
    </row>
    <row r="161" spans="3:30" x14ac:dyDescent="0.25">
      <c r="C161" s="6">
        <v>255</v>
      </c>
      <c r="D161" s="36">
        <v>42368</v>
      </c>
      <c r="E161" s="38">
        <v>16.405000000000001</v>
      </c>
      <c r="F161" s="38">
        <v>39.820343327405588</v>
      </c>
      <c r="G161" s="38">
        <v>32.69</v>
      </c>
      <c r="H161" s="38">
        <v>2.5360744854469242</v>
      </c>
      <c r="I161" s="38">
        <v>7.2704414557862327</v>
      </c>
      <c r="J161" s="10">
        <v>0</v>
      </c>
      <c r="K161" s="39">
        <v>0</v>
      </c>
      <c r="L161" s="39">
        <v>0</v>
      </c>
      <c r="M161" s="39">
        <v>0</v>
      </c>
      <c r="N161" s="39">
        <v>0</v>
      </c>
      <c r="O161" s="39">
        <v>0</v>
      </c>
      <c r="P161" s="39">
        <v>0</v>
      </c>
      <c r="Q161" s="39">
        <v>0</v>
      </c>
      <c r="R161" s="39">
        <v>0</v>
      </c>
      <c r="S161" s="39">
        <v>0</v>
      </c>
      <c r="T161" s="39">
        <v>0</v>
      </c>
      <c r="U161" s="29" t="str" cm="1">
        <f t="array" aca="1" ref="U161" ca="1">+fair_value_gap(OFFSET(T160,0,0,-1*$J$5,-1*$AA$1),OFFSET(E160,0,0,-1*$J$5,1),F161:T161,0)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V161" s="9" t="str" cm="1">
        <f t="array" aca="1" ref="V161" ca="1">z_score_diff(OFFSET(U161,0,0,$J$5*-1,1),OFFSET(E161,0,0,$J$5*-1,1))</f>
        <v/>
      </c>
      <c r="W161" s="9" t="str">
        <f t="shared" ca="1" si="146"/>
        <v/>
      </c>
      <c r="X161" s="17">
        <f t="shared" ca="1" si="141"/>
        <v>-0.1758930109673856</v>
      </c>
      <c r="Y161" s="13">
        <f t="shared" ref="Y161:Z161" ca="1" si="173">+Y160</f>
        <v>0</v>
      </c>
      <c r="Z161" s="13">
        <f t="shared" ca="1" si="173"/>
        <v>0</v>
      </c>
      <c r="AA161" t="str">
        <f t="shared" ca="1" si="148"/>
        <v/>
      </c>
      <c r="AB161" t="str">
        <f t="shared" ca="1" si="149"/>
        <v/>
      </c>
      <c r="AC161" s="24" t="str">
        <f t="shared" ca="1" si="150"/>
        <v/>
      </c>
      <c r="AD161" s="24" t="str">
        <f t="shared" ca="1" si="151"/>
        <v/>
      </c>
    </row>
    <row r="162" spans="3:30" x14ac:dyDescent="0.25">
      <c r="C162" s="6">
        <v>256</v>
      </c>
      <c r="D162" s="36">
        <v>42369</v>
      </c>
      <c r="E162" s="38">
        <v>16.353999999999999</v>
      </c>
      <c r="F162" s="38">
        <v>40.866040102528679</v>
      </c>
      <c r="G162" s="38">
        <v>34.14</v>
      </c>
      <c r="H162" s="38">
        <v>2.6104819211401771</v>
      </c>
      <c r="I162" s="38">
        <v>7.3169844934465278</v>
      </c>
      <c r="J162" s="10">
        <v>0</v>
      </c>
      <c r="K162" s="39">
        <v>0</v>
      </c>
      <c r="L162" s="39">
        <v>0</v>
      </c>
      <c r="M162" s="39">
        <v>0</v>
      </c>
      <c r="N162" s="39">
        <v>0</v>
      </c>
      <c r="O162" s="39">
        <v>0</v>
      </c>
      <c r="P162" s="39">
        <v>0</v>
      </c>
      <c r="Q162" s="39">
        <v>0</v>
      </c>
      <c r="R162" s="39">
        <v>0</v>
      </c>
      <c r="S162" s="39">
        <v>0</v>
      </c>
      <c r="T162" s="39">
        <v>0</v>
      </c>
      <c r="U162" s="29" t="str" cm="1">
        <f t="array" aca="1" ref="U162" ca="1">+fair_value_gap(OFFSET(T161,0,0,-1*$J$5,-1*$AA$1),OFFSET(E161,0,0,-1*$J$5,1),F162:T162,0)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V162" s="9" t="str" cm="1">
        <f t="array" aca="1" ref="V162" ca="1">z_score_diff(OFFSET(U162,0,0,$J$5*-1,1),OFFSET(E162,0,0,$J$5*-1,1))</f>
        <v/>
      </c>
      <c r="W162" s="9" t="str">
        <f t="shared" ca="1" si="146"/>
        <v/>
      </c>
      <c r="X162" s="17">
        <f t="shared" ca="1" si="141"/>
        <v>-0.14073771484984543</v>
      </c>
      <c r="Y162" s="13">
        <f t="shared" ref="Y162:Z162" ca="1" si="174">+Y161</f>
        <v>0</v>
      </c>
      <c r="Z162" s="13">
        <f t="shared" ca="1" si="174"/>
        <v>0</v>
      </c>
      <c r="AA162" t="str">
        <f t="shared" ca="1" si="148"/>
        <v/>
      </c>
      <c r="AB162" t="str">
        <f t="shared" ca="1" si="149"/>
        <v/>
      </c>
      <c r="AC162" s="24" t="str">
        <f t="shared" ca="1" si="150"/>
        <v/>
      </c>
      <c r="AD162" s="24" t="str">
        <f t="shared" ca="1" si="151"/>
        <v/>
      </c>
    </row>
    <row r="163" spans="3:30" x14ac:dyDescent="0.25">
      <c r="C163" s="6">
        <v>257</v>
      </c>
      <c r="D163" s="36">
        <v>42373</v>
      </c>
      <c r="E163" s="38">
        <v>16.164999999999999</v>
      </c>
      <c r="F163" s="38">
        <v>40.833104710481436</v>
      </c>
      <c r="G163" s="38">
        <v>33.94</v>
      </c>
      <c r="H163" s="38">
        <v>2.6140478640549278</v>
      </c>
      <c r="I163" s="38">
        <v>7.3371985026646342</v>
      </c>
      <c r="J163" s="10">
        <v>1</v>
      </c>
      <c r="K163" s="39">
        <v>0</v>
      </c>
      <c r="L163" s="39">
        <v>0</v>
      </c>
      <c r="M163" s="39">
        <v>0</v>
      </c>
      <c r="N163" s="39">
        <v>0</v>
      </c>
      <c r="O163" s="39">
        <v>0</v>
      </c>
      <c r="P163" s="39">
        <v>0</v>
      </c>
      <c r="Q163" s="39">
        <v>0</v>
      </c>
      <c r="R163" s="39">
        <v>0</v>
      </c>
      <c r="S163" s="39">
        <v>0</v>
      </c>
      <c r="T163" s="39">
        <v>0</v>
      </c>
      <c r="U163" s="29" t="str" cm="1">
        <f t="array" aca="1" ref="U163" ca="1">+fair_value_gap(OFFSET(T162,0,0,-1*$J$5,-1*$AA$1),OFFSET(E162,0,0,-1*$J$5,1),F163:T163,0)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V163" s="9" t="str" cm="1">
        <f t="array" aca="1" ref="V163" ca="1">z_score_diff(OFFSET(U163,0,0,$J$5*-1,1),OFFSET(E163,0,0,$J$5*-1,1))</f>
        <v/>
      </c>
      <c r="W163" s="9" t="str">
        <f t="shared" ca="1" si="146"/>
        <v/>
      </c>
      <c r="X163" s="17">
        <f t="shared" ca="1" si="141"/>
        <v>-0.12574068881276101</v>
      </c>
      <c r="Y163" s="13">
        <f t="shared" ref="Y163:Z163" ca="1" si="175">+Y162</f>
        <v>0</v>
      </c>
      <c r="Z163" s="13">
        <f t="shared" ca="1" si="175"/>
        <v>0</v>
      </c>
      <c r="AA163" t="str">
        <f t="shared" ca="1" si="148"/>
        <v/>
      </c>
      <c r="AB163" t="str">
        <f t="shared" ca="1" si="149"/>
        <v/>
      </c>
      <c r="AC163" s="24" t="str">
        <f t="shared" ca="1" si="150"/>
        <v/>
      </c>
      <c r="AD163" s="24" t="str">
        <f t="shared" ca="1" si="151"/>
        <v/>
      </c>
    </row>
    <row r="164" spans="3:30" x14ac:dyDescent="0.25">
      <c r="C164" s="6">
        <v>258</v>
      </c>
      <c r="D164" s="36">
        <v>42374</v>
      </c>
      <c r="E164" s="38">
        <v>16.297999999999998</v>
      </c>
      <c r="F164" s="38">
        <v>40.545294715792551</v>
      </c>
      <c r="G164" s="38">
        <v>33.26</v>
      </c>
      <c r="H164" s="38">
        <v>2.6399451067781556</v>
      </c>
      <c r="I164" s="38">
        <v>7.3944182705512018</v>
      </c>
      <c r="J164" s="10">
        <v>1</v>
      </c>
      <c r="K164" s="39">
        <v>0</v>
      </c>
      <c r="L164" s="39">
        <v>0</v>
      </c>
      <c r="M164" s="39">
        <v>0</v>
      </c>
      <c r="N164" s="39">
        <v>0</v>
      </c>
      <c r="O164" s="39">
        <v>0</v>
      </c>
      <c r="P164" s="39">
        <v>0</v>
      </c>
      <c r="Q164" s="39">
        <v>0</v>
      </c>
      <c r="R164" s="39">
        <v>0</v>
      </c>
      <c r="S164" s="39">
        <v>0</v>
      </c>
      <c r="T164" s="39">
        <v>0</v>
      </c>
      <c r="U164" s="29" t="str" cm="1">
        <f t="array" aca="1" ref="U164" ca="1">+fair_value_gap(OFFSET(T163,0,0,-1*$J$5,-1*$AA$1),OFFSET(E163,0,0,-1*$J$5,1),F164:T164,0)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V164" s="9" t="str" cm="1">
        <f t="array" aca="1" ref="V164" ca="1">z_score_diff(OFFSET(U164,0,0,$J$5*-1,1),OFFSET(E164,0,0,$J$5*-1,1))</f>
        <v/>
      </c>
      <c r="W164" s="9" t="str">
        <f t="shared" ca="1" si="146"/>
        <v/>
      </c>
      <c r="X164" s="17">
        <f t="shared" ca="1" si="141"/>
        <v>-0.1511996655089336</v>
      </c>
      <c r="Y164" s="13">
        <f t="shared" ref="Y164:Z164" ca="1" si="176">+Y163</f>
        <v>0</v>
      </c>
      <c r="Z164" s="13">
        <f t="shared" ca="1" si="176"/>
        <v>0</v>
      </c>
      <c r="AA164" t="str">
        <f t="shared" ca="1" si="148"/>
        <v/>
      </c>
      <c r="AB164" t="str">
        <f t="shared" ca="1" si="149"/>
        <v/>
      </c>
      <c r="AC164" s="24" t="str">
        <f t="shared" ca="1" si="150"/>
        <v/>
      </c>
      <c r="AD164" s="24" t="str">
        <f t="shared" ca="1" si="151"/>
        <v/>
      </c>
    </row>
    <row r="165" spans="3:30" x14ac:dyDescent="0.25">
      <c r="C165" s="6">
        <v>259</v>
      </c>
      <c r="D165" s="36">
        <v>42375</v>
      </c>
      <c r="E165" s="38">
        <v>16.353999999999999</v>
      </c>
      <c r="F165" s="38">
        <v>38.737161221465435</v>
      </c>
      <c r="G165" s="38">
        <v>33.090000000000003</v>
      </c>
      <c r="H165" s="38">
        <v>2.6343466445032497</v>
      </c>
      <c r="I165" s="38">
        <v>7.3684817540831</v>
      </c>
      <c r="J165" s="10">
        <v>1</v>
      </c>
      <c r="K165" s="39">
        <v>0</v>
      </c>
      <c r="L165" s="39">
        <v>0</v>
      </c>
      <c r="M165" s="39">
        <v>0</v>
      </c>
      <c r="N165" s="39">
        <v>0</v>
      </c>
      <c r="O165" s="39">
        <v>0</v>
      </c>
      <c r="P165" s="39">
        <v>0</v>
      </c>
      <c r="Q165" s="39">
        <v>0</v>
      </c>
      <c r="R165" s="39">
        <v>0</v>
      </c>
      <c r="S165" s="39">
        <v>0</v>
      </c>
      <c r="T165" s="39">
        <v>0</v>
      </c>
      <c r="U165" s="29" t="str" cm="1">
        <f t="array" aca="1" ref="U165" ca="1">+fair_value_gap(OFFSET(T164,0,0,-1*$J$5,-1*$AA$1),OFFSET(E164,0,0,-1*$J$5,1),F165:T165,0)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V165" s="9" t="str" cm="1">
        <f t="array" aca="1" ref="V165" ca="1">z_score_diff(OFFSET(U165,0,0,$J$5*-1,1),OFFSET(E165,0,0,$J$5*-1,1))</f>
        <v/>
      </c>
      <c r="W165" s="9" t="str">
        <f t="shared" ca="1" si="146"/>
        <v/>
      </c>
      <c r="X165" s="17">
        <f t="shared" ca="1" si="141"/>
        <v>-0.1480140706442164</v>
      </c>
      <c r="Y165" s="13">
        <f t="shared" ref="Y165:Z165" ca="1" si="177">+Y164</f>
        <v>0</v>
      </c>
      <c r="Z165" s="13">
        <f t="shared" ca="1" si="177"/>
        <v>0</v>
      </c>
      <c r="AA165" t="str">
        <f t="shared" ca="1" si="148"/>
        <v/>
      </c>
      <c r="AB165" t="str">
        <f t="shared" ca="1" si="149"/>
        <v/>
      </c>
      <c r="AC165" s="24" t="str">
        <f t="shared" ca="1" si="150"/>
        <v/>
      </c>
      <c r="AD165" s="24" t="str">
        <f t="shared" ca="1" si="151"/>
        <v/>
      </c>
    </row>
    <row r="166" spans="3:30" x14ac:dyDescent="0.25">
      <c r="C166" s="6">
        <v>260</v>
      </c>
      <c r="D166" s="36">
        <v>42376</v>
      </c>
      <c r="E166" s="38">
        <v>16.614999999999998</v>
      </c>
      <c r="F166" s="38">
        <v>37.62751647558003</v>
      </c>
      <c r="G166" s="38">
        <v>33.11</v>
      </c>
      <c r="H166" s="38">
        <v>2.6532454635731697</v>
      </c>
      <c r="I166" s="38">
        <v>7.2673106436760868</v>
      </c>
      <c r="J166" s="10">
        <v>1</v>
      </c>
      <c r="K166" s="39">
        <v>0</v>
      </c>
      <c r="L166" s="39">
        <v>0</v>
      </c>
      <c r="M166" s="39">
        <v>0</v>
      </c>
      <c r="N166" s="39">
        <v>0</v>
      </c>
      <c r="O166" s="39">
        <v>0</v>
      </c>
      <c r="P166" s="39">
        <v>0</v>
      </c>
      <c r="Q166" s="39">
        <v>0</v>
      </c>
      <c r="R166" s="39">
        <v>0</v>
      </c>
      <c r="S166" s="39">
        <v>0</v>
      </c>
      <c r="T166" s="39">
        <v>0</v>
      </c>
      <c r="U166" s="29" t="str" cm="1">
        <f t="array" aca="1" ref="U166" ca="1">+fair_value_gap(OFFSET(T165,0,0,-1*$J$5,-1*$AA$1),OFFSET(E165,0,0,-1*$J$5,1),F166:T166,0)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V166" s="9" t="str" cm="1">
        <f t="array" aca="1" ref="V166" ca="1">z_score_diff(OFFSET(U166,0,0,$J$5*-1,1),OFFSET(E166,0,0,$J$5*-1,1))</f>
        <v/>
      </c>
      <c r="W166" s="9" t="str">
        <f t="shared" ca="1" si="146"/>
        <v/>
      </c>
      <c r="X166" s="17">
        <f t="shared" ca="1" si="141"/>
        <v>-0.14592897849431768</v>
      </c>
      <c r="Y166" s="13">
        <f t="shared" ref="Y166:Z166" ca="1" si="178">+Y165</f>
        <v>0</v>
      </c>
      <c r="Z166" s="13">
        <f t="shared" ca="1" si="178"/>
        <v>0</v>
      </c>
      <c r="AA166" t="str">
        <f t="shared" ca="1" si="148"/>
        <v/>
      </c>
      <c r="AB166" t="str">
        <f t="shared" ca="1" si="149"/>
        <v/>
      </c>
      <c r="AC166" s="24" t="str">
        <f t="shared" ca="1" si="150"/>
        <v/>
      </c>
      <c r="AD166" s="24" t="str">
        <f t="shared" ca="1" si="151"/>
        <v/>
      </c>
    </row>
    <row r="167" spans="3:30" x14ac:dyDescent="0.25">
      <c r="C167" s="6">
        <v>261</v>
      </c>
      <c r="D167" s="36">
        <v>42377</v>
      </c>
      <c r="E167" s="38">
        <v>16.045999999999999</v>
      </c>
      <c r="F167" s="38">
        <v>37.624102573376497</v>
      </c>
      <c r="G167" s="38">
        <v>32.94</v>
      </c>
      <c r="H167" s="38">
        <v>2.7081035137530067</v>
      </c>
      <c r="I167" s="38">
        <v>7.278875888384543</v>
      </c>
      <c r="J167" s="10">
        <v>1</v>
      </c>
      <c r="K167" s="39">
        <v>0</v>
      </c>
      <c r="L167" s="39">
        <v>0</v>
      </c>
      <c r="M167" s="39">
        <v>0</v>
      </c>
      <c r="N167" s="39">
        <v>0</v>
      </c>
      <c r="O167" s="39">
        <v>0</v>
      </c>
      <c r="P167" s="39">
        <v>0</v>
      </c>
      <c r="Q167" s="39">
        <v>0</v>
      </c>
      <c r="R167" s="39">
        <v>0</v>
      </c>
      <c r="S167" s="39">
        <v>0</v>
      </c>
      <c r="T167" s="39">
        <v>0</v>
      </c>
      <c r="U167" s="29" t="str" cm="1">
        <f t="array" aca="1" ref="U167" ca="1">+fair_value_gap(OFFSET(T166,0,0,-1*$J$5,-1*$AA$1),OFFSET(E166,0,0,-1*$J$5,1),F167:T167,0)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V167" s="9" t="str" cm="1">
        <f t="array" aca="1" ref="V167" ca="1">z_score_diff(OFFSET(U167,0,0,$J$5*-1,1),OFFSET(E167,0,0,$J$5*-1,1))</f>
        <v/>
      </c>
      <c r="W167" s="9" t="str">
        <f t="shared" ca="1" si="146"/>
        <v/>
      </c>
      <c r="X167" s="17">
        <f t="shared" ca="1" si="141"/>
        <v>-0.13191236244335344</v>
      </c>
      <c r="Y167" s="13">
        <f t="shared" ref="Y167:Z167" ca="1" si="179">+Y166</f>
        <v>0</v>
      </c>
      <c r="Z167" s="13">
        <f t="shared" ca="1" si="179"/>
        <v>0</v>
      </c>
      <c r="AA167" t="str">
        <f t="shared" ca="1" si="148"/>
        <v/>
      </c>
      <c r="AB167" t="str">
        <f t="shared" ca="1" si="149"/>
        <v/>
      </c>
      <c r="AC167" s="24" t="str">
        <f t="shared" ca="1" si="150"/>
        <v/>
      </c>
      <c r="AD167" s="24" t="str">
        <f t="shared" ca="1" si="151"/>
        <v/>
      </c>
    </row>
    <row r="168" spans="3:30" x14ac:dyDescent="0.25">
      <c r="C168" s="6">
        <v>262</v>
      </c>
      <c r="D168" s="36">
        <v>42380</v>
      </c>
      <c r="E168" s="38">
        <v>15.898999999999999</v>
      </c>
      <c r="F168" s="38">
        <v>36.05804208014434</v>
      </c>
      <c r="G168" s="38">
        <v>32.700000000000003</v>
      </c>
      <c r="H168" s="38">
        <v>2.6709323982190147</v>
      </c>
      <c r="I168" s="38">
        <v>7.3207374210633542</v>
      </c>
      <c r="J168" s="10">
        <v>1</v>
      </c>
      <c r="K168" s="39">
        <v>0</v>
      </c>
      <c r="L168" s="39">
        <v>0</v>
      </c>
      <c r="M168" s="39">
        <v>0</v>
      </c>
      <c r="N168" s="39">
        <v>0</v>
      </c>
      <c r="O168" s="39">
        <v>0</v>
      </c>
      <c r="P168" s="39">
        <v>0</v>
      </c>
      <c r="Q168" s="39">
        <v>0</v>
      </c>
      <c r="R168" s="39">
        <v>0</v>
      </c>
      <c r="S168" s="39">
        <v>0</v>
      </c>
      <c r="T168" s="39">
        <v>0</v>
      </c>
      <c r="U168" s="29" t="str" cm="1">
        <f t="array" aca="1" ref="U168" ca="1">+fair_value_gap(OFFSET(T167,0,0,-1*$J$5,-1*$AA$1),OFFSET(E167,0,0,-1*$J$5,1),F168:T168,0)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V168" s="9" t="str" cm="1">
        <f t="array" aca="1" ref="V168" ca="1">z_score_diff(OFFSET(U168,0,0,$J$5*-1,1),OFFSET(E168,0,0,$J$5*-1,1))</f>
        <v/>
      </c>
      <c r="W168" s="9" t="str">
        <f t="shared" ca="1" si="146"/>
        <v/>
      </c>
      <c r="X168" s="17">
        <f t="shared" ca="1" si="141"/>
        <v>-9.9375290102432776E-2</v>
      </c>
      <c r="Y168" s="13">
        <f t="shared" ref="Y168:Z168" ca="1" si="180">+Y167</f>
        <v>0</v>
      </c>
      <c r="Z168" s="13">
        <f t="shared" ca="1" si="180"/>
        <v>0</v>
      </c>
      <c r="AA168" t="str">
        <f t="shared" ca="1" si="148"/>
        <v/>
      </c>
      <c r="AB168" t="str">
        <f t="shared" ca="1" si="149"/>
        <v/>
      </c>
      <c r="AC168" s="24" t="str">
        <f t="shared" ca="1" si="150"/>
        <v/>
      </c>
      <c r="AD168" s="24" t="str">
        <f t="shared" ca="1" si="151"/>
        <v/>
      </c>
    </row>
    <row r="169" spans="3:30" x14ac:dyDescent="0.25">
      <c r="C169" s="6">
        <v>263</v>
      </c>
      <c r="D169" s="36">
        <v>42381</v>
      </c>
      <c r="E169" s="38">
        <v>15.361000000000001</v>
      </c>
      <c r="F169" s="38">
        <v>34.943473792394656</v>
      </c>
      <c r="G169" s="38">
        <v>32.19</v>
      </c>
      <c r="H169" s="38">
        <v>2.6075726018426724</v>
      </c>
      <c r="I169" s="38">
        <v>7.3215763672248046</v>
      </c>
      <c r="J169" s="10">
        <v>1</v>
      </c>
      <c r="K169" s="39">
        <v>0</v>
      </c>
      <c r="L169" s="39">
        <v>0</v>
      </c>
      <c r="M169" s="39">
        <v>0</v>
      </c>
      <c r="N169" s="39">
        <v>0</v>
      </c>
      <c r="O169" s="39">
        <v>0</v>
      </c>
      <c r="P169" s="39">
        <v>0</v>
      </c>
      <c r="Q169" s="39">
        <v>0</v>
      </c>
      <c r="R169" s="39">
        <v>0</v>
      </c>
      <c r="S169" s="39">
        <v>0</v>
      </c>
      <c r="T169" s="39">
        <v>0</v>
      </c>
      <c r="U169" s="29" t="str" cm="1">
        <f t="array" aca="1" ref="U169" ca="1">+fair_value_gap(OFFSET(T168,0,0,-1*$J$5,-1*$AA$1),OFFSET(E168,0,0,-1*$J$5,1),F169:T169,0)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V169" s="9" t="str" cm="1">
        <f t="array" aca="1" ref="V169" ca="1">z_score_diff(OFFSET(U169,0,0,$J$5*-1,1),OFFSET(E169,0,0,$J$5*-1,1))</f>
        <v/>
      </c>
      <c r="W169" s="9" t="str">
        <f t="shared" ca="1" si="146"/>
        <v/>
      </c>
      <c r="X169" s="17">
        <f t="shared" ca="1" si="141"/>
        <v>-7.9858274885203515E-2</v>
      </c>
      <c r="Y169" s="13">
        <f t="shared" ref="Y169:Z169" ca="1" si="181">+Y168</f>
        <v>0</v>
      </c>
      <c r="Z169" s="13">
        <f t="shared" ca="1" si="181"/>
        <v>0</v>
      </c>
      <c r="AA169" t="str">
        <f t="shared" ca="1" si="148"/>
        <v/>
      </c>
      <c r="AB169" t="str">
        <f t="shared" ca="1" si="149"/>
        <v/>
      </c>
      <c r="AC169" s="24" t="str">
        <f t="shared" ca="1" si="150"/>
        <v/>
      </c>
      <c r="AD169" s="24" t="str">
        <f t="shared" ca="1" si="151"/>
        <v/>
      </c>
    </row>
    <row r="170" spans="3:30" x14ac:dyDescent="0.25">
      <c r="C170" s="6">
        <v>264</v>
      </c>
      <c r="D170" s="36">
        <v>42382</v>
      </c>
      <c r="E170" s="38">
        <v>15.362</v>
      </c>
      <c r="F170" s="38">
        <v>33.938828416030674</v>
      </c>
      <c r="G170" s="38">
        <v>31.81</v>
      </c>
      <c r="H170" s="38">
        <v>2.6069086710575045</v>
      </c>
      <c r="I170" s="38">
        <v>7.306968942205053</v>
      </c>
      <c r="J170" s="10">
        <v>1</v>
      </c>
      <c r="K170" s="39">
        <v>0</v>
      </c>
      <c r="L170" s="39">
        <v>0</v>
      </c>
      <c r="M170" s="39">
        <v>0</v>
      </c>
      <c r="N170" s="39">
        <v>0</v>
      </c>
      <c r="O170" s="39">
        <v>0</v>
      </c>
      <c r="P170" s="39">
        <v>0</v>
      </c>
      <c r="Q170" s="39">
        <v>0</v>
      </c>
      <c r="R170" s="39">
        <v>0</v>
      </c>
      <c r="S170" s="39">
        <v>0</v>
      </c>
      <c r="T170" s="39">
        <v>0</v>
      </c>
      <c r="U170" s="29" t="str" cm="1">
        <f t="array" aca="1" ref="U170" ca="1">+fair_value_gap(OFFSET(T169,0,0,-1*$J$5,-1*$AA$1),OFFSET(E169,0,0,-1*$J$5,1),F170:T170,0)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V170" s="9" t="str" cm="1">
        <f t="array" aca="1" ref="V170" ca="1">z_score_diff(OFFSET(U170,0,0,$J$5*-1,1),OFFSET(E170,0,0,$J$5*-1,1))</f>
        <v/>
      </c>
      <c r="W170" s="9" t="str">
        <f t="shared" ca="1" si="146"/>
        <v/>
      </c>
      <c r="X170" s="17">
        <f t="shared" ca="1" si="141"/>
        <v>-9.5915753049982927E-2</v>
      </c>
      <c r="Y170" s="13">
        <f t="shared" ref="Y170:Z170" ca="1" si="182">+Y169</f>
        <v>0</v>
      </c>
      <c r="Z170" s="13">
        <f t="shared" ca="1" si="182"/>
        <v>0</v>
      </c>
      <c r="AA170" t="str">
        <f t="shared" ca="1" si="148"/>
        <v/>
      </c>
      <c r="AB170" t="str">
        <f t="shared" ca="1" si="149"/>
        <v/>
      </c>
      <c r="AC170" s="24" t="str">
        <f t="shared" ca="1" si="150"/>
        <v/>
      </c>
      <c r="AD170" s="24" t="str">
        <f t="shared" ca="1" si="151"/>
        <v/>
      </c>
    </row>
    <row r="171" spans="3:30" x14ac:dyDescent="0.25">
      <c r="C171" s="6">
        <v>265</v>
      </c>
      <c r="D171" s="36">
        <v>42383</v>
      </c>
      <c r="E171" s="38">
        <v>14.920999999999999</v>
      </c>
      <c r="F171" s="38">
        <v>34.258407311369645</v>
      </c>
      <c r="G171" s="38">
        <v>31.22</v>
      </c>
      <c r="H171" s="38">
        <v>2.5611978077528739</v>
      </c>
      <c r="I171" s="38">
        <v>7.3190068698653308</v>
      </c>
      <c r="J171" s="10">
        <v>1</v>
      </c>
      <c r="K171" s="39">
        <v>0</v>
      </c>
      <c r="L171" s="39">
        <v>0</v>
      </c>
      <c r="M171" s="39">
        <v>0</v>
      </c>
      <c r="N171" s="39">
        <v>0</v>
      </c>
      <c r="O171" s="39">
        <v>0</v>
      </c>
      <c r="P171" s="39">
        <v>0</v>
      </c>
      <c r="Q171" s="39">
        <v>0</v>
      </c>
      <c r="R171" s="39">
        <v>0</v>
      </c>
      <c r="S171" s="39">
        <v>0</v>
      </c>
      <c r="T171" s="39">
        <v>0</v>
      </c>
      <c r="U171" s="29" t="str" cm="1">
        <f t="array" aca="1" ref="U171" ca="1">+fair_value_gap(OFFSET(T170,0,0,-1*$J$5,-1*$AA$1),OFFSET(E170,0,0,-1*$J$5,1),F171:T171,0)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V171" s="9" t="str" cm="1">
        <f t="array" aca="1" ref="V171" ca="1">z_score_diff(OFFSET(U171,0,0,$J$5*-1,1),OFFSET(E171,0,0,$J$5*-1,1))</f>
        <v/>
      </c>
      <c r="W171" s="9" t="str">
        <f t="shared" ca="1" si="146"/>
        <v/>
      </c>
      <c r="X171" s="17">
        <f t="shared" ca="1" si="141"/>
        <v>-7.2320661579626008E-2</v>
      </c>
      <c r="Y171" s="13">
        <f t="shared" ref="Y171:Z171" ca="1" si="183">+Y170</f>
        <v>0</v>
      </c>
      <c r="Z171" s="13">
        <f t="shared" ca="1" si="183"/>
        <v>0</v>
      </c>
      <c r="AA171" t="str">
        <f t="shared" ca="1" si="148"/>
        <v/>
      </c>
      <c r="AB171" t="str">
        <f t="shared" ca="1" si="149"/>
        <v/>
      </c>
      <c r="AC171" s="24" t="str">
        <f t="shared" ca="1" si="150"/>
        <v/>
      </c>
      <c r="AD171" s="24" t="str">
        <f t="shared" ca="1" si="151"/>
        <v/>
      </c>
    </row>
    <row r="172" spans="3:30" x14ac:dyDescent="0.25">
      <c r="C172" s="6">
        <v>266</v>
      </c>
      <c r="D172" s="36">
        <v>42384</v>
      </c>
      <c r="E172" s="38">
        <v>14.467000000000001</v>
      </c>
      <c r="F172" s="38">
        <v>32.634192959847098</v>
      </c>
      <c r="G172" s="38">
        <v>30.62</v>
      </c>
      <c r="H172" s="38">
        <v>2.5267517122543839</v>
      </c>
      <c r="I172" s="38">
        <v>7.2852261044583786</v>
      </c>
      <c r="J172" s="10">
        <v>1</v>
      </c>
      <c r="K172" s="39">
        <v>0</v>
      </c>
      <c r="L172" s="39">
        <v>0</v>
      </c>
      <c r="M172" s="39">
        <v>0</v>
      </c>
      <c r="N172" s="39">
        <v>0</v>
      </c>
      <c r="O172" s="39">
        <v>0</v>
      </c>
      <c r="P172" s="39">
        <v>0</v>
      </c>
      <c r="Q172" s="39">
        <v>0</v>
      </c>
      <c r="R172" s="39">
        <v>0</v>
      </c>
      <c r="S172" s="39">
        <v>0</v>
      </c>
      <c r="T172" s="39">
        <v>0</v>
      </c>
      <c r="U172" s="29" t="str" cm="1">
        <f t="array" aca="1" ref="U172" ca="1">+fair_value_gap(OFFSET(T171,0,0,-1*$J$5,-1*$AA$1),OFFSET(E171,0,0,-1*$J$5,1),F172:T172,0)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V172" s="9" t="str" cm="1">
        <f t="array" aca="1" ref="V172" ca="1">z_score_diff(OFFSET(U172,0,0,$J$5*-1,1),OFFSET(E172,0,0,$J$5*-1,1))</f>
        <v/>
      </c>
      <c r="W172" s="9" t="str">
        <f t="shared" ca="1" si="146"/>
        <v/>
      </c>
      <c r="X172" s="17">
        <f t="shared" ca="1" si="141"/>
        <v>-1.9332702475501996E-2</v>
      </c>
      <c r="Y172" s="13">
        <f t="shared" ref="Y172:Z172" ca="1" si="184">+Y171</f>
        <v>0</v>
      </c>
      <c r="Z172" s="13">
        <f t="shared" ca="1" si="184"/>
        <v>0</v>
      </c>
      <c r="AA172" t="str">
        <f t="shared" ca="1" si="148"/>
        <v/>
      </c>
      <c r="AB172" t="str">
        <f t="shared" ca="1" si="149"/>
        <v/>
      </c>
      <c r="AC172" s="24" t="str">
        <f t="shared" ca="1" si="150"/>
        <v/>
      </c>
      <c r="AD172" s="24" t="str">
        <f t="shared" ca="1" si="151"/>
        <v/>
      </c>
    </row>
    <row r="173" spans="3:30" x14ac:dyDescent="0.25">
      <c r="C173" s="6">
        <v>267</v>
      </c>
      <c r="D173" s="36">
        <v>42387</v>
      </c>
      <c r="E173" s="38">
        <v>14.564</v>
      </c>
      <c r="F173" s="38">
        <v>31.80069510211295</v>
      </c>
      <c r="G173" s="38">
        <v>30.77</v>
      </c>
      <c r="H173" s="38">
        <v>2.530280442436573</v>
      </c>
      <c r="I173" s="38">
        <v>7.2954002727845326</v>
      </c>
      <c r="J173" s="10">
        <v>1</v>
      </c>
      <c r="K173" s="39">
        <v>0</v>
      </c>
      <c r="L173" s="39">
        <v>0</v>
      </c>
      <c r="M173" s="39">
        <v>0</v>
      </c>
      <c r="N173" s="39">
        <v>0</v>
      </c>
      <c r="O173" s="39">
        <v>0</v>
      </c>
      <c r="P173" s="39">
        <v>0</v>
      </c>
      <c r="Q173" s="39">
        <v>0</v>
      </c>
      <c r="R173" s="39">
        <v>0</v>
      </c>
      <c r="S173" s="39">
        <v>0</v>
      </c>
      <c r="T173" s="39">
        <v>0</v>
      </c>
      <c r="U173" s="29" t="str" cm="1">
        <f t="array" aca="1" ref="U173" ca="1">+fair_value_gap(OFFSET(T172,0,0,-1*$J$5,-1*$AA$1),OFFSET(E172,0,0,-1*$J$5,1),F173:T173,0)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V173" s="9" t="str" cm="1">
        <f t="array" aca="1" ref="V173" ca="1">z_score_diff(OFFSET(U173,0,0,$J$5*-1,1),OFFSET(E173,0,0,$J$5*-1,1))</f>
        <v/>
      </c>
      <c r="W173" s="9" t="str">
        <f t="shared" ca="1" si="146"/>
        <v/>
      </c>
      <c r="X173" s="17">
        <f t="shared" ca="1" si="141"/>
        <v>-4.5657202811737456E-2</v>
      </c>
      <c r="Y173" s="13">
        <f t="shared" ref="Y173:Z173" ca="1" si="185">+Y172</f>
        <v>0</v>
      </c>
      <c r="Z173" s="13">
        <f t="shared" ca="1" si="185"/>
        <v>0</v>
      </c>
      <c r="AA173" t="str">
        <f t="shared" ca="1" si="148"/>
        <v/>
      </c>
      <c r="AB173" t="str">
        <f t="shared" ca="1" si="149"/>
        <v/>
      </c>
      <c r="AC173" s="24" t="str">
        <f t="shared" ca="1" si="150"/>
        <v/>
      </c>
      <c r="AD173" s="24" t="str">
        <f t="shared" ca="1" si="151"/>
        <v/>
      </c>
    </row>
    <row r="174" spans="3:30" x14ac:dyDescent="0.25">
      <c r="C174" s="6">
        <v>268</v>
      </c>
      <c r="D174" s="36">
        <v>42388</v>
      </c>
      <c r="E174" s="38">
        <v>14.544</v>
      </c>
      <c r="F174" s="38">
        <v>32.105300316255757</v>
      </c>
      <c r="G174" s="38">
        <v>30.8</v>
      </c>
      <c r="H174" s="38">
        <v>2.5307702194601385</v>
      </c>
      <c r="I174" s="38">
        <v>7.2863734859277951</v>
      </c>
      <c r="J174" s="10">
        <v>1</v>
      </c>
      <c r="K174" s="39">
        <v>0</v>
      </c>
      <c r="L174" s="39">
        <v>0</v>
      </c>
      <c r="M174" s="39">
        <v>0</v>
      </c>
      <c r="N174" s="39">
        <v>0</v>
      </c>
      <c r="O174" s="39">
        <v>0</v>
      </c>
      <c r="P174" s="39">
        <v>0</v>
      </c>
      <c r="Q174" s="39">
        <v>0</v>
      </c>
      <c r="R174" s="39">
        <v>0</v>
      </c>
      <c r="S174" s="39">
        <v>0</v>
      </c>
      <c r="T174" s="39">
        <v>0</v>
      </c>
      <c r="U174" s="29" t="str" cm="1">
        <f t="array" aca="1" ref="U174" ca="1">+fair_value_gap(OFFSET(T173,0,0,-1*$J$5,-1*$AA$1),OFFSET(E173,0,0,-1*$J$5,1),F174:T174,0)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V174" s="9" t="str" cm="1">
        <f t="array" aca="1" ref="V174" ca="1">z_score_diff(OFFSET(U174,0,0,$J$5*-1,1),OFFSET(E174,0,0,$J$5*-1,1))</f>
        <v/>
      </c>
      <c r="W174" s="9" t="str">
        <f t="shared" ca="1" si="146"/>
        <v/>
      </c>
      <c r="X174" s="17">
        <f t="shared" ca="1" si="141"/>
        <v>-4.1627347149152012E-2</v>
      </c>
      <c r="Y174" s="13">
        <f t="shared" ref="Y174:Z174" ca="1" si="186">+Y173</f>
        <v>0</v>
      </c>
      <c r="Z174" s="13">
        <f t="shared" ca="1" si="186"/>
        <v>0</v>
      </c>
      <c r="AA174" t="str">
        <f t="shared" ca="1" si="148"/>
        <v/>
      </c>
      <c r="AB174" t="str">
        <f t="shared" ca="1" si="149"/>
        <v/>
      </c>
      <c r="AC174" s="24" t="str">
        <f t="shared" ca="1" si="150"/>
        <v/>
      </c>
      <c r="AD174" s="24" t="str">
        <f t="shared" ca="1" si="151"/>
        <v/>
      </c>
    </row>
    <row r="175" spans="3:30" x14ac:dyDescent="0.25">
      <c r="C175" s="6">
        <v>269</v>
      </c>
      <c r="D175" s="36">
        <v>42389</v>
      </c>
      <c r="E175" s="38">
        <v>14.031000000000001</v>
      </c>
      <c r="F175" s="38">
        <v>31.605161299684042</v>
      </c>
      <c r="G175" s="38">
        <v>30.52</v>
      </c>
      <c r="H175" s="38">
        <v>2.5610609902527322</v>
      </c>
      <c r="I175" s="38">
        <v>7.3004748482770889</v>
      </c>
      <c r="J175" s="10">
        <v>1</v>
      </c>
      <c r="K175" s="39">
        <v>0</v>
      </c>
      <c r="L175" s="39">
        <v>0</v>
      </c>
      <c r="M175" s="39">
        <v>0</v>
      </c>
      <c r="N175" s="39">
        <v>0</v>
      </c>
      <c r="O175" s="39">
        <v>0</v>
      </c>
      <c r="P175" s="39">
        <v>0</v>
      </c>
      <c r="Q175" s="39">
        <v>0</v>
      </c>
      <c r="R175" s="39">
        <v>0</v>
      </c>
      <c r="S175" s="39">
        <v>0</v>
      </c>
      <c r="T175" s="39">
        <v>0</v>
      </c>
      <c r="U175" s="29" t="str" cm="1">
        <f t="array" aca="1" ref="U175" ca="1">+fair_value_gap(OFFSET(T174,0,0,-1*$J$5,-1*$AA$1),OFFSET(E174,0,0,-1*$J$5,1),F175:T175,0)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V175" s="9" t="str" cm="1">
        <f t="array" aca="1" ref="V175" ca="1">z_score_diff(OFFSET(U175,0,0,$J$5*-1,1),OFFSET(E175,0,0,$J$5*-1,1))</f>
        <v/>
      </c>
      <c r="W175" s="9" t="str">
        <f t="shared" ca="1" si="146"/>
        <v/>
      </c>
      <c r="X175" s="17">
        <f t="shared" ca="1" si="141"/>
        <v>-2.1383513392718461E-4</v>
      </c>
      <c r="Y175" s="13">
        <f t="shared" ref="Y175:Z175" ca="1" si="187">+Y174</f>
        <v>0</v>
      </c>
      <c r="Z175" s="13">
        <f t="shared" ca="1" si="187"/>
        <v>0</v>
      </c>
      <c r="AA175" t="str">
        <f t="shared" ca="1" si="148"/>
        <v/>
      </c>
      <c r="AB175" t="str">
        <f t="shared" ca="1" si="149"/>
        <v/>
      </c>
      <c r="AC175" s="24" t="str">
        <f t="shared" ca="1" si="150"/>
        <v/>
      </c>
      <c r="AD175" s="24" t="str">
        <f t="shared" ca="1" si="151"/>
        <v/>
      </c>
    </row>
    <row r="176" spans="3:30" x14ac:dyDescent="0.25">
      <c r="C176" s="6">
        <v>270</v>
      </c>
      <c r="D176" s="36">
        <v>42390</v>
      </c>
      <c r="E176" s="38">
        <v>13.994999999999999</v>
      </c>
      <c r="F176" s="38">
        <v>32.226318916295924</v>
      </c>
      <c r="G176" s="38">
        <v>29.95</v>
      </c>
      <c r="H176" s="38">
        <v>2.5723006036199054</v>
      </c>
      <c r="I176" s="38">
        <v>7.3014879616150363</v>
      </c>
      <c r="J176" s="10">
        <v>1</v>
      </c>
      <c r="K176" s="39">
        <v>0</v>
      </c>
      <c r="L176" s="39">
        <v>0</v>
      </c>
      <c r="M176" s="39">
        <v>0</v>
      </c>
      <c r="N176" s="39">
        <v>0</v>
      </c>
      <c r="O176" s="39">
        <v>0</v>
      </c>
      <c r="P176" s="39">
        <v>0</v>
      </c>
      <c r="Q176" s="39">
        <v>0</v>
      </c>
      <c r="R176" s="39">
        <v>0</v>
      </c>
      <c r="S176" s="39">
        <v>0</v>
      </c>
      <c r="T176" s="39">
        <v>0</v>
      </c>
      <c r="U176" s="29" t="str" cm="1">
        <f t="array" aca="1" ref="U176" ca="1">+fair_value_gap(OFFSET(T175,0,0,-1*$J$5,-1*$AA$1),OFFSET(E175,0,0,-1*$J$5,1),F176:T176,0)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V176" s="9" t="str" cm="1">
        <f t="array" aca="1" ref="V176" ca="1">z_score_diff(OFFSET(U176,0,0,$J$5*-1,1),OFFSET(E176,0,0,$J$5*-1,1))</f>
        <v/>
      </c>
      <c r="W176" s="9" t="str">
        <f t="shared" ca="1" si="146"/>
        <v/>
      </c>
      <c r="X176" s="17">
        <f t="shared" ca="1" si="141"/>
        <v>-7.0990940286129126E-3</v>
      </c>
      <c r="Y176" s="13">
        <f t="shared" ref="Y176:Z176" ca="1" si="188">+Y175</f>
        <v>0</v>
      </c>
      <c r="Z176" s="13">
        <f t="shared" ca="1" si="188"/>
        <v>0</v>
      </c>
      <c r="AA176" t="str">
        <f t="shared" ca="1" si="148"/>
        <v/>
      </c>
      <c r="AB176" t="str">
        <f t="shared" ca="1" si="149"/>
        <v/>
      </c>
      <c r="AC176" s="24" t="str">
        <f t="shared" ca="1" si="150"/>
        <v/>
      </c>
      <c r="AD176" s="24" t="str">
        <f t="shared" ca="1" si="151"/>
        <v/>
      </c>
    </row>
    <row r="177" spans="3:30" x14ac:dyDescent="0.25">
      <c r="C177" s="6">
        <v>271</v>
      </c>
      <c r="D177" s="36">
        <v>42391</v>
      </c>
      <c r="E177" s="38">
        <v>15.087</v>
      </c>
      <c r="F177" s="38">
        <v>35.533157420576309</v>
      </c>
      <c r="G177" s="38">
        <v>30.81</v>
      </c>
      <c r="H177" s="38">
        <v>2.6011917555757789</v>
      </c>
      <c r="I177" s="38">
        <v>7.3627263123716675</v>
      </c>
      <c r="J177" s="10">
        <v>1</v>
      </c>
      <c r="K177" s="39">
        <v>0</v>
      </c>
      <c r="L177" s="39">
        <v>0</v>
      </c>
      <c r="M177" s="39">
        <v>0</v>
      </c>
      <c r="N177" s="39">
        <v>0</v>
      </c>
      <c r="O177" s="39">
        <v>0</v>
      </c>
      <c r="P177" s="39">
        <v>0</v>
      </c>
      <c r="Q177" s="39">
        <v>0</v>
      </c>
      <c r="R177" s="39">
        <v>0</v>
      </c>
      <c r="S177" s="39">
        <v>0</v>
      </c>
      <c r="T177" s="39">
        <v>0</v>
      </c>
      <c r="U177" s="29" t="str" cm="1">
        <f t="array" aca="1" ref="U177" ca="1">+fair_value_gap(OFFSET(T176,0,0,-1*$J$5,-1*$AA$1),OFFSET(E176,0,0,-1*$J$5,1),F177:T177,0)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V177" s="9" t="str" cm="1">
        <f t="array" aca="1" ref="V177" ca="1">z_score_diff(OFFSET(U177,0,0,$J$5*-1,1),OFFSET(E177,0,0,$J$5*-1,1))</f>
        <v/>
      </c>
      <c r="W177" s="9" t="str">
        <f t="shared" ca="1" si="146"/>
        <v/>
      </c>
      <c r="X177" s="17">
        <f t="shared" ca="1" si="141"/>
        <v>-8.923732008852002E-2</v>
      </c>
      <c r="Y177" s="13">
        <f t="shared" ref="Y177:Z177" ca="1" si="189">+Y176</f>
        <v>0</v>
      </c>
      <c r="Z177" s="13">
        <f t="shared" ca="1" si="189"/>
        <v>0</v>
      </c>
      <c r="AA177" t="str">
        <f t="shared" ca="1" si="148"/>
        <v/>
      </c>
      <c r="AB177" t="str">
        <f t="shared" ca="1" si="149"/>
        <v/>
      </c>
      <c r="AC177" s="24" t="str">
        <f t="shared" ca="1" si="150"/>
        <v/>
      </c>
      <c r="AD177" s="24" t="str">
        <f t="shared" ca="1" si="151"/>
        <v/>
      </c>
    </row>
    <row r="178" spans="3:30" x14ac:dyDescent="0.25">
      <c r="C178" s="6">
        <v>272</v>
      </c>
      <c r="D178" s="36">
        <v>42394</v>
      </c>
      <c r="E178" s="38">
        <v>14.651999999999999</v>
      </c>
      <c r="F178" s="38">
        <v>34.317583212406007</v>
      </c>
      <c r="G178" s="38">
        <v>30.21</v>
      </c>
      <c r="H178" s="38">
        <v>2.5956538946180898</v>
      </c>
      <c r="I178" s="38">
        <v>7.3238744660622581</v>
      </c>
      <c r="J178" s="10">
        <v>1</v>
      </c>
      <c r="K178" s="39">
        <v>0</v>
      </c>
      <c r="L178" s="39">
        <v>0</v>
      </c>
      <c r="M178" s="39">
        <v>0</v>
      </c>
      <c r="N178" s="39">
        <v>0</v>
      </c>
      <c r="O178" s="39">
        <v>0</v>
      </c>
      <c r="P178" s="39">
        <v>0</v>
      </c>
      <c r="Q178" s="39">
        <v>0</v>
      </c>
      <c r="R178" s="39">
        <v>0</v>
      </c>
      <c r="S178" s="39">
        <v>0</v>
      </c>
      <c r="T178" s="39">
        <v>0</v>
      </c>
      <c r="U178" s="29" t="str" cm="1">
        <f t="array" aca="1" ref="U178" ca="1">+fair_value_gap(OFFSET(T177,0,0,-1*$J$5,-1*$AA$1),OFFSET(E177,0,0,-1*$J$5,1),F178:T178,0)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V178" s="9" t="str" cm="1">
        <f t="array" aca="1" ref="V178" ca="1">z_score_diff(OFFSET(U178,0,0,$J$5*-1,1),OFFSET(E178,0,0,$J$5*-1,1))</f>
        <v/>
      </c>
      <c r="W178" s="9" t="str">
        <f t="shared" ca="1" si="146"/>
        <v/>
      </c>
      <c r="X178" s="17">
        <f t="shared" ca="1" si="141"/>
        <v>-5.218453442009411E-2</v>
      </c>
      <c r="Y178" s="13">
        <f t="shared" ref="Y178:Z178" ca="1" si="190">+Y177</f>
        <v>0</v>
      </c>
      <c r="Z178" s="13">
        <f t="shared" ca="1" si="190"/>
        <v>0</v>
      </c>
      <c r="AA178" t="str">
        <f t="shared" ca="1" si="148"/>
        <v/>
      </c>
      <c r="AB178" t="str">
        <f t="shared" ca="1" si="149"/>
        <v/>
      </c>
      <c r="AC178" s="24" t="str">
        <f t="shared" ca="1" si="150"/>
        <v/>
      </c>
      <c r="AD178" s="24" t="str">
        <f t="shared" ca="1" si="151"/>
        <v/>
      </c>
    </row>
    <row r="179" spans="3:30" x14ac:dyDescent="0.25">
      <c r="C179" s="6">
        <v>273</v>
      </c>
      <c r="D179" s="36">
        <v>42395</v>
      </c>
      <c r="E179" s="38">
        <v>14.888999999999999</v>
      </c>
      <c r="F179" s="38">
        <v>35.289100568935595</v>
      </c>
      <c r="G179" s="38">
        <v>30.17</v>
      </c>
      <c r="H179" s="38">
        <v>2.5732582996672955</v>
      </c>
      <c r="I179" s="38">
        <v>7.3196923365094451</v>
      </c>
      <c r="J179" s="10">
        <v>1</v>
      </c>
      <c r="K179" s="39">
        <v>0</v>
      </c>
      <c r="L179" s="39">
        <v>0</v>
      </c>
      <c r="M179" s="39">
        <v>0</v>
      </c>
      <c r="N179" s="39">
        <v>0</v>
      </c>
      <c r="O179" s="39">
        <v>0</v>
      </c>
      <c r="P179" s="39">
        <v>0</v>
      </c>
      <c r="Q179" s="39">
        <v>0</v>
      </c>
      <c r="R179" s="39">
        <v>0</v>
      </c>
      <c r="S179" s="39">
        <v>0</v>
      </c>
      <c r="T179" s="39">
        <v>0</v>
      </c>
      <c r="U179" s="29" t="str" cm="1">
        <f t="array" aca="1" ref="U179" ca="1">+fair_value_gap(OFFSET(T178,0,0,-1*$J$5,-1*$AA$1),OFFSET(E178,0,0,-1*$J$5,1),F179:T179,0)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V179" s="9" t="str" cm="1">
        <f t="array" aca="1" ref="V179" ca="1">z_score_diff(OFFSET(U179,0,0,$J$5*-1,1),OFFSET(E179,0,0,$J$5*-1,1))</f>
        <v/>
      </c>
      <c r="W179" s="9" t="str">
        <f t="shared" ca="1" si="146"/>
        <v/>
      </c>
      <c r="X179" s="17">
        <f t="shared" ca="1" si="141"/>
        <v>-6.9813564514650539E-2</v>
      </c>
      <c r="Y179" s="13">
        <f t="shared" ref="Y179:Z179" ca="1" si="191">+Y178</f>
        <v>0</v>
      </c>
      <c r="Z179" s="13">
        <f t="shared" ca="1" si="191"/>
        <v>0</v>
      </c>
      <c r="AA179" t="str">
        <f t="shared" ca="1" si="148"/>
        <v/>
      </c>
      <c r="AB179" t="str">
        <f t="shared" ca="1" si="149"/>
        <v/>
      </c>
      <c r="AC179" s="24" t="str">
        <f t="shared" ca="1" si="150"/>
        <v/>
      </c>
      <c r="AD179" s="24" t="str">
        <f t="shared" ca="1" si="151"/>
        <v/>
      </c>
    </row>
    <row r="180" spans="3:30" x14ac:dyDescent="0.25">
      <c r="C180" s="6">
        <v>274</v>
      </c>
      <c r="D180" s="36">
        <v>42396</v>
      </c>
      <c r="E180" s="38">
        <v>15.202</v>
      </c>
      <c r="F180" s="38">
        <v>36.398257449277516</v>
      </c>
      <c r="G180" s="38">
        <v>30.47</v>
      </c>
      <c r="H180" s="38">
        <v>2.5536756532979918</v>
      </c>
      <c r="I180" s="38">
        <v>7.2923338095242416</v>
      </c>
      <c r="J180" s="10">
        <v>1</v>
      </c>
      <c r="K180" s="39">
        <v>0</v>
      </c>
      <c r="L180" s="39">
        <v>0</v>
      </c>
      <c r="M180" s="39">
        <v>0</v>
      </c>
      <c r="N180" s="39">
        <v>0</v>
      </c>
      <c r="O180" s="39">
        <v>0</v>
      </c>
      <c r="P180" s="39">
        <v>0</v>
      </c>
      <c r="Q180" s="39">
        <v>0</v>
      </c>
      <c r="R180" s="39">
        <v>0</v>
      </c>
      <c r="S180" s="39">
        <v>0</v>
      </c>
      <c r="T180" s="39">
        <v>0</v>
      </c>
      <c r="U180" s="29" t="str" cm="1">
        <f t="array" aca="1" ref="U180" ca="1">+fair_value_gap(OFFSET(T179,0,0,-1*$J$5,-1*$AA$1),OFFSET(E179,0,0,-1*$J$5,1),F180:T180,0)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V180" s="9" t="str" cm="1">
        <f t="array" aca="1" ref="V180" ca="1">z_score_diff(OFFSET(U180,0,0,$J$5*-1,1),OFFSET(E180,0,0,$J$5*-1,1))</f>
        <v/>
      </c>
      <c r="W180" s="9" t="str">
        <f t="shared" ca="1" si="146"/>
        <v/>
      </c>
      <c r="X180" s="17">
        <f t="shared" ca="1" si="141"/>
        <v>-8.2369668528590109E-2</v>
      </c>
      <c r="Y180" s="13">
        <f t="shared" ref="Y180:Z180" ca="1" si="192">+Y179</f>
        <v>0</v>
      </c>
      <c r="Z180" s="13">
        <f t="shared" ca="1" si="192"/>
        <v>0</v>
      </c>
      <c r="AA180" t="str">
        <f t="shared" ca="1" si="148"/>
        <v/>
      </c>
      <c r="AB180" t="str">
        <f t="shared" ca="1" si="149"/>
        <v/>
      </c>
      <c r="AC180" s="24" t="str">
        <f t="shared" ca="1" si="150"/>
        <v/>
      </c>
      <c r="AD180" s="24" t="str">
        <f t="shared" ca="1" si="151"/>
        <v/>
      </c>
    </row>
    <row r="181" spans="3:30" x14ac:dyDescent="0.25">
      <c r="C181" s="6">
        <v>275</v>
      </c>
      <c r="D181" s="36">
        <v>42397</v>
      </c>
      <c r="E181" s="38">
        <v>15.699</v>
      </c>
      <c r="F181" s="38">
        <v>36.939599738273053</v>
      </c>
      <c r="G181" s="38">
        <v>31.09</v>
      </c>
      <c r="H181" s="38">
        <v>2.5333363416890413</v>
      </c>
      <c r="I181" s="38">
        <v>7.2651790347690719</v>
      </c>
      <c r="J181" s="10">
        <v>1</v>
      </c>
      <c r="K181" s="39">
        <v>0</v>
      </c>
      <c r="L181" s="39">
        <v>0</v>
      </c>
      <c r="M181" s="39">
        <v>0</v>
      </c>
      <c r="N181" s="39">
        <v>0</v>
      </c>
      <c r="O181" s="39">
        <v>0</v>
      </c>
      <c r="P181" s="39">
        <v>0</v>
      </c>
      <c r="Q181" s="39">
        <v>0</v>
      </c>
      <c r="R181" s="39">
        <v>0</v>
      </c>
      <c r="S181" s="39">
        <v>0</v>
      </c>
      <c r="T181" s="39">
        <v>0</v>
      </c>
      <c r="U181" s="29" t="str" cm="1">
        <f t="array" aca="1" ref="U181" ca="1">+fair_value_gap(OFFSET(T180,0,0,-1*$J$5,-1*$AA$1),OFFSET(E180,0,0,-1*$J$5,1),F181:T181,0)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V181" s="9" t="str" cm="1">
        <f t="array" aca="1" ref="V181" ca="1">z_score_diff(OFFSET(U181,0,0,$J$5*-1,1),OFFSET(E181,0,0,$J$5*-1,1))</f>
        <v/>
      </c>
      <c r="W181" s="9" t="str">
        <f t="shared" ca="1" si="146"/>
        <v/>
      </c>
      <c r="X181" s="17">
        <f t="shared" ca="1" si="141"/>
        <v>-0.13023362312316419</v>
      </c>
      <c r="Y181" s="13">
        <f t="shared" ref="Y181:Z181" ca="1" si="193">+Y180</f>
        <v>0</v>
      </c>
      <c r="Z181" s="13">
        <f t="shared" ca="1" si="193"/>
        <v>0</v>
      </c>
      <c r="AA181" t="str">
        <f t="shared" ca="1" si="148"/>
        <v/>
      </c>
      <c r="AB181" t="str">
        <f t="shared" ca="1" si="149"/>
        <v/>
      </c>
      <c r="AC181" s="24" t="str">
        <f t="shared" ca="1" si="150"/>
        <v/>
      </c>
      <c r="AD181" s="24" t="str">
        <f t="shared" ca="1" si="151"/>
        <v/>
      </c>
    </row>
    <row r="182" spans="3:30" x14ac:dyDescent="0.25">
      <c r="C182" s="6">
        <v>276</v>
      </c>
      <c r="D182" s="36">
        <v>42398</v>
      </c>
      <c r="E182" s="38">
        <v>15.551</v>
      </c>
      <c r="F182" s="38">
        <v>38.636608072216461</v>
      </c>
      <c r="G182" s="38">
        <v>30.64</v>
      </c>
      <c r="H182" s="38">
        <v>2.6003831759856939</v>
      </c>
      <c r="I182" s="38">
        <v>7.3372185652593194</v>
      </c>
      <c r="J182" s="10">
        <v>1</v>
      </c>
      <c r="K182" s="39">
        <v>0</v>
      </c>
      <c r="L182" s="39">
        <v>0</v>
      </c>
      <c r="M182" s="39">
        <v>0</v>
      </c>
      <c r="N182" s="39">
        <v>0</v>
      </c>
      <c r="O182" s="39">
        <v>0</v>
      </c>
      <c r="P182" s="39">
        <v>0</v>
      </c>
      <c r="Q182" s="39">
        <v>0</v>
      </c>
      <c r="R182" s="39">
        <v>0</v>
      </c>
      <c r="S182" s="39">
        <v>0</v>
      </c>
      <c r="T182" s="39">
        <v>0</v>
      </c>
      <c r="U182" s="29" t="str" cm="1">
        <f t="array" aca="1" ref="U182" ca="1">+fair_value_gap(OFFSET(T181,0,0,-1*$J$5,-1*$AA$1),OFFSET(E181,0,0,-1*$J$5,1),F182:T182,0)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V182" s="9" t="str" cm="1">
        <f t="array" aca="1" ref="V182" ca="1">z_score_diff(OFFSET(U182,0,0,$J$5*-1,1),OFFSET(E182,0,0,$J$5*-1,1))</f>
        <v/>
      </c>
      <c r="W182" s="9" t="str">
        <f t="shared" ca="1" si="146"/>
        <v/>
      </c>
      <c r="X182" s="17">
        <f t="shared" ca="1" si="141"/>
        <v>-0.11685105416427828</v>
      </c>
      <c r="Y182" s="13">
        <f t="shared" ref="Y182:Z182" ca="1" si="194">+Y181</f>
        <v>0</v>
      </c>
      <c r="Z182" s="13">
        <f t="shared" ca="1" si="194"/>
        <v>0</v>
      </c>
      <c r="AA182" t="str">
        <f t="shared" ca="1" si="148"/>
        <v/>
      </c>
      <c r="AB182" t="str">
        <f t="shared" ca="1" si="149"/>
        <v/>
      </c>
      <c r="AC182" s="24" t="str">
        <f t="shared" ca="1" si="150"/>
        <v/>
      </c>
      <c r="AD182" s="24" t="str">
        <f t="shared" ca="1" si="151"/>
        <v/>
      </c>
    </row>
    <row r="183" spans="3:30" x14ac:dyDescent="0.25">
      <c r="C183" s="6">
        <v>277</v>
      </c>
      <c r="D183" s="36">
        <v>42401</v>
      </c>
      <c r="E183" s="38">
        <v>15.061</v>
      </c>
      <c r="F183" s="38">
        <v>37.456748424269286</v>
      </c>
      <c r="G183" s="38">
        <v>30.13</v>
      </c>
      <c r="H183" s="38">
        <v>2.5527154782851476</v>
      </c>
      <c r="I183" s="38">
        <v>7.2973578125694045</v>
      </c>
      <c r="J183" s="10">
        <v>0</v>
      </c>
      <c r="K183" s="39">
        <v>1</v>
      </c>
      <c r="L183" s="39">
        <v>0</v>
      </c>
      <c r="M183" s="39">
        <v>0</v>
      </c>
      <c r="N183" s="39">
        <v>0</v>
      </c>
      <c r="O183" s="39">
        <v>0</v>
      </c>
      <c r="P183" s="39">
        <v>0</v>
      </c>
      <c r="Q183" s="39">
        <v>0</v>
      </c>
      <c r="R183" s="39">
        <v>0</v>
      </c>
      <c r="S183" s="39">
        <v>0</v>
      </c>
      <c r="T183" s="39">
        <v>0</v>
      </c>
      <c r="U183" s="29" t="str" cm="1">
        <f t="array" aca="1" ref="U183" ca="1">+fair_value_gap(OFFSET(T182,0,0,-1*$J$5,-1*$AA$1),OFFSET(E182,0,0,-1*$J$5,1),F183:T183,0)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V183" s="9" t="str" cm="1">
        <f t="array" aca="1" ref="V183" ca="1">z_score_diff(OFFSET(U183,0,0,$J$5*-1,1),OFFSET(E183,0,0,$J$5*-1,1))</f>
        <v/>
      </c>
      <c r="W183" s="9" t="str">
        <f t="shared" ca="1" si="146"/>
        <v/>
      </c>
      <c r="X183" s="17">
        <f t="shared" ca="1" si="141"/>
        <v>-9.5442981929354048E-2</v>
      </c>
      <c r="Y183" s="13">
        <f t="shared" ref="Y183:Z183" ca="1" si="195">+Y182</f>
        <v>0</v>
      </c>
      <c r="Z183" s="13">
        <f t="shared" ca="1" si="195"/>
        <v>0</v>
      </c>
      <c r="AA183" t="str">
        <f t="shared" ca="1" si="148"/>
        <v/>
      </c>
      <c r="AB183" t="str">
        <f t="shared" ca="1" si="149"/>
        <v/>
      </c>
      <c r="AC183" s="24" t="str">
        <f t="shared" ca="1" si="150"/>
        <v/>
      </c>
      <c r="AD183" s="24" t="str">
        <f t="shared" ca="1" si="151"/>
        <v/>
      </c>
    </row>
    <row r="184" spans="3:30" x14ac:dyDescent="0.25">
      <c r="C184" s="6">
        <v>278</v>
      </c>
      <c r="D184" s="36">
        <v>42402</v>
      </c>
      <c r="E184" s="38">
        <v>14.831</v>
      </c>
      <c r="F184" s="38">
        <v>36.202549737798378</v>
      </c>
      <c r="G184" s="38">
        <v>29.9</v>
      </c>
      <c r="H184" s="38">
        <v>2.5102967396899172</v>
      </c>
      <c r="I184" s="38">
        <v>7.2821220736950751</v>
      </c>
      <c r="J184" s="10">
        <v>0</v>
      </c>
      <c r="K184" s="39">
        <v>1</v>
      </c>
      <c r="L184" s="39">
        <v>0</v>
      </c>
      <c r="M184" s="39">
        <v>0</v>
      </c>
      <c r="N184" s="39">
        <v>0</v>
      </c>
      <c r="O184" s="39">
        <v>0</v>
      </c>
      <c r="P184" s="39">
        <v>0</v>
      </c>
      <c r="Q184" s="39">
        <v>0</v>
      </c>
      <c r="R184" s="39">
        <v>0</v>
      </c>
      <c r="S184" s="39">
        <v>0</v>
      </c>
      <c r="T184" s="39">
        <v>0</v>
      </c>
      <c r="U184" s="29" t="str" cm="1">
        <f t="array" aca="1" ref="U184" ca="1">+fair_value_gap(OFFSET(T183,0,0,-1*$J$5,-1*$AA$1),OFFSET(E183,0,0,-1*$J$5,1),F184:T184,0)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V184" s="9" t="str" cm="1">
        <f t="array" aca="1" ref="V184" ca="1">z_score_diff(OFFSET(U184,0,0,$J$5*-1,1),OFFSET(E184,0,0,$J$5*-1,1))</f>
        <v/>
      </c>
      <c r="W184" s="9" t="str">
        <f t="shared" ca="1" si="146"/>
        <v/>
      </c>
      <c r="X184" s="17">
        <f t="shared" ca="1" si="141"/>
        <v>-8.4813244210517696E-2</v>
      </c>
      <c r="Y184" s="13">
        <f t="shared" ref="Y184:Z184" ca="1" si="196">+Y183</f>
        <v>0</v>
      </c>
      <c r="Z184" s="13">
        <f t="shared" ca="1" si="196"/>
        <v>0</v>
      </c>
      <c r="AA184" t="str">
        <f t="shared" ca="1" si="148"/>
        <v/>
      </c>
      <c r="AB184" t="str">
        <f t="shared" ca="1" si="149"/>
        <v/>
      </c>
      <c r="AC184" s="24" t="str">
        <f t="shared" ca="1" si="150"/>
        <v/>
      </c>
      <c r="AD184" s="24" t="str">
        <f t="shared" ca="1" si="151"/>
        <v/>
      </c>
    </row>
    <row r="185" spans="3:30" x14ac:dyDescent="0.25">
      <c r="C185" s="6">
        <v>279</v>
      </c>
      <c r="D185" s="36">
        <v>42403</v>
      </c>
      <c r="E185" s="38">
        <v>14.951000000000001</v>
      </c>
      <c r="F185" s="38">
        <v>37.090477828837933</v>
      </c>
      <c r="G185" s="38">
        <v>30.27</v>
      </c>
      <c r="H185" s="38">
        <v>2.4732912109258662</v>
      </c>
      <c r="I185" s="38">
        <v>7.1567197152959112</v>
      </c>
      <c r="J185" s="10">
        <v>0</v>
      </c>
      <c r="K185" s="39">
        <v>1</v>
      </c>
      <c r="L185" s="39">
        <v>0</v>
      </c>
      <c r="M185" s="39">
        <v>0</v>
      </c>
      <c r="N185" s="39">
        <v>0</v>
      </c>
      <c r="O185" s="39">
        <v>0</v>
      </c>
      <c r="P185" s="39">
        <v>0</v>
      </c>
      <c r="Q185" s="39">
        <v>0</v>
      </c>
      <c r="R185" s="39">
        <v>0</v>
      </c>
      <c r="S185" s="39">
        <v>0</v>
      </c>
      <c r="T185" s="39">
        <v>0</v>
      </c>
      <c r="U185" s="29" t="str" cm="1">
        <f t="array" aca="1" ref="U185" ca="1">+fair_value_gap(OFFSET(T184,0,0,-1*$J$5,-1*$AA$1),OFFSET(E184,0,0,-1*$J$5,1),F185:T185,0)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V185" s="9" t="str" cm="1">
        <f t="array" aca="1" ref="V185" ca="1">z_score_diff(OFFSET(U185,0,0,$J$5*-1,1),OFFSET(E185,0,0,$J$5*-1,1))</f>
        <v/>
      </c>
      <c r="W185" s="9" t="str">
        <f t="shared" ca="1" si="146"/>
        <v/>
      </c>
      <c r="X185" s="17">
        <f t="shared" ca="1" si="141"/>
        <v>-9.3165467766586199E-2</v>
      </c>
      <c r="Y185" s="13">
        <f t="shared" ref="Y185:Z185" ca="1" si="197">+Y184</f>
        <v>0</v>
      </c>
      <c r="Z185" s="13">
        <f t="shared" ca="1" si="197"/>
        <v>0</v>
      </c>
      <c r="AA185" t="str">
        <f t="shared" ca="1" si="148"/>
        <v/>
      </c>
      <c r="AB185" t="str">
        <f t="shared" ca="1" si="149"/>
        <v/>
      </c>
      <c r="AC185" s="24" t="str">
        <f t="shared" ca="1" si="150"/>
        <v/>
      </c>
      <c r="AD185" s="24" t="str">
        <f t="shared" ca="1" si="151"/>
        <v/>
      </c>
    </row>
    <row r="186" spans="3:30" x14ac:dyDescent="0.25">
      <c r="C186" s="6">
        <v>280</v>
      </c>
      <c r="D186" s="36">
        <v>42404</v>
      </c>
      <c r="E186" s="38">
        <v>14.669</v>
      </c>
      <c r="F186" s="38">
        <v>36.552162412530855</v>
      </c>
      <c r="G186" s="38">
        <v>30.24</v>
      </c>
      <c r="H186" s="38">
        <v>2.437986043719806</v>
      </c>
      <c r="I186" s="38">
        <v>7.0953679146581488</v>
      </c>
      <c r="J186" s="10">
        <v>0</v>
      </c>
      <c r="K186" s="39">
        <v>1</v>
      </c>
      <c r="L186" s="39">
        <v>0</v>
      </c>
      <c r="M186" s="39">
        <v>0</v>
      </c>
      <c r="N186" s="39">
        <v>0</v>
      </c>
      <c r="O186" s="39">
        <v>0</v>
      </c>
      <c r="P186" s="39">
        <v>0</v>
      </c>
      <c r="Q186" s="39">
        <v>0</v>
      </c>
      <c r="R186" s="39">
        <v>0</v>
      </c>
      <c r="S186" s="39">
        <v>0</v>
      </c>
      <c r="T186" s="39">
        <v>0</v>
      </c>
      <c r="U186" s="29" t="str" cm="1">
        <f t="array" aca="1" ref="U186" ca="1">+fair_value_gap(OFFSET(T185,0,0,-1*$J$5,-1*$AA$1),OFFSET(E185,0,0,-1*$J$5,1),F186:T186,0)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V186" s="9" t="str" cm="1">
        <f t="array" aca="1" ref="V186" ca="1">z_score_diff(OFFSET(U186,0,0,$J$5*-1,1),OFFSET(E186,0,0,$J$5*-1,1))</f>
        <v/>
      </c>
      <c r="W186" s="9" t="str">
        <f t="shared" ca="1" si="146"/>
        <v/>
      </c>
      <c r="X186" s="17">
        <f t="shared" ca="1" si="141"/>
        <v>-6.389791922248117E-2</v>
      </c>
      <c r="Y186" s="13">
        <f t="shared" ref="Y186:Z186" ca="1" si="198">+Y185</f>
        <v>0</v>
      </c>
      <c r="Z186" s="13">
        <f t="shared" ca="1" si="198"/>
        <v>0</v>
      </c>
      <c r="AA186" t="str">
        <f t="shared" ca="1" si="148"/>
        <v/>
      </c>
      <c r="AB186" t="str">
        <f t="shared" ca="1" si="149"/>
        <v/>
      </c>
      <c r="AC186" s="24" t="str">
        <f t="shared" ca="1" si="150"/>
        <v/>
      </c>
      <c r="AD186" s="24" t="str">
        <f t="shared" ca="1" si="151"/>
        <v/>
      </c>
    </row>
    <row r="187" spans="3:30" x14ac:dyDescent="0.25">
      <c r="C187" s="6">
        <v>281</v>
      </c>
      <c r="D187" s="36">
        <v>42405</v>
      </c>
      <c r="E187" s="38">
        <v>14.557</v>
      </c>
      <c r="F187" s="38">
        <v>36.406843601862185</v>
      </c>
      <c r="G187" s="38">
        <v>30.14</v>
      </c>
      <c r="H187" s="38">
        <v>2.4896441772938083</v>
      </c>
      <c r="I187" s="38">
        <v>7.1221164275817896</v>
      </c>
      <c r="J187" s="10">
        <v>0</v>
      </c>
      <c r="K187" s="39">
        <v>1</v>
      </c>
      <c r="L187" s="39">
        <v>0</v>
      </c>
      <c r="M187" s="39">
        <v>0</v>
      </c>
      <c r="N187" s="39">
        <v>0</v>
      </c>
      <c r="O187" s="39">
        <v>0</v>
      </c>
      <c r="P187" s="39">
        <v>0</v>
      </c>
      <c r="Q187" s="39">
        <v>0</v>
      </c>
      <c r="R187" s="39">
        <v>0</v>
      </c>
      <c r="S187" s="39">
        <v>0</v>
      </c>
      <c r="T187" s="39">
        <v>0</v>
      </c>
      <c r="U187" s="29" t="str" cm="1">
        <f t="array" aca="1" ref="U187" ca="1">+fair_value_gap(OFFSET(T186,0,0,-1*$J$5,-1*$AA$1),OFFSET(E186,0,0,-1*$J$5,1),F187:T187,0)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V187" s="9" t="str" cm="1">
        <f t="array" aca="1" ref="V187" ca="1">z_score_diff(OFFSET(U187,0,0,$J$5*-1,1),OFFSET(E187,0,0,$J$5*-1,1))</f>
        <v/>
      </c>
      <c r="W187" s="9" t="str">
        <f t="shared" ca="1" si="146"/>
        <v/>
      </c>
      <c r="X187" s="17">
        <f t="shared" ca="1" si="141"/>
        <v>-4.9858949721943178E-2</v>
      </c>
      <c r="Y187" s="13">
        <f t="shared" ref="Y187:Z187" ca="1" si="199">+Y186</f>
        <v>0</v>
      </c>
      <c r="Z187" s="13">
        <f t="shared" ca="1" si="199"/>
        <v>0</v>
      </c>
      <c r="AA187" t="str">
        <f t="shared" ca="1" si="148"/>
        <v/>
      </c>
      <c r="AB187" t="str">
        <f t="shared" ca="1" si="149"/>
        <v/>
      </c>
      <c r="AC187" s="24" t="str">
        <f t="shared" ca="1" si="150"/>
        <v/>
      </c>
      <c r="AD187" s="24" t="str">
        <f t="shared" ca="1" si="151"/>
        <v/>
      </c>
    </row>
    <row r="188" spans="3:30" x14ac:dyDescent="0.25">
      <c r="C188" s="6">
        <v>282</v>
      </c>
      <c r="D188" s="36">
        <v>42408</v>
      </c>
      <c r="E188" s="38">
        <v>14.265000000000001</v>
      </c>
      <c r="F188" s="38">
        <v>35.624015774081279</v>
      </c>
      <c r="G188" s="38">
        <v>29.66</v>
      </c>
      <c r="H188" s="38">
        <v>2.4869762374228608</v>
      </c>
      <c r="I188" s="38">
        <v>7.1018654527328957</v>
      </c>
      <c r="J188" s="10">
        <v>0</v>
      </c>
      <c r="K188" s="39">
        <v>1</v>
      </c>
      <c r="L188" s="39">
        <v>0</v>
      </c>
      <c r="M188" s="39">
        <v>0</v>
      </c>
      <c r="N188" s="39">
        <v>0</v>
      </c>
      <c r="O188" s="39">
        <v>0</v>
      </c>
      <c r="P188" s="39">
        <v>0</v>
      </c>
      <c r="Q188" s="39">
        <v>0</v>
      </c>
      <c r="R188" s="39">
        <v>0</v>
      </c>
      <c r="S188" s="39">
        <v>0</v>
      </c>
      <c r="T188" s="39">
        <v>0</v>
      </c>
      <c r="U188" s="29" t="str" cm="1">
        <f t="array" aca="1" ref="U188" ca="1">+fair_value_gap(OFFSET(T187,0,0,-1*$J$5,-1*$AA$1),OFFSET(E187,0,0,-1*$J$5,1),F188:T188,0)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V188" s="9" t="str" cm="1">
        <f t="array" aca="1" ref="V188" ca="1">z_score_diff(OFFSET(U188,0,0,$J$5*-1,1),OFFSET(E188,0,0,$J$5*-1,1))</f>
        <v/>
      </c>
      <c r="W188" s="9" t="str">
        <f t="shared" ca="1" si="146"/>
        <v/>
      </c>
      <c r="X188" s="17">
        <f t="shared" ca="1" si="141"/>
        <v>-4.2020281989559045E-2</v>
      </c>
      <c r="Y188" s="13">
        <f t="shared" ref="Y188:Z188" ca="1" si="200">+Y187</f>
        <v>0</v>
      </c>
      <c r="Z188" s="13">
        <f t="shared" ca="1" si="200"/>
        <v>0</v>
      </c>
      <c r="AA188" t="str">
        <f t="shared" ca="1" si="148"/>
        <v/>
      </c>
      <c r="AB188" t="str">
        <f t="shared" ca="1" si="149"/>
        <v/>
      </c>
      <c r="AC188" s="24" t="str">
        <f t="shared" ca="1" si="150"/>
        <v/>
      </c>
      <c r="AD188" s="24" t="str">
        <f t="shared" ca="1" si="151"/>
        <v/>
      </c>
    </row>
    <row r="189" spans="3:30" x14ac:dyDescent="0.25">
      <c r="C189" s="6">
        <v>283</v>
      </c>
      <c r="D189" s="36">
        <v>42409</v>
      </c>
      <c r="E189" s="38">
        <v>14.090999999999999</v>
      </c>
      <c r="F189" s="38">
        <v>32.905604178356235</v>
      </c>
      <c r="G189" s="38">
        <v>29.32</v>
      </c>
      <c r="H189" s="38">
        <v>2.4489110998075483</v>
      </c>
      <c r="I189" s="38">
        <v>7.0355939876697944</v>
      </c>
      <c r="J189" s="10">
        <v>0</v>
      </c>
      <c r="K189" s="39">
        <v>1</v>
      </c>
      <c r="L189" s="39">
        <v>0</v>
      </c>
      <c r="M189" s="39">
        <v>0</v>
      </c>
      <c r="N189" s="39">
        <v>0</v>
      </c>
      <c r="O189" s="39">
        <v>0</v>
      </c>
      <c r="P189" s="39">
        <v>0</v>
      </c>
      <c r="Q189" s="39">
        <v>0</v>
      </c>
      <c r="R189" s="39">
        <v>0</v>
      </c>
      <c r="S189" s="39">
        <v>0</v>
      </c>
      <c r="T189" s="39">
        <v>0</v>
      </c>
      <c r="U189" s="29" t="str" cm="1">
        <f t="array" aca="1" ref="U189" ca="1">+fair_value_gap(OFFSET(T188,0,0,-1*$J$5,-1*$AA$1),OFFSET(E188,0,0,-1*$J$5,1),F189:T189,0)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V189" s="9" t="str" cm="1">
        <f t="array" aca="1" ref="V189" ca="1">z_score_diff(OFFSET(U189,0,0,$J$5*-1,1),OFFSET(E189,0,0,$J$5*-1,1))</f>
        <v/>
      </c>
      <c r="W189" s="9" t="str">
        <f t="shared" ca="1" si="146"/>
        <v/>
      </c>
      <c r="X189" s="17">
        <f t="shared" ca="1" si="141"/>
        <v>-3.2089857319735703E-2</v>
      </c>
      <c r="Y189" s="13">
        <f t="shared" ref="Y189:Z189" ca="1" si="201">+Y188</f>
        <v>0</v>
      </c>
      <c r="Z189" s="13">
        <f t="shared" ca="1" si="201"/>
        <v>0</v>
      </c>
      <c r="AA189" t="str">
        <f t="shared" ca="1" si="148"/>
        <v/>
      </c>
      <c r="AB189" t="str">
        <f t="shared" ca="1" si="149"/>
        <v/>
      </c>
      <c r="AC189" s="24" t="str">
        <f t="shared" ca="1" si="150"/>
        <v/>
      </c>
      <c r="AD189" s="24" t="str">
        <f t="shared" ca="1" si="151"/>
        <v/>
      </c>
    </row>
    <row r="190" spans="3:30" x14ac:dyDescent="0.25">
      <c r="C190" s="6">
        <v>284</v>
      </c>
      <c r="D190" s="36">
        <v>42410</v>
      </c>
      <c r="E190" s="38">
        <v>13.882999999999999</v>
      </c>
      <c r="F190" s="38">
        <v>33.31666042890172</v>
      </c>
      <c r="G190" s="38">
        <v>28.74</v>
      </c>
      <c r="H190" s="38">
        <v>2.420485986015747</v>
      </c>
      <c r="I190" s="38">
        <v>7.03934688852123</v>
      </c>
      <c r="J190" s="10">
        <v>0</v>
      </c>
      <c r="K190" s="39">
        <v>1</v>
      </c>
      <c r="L190" s="39">
        <v>0</v>
      </c>
      <c r="M190" s="39">
        <v>0</v>
      </c>
      <c r="N190" s="39">
        <v>0</v>
      </c>
      <c r="O190" s="39">
        <v>0</v>
      </c>
      <c r="P190" s="39">
        <v>0</v>
      </c>
      <c r="Q190" s="39">
        <v>0</v>
      </c>
      <c r="R190" s="39">
        <v>0</v>
      </c>
      <c r="S190" s="39">
        <v>0</v>
      </c>
      <c r="T190" s="39">
        <v>0</v>
      </c>
      <c r="U190" s="29" t="str" cm="1">
        <f t="array" aca="1" ref="U190" ca="1">+fair_value_gap(OFFSET(T189,0,0,-1*$J$5,-1*$AA$1),OFFSET(E189,0,0,-1*$J$5,1),F190:T190,0)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V190" s="9" t="str" cm="1">
        <f t="array" aca="1" ref="V190" ca="1">z_score_diff(OFFSET(U190,0,0,$J$5*-1,1),OFFSET(E190,0,0,$J$5*-1,1))</f>
        <v/>
      </c>
      <c r="W190" s="9" t="str">
        <f t="shared" ca="1" si="146"/>
        <v/>
      </c>
      <c r="X190" s="17">
        <f t="shared" ca="1" si="141"/>
        <v>-1.8538570253945116E-2</v>
      </c>
      <c r="Y190" s="13">
        <f t="shared" ref="Y190:Z190" ca="1" si="202">+Y189</f>
        <v>0</v>
      </c>
      <c r="Z190" s="13">
        <f t="shared" ca="1" si="202"/>
        <v>0</v>
      </c>
      <c r="AA190" t="str">
        <f t="shared" ca="1" si="148"/>
        <v/>
      </c>
      <c r="AB190" t="str">
        <f t="shared" ca="1" si="149"/>
        <v/>
      </c>
      <c r="AC190" s="24" t="str">
        <f t="shared" ca="1" si="150"/>
        <v/>
      </c>
      <c r="AD190" s="24" t="str">
        <f t="shared" ca="1" si="151"/>
        <v/>
      </c>
    </row>
    <row r="191" spans="3:30" x14ac:dyDescent="0.25">
      <c r="C191" s="6">
        <v>285</v>
      </c>
      <c r="D191" s="36">
        <v>42411</v>
      </c>
      <c r="E191" s="38">
        <v>13.759</v>
      </c>
      <c r="F191" s="38">
        <v>32.846594368108626</v>
      </c>
      <c r="G191" s="38">
        <v>28.7</v>
      </c>
      <c r="H191" s="38">
        <v>2.39241126796925</v>
      </c>
      <c r="I191" s="38">
        <v>7.0211121790566775</v>
      </c>
      <c r="J191" s="10">
        <v>0</v>
      </c>
      <c r="K191" s="39">
        <v>1</v>
      </c>
      <c r="L191" s="39">
        <v>0</v>
      </c>
      <c r="M191" s="39">
        <v>0</v>
      </c>
      <c r="N191" s="39">
        <v>0</v>
      </c>
      <c r="O191" s="39">
        <v>0</v>
      </c>
      <c r="P191" s="39">
        <v>0</v>
      </c>
      <c r="Q191" s="39">
        <v>0</v>
      </c>
      <c r="R191" s="39">
        <v>0</v>
      </c>
      <c r="S191" s="39">
        <v>0</v>
      </c>
      <c r="T191" s="39">
        <v>0</v>
      </c>
      <c r="U191" s="29" t="str" cm="1">
        <f t="array" aca="1" ref="U191" ca="1">+fair_value_gap(OFFSET(T190,0,0,-1*$J$5,-1*$AA$1),OFFSET(E190,0,0,-1*$J$5,1),F191:T191,0)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V191" s="9" t="str" cm="1">
        <f t="array" aca="1" ref="V191" ca="1">z_score_diff(OFFSET(U191,0,0,$J$5*-1,1),OFFSET(E191,0,0,$J$5*-1,1))</f>
        <v/>
      </c>
      <c r="W191" s="9" t="str">
        <f t="shared" ca="1" si="146"/>
        <v/>
      </c>
      <c r="X191" s="17">
        <f t="shared" ca="1" si="141"/>
        <v>-6.3432096323896509E-3</v>
      </c>
      <c r="Y191" s="13">
        <f t="shared" ref="Y191:Z191" ca="1" si="203">+Y190</f>
        <v>0</v>
      </c>
      <c r="Z191" s="13">
        <f t="shared" ca="1" si="203"/>
        <v>0</v>
      </c>
      <c r="AA191" t="str">
        <f t="shared" ca="1" si="148"/>
        <v/>
      </c>
      <c r="AB191" t="str">
        <f t="shared" ca="1" si="149"/>
        <v/>
      </c>
      <c r="AC191" s="24" t="str">
        <f t="shared" ca="1" si="150"/>
        <v/>
      </c>
      <c r="AD191" s="24" t="str">
        <f t="shared" ca="1" si="151"/>
        <v/>
      </c>
    </row>
    <row r="192" spans="3:30" x14ac:dyDescent="0.25">
      <c r="C192" s="6">
        <v>286</v>
      </c>
      <c r="D192" s="36">
        <v>42412</v>
      </c>
      <c r="E192" s="38">
        <v>14.207000000000001</v>
      </c>
      <c r="F192" s="38">
        <v>35.551999185778499</v>
      </c>
      <c r="G192" s="38">
        <v>29.03</v>
      </c>
      <c r="H192" s="38">
        <v>2.3856339039025598</v>
      </c>
      <c r="I192" s="38">
        <v>7.063020568744248</v>
      </c>
      <c r="J192" s="10">
        <v>0</v>
      </c>
      <c r="K192" s="39">
        <v>1</v>
      </c>
      <c r="L192" s="39">
        <v>0</v>
      </c>
      <c r="M192" s="39">
        <v>0</v>
      </c>
      <c r="N192" s="39">
        <v>0</v>
      </c>
      <c r="O192" s="39">
        <v>0</v>
      </c>
      <c r="P192" s="39">
        <v>0</v>
      </c>
      <c r="Q192" s="39">
        <v>0</v>
      </c>
      <c r="R192" s="39">
        <v>0</v>
      </c>
      <c r="S192" s="39">
        <v>0</v>
      </c>
      <c r="T192" s="39">
        <v>0</v>
      </c>
      <c r="U192" s="29" t="str" cm="1">
        <f t="array" aca="1" ref="U192" ca="1">+fair_value_gap(OFFSET(T191,0,0,-1*$J$5,-1*$AA$1),OFFSET(E191,0,0,-1*$J$5,1),F192:T192,0)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V192" s="9" t="str" cm="1">
        <f t="array" aca="1" ref="V192" ca="1">z_score_diff(OFFSET(U192,0,0,$J$5*-1,1),OFFSET(E192,0,0,$J$5*-1,1))</f>
        <v/>
      </c>
      <c r="W192" s="9" t="str">
        <f t="shared" ca="1" si="146"/>
        <v/>
      </c>
      <c r="X192" s="17">
        <f t="shared" ca="1" si="141"/>
        <v>-4.5578602608373438E-2</v>
      </c>
      <c r="Y192" s="13">
        <f t="shared" ref="Y192:Z192" ca="1" si="204">+Y191</f>
        <v>0</v>
      </c>
      <c r="Z192" s="13">
        <f t="shared" ca="1" si="204"/>
        <v>0</v>
      </c>
      <c r="AA192" t="str">
        <f t="shared" ca="1" si="148"/>
        <v/>
      </c>
      <c r="AB192" t="str">
        <f t="shared" ca="1" si="149"/>
        <v/>
      </c>
      <c r="AC192" s="24" t="str">
        <f t="shared" ca="1" si="150"/>
        <v/>
      </c>
      <c r="AD192" s="24" t="str">
        <f t="shared" ca="1" si="151"/>
        <v/>
      </c>
    </row>
    <row r="193" spans="3:30" x14ac:dyDescent="0.25">
      <c r="C193" s="6">
        <v>287</v>
      </c>
      <c r="D193" s="36">
        <v>42415</v>
      </c>
      <c r="E193" s="38">
        <v>14.255000000000001</v>
      </c>
      <c r="F193" s="38">
        <v>35.693740098593665</v>
      </c>
      <c r="G193" s="38">
        <v>29.11</v>
      </c>
      <c r="H193" s="38">
        <v>2.4064289444105178</v>
      </c>
      <c r="I193" s="38">
        <v>7.1245873492109855</v>
      </c>
      <c r="J193" s="10">
        <v>0</v>
      </c>
      <c r="K193" s="39">
        <v>1</v>
      </c>
      <c r="L193" s="39">
        <v>0</v>
      </c>
      <c r="M193" s="39">
        <v>0</v>
      </c>
      <c r="N193" s="39">
        <v>0</v>
      </c>
      <c r="O193" s="39">
        <v>0</v>
      </c>
      <c r="P193" s="39">
        <v>0</v>
      </c>
      <c r="Q193" s="39">
        <v>0</v>
      </c>
      <c r="R193" s="39">
        <v>0</v>
      </c>
      <c r="S193" s="39">
        <v>0</v>
      </c>
      <c r="T193" s="39">
        <v>0</v>
      </c>
      <c r="U193" s="29" t="str" cm="1">
        <f t="array" aca="1" ref="U193" ca="1">+fair_value_gap(OFFSET(T192,0,0,-1*$J$5,-1*$AA$1),OFFSET(E192,0,0,-1*$J$5,1),F193:T193,0)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V193" s="9" t="str" cm="1">
        <f t="array" aca="1" ref="V193" ca="1">z_score_diff(OFFSET(U193,0,0,$J$5*-1,1),OFFSET(E193,0,0,$J$5*-1,1))</f>
        <v/>
      </c>
      <c r="W193" s="9" t="str">
        <f t="shared" ca="1" si="146"/>
        <v/>
      </c>
      <c r="X193" s="17">
        <f t="shared" ca="1" si="141"/>
        <v>-4.8951524083068819E-2</v>
      </c>
      <c r="Y193" s="13">
        <f t="shared" ref="Y193:Z193" ca="1" si="205">+Y192</f>
        <v>0</v>
      </c>
      <c r="Z193" s="13">
        <f t="shared" ca="1" si="205"/>
        <v>0</v>
      </c>
      <c r="AA193" t="str">
        <f t="shared" ca="1" si="148"/>
        <v/>
      </c>
      <c r="AB193" t="str">
        <f t="shared" ca="1" si="149"/>
        <v/>
      </c>
      <c r="AC193" s="24" t="str">
        <f t="shared" ca="1" si="150"/>
        <v/>
      </c>
      <c r="AD193" s="24" t="str">
        <f t="shared" ca="1" si="151"/>
        <v/>
      </c>
    </row>
    <row r="194" spans="3:30" x14ac:dyDescent="0.25">
      <c r="C194" s="6">
        <v>288</v>
      </c>
      <c r="D194" s="36">
        <v>42416</v>
      </c>
      <c r="E194" s="38">
        <v>14.010999999999999</v>
      </c>
      <c r="F194" s="38">
        <v>34.775114424490475</v>
      </c>
      <c r="G194" s="38">
        <v>28.8</v>
      </c>
      <c r="H194" s="38">
        <v>2.382476605267871</v>
      </c>
      <c r="I194" s="38">
        <v>7.1376764690756849</v>
      </c>
      <c r="J194" s="10">
        <v>0</v>
      </c>
      <c r="K194" s="39">
        <v>1</v>
      </c>
      <c r="L194" s="39">
        <v>0</v>
      </c>
      <c r="M194" s="39">
        <v>0</v>
      </c>
      <c r="N194" s="39">
        <v>0</v>
      </c>
      <c r="O194" s="39">
        <v>0</v>
      </c>
      <c r="P194" s="39">
        <v>0</v>
      </c>
      <c r="Q194" s="39">
        <v>0</v>
      </c>
      <c r="R194" s="39">
        <v>0</v>
      </c>
      <c r="S194" s="39">
        <v>0</v>
      </c>
      <c r="T194" s="39">
        <v>0</v>
      </c>
      <c r="U194" s="29" t="str" cm="1">
        <f t="array" aca="1" ref="U194" ca="1">+fair_value_gap(OFFSET(T193,0,0,-1*$J$5,-1*$AA$1),OFFSET(E193,0,0,-1*$J$5,1),F194:T194,0)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V194" s="9" t="str" cm="1">
        <f t="array" aca="1" ref="V194" ca="1">z_score_diff(OFFSET(U194,0,0,$J$5*-1,1),OFFSET(E194,0,0,$J$5*-1,1))</f>
        <v/>
      </c>
      <c r="W194" s="9" t="str">
        <f t="shared" ca="1" si="146"/>
        <v/>
      </c>
      <c r="X194" s="17">
        <f t="shared" ca="1" si="141"/>
        <v>-6.8605495850073264E-2</v>
      </c>
      <c r="Y194" s="13">
        <f t="shared" ref="Y194:Z194" ca="1" si="206">+Y193</f>
        <v>0</v>
      </c>
      <c r="Z194" s="13">
        <f t="shared" ca="1" si="206"/>
        <v>0</v>
      </c>
      <c r="AA194" t="str">
        <f t="shared" ca="1" si="148"/>
        <v/>
      </c>
      <c r="AB194" t="str">
        <f t="shared" ca="1" si="149"/>
        <v/>
      </c>
      <c r="AC194" s="24" t="str">
        <f t="shared" ca="1" si="150"/>
        <v/>
      </c>
      <c r="AD194" s="24" t="str">
        <f t="shared" ca="1" si="151"/>
        <v/>
      </c>
    </row>
    <row r="195" spans="3:30" x14ac:dyDescent="0.25">
      <c r="C195" s="6">
        <v>289</v>
      </c>
      <c r="D195" s="36">
        <v>42417</v>
      </c>
      <c r="E195" s="38">
        <v>14.103999999999999</v>
      </c>
      <c r="F195" s="38">
        <v>36.690852297368849</v>
      </c>
      <c r="G195" s="38">
        <v>28.82</v>
      </c>
      <c r="H195" s="38">
        <v>2.3919562157603043</v>
      </c>
      <c r="I195" s="38">
        <v>7.1395059461885246</v>
      </c>
      <c r="J195" s="10">
        <v>0</v>
      </c>
      <c r="K195" s="39">
        <v>1</v>
      </c>
      <c r="L195" s="39">
        <v>0</v>
      </c>
      <c r="M195" s="39">
        <v>0</v>
      </c>
      <c r="N195" s="39">
        <v>0</v>
      </c>
      <c r="O195" s="39">
        <v>0</v>
      </c>
      <c r="P195" s="39">
        <v>0</v>
      </c>
      <c r="Q195" s="39">
        <v>0</v>
      </c>
      <c r="R195" s="39">
        <v>0</v>
      </c>
      <c r="S195" s="39">
        <v>0</v>
      </c>
      <c r="T195" s="39">
        <v>0</v>
      </c>
      <c r="U195" s="29" t="str" cm="1">
        <f t="array" aca="1" ref="U195" ca="1">+fair_value_gap(OFFSET(T194,0,0,-1*$J$5,-1*$AA$1),OFFSET(E194,0,0,-1*$J$5,1),F195:T195,0)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V195" s="9" t="str" cm="1">
        <f t="array" aca="1" ref="V195" ca="1">z_score_diff(OFFSET(U195,0,0,$J$5*-1,1),OFFSET(E195,0,0,$J$5*-1,1))</f>
        <v/>
      </c>
      <c r="W195" s="9" t="str">
        <f t="shared" ca="1" si="146"/>
        <v/>
      </c>
      <c r="X195" s="17">
        <f t="shared" ca="1" si="141"/>
        <v>-8.659894207116807E-2</v>
      </c>
      <c r="Y195" s="13">
        <f t="shared" ref="Y195:Z195" ca="1" si="207">+Y194</f>
        <v>0</v>
      </c>
      <c r="Z195" s="13">
        <f t="shared" ca="1" si="207"/>
        <v>0</v>
      </c>
      <c r="AA195" t="str">
        <f t="shared" ca="1" si="148"/>
        <v/>
      </c>
      <c r="AB195" t="str">
        <f t="shared" ca="1" si="149"/>
        <v/>
      </c>
      <c r="AC195" s="24" t="str">
        <f t="shared" ca="1" si="150"/>
        <v/>
      </c>
      <c r="AD195" s="24" t="str">
        <f t="shared" ca="1" si="151"/>
        <v/>
      </c>
    </row>
    <row r="196" spans="3:30" x14ac:dyDescent="0.25">
      <c r="C196" s="6">
        <v>290</v>
      </c>
      <c r="D196" s="36">
        <v>42418</v>
      </c>
      <c r="E196" s="38">
        <v>14.359</v>
      </c>
      <c r="F196" s="38">
        <v>36.402108492698218</v>
      </c>
      <c r="G196" s="38">
        <v>29.11</v>
      </c>
      <c r="H196" s="38">
        <v>2.3508768183258053</v>
      </c>
      <c r="I196" s="38">
        <v>7.1629668385778711</v>
      </c>
      <c r="J196" s="10">
        <v>0</v>
      </c>
      <c r="K196" s="39">
        <v>1</v>
      </c>
      <c r="L196" s="39">
        <v>0</v>
      </c>
      <c r="M196" s="39">
        <v>0</v>
      </c>
      <c r="N196" s="39">
        <v>0</v>
      </c>
      <c r="O196" s="39">
        <v>0</v>
      </c>
      <c r="P196" s="39">
        <v>0</v>
      </c>
      <c r="Q196" s="39">
        <v>0</v>
      </c>
      <c r="R196" s="39">
        <v>0</v>
      </c>
      <c r="S196" s="39">
        <v>0</v>
      </c>
      <c r="T196" s="39">
        <v>0</v>
      </c>
      <c r="U196" s="29" t="str" cm="1">
        <f t="array" aca="1" ref="U196" ca="1">+fair_value_gap(OFFSET(T195,0,0,-1*$J$5,-1*$AA$1),OFFSET(E195,0,0,-1*$J$5,1),F196:T196,0)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V196" s="9" t="str" cm="1">
        <f t="array" aca="1" ref="V196" ca="1">z_score_diff(OFFSET(U196,0,0,$J$5*-1,1),OFFSET(E196,0,0,$J$5*-1,1))</f>
        <v/>
      </c>
      <c r="W196" s="9" t="str">
        <f t="shared" ca="1" si="146"/>
        <v/>
      </c>
      <c r="X196" s="17">
        <f t="shared" ca="1" si="141"/>
        <v>-0.11454120366075127</v>
      </c>
      <c r="Y196" s="13">
        <f t="shared" ref="Y196:Z196" ca="1" si="208">+Y195</f>
        <v>0</v>
      </c>
      <c r="Z196" s="13">
        <f t="shared" ca="1" si="208"/>
        <v>0</v>
      </c>
      <c r="AA196" t="str">
        <f t="shared" ca="1" si="148"/>
        <v/>
      </c>
      <c r="AB196" t="str">
        <f t="shared" ca="1" si="149"/>
        <v/>
      </c>
      <c r="AC196" s="24" t="str">
        <f t="shared" ca="1" si="150"/>
        <v/>
      </c>
      <c r="AD196" s="24" t="str">
        <f t="shared" ca="1" si="151"/>
        <v/>
      </c>
    </row>
    <row r="197" spans="3:30" x14ac:dyDescent="0.25">
      <c r="C197" s="6">
        <v>291</v>
      </c>
      <c r="D197" s="36">
        <v>42419</v>
      </c>
      <c r="E197" s="38">
        <v>14.063000000000001</v>
      </c>
      <c r="F197" s="38">
        <v>35.290027440900957</v>
      </c>
      <c r="G197" s="38">
        <v>28.96</v>
      </c>
      <c r="H197" s="38">
        <v>2.3015235287544105</v>
      </c>
      <c r="I197" s="38">
        <v>7.1396009273499059</v>
      </c>
      <c r="J197" s="10">
        <v>0</v>
      </c>
      <c r="K197" s="39">
        <v>1</v>
      </c>
      <c r="L197" s="39">
        <v>0</v>
      </c>
      <c r="M197" s="39">
        <v>0</v>
      </c>
      <c r="N197" s="39">
        <v>0</v>
      </c>
      <c r="O197" s="39">
        <v>0</v>
      </c>
      <c r="P197" s="39">
        <v>0</v>
      </c>
      <c r="Q197" s="39">
        <v>0</v>
      </c>
      <c r="R197" s="39">
        <v>0</v>
      </c>
      <c r="S197" s="39">
        <v>0</v>
      </c>
      <c r="T197" s="39">
        <v>0</v>
      </c>
      <c r="U197" s="29" t="str" cm="1">
        <f t="array" aca="1" ref="U197" ca="1">+fair_value_gap(OFFSET(T196,0,0,-1*$J$5,-1*$AA$1),OFFSET(E196,0,0,-1*$J$5,1),F197:T197,0)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V197" s="9" t="str" cm="1">
        <f t="array" aca="1" ref="V197" ca="1">z_score_diff(OFFSET(U197,0,0,$J$5*-1,1),OFFSET(E197,0,0,$J$5*-1,1))</f>
        <v/>
      </c>
      <c r="W197" s="9" t="str">
        <f t="shared" ca="1" si="146"/>
        <v/>
      </c>
      <c r="X197" s="17">
        <f t="shared" ca="1" si="141"/>
        <v>-0.10068619183955448</v>
      </c>
      <c r="Y197" s="13">
        <f t="shared" ref="Y197:Z197" ca="1" si="209">+Y196</f>
        <v>0</v>
      </c>
      <c r="Z197" s="13">
        <f t="shared" ca="1" si="209"/>
        <v>0</v>
      </c>
      <c r="AA197" t="str">
        <f t="shared" ca="1" si="148"/>
        <v/>
      </c>
      <c r="AB197" t="str">
        <f t="shared" ca="1" si="149"/>
        <v/>
      </c>
      <c r="AC197" s="24" t="str">
        <f t="shared" ca="1" si="150"/>
        <v/>
      </c>
      <c r="AD197" s="24" t="str">
        <f t="shared" ca="1" si="151"/>
        <v/>
      </c>
    </row>
    <row r="198" spans="3:30" x14ac:dyDescent="0.25">
      <c r="C198" s="6">
        <v>292</v>
      </c>
      <c r="D198" s="36">
        <v>42422</v>
      </c>
      <c r="E198" s="38">
        <v>14.395</v>
      </c>
      <c r="F198" s="38">
        <v>36.922460149067945</v>
      </c>
      <c r="G198" s="38">
        <v>29.21</v>
      </c>
      <c r="H198" s="38">
        <v>2.2980338745226971</v>
      </c>
      <c r="I198" s="38">
        <v>7.2037276829858694</v>
      </c>
      <c r="J198" s="10">
        <v>0</v>
      </c>
      <c r="K198" s="39">
        <v>1</v>
      </c>
      <c r="L198" s="39">
        <v>0</v>
      </c>
      <c r="M198" s="39">
        <v>0</v>
      </c>
      <c r="N198" s="39">
        <v>0</v>
      </c>
      <c r="O198" s="39">
        <v>0</v>
      </c>
      <c r="P198" s="39">
        <v>0</v>
      </c>
      <c r="Q198" s="39">
        <v>0</v>
      </c>
      <c r="R198" s="39">
        <v>0</v>
      </c>
      <c r="S198" s="39">
        <v>0</v>
      </c>
      <c r="T198" s="39">
        <v>0</v>
      </c>
      <c r="U198" s="29" t="str" cm="1">
        <f t="array" aca="1" ref="U198" ca="1">+fair_value_gap(OFFSET(T197,0,0,-1*$J$5,-1*$AA$1),OFFSET(E197,0,0,-1*$J$5,1),F198:T198,0)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V198" s="9" t="str" cm="1">
        <f t="array" aca="1" ref="V198" ca="1">z_score_diff(OFFSET(U198,0,0,$J$5*-1,1),OFFSET(E198,0,0,$J$5*-1,1))</f>
        <v/>
      </c>
      <c r="W198" s="9" t="str">
        <f t="shared" ca="1" si="146"/>
        <v/>
      </c>
      <c r="X198" s="17">
        <f t="shared" ca="1" si="141"/>
        <v>-0.11704520441265058</v>
      </c>
      <c r="Y198" s="13">
        <f t="shared" ref="Y198:Z198" ca="1" si="210">+Y197</f>
        <v>0</v>
      </c>
      <c r="Z198" s="13">
        <f t="shared" ca="1" si="210"/>
        <v>0</v>
      </c>
      <c r="AA198" t="str">
        <f t="shared" ca="1" si="148"/>
        <v/>
      </c>
      <c r="AB198" t="str">
        <f t="shared" ca="1" si="149"/>
        <v/>
      </c>
      <c r="AC198" s="24" t="str">
        <f t="shared" ca="1" si="150"/>
        <v/>
      </c>
      <c r="AD198" s="24" t="str">
        <f t="shared" ca="1" si="151"/>
        <v/>
      </c>
    </row>
    <row r="199" spans="3:30" x14ac:dyDescent="0.25">
      <c r="C199" s="6">
        <v>293</v>
      </c>
      <c r="D199" s="36">
        <v>42423</v>
      </c>
      <c r="E199" s="38">
        <v>14.182</v>
      </c>
      <c r="F199" s="38">
        <v>35.961106473536567</v>
      </c>
      <c r="G199" s="38">
        <v>29.1</v>
      </c>
      <c r="H199" s="38">
        <v>2.2812686970883598</v>
      </c>
      <c r="I199" s="38">
        <v>7.2101346727763236</v>
      </c>
      <c r="J199" s="10">
        <v>0</v>
      </c>
      <c r="K199" s="39">
        <v>1</v>
      </c>
      <c r="L199" s="39">
        <v>0</v>
      </c>
      <c r="M199" s="39">
        <v>0</v>
      </c>
      <c r="N199" s="39">
        <v>0</v>
      </c>
      <c r="O199" s="39">
        <v>0</v>
      </c>
      <c r="P199" s="39">
        <v>0</v>
      </c>
      <c r="Q199" s="39">
        <v>0</v>
      </c>
      <c r="R199" s="39">
        <v>0</v>
      </c>
      <c r="S199" s="39">
        <v>0</v>
      </c>
      <c r="T199" s="39">
        <v>0</v>
      </c>
      <c r="U199" s="29" t="str" cm="1">
        <f t="array" aca="1" ref="U199" ca="1">+fair_value_gap(OFFSET(T198,0,0,-1*$J$5,-1*$AA$1),OFFSET(E198,0,0,-1*$J$5,1),F199:T199,0)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V199" s="9" t="str" cm="1">
        <f t="array" aca="1" ref="V199" ca="1">z_score_diff(OFFSET(U199,0,0,$J$5*-1,1),OFFSET(E199,0,0,$J$5*-1,1))</f>
        <v/>
      </c>
      <c r="W199" s="9" t="str">
        <f t="shared" ca="1" si="146"/>
        <v/>
      </c>
      <c r="X199" s="17">
        <f t="shared" ref="X199:X262" ca="1" si="211">+LN(OFFSET(E199,$X$3,0,1,1)/E199)</f>
        <v>-0.11431633970827572</v>
      </c>
      <c r="Y199" s="13">
        <f t="shared" ref="Y199:Z199" ca="1" si="212">+Y198</f>
        <v>0</v>
      </c>
      <c r="Z199" s="13">
        <f t="shared" ca="1" si="212"/>
        <v>0</v>
      </c>
      <c r="AA199" t="str">
        <f t="shared" ca="1" si="148"/>
        <v/>
      </c>
      <c r="AB199" t="str">
        <f t="shared" ca="1" si="149"/>
        <v/>
      </c>
      <c r="AC199" s="24" t="str">
        <f t="shared" ca="1" si="150"/>
        <v/>
      </c>
      <c r="AD199" s="24" t="str">
        <f t="shared" ca="1" si="151"/>
        <v/>
      </c>
    </row>
    <row r="200" spans="3:30" x14ac:dyDescent="0.25">
      <c r="C200" s="6">
        <v>294</v>
      </c>
      <c r="D200" s="36">
        <v>42424</v>
      </c>
      <c r="E200" s="38">
        <v>13.957000000000001</v>
      </c>
      <c r="F200" s="38">
        <v>36.887994634473507</v>
      </c>
      <c r="G200" s="38">
        <v>28.82</v>
      </c>
      <c r="H200" s="38">
        <v>2.2918258212375862</v>
      </c>
      <c r="I200" s="38">
        <v>7.2179960332404418</v>
      </c>
      <c r="J200" s="10">
        <v>0</v>
      </c>
      <c r="K200" s="39">
        <v>1</v>
      </c>
      <c r="L200" s="39">
        <v>0</v>
      </c>
      <c r="M200" s="39">
        <v>0</v>
      </c>
      <c r="N200" s="39">
        <v>0</v>
      </c>
      <c r="O200" s="39">
        <v>0</v>
      </c>
      <c r="P200" s="39">
        <v>0</v>
      </c>
      <c r="Q200" s="39">
        <v>0</v>
      </c>
      <c r="R200" s="39">
        <v>0</v>
      </c>
      <c r="S200" s="39">
        <v>0</v>
      </c>
      <c r="T200" s="39">
        <v>0</v>
      </c>
      <c r="U200" s="29" t="str" cm="1">
        <f t="array" aca="1" ref="U200" ca="1">+fair_value_gap(OFFSET(T199,0,0,-1*$J$5,-1*$AA$1),OFFSET(E199,0,0,-1*$J$5,1),F200:T200,0)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V200" s="9" t="str" cm="1">
        <f t="array" aca="1" ref="V200" ca="1">z_score_diff(OFFSET(U200,0,0,$J$5*-1,1),OFFSET(E200,0,0,$J$5*-1,1))</f>
        <v/>
      </c>
      <c r="W200" s="9" t="str">
        <f t="shared" ca="1" si="146"/>
        <v/>
      </c>
      <c r="X200" s="17">
        <f t="shared" ca="1" si="211"/>
        <v>-8.6536003600935787E-2</v>
      </c>
      <c r="Y200" s="13">
        <f t="shared" ref="Y200:Z200" ca="1" si="213">+Y199</f>
        <v>0</v>
      </c>
      <c r="Z200" s="13">
        <f t="shared" ca="1" si="213"/>
        <v>0</v>
      </c>
      <c r="AA200" t="str">
        <f t="shared" ca="1" si="148"/>
        <v/>
      </c>
      <c r="AB200" t="str">
        <f t="shared" ca="1" si="149"/>
        <v/>
      </c>
      <c r="AC200" s="24" t="str">
        <f t="shared" ca="1" si="150"/>
        <v/>
      </c>
      <c r="AD200" s="24" t="str">
        <f t="shared" ca="1" si="151"/>
        <v/>
      </c>
    </row>
    <row r="201" spans="3:30" x14ac:dyDescent="0.25">
      <c r="C201" s="6">
        <v>295</v>
      </c>
      <c r="D201" s="36">
        <v>42425</v>
      </c>
      <c r="E201" s="38">
        <v>13.88</v>
      </c>
      <c r="F201" s="38">
        <v>37.050961856934407</v>
      </c>
      <c r="G201" s="38">
        <v>28.83</v>
      </c>
      <c r="H201" s="38">
        <v>2.2683531612822367</v>
      </c>
      <c r="I201" s="38">
        <v>7.2060942968910853</v>
      </c>
      <c r="J201" s="10">
        <v>0</v>
      </c>
      <c r="K201" s="39">
        <v>1</v>
      </c>
      <c r="L201" s="39">
        <v>0</v>
      </c>
      <c r="M201" s="39">
        <v>0</v>
      </c>
      <c r="N201" s="39">
        <v>0</v>
      </c>
      <c r="O201" s="39">
        <v>0</v>
      </c>
      <c r="P201" s="39">
        <v>0</v>
      </c>
      <c r="Q201" s="39">
        <v>0</v>
      </c>
      <c r="R201" s="39">
        <v>0</v>
      </c>
      <c r="S201" s="39">
        <v>0</v>
      </c>
      <c r="T201" s="39">
        <v>0</v>
      </c>
      <c r="U201" s="29" t="str" cm="1">
        <f t="array" aca="1" ref="U201" ca="1">+fair_value_gap(OFFSET(T200,0,0,-1*$J$5,-1*$AA$1),OFFSET(E200,0,0,-1*$J$5,1),F201:T201,0)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V201" s="9" t="str" cm="1">
        <f t="array" aca="1" ref="V201" ca="1">z_score_diff(OFFSET(U201,0,0,$J$5*-1,1),OFFSET(E201,0,0,$J$5*-1,1))</f>
        <v/>
      </c>
      <c r="W201" s="9" t="str">
        <f t="shared" ca="1" si="146"/>
        <v/>
      </c>
      <c r="X201" s="17">
        <f t="shared" ca="1" si="211"/>
        <v>-7.6560544976546754E-2</v>
      </c>
      <c r="Y201" s="13">
        <f t="shared" ref="Y201:Z201" ca="1" si="214">+Y200</f>
        <v>0</v>
      </c>
      <c r="Z201" s="13">
        <f t="shared" ca="1" si="214"/>
        <v>0</v>
      </c>
      <c r="AA201" t="str">
        <f t="shared" ca="1" si="148"/>
        <v/>
      </c>
      <c r="AB201" t="str">
        <f t="shared" ca="1" si="149"/>
        <v/>
      </c>
      <c r="AC201" s="24" t="str">
        <f t="shared" ca="1" si="150"/>
        <v/>
      </c>
      <c r="AD201" s="24" t="str">
        <f t="shared" ca="1" si="151"/>
        <v/>
      </c>
    </row>
    <row r="202" spans="3:30" x14ac:dyDescent="0.25">
      <c r="C202" s="6">
        <v>296</v>
      </c>
      <c r="D202" s="36">
        <v>42426</v>
      </c>
      <c r="E202" s="38">
        <v>14.19</v>
      </c>
      <c r="F202" s="38">
        <v>36.865029623684521</v>
      </c>
      <c r="G202" s="38">
        <v>29.1</v>
      </c>
      <c r="H202" s="38">
        <v>2.2734036125564741</v>
      </c>
      <c r="I202" s="38">
        <v>7.2593808334310275</v>
      </c>
      <c r="J202" s="10">
        <v>0</v>
      </c>
      <c r="K202" s="39">
        <v>1</v>
      </c>
      <c r="L202" s="39">
        <v>0</v>
      </c>
      <c r="M202" s="39">
        <v>0</v>
      </c>
      <c r="N202" s="39">
        <v>0</v>
      </c>
      <c r="O202" s="39">
        <v>0</v>
      </c>
      <c r="P202" s="39">
        <v>0</v>
      </c>
      <c r="Q202" s="39">
        <v>0</v>
      </c>
      <c r="R202" s="39">
        <v>0</v>
      </c>
      <c r="S202" s="39">
        <v>0</v>
      </c>
      <c r="T202" s="39">
        <v>0</v>
      </c>
      <c r="U202" s="29" t="str" cm="1">
        <f t="array" aca="1" ref="U202" ca="1">+fair_value_gap(OFFSET(T201,0,0,-1*$J$5,-1*$AA$1),OFFSET(E201,0,0,-1*$J$5,1),F202:T202,0)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V202" s="9" t="str" cm="1">
        <f t="array" aca="1" ref="V202" ca="1">z_score_diff(OFFSET(U202,0,0,$J$5*-1,1),OFFSET(E202,0,0,$J$5*-1,1))</f>
        <v/>
      </c>
      <c r="W202" s="9" t="str">
        <f t="shared" ca="1" si="146"/>
        <v/>
      </c>
      <c r="X202" s="17">
        <f t="shared" ca="1" si="211"/>
        <v>-9.2368773550157546E-2</v>
      </c>
      <c r="Y202" s="13">
        <f t="shared" ref="Y202:Z202" ca="1" si="215">+Y201</f>
        <v>0</v>
      </c>
      <c r="Z202" s="13">
        <f t="shared" ca="1" si="215"/>
        <v>0</v>
      </c>
      <c r="AA202" t="str">
        <f t="shared" ca="1" si="148"/>
        <v/>
      </c>
      <c r="AB202" t="str">
        <f t="shared" ca="1" si="149"/>
        <v/>
      </c>
      <c r="AC202" s="24" t="str">
        <f t="shared" ca="1" si="150"/>
        <v/>
      </c>
      <c r="AD202" s="24" t="str">
        <f t="shared" ca="1" si="151"/>
        <v/>
      </c>
    </row>
    <row r="203" spans="3:30" x14ac:dyDescent="0.25">
      <c r="C203" s="6">
        <v>297</v>
      </c>
      <c r="D203" s="36">
        <v>42429</v>
      </c>
      <c r="E203" s="38">
        <v>13.914</v>
      </c>
      <c r="F203" s="38">
        <v>38.107945923700711</v>
      </c>
      <c r="G203" s="38">
        <v>26.43</v>
      </c>
      <c r="H203" s="38">
        <v>2.31784057390349</v>
      </c>
      <c r="I203" s="38">
        <v>7.297073375018809</v>
      </c>
      <c r="J203" s="10">
        <v>0</v>
      </c>
      <c r="K203" s="39">
        <v>1</v>
      </c>
      <c r="L203" s="39">
        <v>0</v>
      </c>
      <c r="M203" s="39">
        <v>0</v>
      </c>
      <c r="N203" s="39">
        <v>0</v>
      </c>
      <c r="O203" s="39">
        <v>0</v>
      </c>
      <c r="P203" s="39">
        <v>0</v>
      </c>
      <c r="Q203" s="39">
        <v>0</v>
      </c>
      <c r="R203" s="39">
        <v>0</v>
      </c>
      <c r="S203" s="39">
        <v>0</v>
      </c>
      <c r="T203" s="39">
        <v>0</v>
      </c>
      <c r="U203" s="29" t="str" cm="1">
        <f t="array" aca="1" ref="U203" ca="1">+fair_value_gap(OFFSET(T202,0,0,-1*$J$5,-1*$AA$1),OFFSET(E202,0,0,-1*$J$5,1),F203:T203,0)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V203" s="9" t="str" cm="1">
        <f t="array" aca="1" ref="V203" ca="1">z_score_diff(OFFSET(U203,0,0,$J$5*-1,1),OFFSET(E203,0,0,$J$5*-1,1))</f>
        <v/>
      </c>
      <c r="W203" s="9" t="str">
        <f t="shared" ref="W203:W266" ca="1" si="216">+IF(ISERROR(AVERAGE(OFFSET(V203,0,0,$W$5*-1,1))),"",AVERAGE(OFFSET(V203,0,0,$W$5*-1,1)))</f>
        <v/>
      </c>
      <c r="X203" s="17">
        <f t="shared" ca="1" si="211"/>
        <v>-6.9562860795827755E-2</v>
      </c>
      <c r="Y203" s="13">
        <f t="shared" ref="Y203:Z203" ca="1" si="217">+Y202</f>
        <v>0</v>
      </c>
      <c r="Z203" s="13">
        <f t="shared" ca="1" si="217"/>
        <v>0</v>
      </c>
      <c r="AA203" t="str">
        <f t="shared" ref="AA203:AA266" ca="1" si="218">+IF(W203="","",IF(W203&lt;Y203,1,0))</f>
        <v/>
      </c>
      <c r="AB203" t="str">
        <f t="shared" ref="AB203:AB266" ca="1" si="219">+IF(W203="","",IF(W203&gt;Z203,1,0))</f>
        <v/>
      </c>
      <c r="AC203" s="24" t="str">
        <f t="shared" ref="AC203:AC266" ca="1" si="220">+IF(ISERROR(AA203*X203),"",AA203*X203)</f>
        <v/>
      </c>
      <c r="AD203" s="24" t="str">
        <f t="shared" ref="AD203:AD266" ca="1" si="221">+IF(ISERROR(AB203*X203),"",AB203*X203)</f>
        <v/>
      </c>
    </row>
    <row r="204" spans="3:30" x14ac:dyDescent="0.25">
      <c r="C204" s="6">
        <v>298</v>
      </c>
      <c r="D204" s="36">
        <v>42430</v>
      </c>
      <c r="E204" s="38">
        <v>13.951000000000001</v>
      </c>
      <c r="F204" s="38">
        <v>38.659489897917901</v>
      </c>
      <c r="G204" s="38">
        <v>26.35</v>
      </c>
      <c r="H204" s="38">
        <v>2.3710911917681226</v>
      </c>
      <c r="I204" s="38">
        <v>7.3019449478704628</v>
      </c>
      <c r="J204" s="10">
        <v>0</v>
      </c>
      <c r="K204" s="39">
        <v>0</v>
      </c>
      <c r="L204" s="39">
        <v>1</v>
      </c>
      <c r="M204" s="39">
        <v>0</v>
      </c>
      <c r="N204" s="39">
        <v>0</v>
      </c>
      <c r="O204" s="39">
        <v>0</v>
      </c>
      <c r="P204" s="39">
        <v>0</v>
      </c>
      <c r="Q204" s="39">
        <v>0</v>
      </c>
      <c r="R204" s="39">
        <v>0</v>
      </c>
      <c r="S204" s="39">
        <v>0</v>
      </c>
      <c r="T204" s="39">
        <v>0</v>
      </c>
      <c r="U204" s="29" t="str" cm="1">
        <f t="array" aca="1" ref="U204" ca="1">+fair_value_gap(OFFSET(T203,0,0,-1*$J$5,-1*$AA$1),OFFSET(E203,0,0,-1*$J$5,1),F204:T204,0)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V204" s="9" t="str" cm="1">
        <f t="array" aca="1" ref="V204" ca="1">z_score_diff(OFFSET(U204,0,0,$J$5*-1,1),OFFSET(E204,0,0,$J$5*-1,1))</f>
        <v/>
      </c>
      <c r="W204" s="9" t="str">
        <f t="shared" ca="1" si="216"/>
        <v/>
      </c>
      <c r="X204" s="17">
        <f t="shared" ca="1" si="211"/>
        <v>-8.2985892024155961E-2</v>
      </c>
      <c r="Y204" s="13">
        <f t="shared" ref="Y204:Z204" ca="1" si="222">+Y203</f>
        <v>0</v>
      </c>
      <c r="Z204" s="13">
        <f t="shared" ca="1" si="222"/>
        <v>0</v>
      </c>
      <c r="AA204" t="str">
        <f t="shared" ca="1" si="218"/>
        <v/>
      </c>
      <c r="AB204" t="str">
        <f t="shared" ca="1" si="219"/>
        <v/>
      </c>
      <c r="AC204" s="24" t="str">
        <f t="shared" ca="1" si="220"/>
        <v/>
      </c>
      <c r="AD204" s="24" t="str">
        <f t="shared" ca="1" si="221"/>
        <v/>
      </c>
    </row>
    <row r="205" spans="3:30" x14ac:dyDescent="0.25">
      <c r="C205" s="6">
        <v>299</v>
      </c>
      <c r="D205" s="36">
        <v>42431</v>
      </c>
      <c r="E205" s="38">
        <v>14.028</v>
      </c>
      <c r="F205" s="38">
        <v>38.572106343623766</v>
      </c>
      <c r="G205" s="38">
        <v>26.14</v>
      </c>
      <c r="H205" s="38">
        <v>2.3694812269413279</v>
      </c>
      <c r="I205" s="38">
        <v>7.3025742254508774</v>
      </c>
      <c r="J205" s="10">
        <v>0</v>
      </c>
      <c r="K205" s="39">
        <v>0</v>
      </c>
      <c r="L205" s="39">
        <v>1</v>
      </c>
      <c r="M205" s="39">
        <v>0</v>
      </c>
      <c r="N205" s="39">
        <v>0</v>
      </c>
      <c r="O205" s="39">
        <v>0</v>
      </c>
      <c r="P205" s="39">
        <v>0</v>
      </c>
      <c r="Q205" s="39">
        <v>0</v>
      </c>
      <c r="R205" s="39">
        <v>0</v>
      </c>
      <c r="S205" s="39">
        <v>0</v>
      </c>
      <c r="T205" s="39">
        <v>0</v>
      </c>
      <c r="U205" s="29" t="str" cm="1">
        <f t="array" aca="1" ref="U205" ca="1">+fair_value_gap(OFFSET(T204,0,0,-1*$J$5,-1*$AA$1),OFFSET(E204,0,0,-1*$J$5,1),F205:T205,0)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V205" s="9" t="str" cm="1">
        <f t="array" aca="1" ref="V205" ca="1">z_score_diff(OFFSET(U205,0,0,$J$5*-1,1),OFFSET(E205,0,0,$J$5*-1,1))</f>
        <v/>
      </c>
      <c r="W205" s="9" t="str">
        <f t="shared" ca="1" si="216"/>
        <v/>
      </c>
      <c r="X205" s="17">
        <f t="shared" ca="1" si="211"/>
        <v>-9.0282917530244713E-2</v>
      </c>
      <c r="Y205" s="13">
        <f t="shared" ref="Y205:Z205" ca="1" si="223">+Y204</f>
        <v>0</v>
      </c>
      <c r="Z205" s="13">
        <f t="shared" ca="1" si="223"/>
        <v>0</v>
      </c>
      <c r="AA205" t="str">
        <f t="shared" ca="1" si="218"/>
        <v/>
      </c>
      <c r="AB205" t="str">
        <f t="shared" ca="1" si="219"/>
        <v/>
      </c>
      <c r="AC205" s="24" t="str">
        <f t="shared" ca="1" si="220"/>
        <v/>
      </c>
      <c r="AD205" s="24" t="str">
        <f t="shared" ca="1" si="221"/>
        <v/>
      </c>
    </row>
    <row r="206" spans="3:30" x14ac:dyDescent="0.25">
      <c r="C206" s="6">
        <v>300</v>
      </c>
      <c r="D206" s="36">
        <v>42432</v>
      </c>
      <c r="E206" s="38">
        <v>13.896000000000001</v>
      </c>
      <c r="F206" s="38">
        <v>38.228451644291049</v>
      </c>
      <c r="G206" s="38">
        <v>26</v>
      </c>
      <c r="H206" s="38">
        <v>2.3669086033350752</v>
      </c>
      <c r="I206" s="38">
        <v>7.2392151431790861</v>
      </c>
      <c r="J206" s="10">
        <v>0</v>
      </c>
      <c r="K206" s="39">
        <v>0</v>
      </c>
      <c r="L206" s="39">
        <v>1</v>
      </c>
      <c r="M206" s="39">
        <v>0</v>
      </c>
      <c r="N206" s="39">
        <v>0</v>
      </c>
      <c r="O206" s="39">
        <v>0</v>
      </c>
      <c r="P206" s="39">
        <v>0</v>
      </c>
      <c r="Q206" s="39">
        <v>0</v>
      </c>
      <c r="R206" s="39">
        <v>0</v>
      </c>
      <c r="S206" s="39">
        <v>0</v>
      </c>
      <c r="T206" s="39">
        <v>0</v>
      </c>
      <c r="U206" s="29" t="str" cm="1">
        <f t="array" aca="1" ref="U206" ca="1">+fair_value_gap(OFFSET(T205,0,0,-1*$J$5,-1*$AA$1),OFFSET(E205,0,0,-1*$J$5,1),F206:T206,0)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V206" s="9" t="str" cm="1">
        <f t="array" aca="1" ref="V206" ca="1">z_score_diff(OFFSET(U206,0,0,$J$5*-1,1),OFFSET(E206,0,0,$J$5*-1,1))</f>
        <v/>
      </c>
      <c r="W206" s="9" t="str">
        <f t="shared" ca="1" si="216"/>
        <v/>
      </c>
      <c r="X206" s="17">
        <f t="shared" ca="1" si="211"/>
        <v>-8.1140748411364649E-2</v>
      </c>
      <c r="Y206" s="13">
        <f t="shared" ref="Y206:Z206" ca="1" si="224">+Y205</f>
        <v>0</v>
      </c>
      <c r="Z206" s="13">
        <f t="shared" ca="1" si="224"/>
        <v>0</v>
      </c>
      <c r="AA206" t="str">
        <f t="shared" ca="1" si="218"/>
        <v/>
      </c>
      <c r="AB206" t="str">
        <f t="shared" ca="1" si="219"/>
        <v/>
      </c>
      <c r="AC206" s="24" t="str">
        <f t="shared" ca="1" si="220"/>
        <v/>
      </c>
      <c r="AD206" s="24" t="str">
        <f t="shared" ca="1" si="221"/>
        <v/>
      </c>
    </row>
    <row r="207" spans="3:30" x14ac:dyDescent="0.25">
      <c r="C207" s="6">
        <v>301</v>
      </c>
      <c r="D207" s="36">
        <v>42433</v>
      </c>
      <c r="E207" s="38">
        <v>13.798999999999999</v>
      </c>
      <c r="F207" s="38">
        <v>39.480084819024981</v>
      </c>
      <c r="G207" s="38">
        <v>26.03</v>
      </c>
      <c r="H207" s="38">
        <v>2.371313467573386</v>
      </c>
      <c r="I207" s="38">
        <v>7.2115879916757679</v>
      </c>
      <c r="J207" s="10">
        <v>0</v>
      </c>
      <c r="K207" s="39">
        <v>0</v>
      </c>
      <c r="L207" s="39">
        <v>1</v>
      </c>
      <c r="M207" s="39">
        <v>0</v>
      </c>
      <c r="N207" s="39">
        <v>0</v>
      </c>
      <c r="O207" s="39">
        <v>0</v>
      </c>
      <c r="P207" s="39">
        <v>0</v>
      </c>
      <c r="Q207" s="39">
        <v>0</v>
      </c>
      <c r="R207" s="39">
        <v>0</v>
      </c>
      <c r="S207" s="39">
        <v>0</v>
      </c>
      <c r="T207" s="39">
        <v>0</v>
      </c>
      <c r="U207" s="29" t="str" cm="1">
        <f t="array" aca="1" ref="U207" ca="1">+fair_value_gap(OFFSET(T206,0,0,-1*$J$5,-1*$AA$1),OFFSET(E206,0,0,-1*$J$5,1),F207:T207,0)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V207" s="9" t="str" cm="1">
        <f t="array" aca="1" ref="V207" ca="1">z_score_diff(OFFSET(U207,0,0,$J$5*-1,1),OFFSET(E207,0,0,$J$5*-1,1))</f>
        <v/>
      </c>
      <c r="W207" s="9" t="str">
        <f t="shared" ca="1" si="216"/>
        <v/>
      </c>
      <c r="X207" s="17">
        <f t="shared" ca="1" si="211"/>
        <v>-4.2109147642553045E-2</v>
      </c>
      <c r="Y207" s="13">
        <f t="shared" ref="Y207:Z207" ca="1" si="225">+Y206</f>
        <v>0</v>
      </c>
      <c r="Z207" s="13">
        <f t="shared" ca="1" si="225"/>
        <v>0</v>
      </c>
      <c r="AA207" t="str">
        <f t="shared" ca="1" si="218"/>
        <v/>
      </c>
      <c r="AB207" t="str">
        <f t="shared" ca="1" si="219"/>
        <v/>
      </c>
      <c r="AC207" s="24" t="str">
        <f t="shared" ca="1" si="220"/>
        <v/>
      </c>
      <c r="AD207" s="24" t="str">
        <f t="shared" ca="1" si="221"/>
        <v/>
      </c>
    </row>
    <row r="208" spans="3:30" x14ac:dyDescent="0.25">
      <c r="C208" s="6">
        <v>302</v>
      </c>
      <c r="D208" s="36">
        <v>42436</v>
      </c>
      <c r="E208" s="38">
        <v>13.907</v>
      </c>
      <c r="F208" s="38">
        <v>41.205767554730741</v>
      </c>
      <c r="G208" s="38">
        <v>26.47</v>
      </c>
      <c r="H208" s="38">
        <v>2.3676538751317602</v>
      </c>
      <c r="I208" s="38">
        <v>7.2031797788400116</v>
      </c>
      <c r="J208" s="10">
        <v>0</v>
      </c>
      <c r="K208" s="39">
        <v>0</v>
      </c>
      <c r="L208" s="39">
        <v>1</v>
      </c>
      <c r="M208" s="39">
        <v>0</v>
      </c>
      <c r="N208" s="39">
        <v>0</v>
      </c>
      <c r="O208" s="39">
        <v>0</v>
      </c>
      <c r="P208" s="39">
        <v>0</v>
      </c>
      <c r="Q208" s="39">
        <v>0</v>
      </c>
      <c r="R208" s="39">
        <v>0</v>
      </c>
      <c r="S208" s="39">
        <v>0</v>
      </c>
      <c r="T208" s="39">
        <v>0</v>
      </c>
      <c r="U208" s="29" t="str" cm="1">
        <f t="array" aca="1" ref="U208" ca="1">+fair_value_gap(OFFSET(T207,0,0,-1*$J$5,-1*$AA$1),OFFSET(E207,0,0,-1*$J$5,1),F208:T208,0)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V208" s="9" t="str" cm="1">
        <f t="array" aca="1" ref="V208" ca="1">z_score_diff(OFFSET(U208,0,0,$J$5*-1,1),OFFSET(E208,0,0,$J$5*-1,1))</f>
        <v/>
      </c>
      <c r="W208" s="9" t="str">
        <f t="shared" ca="1" si="216"/>
        <v/>
      </c>
      <c r="X208" s="17">
        <f t="shared" ca="1" si="211"/>
        <v>-3.7585465008615392E-2</v>
      </c>
      <c r="Y208" s="13">
        <f t="shared" ref="Y208:Z208" ca="1" si="226">+Y207</f>
        <v>0</v>
      </c>
      <c r="Z208" s="13">
        <f t="shared" ca="1" si="226"/>
        <v>0</v>
      </c>
      <c r="AA208" t="str">
        <f t="shared" ca="1" si="218"/>
        <v/>
      </c>
      <c r="AB208" t="str">
        <f t="shared" ca="1" si="219"/>
        <v/>
      </c>
      <c r="AC208" s="24" t="str">
        <f t="shared" ca="1" si="220"/>
        <v/>
      </c>
      <c r="AD208" s="24" t="str">
        <f t="shared" ca="1" si="221"/>
        <v/>
      </c>
    </row>
    <row r="209" spans="3:30" x14ac:dyDescent="0.25">
      <c r="C209" s="6">
        <v>303</v>
      </c>
      <c r="D209" s="36">
        <v>42437</v>
      </c>
      <c r="E209" s="38">
        <v>13.885</v>
      </c>
      <c r="F209" s="38">
        <v>40.161182362413001</v>
      </c>
      <c r="G209" s="38">
        <v>26.64</v>
      </c>
      <c r="H209" s="38">
        <v>2.3664810936888161</v>
      </c>
      <c r="I209" s="38">
        <v>7.2132422583093412</v>
      </c>
      <c r="J209" s="10">
        <v>0</v>
      </c>
      <c r="K209" s="39">
        <v>0</v>
      </c>
      <c r="L209" s="39">
        <v>1</v>
      </c>
      <c r="M209" s="39">
        <v>0</v>
      </c>
      <c r="N209" s="39">
        <v>0</v>
      </c>
      <c r="O209" s="39">
        <v>0</v>
      </c>
      <c r="P209" s="39">
        <v>0</v>
      </c>
      <c r="Q209" s="39">
        <v>0</v>
      </c>
      <c r="R209" s="39">
        <v>0</v>
      </c>
      <c r="S209" s="39">
        <v>0</v>
      </c>
      <c r="T209" s="39">
        <v>0</v>
      </c>
      <c r="U209" s="29" t="str" cm="1">
        <f t="array" aca="1" ref="U209" ca="1">+fair_value_gap(OFFSET(T208,0,0,-1*$J$5,-1*$AA$1),OFFSET(E208,0,0,-1*$J$5,1),F209:T209,0)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V209" s="9" t="str" cm="1">
        <f t="array" aca="1" ref="V209" ca="1">z_score_diff(OFFSET(U209,0,0,$J$5*-1,1),OFFSET(E209,0,0,$J$5*-1,1))</f>
        <v/>
      </c>
      <c r="W209" s="9" t="str">
        <f t="shared" ca="1" si="216"/>
        <v/>
      </c>
      <c r="X209" s="17">
        <f t="shared" ca="1" si="211"/>
        <v>1.4727174954204916E-2</v>
      </c>
      <c r="Y209" s="13">
        <f t="shared" ref="Y209:Z209" ca="1" si="227">+Y208</f>
        <v>0</v>
      </c>
      <c r="Z209" s="13">
        <f t="shared" ca="1" si="227"/>
        <v>0</v>
      </c>
      <c r="AA209" t="str">
        <f t="shared" ca="1" si="218"/>
        <v/>
      </c>
      <c r="AB209" t="str">
        <f t="shared" ca="1" si="219"/>
        <v/>
      </c>
      <c r="AC209" s="24" t="str">
        <f t="shared" ca="1" si="220"/>
        <v/>
      </c>
      <c r="AD209" s="24" t="str">
        <f t="shared" ca="1" si="221"/>
        <v/>
      </c>
    </row>
    <row r="210" spans="3:30" x14ac:dyDescent="0.25">
      <c r="C210" s="6">
        <v>304</v>
      </c>
      <c r="D210" s="36">
        <v>42438</v>
      </c>
      <c r="E210" s="38">
        <v>14</v>
      </c>
      <c r="F210" s="38">
        <v>41.148207907300517</v>
      </c>
      <c r="G210" s="38">
        <v>26.62</v>
      </c>
      <c r="H210" s="38">
        <v>2.3920251494119826</v>
      </c>
      <c r="I210" s="38">
        <v>7.2119110309986754</v>
      </c>
      <c r="J210" s="10">
        <v>0</v>
      </c>
      <c r="K210" s="39">
        <v>0</v>
      </c>
      <c r="L210" s="39">
        <v>1</v>
      </c>
      <c r="M210" s="39">
        <v>0</v>
      </c>
      <c r="N210" s="39">
        <v>0</v>
      </c>
      <c r="O210" s="39">
        <v>0</v>
      </c>
      <c r="P210" s="39">
        <v>0</v>
      </c>
      <c r="Q210" s="39">
        <v>0</v>
      </c>
      <c r="R210" s="39">
        <v>0</v>
      </c>
      <c r="S210" s="39">
        <v>0</v>
      </c>
      <c r="T210" s="39">
        <v>0</v>
      </c>
      <c r="U210" s="29" t="str" cm="1">
        <f t="array" aca="1" ref="U210" ca="1">+fair_value_gap(OFFSET(T209,0,0,-1*$J$5,-1*$AA$1),OFFSET(E209,0,0,-1*$J$5,1),F210:T210,0)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V210" s="9" t="str" cm="1">
        <f t="array" aca="1" ref="V210" ca="1">z_score_diff(OFFSET(U210,0,0,$J$5*-1,1),OFFSET(E210,0,0,$J$5*-1,1))</f>
        <v/>
      </c>
      <c r="W210" s="9" t="str">
        <f t="shared" ca="1" si="216"/>
        <v/>
      </c>
      <c r="X210" s="17">
        <f t="shared" ca="1" si="211"/>
        <v>5.5096766294839998E-2</v>
      </c>
      <c r="Y210" s="13">
        <f t="shared" ref="Y210:Z210" ca="1" si="228">+Y209</f>
        <v>0</v>
      </c>
      <c r="Z210" s="13">
        <f t="shared" ca="1" si="228"/>
        <v>0</v>
      </c>
      <c r="AA210" t="str">
        <f t="shared" ca="1" si="218"/>
        <v/>
      </c>
      <c r="AB210" t="str">
        <f t="shared" ca="1" si="219"/>
        <v/>
      </c>
      <c r="AC210" s="24" t="str">
        <f t="shared" ca="1" si="220"/>
        <v/>
      </c>
      <c r="AD210" s="24" t="str">
        <f t="shared" ca="1" si="221"/>
        <v/>
      </c>
    </row>
    <row r="211" spans="3:30" x14ac:dyDescent="0.25">
      <c r="C211" s="6">
        <v>305</v>
      </c>
      <c r="D211" s="36">
        <v>42439</v>
      </c>
      <c r="E211" s="38">
        <v>13.782</v>
      </c>
      <c r="F211" s="38">
        <v>39.888911147450422</v>
      </c>
      <c r="G211" s="38">
        <v>26.44</v>
      </c>
      <c r="H211" s="38">
        <v>2.4162796177371515</v>
      </c>
      <c r="I211" s="38">
        <v>7.1041091755968129</v>
      </c>
      <c r="J211" s="10">
        <v>0</v>
      </c>
      <c r="K211" s="39">
        <v>0</v>
      </c>
      <c r="L211" s="39">
        <v>1</v>
      </c>
      <c r="M211" s="39">
        <v>0</v>
      </c>
      <c r="N211" s="39">
        <v>0</v>
      </c>
      <c r="O211" s="39">
        <v>0</v>
      </c>
      <c r="P211" s="39">
        <v>0</v>
      </c>
      <c r="Q211" s="39">
        <v>0</v>
      </c>
      <c r="R211" s="39">
        <v>0</v>
      </c>
      <c r="S211" s="39">
        <v>0</v>
      </c>
      <c r="T211" s="39">
        <v>0</v>
      </c>
      <c r="U211" s="29" t="str" cm="1">
        <f t="array" aca="1" ref="U211" ca="1">+fair_value_gap(OFFSET(T210,0,0,-1*$J$5,-1*$AA$1),OFFSET(E210,0,0,-1*$J$5,1),F211:T211,0)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V211" s="9" t="str" cm="1">
        <f t="array" aca="1" ref="V211" ca="1">z_score_diff(OFFSET(U211,0,0,$J$5*-1,1),OFFSET(E211,0,0,$J$5*-1,1))</f>
        <v/>
      </c>
      <c r="W211" s="9" t="str">
        <f t="shared" ca="1" si="216"/>
        <v/>
      </c>
      <c r="X211" s="17">
        <f t="shared" ca="1" si="211"/>
        <v>5.7932070858374228E-2</v>
      </c>
      <c r="Y211" s="13">
        <f t="shared" ref="Y211:Z211" ca="1" si="229">+Y210</f>
        <v>0</v>
      </c>
      <c r="Z211" s="13">
        <f t="shared" ca="1" si="229"/>
        <v>0</v>
      </c>
      <c r="AA211" t="str">
        <f t="shared" ca="1" si="218"/>
        <v/>
      </c>
      <c r="AB211" t="str">
        <f t="shared" ca="1" si="219"/>
        <v/>
      </c>
      <c r="AC211" s="24" t="str">
        <f t="shared" ca="1" si="220"/>
        <v/>
      </c>
      <c r="AD211" s="24" t="str">
        <f t="shared" ca="1" si="221"/>
        <v/>
      </c>
    </row>
    <row r="212" spans="3:30" x14ac:dyDescent="0.25">
      <c r="C212" s="6">
        <v>306</v>
      </c>
      <c r="D212" s="36">
        <v>42440</v>
      </c>
      <c r="E212" s="38">
        <v>13.836</v>
      </c>
      <c r="F212" s="38">
        <v>40.33467428357072</v>
      </c>
      <c r="G212" s="38">
        <v>26.41</v>
      </c>
      <c r="H212" s="38">
        <v>2.4409599988675503</v>
      </c>
      <c r="I212" s="38">
        <v>7.1220471152170282</v>
      </c>
      <c r="J212" s="10">
        <v>0</v>
      </c>
      <c r="K212" s="39">
        <v>0</v>
      </c>
      <c r="L212" s="39">
        <v>1</v>
      </c>
      <c r="M212" s="39">
        <v>0</v>
      </c>
      <c r="N212" s="39">
        <v>0</v>
      </c>
      <c r="O212" s="39">
        <v>0</v>
      </c>
      <c r="P212" s="39">
        <v>0</v>
      </c>
      <c r="Q212" s="39">
        <v>0</v>
      </c>
      <c r="R212" s="39">
        <v>0</v>
      </c>
      <c r="S212" s="39">
        <v>0</v>
      </c>
      <c r="T212" s="39">
        <v>0</v>
      </c>
      <c r="U212" s="29" t="str" cm="1">
        <f t="array" aca="1" ref="U212" ca="1">+fair_value_gap(OFFSET(T211,0,0,-1*$J$5,-1*$AA$1),OFFSET(E211,0,0,-1*$J$5,1),F212:T212,0)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V212" s="9" t="str" cm="1">
        <f t="array" aca="1" ref="V212" ca="1">z_score_diff(OFFSET(U212,0,0,$J$5*-1,1),OFFSET(E212,0,0,$J$5*-1,1))</f>
        <v/>
      </c>
      <c r="W212" s="9" t="str">
        <f t="shared" ca="1" si="216"/>
        <v/>
      </c>
      <c r="X212" s="17">
        <f t="shared" ca="1" si="211"/>
        <v>0.10566402553506681</v>
      </c>
      <c r="Y212" s="13">
        <f t="shared" ref="Y212:Z212" ca="1" si="230">+Y211</f>
        <v>0</v>
      </c>
      <c r="Z212" s="13">
        <f t="shared" ca="1" si="230"/>
        <v>0</v>
      </c>
      <c r="AA212" t="str">
        <f t="shared" ca="1" si="218"/>
        <v/>
      </c>
      <c r="AB212" t="str">
        <f t="shared" ca="1" si="219"/>
        <v/>
      </c>
      <c r="AC212" s="24" t="str">
        <f t="shared" ca="1" si="220"/>
        <v/>
      </c>
      <c r="AD212" s="24" t="str">
        <f t="shared" ca="1" si="221"/>
        <v/>
      </c>
    </row>
    <row r="213" spans="3:30" x14ac:dyDescent="0.25">
      <c r="C213" s="6">
        <v>307</v>
      </c>
      <c r="D213" s="36">
        <v>42443</v>
      </c>
      <c r="E213" s="38">
        <v>13.69</v>
      </c>
      <c r="F213" s="38">
        <v>39.666037554780715</v>
      </c>
      <c r="G213" s="38">
        <v>25.98</v>
      </c>
      <c r="H213" s="38">
        <v>2.4435843027698692</v>
      </c>
      <c r="I213" s="38">
        <v>7.1530376862899816</v>
      </c>
      <c r="J213" s="10">
        <v>0</v>
      </c>
      <c r="K213" s="39">
        <v>0</v>
      </c>
      <c r="L213" s="39">
        <v>1</v>
      </c>
      <c r="M213" s="39">
        <v>0</v>
      </c>
      <c r="N213" s="39">
        <v>0</v>
      </c>
      <c r="O213" s="39">
        <v>0</v>
      </c>
      <c r="P213" s="39">
        <v>0</v>
      </c>
      <c r="Q213" s="39">
        <v>0</v>
      </c>
      <c r="R213" s="39">
        <v>0</v>
      </c>
      <c r="S213" s="39">
        <v>0</v>
      </c>
      <c r="T213" s="39">
        <v>0</v>
      </c>
      <c r="U213" s="29" t="str" cm="1">
        <f t="array" aca="1" ref="U213" ca="1">+fair_value_gap(OFFSET(T212,0,0,-1*$J$5,-1*$AA$1),OFFSET(E212,0,0,-1*$J$5,1),F213:T213,0)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V213" s="9" t="str" cm="1">
        <f t="array" aca="1" ref="V213" ca="1">z_score_diff(OFFSET(U213,0,0,$J$5*-1,1),OFFSET(E213,0,0,$J$5*-1,1))</f>
        <v/>
      </c>
      <c r="W213" s="9" t="str">
        <f t="shared" ca="1" si="216"/>
        <v/>
      </c>
      <c r="X213" s="17">
        <f t="shared" ca="1" si="211"/>
        <v>0.12668735350423957</v>
      </c>
      <c r="Y213" s="13">
        <f t="shared" ref="Y213:Z213" ca="1" si="231">+Y212</f>
        <v>0</v>
      </c>
      <c r="Z213" s="13">
        <f t="shared" ca="1" si="231"/>
        <v>0</v>
      </c>
      <c r="AA213" t="str">
        <f t="shared" ca="1" si="218"/>
        <v/>
      </c>
      <c r="AB213" t="str">
        <f t="shared" ca="1" si="219"/>
        <v/>
      </c>
      <c r="AC213" s="24" t="str">
        <f t="shared" ca="1" si="220"/>
        <v/>
      </c>
      <c r="AD213" s="24" t="str">
        <f t="shared" ca="1" si="221"/>
        <v/>
      </c>
    </row>
    <row r="214" spans="3:30" x14ac:dyDescent="0.25">
      <c r="C214" s="6">
        <v>308</v>
      </c>
      <c r="D214" s="36">
        <v>42444</v>
      </c>
      <c r="E214" s="38">
        <v>13.625</v>
      </c>
      <c r="F214" s="38">
        <v>39.023706213706483</v>
      </c>
      <c r="G214" s="38">
        <v>25.76</v>
      </c>
      <c r="H214" s="38">
        <v>2.4477457752422671</v>
      </c>
      <c r="I214" s="38">
        <v>7.1444356383974812</v>
      </c>
      <c r="J214" s="10">
        <v>0</v>
      </c>
      <c r="K214" s="39">
        <v>0</v>
      </c>
      <c r="L214" s="39">
        <v>1</v>
      </c>
      <c r="M214" s="39">
        <v>0</v>
      </c>
      <c r="N214" s="39">
        <v>0</v>
      </c>
      <c r="O214" s="39">
        <v>0</v>
      </c>
      <c r="P214" s="39">
        <v>0</v>
      </c>
      <c r="Q214" s="39">
        <v>0</v>
      </c>
      <c r="R214" s="39">
        <v>0</v>
      </c>
      <c r="S214" s="39">
        <v>0</v>
      </c>
      <c r="T214" s="39">
        <v>0</v>
      </c>
      <c r="U214" s="29" t="str" cm="1">
        <f t="array" aca="1" ref="U214" ca="1">+fair_value_gap(OFFSET(T213,0,0,-1*$J$5,-1*$AA$1),OFFSET(E213,0,0,-1*$J$5,1),F214:T214,0)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V214" s="9" t="str" cm="1">
        <f t="array" aca="1" ref="V214" ca="1">z_score_diff(OFFSET(U214,0,0,$J$5*-1,1),OFFSET(E214,0,0,$J$5*-1,1))</f>
        <v/>
      </c>
      <c r="W214" s="9" t="str">
        <f t="shared" ca="1" si="216"/>
        <v/>
      </c>
      <c r="X214" s="17">
        <f t="shared" ca="1" si="211"/>
        <v>5.8788074009133343E-2</v>
      </c>
      <c r="Y214" s="13">
        <f t="shared" ref="Y214:Z214" ca="1" si="232">+Y213</f>
        <v>0</v>
      </c>
      <c r="Z214" s="13">
        <f t="shared" ca="1" si="232"/>
        <v>0</v>
      </c>
      <c r="AA214" t="str">
        <f t="shared" ca="1" si="218"/>
        <v/>
      </c>
      <c r="AB214" t="str">
        <f t="shared" ca="1" si="219"/>
        <v/>
      </c>
      <c r="AC214" s="24" t="str">
        <f t="shared" ca="1" si="220"/>
        <v/>
      </c>
      <c r="AD214" s="24" t="str">
        <f t="shared" ca="1" si="221"/>
        <v/>
      </c>
    </row>
    <row r="215" spans="3:30" x14ac:dyDescent="0.25">
      <c r="C215" s="6">
        <v>309</v>
      </c>
      <c r="D215" s="36">
        <v>42445</v>
      </c>
      <c r="E215" s="38">
        <v>13.621</v>
      </c>
      <c r="F215" s="38">
        <v>39.773377086100872</v>
      </c>
      <c r="G215" s="38">
        <v>26.03</v>
      </c>
      <c r="H215" s="38">
        <v>2.4430583536408346</v>
      </c>
      <c r="I215" s="38">
        <v>7.0819660593477565</v>
      </c>
      <c r="J215" s="10">
        <v>0</v>
      </c>
      <c r="K215" s="39">
        <v>0</v>
      </c>
      <c r="L215" s="39">
        <v>1</v>
      </c>
      <c r="M215" s="39">
        <v>0</v>
      </c>
      <c r="N215" s="39">
        <v>0</v>
      </c>
      <c r="O215" s="39">
        <v>0</v>
      </c>
      <c r="P215" s="39">
        <v>0</v>
      </c>
      <c r="Q215" s="39">
        <v>0</v>
      </c>
      <c r="R215" s="39">
        <v>0</v>
      </c>
      <c r="S215" s="39">
        <v>0</v>
      </c>
      <c r="T215" s="39">
        <v>0</v>
      </c>
      <c r="U215" s="29" t="str" cm="1">
        <f t="array" aca="1" ref="U215" ca="1">+fair_value_gap(OFFSET(T214,0,0,-1*$J$5,-1*$AA$1),OFFSET(E214,0,0,-1*$J$5,1),F215:T215,0)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V215" s="9" t="str" cm="1">
        <f t="array" aca="1" ref="V215" ca="1">z_score_diff(OFFSET(U215,0,0,$J$5*-1,1),OFFSET(E215,0,0,$J$5*-1,1))</f>
        <v/>
      </c>
      <c r="W215" s="9" t="str">
        <f t="shared" ca="1" si="216"/>
        <v/>
      </c>
      <c r="X215" s="17">
        <f t="shared" ca="1" si="211"/>
        <v>5.5893226321424225E-2</v>
      </c>
      <c r="Y215" s="13">
        <f t="shared" ref="Y215:Z215" ca="1" si="233">+Y214</f>
        <v>0</v>
      </c>
      <c r="Z215" s="13">
        <f t="shared" ca="1" si="233"/>
        <v>0</v>
      </c>
      <c r="AA215" t="str">
        <f t="shared" ca="1" si="218"/>
        <v/>
      </c>
      <c r="AB215" t="str">
        <f t="shared" ca="1" si="219"/>
        <v/>
      </c>
      <c r="AC215" s="24" t="str">
        <f t="shared" ca="1" si="220"/>
        <v/>
      </c>
      <c r="AD215" s="24" t="str">
        <f t="shared" ca="1" si="221"/>
        <v/>
      </c>
    </row>
    <row r="216" spans="3:30" x14ac:dyDescent="0.25">
      <c r="C216" s="6">
        <v>310</v>
      </c>
      <c r="D216" s="36">
        <v>42446</v>
      </c>
      <c r="E216" s="38">
        <v>13.760999999999999</v>
      </c>
      <c r="F216" s="38">
        <v>40.056897714061947</v>
      </c>
      <c r="G216" s="38">
        <v>25.91</v>
      </c>
      <c r="H216" s="38">
        <v>2.4524275282373655</v>
      </c>
      <c r="I216" s="38">
        <v>7.0206406836098134</v>
      </c>
      <c r="J216" s="10">
        <v>0</v>
      </c>
      <c r="K216" s="39">
        <v>0</v>
      </c>
      <c r="L216" s="39">
        <v>1</v>
      </c>
      <c r="M216" s="39">
        <v>0</v>
      </c>
      <c r="N216" s="39">
        <v>0</v>
      </c>
      <c r="O216" s="39">
        <v>0</v>
      </c>
      <c r="P216" s="39">
        <v>0</v>
      </c>
      <c r="Q216" s="39">
        <v>0</v>
      </c>
      <c r="R216" s="39">
        <v>0</v>
      </c>
      <c r="S216" s="39">
        <v>0</v>
      </c>
      <c r="T216" s="39">
        <v>0</v>
      </c>
      <c r="U216" s="29" t="str" cm="1">
        <f t="array" aca="1" ref="U216" ca="1">+fair_value_gap(OFFSET(T215,0,0,-1*$J$5,-1*$AA$1),OFFSET(E215,0,0,-1*$J$5,1),F216:T216,0)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V216" s="9" t="str" cm="1">
        <f t="array" aca="1" ref="V216" ca="1">z_score_diff(OFFSET(U216,0,0,$J$5*-1,1),OFFSET(E216,0,0,$J$5*-1,1))</f>
        <v/>
      </c>
      <c r="W216" s="9" t="str">
        <f t="shared" ca="1" si="216"/>
        <v/>
      </c>
      <c r="X216" s="17">
        <f t="shared" ca="1" si="211"/>
        <v>2.830087880014499E-3</v>
      </c>
      <c r="Y216" s="13">
        <f t="shared" ref="Y216:Z216" ca="1" si="234">+Y215</f>
        <v>0</v>
      </c>
      <c r="Z216" s="13">
        <f t="shared" ca="1" si="234"/>
        <v>0</v>
      </c>
      <c r="AA216" t="str">
        <f t="shared" ca="1" si="218"/>
        <v/>
      </c>
      <c r="AB216" t="str">
        <f t="shared" ca="1" si="219"/>
        <v/>
      </c>
      <c r="AC216" s="24" t="str">
        <f t="shared" ca="1" si="220"/>
        <v/>
      </c>
      <c r="AD216" s="24" t="str">
        <f t="shared" ca="1" si="221"/>
        <v/>
      </c>
    </row>
    <row r="217" spans="3:30" x14ac:dyDescent="0.25">
      <c r="C217" s="6">
        <v>311</v>
      </c>
      <c r="D217" s="36">
        <v>42447</v>
      </c>
      <c r="E217" s="38">
        <v>13.849</v>
      </c>
      <c r="F217" s="38">
        <v>39.97547516860822</v>
      </c>
      <c r="G217" s="38">
        <v>26.14</v>
      </c>
      <c r="H217" s="38">
        <v>2.4516072523429973</v>
      </c>
      <c r="I217" s="38">
        <v>7.0508890251379528</v>
      </c>
      <c r="J217" s="10">
        <v>0</v>
      </c>
      <c r="K217" s="39">
        <v>0</v>
      </c>
      <c r="L217" s="39">
        <v>1</v>
      </c>
      <c r="M217" s="39">
        <v>0</v>
      </c>
      <c r="N217" s="39">
        <v>0</v>
      </c>
      <c r="O217" s="39">
        <v>0</v>
      </c>
      <c r="P217" s="39">
        <v>0</v>
      </c>
      <c r="Q217" s="39">
        <v>0</v>
      </c>
      <c r="R217" s="39">
        <v>0</v>
      </c>
      <c r="S217" s="39">
        <v>0</v>
      </c>
      <c r="T217" s="39">
        <v>0</v>
      </c>
      <c r="U217" s="29" t="str" cm="1">
        <f t="array" aca="1" ref="U217" ca="1">+fair_value_gap(OFFSET(T216,0,0,-1*$J$5,-1*$AA$1),OFFSET(E216,0,0,-1*$J$5,1),F217:T217,0)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V217" s="9" t="str" cm="1">
        <f t="array" aca="1" ref="V217" ca="1">z_score_diff(OFFSET(U217,0,0,$J$5*-1,1),OFFSET(E217,0,0,$J$5*-1,1))</f>
        <v/>
      </c>
      <c r="W217" s="9" t="str">
        <f t="shared" ca="1" si="216"/>
        <v/>
      </c>
      <c r="X217" s="17">
        <f t="shared" ca="1" si="211"/>
        <v>1.2267726597180513E-3</v>
      </c>
      <c r="Y217" s="13">
        <f t="shared" ref="Y217:Z217" ca="1" si="235">+Y216</f>
        <v>0</v>
      </c>
      <c r="Z217" s="13">
        <f t="shared" ca="1" si="235"/>
        <v>0</v>
      </c>
      <c r="AA217" t="str">
        <f t="shared" ca="1" si="218"/>
        <v/>
      </c>
      <c r="AB217" t="str">
        <f t="shared" ca="1" si="219"/>
        <v/>
      </c>
      <c r="AC217" s="24" t="str">
        <f t="shared" ca="1" si="220"/>
        <v/>
      </c>
      <c r="AD217" s="24" t="str">
        <f t="shared" ca="1" si="221"/>
        <v/>
      </c>
    </row>
    <row r="218" spans="3:30" x14ac:dyDescent="0.25">
      <c r="C218" s="6">
        <v>312</v>
      </c>
      <c r="D218" s="36">
        <v>42450</v>
      </c>
      <c r="E218" s="38">
        <v>13.678000000000001</v>
      </c>
      <c r="F218" s="38">
        <v>40.404270932449471</v>
      </c>
      <c r="G218" s="38">
        <v>25.99</v>
      </c>
      <c r="H218" s="38">
        <v>2.4253095934468365</v>
      </c>
      <c r="I218" s="38">
        <v>7.0661390616167337</v>
      </c>
      <c r="J218" s="10">
        <v>0</v>
      </c>
      <c r="K218" s="39">
        <v>0</v>
      </c>
      <c r="L218" s="39">
        <v>1</v>
      </c>
      <c r="M218" s="39">
        <v>0</v>
      </c>
      <c r="N218" s="39">
        <v>0</v>
      </c>
      <c r="O218" s="39">
        <v>0</v>
      </c>
      <c r="P218" s="39">
        <v>0</v>
      </c>
      <c r="Q218" s="39">
        <v>0</v>
      </c>
      <c r="R218" s="39">
        <v>0</v>
      </c>
      <c r="S218" s="39">
        <v>0</v>
      </c>
      <c r="T218" s="39">
        <v>0</v>
      </c>
      <c r="U218" s="29" t="str" cm="1">
        <f t="array" aca="1" ref="U218" ca="1">+fair_value_gap(OFFSET(T217,0,0,-1*$J$5,-1*$AA$1),OFFSET(E217,0,0,-1*$J$5,1),F218:T218,0)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V218" s="9" t="str" cm="1">
        <f t="array" aca="1" ref="V218" ca="1">z_score_diff(OFFSET(U218,0,0,$J$5*-1,1),OFFSET(E218,0,0,$J$5*-1,1))</f>
        <v/>
      </c>
      <c r="W218" s="9" t="str">
        <f t="shared" ca="1" si="216"/>
        <v/>
      </c>
      <c r="X218" s="17">
        <f t="shared" ca="1" si="211"/>
        <v>3.8579388176445815E-2</v>
      </c>
      <c r="Y218" s="13">
        <f t="shared" ref="Y218:Z218" ca="1" si="236">+Y217</f>
        <v>0</v>
      </c>
      <c r="Z218" s="13">
        <f t="shared" ca="1" si="236"/>
        <v>0</v>
      </c>
      <c r="AA218" t="str">
        <f t="shared" ca="1" si="218"/>
        <v/>
      </c>
      <c r="AB218" t="str">
        <f t="shared" ca="1" si="219"/>
        <v/>
      </c>
      <c r="AC218" s="24" t="str">
        <f t="shared" ca="1" si="220"/>
        <v/>
      </c>
      <c r="AD218" s="24" t="str">
        <f t="shared" ca="1" si="221"/>
        <v/>
      </c>
    </row>
    <row r="219" spans="3:30" x14ac:dyDescent="0.25">
      <c r="C219" s="6">
        <v>313</v>
      </c>
      <c r="D219" s="36">
        <v>42451</v>
      </c>
      <c r="E219" s="38">
        <v>13.646000000000001</v>
      </c>
      <c r="F219" s="38">
        <v>40.897241503048384</v>
      </c>
      <c r="G219" s="38">
        <v>25.82</v>
      </c>
      <c r="H219" s="38">
        <v>2.4617500853125254</v>
      </c>
      <c r="I219" s="38">
        <v>7.0800600881621412</v>
      </c>
      <c r="J219" s="10">
        <v>0</v>
      </c>
      <c r="K219" s="39">
        <v>0</v>
      </c>
      <c r="L219" s="39">
        <v>1</v>
      </c>
      <c r="M219" s="39">
        <v>0</v>
      </c>
      <c r="N219" s="39">
        <v>0</v>
      </c>
      <c r="O219" s="39">
        <v>0</v>
      </c>
      <c r="P219" s="39">
        <v>0</v>
      </c>
      <c r="Q219" s="39">
        <v>0</v>
      </c>
      <c r="R219" s="39">
        <v>0</v>
      </c>
      <c r="S219" s="39">
        <v>0</v>
      </c>
      <c r="T219" s="39">
        <v>0</v>
      </c>
      <c r="U219" s="29" t="str" cm="1">
        <f t="array" aca="1" ref="U219" ca="1">+fair_value_gap(OFFSET(T218,0,0,-1*$J$5,-1*$AA$1),OFFSET(E218,0,0,-1*$J$5,1),F219:T219,0)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V219" s="9" t="str" cm="1">
        <f t="array" aca="1" ref="V219" ca="1">z_score_diff(OFFSET(U219,0,0,$J$5*-1,1),OFFSET(E219,0,0,$J$5*-1,1))</f>
        <v/>
      </c>
      <c r="W219" s="9" t="str">
        <f t="shared" ca="1" si="216"/>
        <v/>
      </c>
      <c r="X219" s="17">
        <f t="shared" ca="1" si="211"/>
        <v>6.2356015158857435E-2</v>
      </c>
      <c r="Y219" s="13">
        <f t="shared" ref="Y219:Z219" ca="1" si="237">+Y218</f>
        <v>0</v>
      </c>
      <c r="Z219" s="13">
        <f t="shared" ca="1" si="237"/>
        <v>0</v>
      </c>
      <c r="AA219" t="str">
        <f t="shared" ca="1" si="218"/>
        <v/>
      </c>
      <c r="AB219" t="str">
        <f t="shared" ca="1" si="219"/>
        <v/>
      </c>
      <c r="AC219" s="24" t="str">
        <f t="shared" ca="1" si="220"/>
        <v/>
      </c>
      <c r="AD219" s="24" t="str">
        <f t="shared" ca="1" si="221"/>
        <v/>
      </c>
    </row>
    <row r="220" spans="3:30" x14ac:dyDescent="0.25">
      <c r="C220" s="6">
        <v>314</v>
      </c>
      <c r="D220" s="36">
        <v>42452</v>
      </c>
      <c r="E220" s="38">
        <v>13.628</v>
      </c>
      <c r="F220" s="38">
        <v>39.84471682357988</v>
      </c>
      <c r="G220" s="38">
        <v>25.65</v>
      </c>
      <c r="H220" s="38">
        <v>2.4591799085178012</v>
      </c>
      <c r="I220" s="38">
        <v>7.105670589938371</v>
      </c>
      <c r="J220" s="10">
        <v>0</v>
      </c>
      <c r="K220" s="39">
        <v>0</v>
      </c>
      <c r="L220" s="39">
        <v>1</v>
      </c>
      <c r="M220" s="39">
        <v>0</v>
      </c>
      <c r="N220" s="39">
        <v>0</v>
      </c>
      <c r="O220" s="39">
        <v>0</v>
      </c>
      <c r="P220" s="39">
        <v>0</v>
      </c>
      <c r="Q220" s="39">
        <v>0</v>
      </c>
      <c r="R220" s="39">
        <v>0</v>
      </c>
      <c r="S220" s="39">
        <v>0</v>
      </c>
      <c r="T220" s="39">
        <v>0</v>
      </c>
      <c r="U220" s="29" t="str" cm="1">
        <f t="array" aca="1" ref="U220" ca="1">+fair_value_gap(OFFSET(T219,0,0,-1*$J$5,-1*$AA$1),OFFSET(E219,0,0,-1*$J$5,1),F220:T220,0)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V220" s="9" t="str" cm="1">
        <f t="array" aca="1" ref="V220" ca="1">z_score_diff(OFFSET(U220,0,0,$J$5*-1,1),OFFSET(E220,0,0,$J$5*-1,1))</f>
        <v/>
      </c>
      <c r="W220" s="9" t="str">
        <f t="shared" ca="1" si="216"/>
        <v/>
      </c>
      <c r="X220" s="17">
        <f t="shared" ca="1" si="211"/>
        <v>5.642028152578972E-2</v>
      </c>
      <c r="Y220" s="13">
        <f t="shared" ref="Y220:Z220" ca="1" si="238">+Y219</f>
        <v>0</v>
      </c>
      <c r="Z220" s="13">
        <f t="shared" ca="1" si="238"/>
        <v>0</v>
      </c>
      <c r="AA220" t="str">
        <f t="shared" ca="1" si="218"/>
        <v/>
      </c>
      <c r="AB220" t="str">
        <f t="shared" ca="1" si="219"/>
        <v/>
      </c>
      <c r="AC220" s="24" t="str">
        <f t="shared" ca="1" si="220"/>
        <v/>
      </c>
      <c r="AD220" s="24" t="str">
        <f t="shared" ca="1" si="221"/>
        <v/>
      </c>
    </row>
    <row r="221" spans="3:30" x14ac:dyDescent="0.25">
      <c r="C221" s="6">
        <v>315</v>
      </c>
      <c r="D221" s="36">
        <v>42453</v>
      </c>
      <c r="E221" s="38">
        <v>13.672000000000001</v>
      </c>
      <c r="F221" s="38">
        <v>39.838421787635525</v>
      </c>
      <c r="G221" s="38">
        <v>25.4</v>
      </c>
      <c r="H221" s="38">
        <v>2.4911151403657752</v>
      </c>
      <c r="I221" s="38">
        <v>7.1061222111780626</v>
      </c>
      <c r="J221" s="10">
        <v>0</v>
      </c>
      <c r="K221" s="39">
        <v>0</v>
      </c>
      <c r="L221" s="39">
        <v>1</v>
      </c>
      <c r="M221" s="39">
        <v>0</v>
      </c>
      <c r="N221" s="39">
        <v>0</v>
      </c>
      <c r="O221" s="39">
        <v>0</v>
      </c>
      <c r="P221" s="39">
        <v>0</v>
      </c>
      <c r="Q221" s="39">
        <v>0</v>
      </c>
      <c r="R221" s="39">
        <v>0</v>
      </c>
      <c r="S221" s="39">
        <v>0</v>
      </c>
      <c r="T221" s="39">
        <v>0</v>
      </c>
      <c r="U221" s="29" t="str" cm="1">
        <f t="array" aca="1" ref="U221" ca="1">+fair_value_gap(OFFSET(T220,0,0,-1*$J$5,-1*$AA$1),OFFSET(E220,0,0,-1*$J$5,1),F221:T221,0)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V221" s="9" t="str" cm="1">
        <f t="array" aca="1" ref="V221" ca="1">z_score_diff(OFFSET(U221,0,0,$J$5*-1,1),OFFSET(E221,0,0,$J$5*-1,1))</f>
        <v/>
      </c>
      <c r="W221" s="9" t="str">
        <f t="shared" ca="1" si="216"/>
        <v/>
      </c>
      <c r="X221" s="17">
        <f t="shared" ca="1" si="211"/>
        <v>6.2447212117899525E-2</v>
      </c>
      <c r="Y221" s="13">
        <f t="shared" ref="Y221:Z221" ca="1" si="239">+Y220</f>
        <v>0</v>
      </c>
      <c r="Z221" s="13">
        <f t="shared" ca="1" si="239"/>
        <v>0</v>
      </c>
      <c r="AA221" t="str">
        <f t="shared" ca="1" si="218"/>
        <v/>
      </c>
      <c r="AB221" t="str">
        <f t="shared" ca="1" si="219"/>
        <v/>
      </c>
      <c r="AC221" s="24" t="str">
        <f t="shared" ca="1" si="220"/>
        <v/>
      </c>
      <c r="AD221" s="24" t="str">
        <f t="shared" ca="1" si="221"/>
        <v/>
      </c>
    </row>
    <row r="222" spans="3:30" x14ac:dyDescent="0.25">
      <c r="C222" s="6">
        <v>316</v>
      </c>
      <c r="D222" s="36">
        <v>42458</v>
      </c>
      <c r="E222" s="38">
        <v>13.574</v>
      </c>
      <c r="F222" s="38">
        <v>38.62762237762238</v>
      </c>
      <c r="G222" s="38">
        <v>25.53</v>
      </c>
      <c r="H222" s="38">
        <v>2.5314685314685317</v>
      </c>
      <c r="I222" s="38">
        <v>7.0367132867132876</v>
      </c>
      <c r="J222" s="10">
        <v>0</v>
      </c>
      <c r="K222" s="39">
        <v>0</v>
      </c>
      <c r="L222" s="39">
        <v>1</v>
      </c>
      <c r="M222" s="39">
        <v>0</v>
      </c>
      <c r="N222" s="39">
        <v>0</v>
      </c>
      <c r="O222" s="39">
        <v>0</v>
      </c>
      <c r="P222" s="39">
        <v>0</v>
      </c>
      <c r="Q222" s="39">
        <v>0</v>
      </c>
      <c r="R222" s="39">
        <v>0</v>
      </c>
      <c r="S222" s="39">
        <v>0</v>
      </c>
      <c r="T222" s="39">
        <v>0</v>
      </c>
      <c r="U222" s="29" t="str" cm="1">
        <f t="array" aca="1" ref="U222" ca="1">+fair_value_gap(OFFSET(T221,0,0,-1*$J$5,-1*$AA$1),OFFSET(E221,0,0,-1*$J$5,1),F222:T222,0)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V222" s="9" t="str" cm="1">
        <f t="array" aca="1" ref="V222" ca="1">z_score_diff(OFFSET(U222,0,0,$J$5*-1,1),OFFSET(E222,0,0,$J$5*-1,1))</f>
        <v/>
      </c>
      <c r="W222" s="9" t="str">
        <f t="shared" ca="1" si="216"/>
        <v/>
      </c>
      <c r="X222" s="17">
        <f t="shared" ca="1" si="211"/>
        <v>6.3990448474289002E-2</v>
      </c>
      <c r="Y222" s="13">
        <f t="shared" ref="Y222:Z222" ca="1" si="240">+Y221</f>
        <v>0</v>
      </c>
      <c r="Z222" s="13">
        <f t="shared" ca="1" si="240"/>
        <v>0</v>
      </c>
      <c r="AA222" t="str">
        <f t="shared" ca="1" si="218"/>
        <v/>
      </c>
      <c r="AB222" t="str">
        <f t="shared" ca="1" si="219"/>
        <v/>
      </c>
      <c r="AC222" s="24" t="str">
        <f t="shared" ca="1" si="220"/>
        <v/>
      </c>
      <c r="AD222" s="24" t="str">
        <f t="shared" ca="1" si="221"/>
        <v/>
      </c>
    </row>
    <row r="223" spans="3:30" x14ac:dyDescent="0.25">
      <c r="C223" s="6">
        <v>317</v>
      </c>
      <c r="D223" s="36">
        <v>42459</v>
      </c>
      <c r="E223" s="38">
        <v>13.574</v>
      </c>
      <c r="F223" s="38">
        <v>38.815757961062317</v>
      </c>
      <c r="G223" s="38">
        <v>25.73</v>
      </c>
      <c r="H223" s="38">
        <v>2.3400929244194399</v>
      </c>
      <c r="I223" s="38">
        <v>7.0106989362026404</v>
      </c>
      <c r="J223" s="10">
        <v>0</v>
      </c>
      <c r="K223" s="39">
        <v>0</v>
      </c>
      <c r="L223" s="39">
        <v>1</v>
      </c>
      <c r="M223" s="39">
        <v>0</v>
      </c>
      <c r="N223" s="39">
        <v>0</v>
      </c>
      <c r="O223" s="39">
        <v>0</v>
      </c>
      <c r="P223" s="39">
        <v>0</v>
      </c>
      <c r="Q223" s="39">
        <v>0</v>
      </c>
      <c r="R223" s="39">
        <v>0</v>
      </c>
      <c r="S223" s="39">
        <v>0</v>
      </c>
      <c r="T223" s="39">
        <v>0</v>
      </c>
      <c r="U223" s="29" t="str" cm="1">
        <f t="array" aca="1" ref="U223" ca="1">+fair_value_gap(OFFSET(T222,0,0,-1*$J$5,-1*$AA$1),OFFSET(E222,0,0,-1*$J$5,1),F223:T223,0)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V223" s="9" t="str" cm="1">
        <f t="array" aca="1" ref="V223" ca="1">z_score_diff(OFFSET(U223,0,0,$J$5*-1,1),OFFSET(E223,0,0,$J$5*-1,1))</f>
        <v/>
      </c>
      <c r="W223" s="9" t="str">
        <f t="shared" ca="1" si="216"/>
        <v/>
      </c>
      <c r="X223" s="17">
        <f t="shared" ca="1" si="211"/>
        <v>7.4849661714382315E-2</v>
      </c>
      <c r="Y223" s="13">
        <f t="shared" ref="Y223:Z223" ca="1" si="241">+Y222</f>
        <v>0</v>
      </c>
      <c r="Z223" s="13">
        <f t="shared" ca="1" si="241"/>
        <v>0</v>
      </c>
      <c r="AA223" t="str">
        <f t="shared" ca="1" si="218"/>
        <v/>
      </c>
      <c r="AB223" t="str">
        <f t="shared" ca="1" si="219"/>
        <v/>
      </c>
      <c r="AC223" s="24" t="str">
        <f t="shared" ca="1" si="220"/>
        <v/>
      </c>
      <c r="AD223" s="24" t="str">
        <f t="shared" ca="1" si="221"/>
        <v/>
      </c>
    </row>
    <row r="224" spans="3:30" x14ac:dyDescent="0.25">
      <c r="C224" s="6">
        <v>318</v>
      </c>
      <c r="D224" s="36">
        <v>42460</v>
      </c>
      <c r="E224" s="38">
        <v>13.082000000000001</v>
      </c>
      <c r="F224" s="38">
        <v>38.818448302776957</v>
      </c>
      <c r="G224" s="38">
        <v>24.01</v>
      </c>
      <c r="H224" s="38">
        <v>2.281754635491648</v>
      </c>
      <c r="I224" s="38">
        <v>6.9814233431044359</v>
      </c>
      <c r="J224" s="10">
        <v>0</v>
      </c>
      <c r="K224" s="39">
        <v>0</v>
      </c>
      <c r="L224" s="39">
        <v>1</v>
      </c>
      <c r="M224" s="39">
        <v>0</v>
      </c>
      <c r="N224" s="39">
        <v>0</v>
      </c>
      <c r="O224" s="39">
        <v>0</v>
      </c>
      <c r="P224" s="39">
        <v>0</v>
      </c>
      <c r="Q224" s="39">
        <v>0</v>
      </c>
      <c r="R224" s="39">
        <v>0</v>
      </c>
      <c r="S224" s="39">
        <v>0</v>
      </c>
      <c r="T224" s="39">
        <v>0</v>
      </c>
      <c r="U224" s="29" t="str" cm="1">
        <f t="array" aca="1" ref="U224" ca="1">+fair_value_gap(OFFSET(T223,0,0,-1*$J$5,-1*$AA$1),OFFSET(E223,0,0,-1*$J$5,1),F224:T224,0)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V224" s="9" t="str" cm="1">
        <f t="array" aca="1" ref="V224" ca="1">z_score_diff(OFFSET(U224,0,0,$J$5*-1,1),OFFSET(E224,0,0,$J$5*-1,1))</f>
        <v/>
      </c>
      <c r="W224" s="9" t="str">
        <f t="shared" ca="1" si="216"/>
        <v/>
      </c>
      <c r="X224" s="17">
        <f t="shared" ca="1" si="211"/>
        <v>0.10125486616247496</v>
      </c>
      <c r="Y224" s="13">
        <f t="shared" ref="Y224:Z224" ca="1" si="242">+Y223</f>
        <v>0</v>
      </c>
      <c r="Z224" s="13">
        <f t="shared" ca="1" si="242"/>
        <v>0</v>
      </c>
      <c r="AA224" t="str">
        <f t="shared" ca="1" si="218"/>
        <v/>
      </c>
      <c r="AB224" t="str">
        <f t="shared" ca="1" si="219"/>
        <v/>
      </c>
      <c r="AC224" s="24" t="str">
        <f t="shared" ca="1" si="220"/>
        <v/>
      </c>
      <c r="AD224" s="24" t="str">
        <f t="shared" ca="1" si="221"/>
        <v/>
      </c>
    </row>
    <row r="225" spans="3:30" x14ac:dyDescent="0.25">
      <c r="C225" s="6">
        <v>319</v>
      </c>
      <c r="D225" s="36">
        <v>42461</v>
      </c>
      <c r="E225" s="38">
        <v>12.933999999999999</v>
      </c>
      <c r="F225" s="38">
        <v>37.619103329043661</v>
      </c>
      <c r="G225" s="38">
        <v>23.77</v>
      </c>
      <c r="H225" s="38">
        <v>2.2782912382413221</v>
      </c>
      <c r="I225" s="38">
        <v>6.9761295046948062</v>
      </c>
      <c r="J225" s="10">
        <v>0</v>
      </c>
      <c r="K225" s="39">
        <v>0</v>
      </c>
      <c r="L225" s="39">
        <v>0</v>
      </c>
      <c r="M225" s="39">
        <v>1</v>
      </c>
      <c r="N225" s="39">
        <v>0</v>
      </c>
      <c r="O225" s="39">
        <v>0</v>
      </c>
      <c r="P225" s="39">
        <v>0</v>
      </c>
      <c r="Q225" s="39">
        <v>0</v>
      </c>
      <c r="R225" s="39">
        <v>0</v>
      </c>
      <c r="S225" s="39">
        <v>0</v>
      </c>
      <c r="T225" s="39">
        <v>0</v>
      </c>
      <c r="U225" s="29" t="str" cm="1">
        <f t="array" aca="1" ref="U225" ca="1">+fair_value_gap(OFFSET(T224,0,0,-1*$J$5,-1*$AA$1),OFFSET(E224,0,0,-1*$J$5,1),F225:T225,0)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V225" s="9" t="str" cm="1">
        <f t="array" aca="1" ref="V225" ca="1">z_score_diff(OFFSET(U225,0,0,$J$5*-1,1),OFFSET(E225,0,0,$J$5*-1,1))</f>
        <v/>
      </c>
      <c r="W225" s="9" t="str">
        <f t="shared" ca="1" si="216"/>
        <v/>
      </c>
      <c r="X225" s="17">
        <f t="shared" ca="1" si="211"/>
        <v>0.11055805660425405</v>
      </c>
      <c r="Y225" s="13">
        <f t="shared" ref="Y225:Z225" ca="1" si="243">+Y224</f>
        <v>0</v>
      </c>
      <c r="Z225" s="13">
        <f t="shared" ca="1" si="243"/>
        <v>0</v>
      </c>
      <c r="AA225" t="str">
        <f t="shared" ca="1" si="218"/>
        <v/>
      </c>
      <c r="AB225" t="str">
        <f t="shared" ca="1" si="219"/>
        <v/>
      </c>
      <c r="AC225" s="24" t="str">
        <f t="shared" ca="1" si="220"/>
        <v/>
      </c>
      <c r="AD225" s="24" t="str">
        <f t="shared" ca="1" si="221"/>
        <v/>
      </c>
    </row>
    <row r="226" spans="3:30" x14ac:dyDescent="0.25">
      <c r="C226" s="6">
        <v>320</v>
      </c>
      <c r="D226" s="36">
        <v>42464</v>
      </c>
      <c r="E226" s="38">
        <v>12.805</v>
      </c>
      <c r="F226" s="38">
        <v>36.601907667505948</v>
      </c>
      <c r="G226" s="38">
        <v>23.64</v>
      </c>
      <c r="H226" s="38">
        <v>2.292494572118239</v>
      </c>
      <c r="I226" s="38">
        <v>6.9771573934033375</v>
      </c>
      <c r="J226" s="10">
        <v>0</v>
      </c>
      <c r="K226" s="39">
        <v>0</v>
      </c>
      <c r="L226" s="39">
        <v>0</v>
      </c>
      <c r="M226" s="39">
        <v>1</v>
      </c>
      <c r="N226" s="39">
        <v>0</v>
      </c>
      <c r="O226" s="39">
        <v>0</v>
      </c>
      <c r="P226" s="39">
        <v>0</v>
      </c>
      <c r="Q226" s="39">
        <v>0</v>
      </c>
      <c r="R226" s="39">
        <v>0</v>
      </c>
      <c r="S226" s="39">
        <v>0</v>
      </c>
      <c r="T226" s="39">
        <v>0</v>
      </c>
      <c r="U226" s="29" t="str" cm="1">
        <f t="array" aca="1" ref="U226" ca="1">+fair_value_gap(OFFSET(T225,0,0,-1*$J$5,-1*$AA$1),OFFSET(E225,0,0,-1*$J$5,1),F226:T226,0)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V226" s="9" t="str" cm="1">
        <f t="array" aca="1" ref="V226" ca="1">z_score_diff(OFFSET(U226,0,0,$J$5*-1,1),OFFSET(E226,0,0,$J$5*-1,1))</f>
        <v/>
      </c>
      <c r="W226" s="9" t="str">
        <f t="shared" ca="1" si="216"/>
        <v/>
      </c>
      <c r="X226" s="17">
        <f t="shared" ca="1" si="211"/>
        <v>0.14052561857963744</v>
      </c>
      <c r="Y226" s="13">
        <f t="shared" ref="Y226:Z226" ca="1" si="244">+Y225</f>
        <v>0</v>
      </c>
      <c r="Z226" s="13">
        <f t="shared" ca="1" si="244"/>
        <v>0</v>
      </c>
      <c r="AA226" t="str">
        <f t="shared" ca="1" si="218"/>
        <v/>
      </c>
      <c r="AB226" t="str">
        <f t="shared" ca="1" si="219"/>
        <v/>
      </c>
      <c r="AC226" s="24" t="str">
        <f t="shared" ca="1" si="220"/>
        <v/>
      </c>
      <c r="AD226" s="24" t="str">
        <f t="shared" ca="1" si="221"/>
        <v/>
      </c>
    </row>
    <row r="227" spans="3:30" x14ac:dyDescent="0.25">
      <c r="C227" s="6">
        <v>321</v>
      </c>
      <c r="D227" s="36">
        <v>42465</v>
      </c>
      <c r="E227" s="38">
        <v>12.715999999999999</v>
      </c>
      <c r="F227" s="38">
        <v>36.420061477827048</v>
      </c>
      <c r="G227" s="38">
        <v>23.53</v>
      </c>
      <c r="H227" s="38">
        <v>2.2820000416328399</v>
      </c>
      <c r="I227" s="38">
        <v>6.9821742056801082</v>
      </c>
      <c r="J227" s="10">
        <v>0</v>
      </c>
      <c r="K227" s="39">
        <v>0</v>
      </c>
      <c r="L227" s="39">
        <v>0</v>
      </c>
      <c r="M227" s="39">
        <v>1</v>
      </c>
      <c r="N227" s="39">
        <v>0</v>
      </c>
      <c r="O227" s="39">
        <v>0</v>
      </c>
      <c r="P227" s="39">
        <v>0</v>
      </c>
      <c r="Q227" s="39">
        <v>0</v>
      </c>
      <c r="R227" s="39">
        <v>0</v>
      </c>
      <c r="S227" s="39">
        <v>0</v>
      </c>
      <c r="T227" s="39">
        <v>0</v>
      </c>
      <c r="U227" s="29" t="str" cm="1">
        <f t="array" aca="1" ref="U227" ca="1">+fair_value_gap(OFFSET(T226,0,0,-1*$J$5,-1*$AA$1),OFFSET(E226,0,0,-1*$J$5,1),F227:T227,0)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V227" s="9" t="str" cm="1">
        <f t="array" aca="1" ref="V227" ca="1">z_score_diff(OFFSET(U227,0,0,$J$5*-1,1),OFFSET(E227,0,0,$J$5*-1,1))</f>
        <v/>
      </c>
      <c r="W227" s="9" t="str">
        <f t="shared" ca="1" si="216"/>
        <v/>
      </c>
      <c r="X227" s="17">
        <f t="shared" ca="1" si="211"/>
        <v>0.15277913797697237</v>
      </c>
      <c r="Y227" s="13">
        <f t="shared" ref="Y227:Z227" ca="1" si="245">+Y226</f>
        <v>0</v>
      </c>
      <c r="Z227" s="13">
        <f t="shared" ca="1" si="245"/>
        <v>0</v>
      </c>
      <c r="AA227" t="str">
        <f t="shared" ca="1" si="218"/>
        <v/>
      </c>
      <c r="AB227" t="str">
        <f t="shared" ca="1" si="219"/>
        <v/>
      </c>
      <c r="AC227" s="24" t="str">
        <f t="shared" ca="1" si="220"/>
        <v/>
      </c>
      <c r="AD227" s="24" t="str">
        <f t="shared" ca="1" si="221"/>
        <v/>
      </c>
    </row>
    <row r="228" spans="3:30" x14ac:dyDescent="0.25">
      <c r="C228" s="6">
        <v>322</v>
      </c>
      <c r="D228" s="36">
        <v>42466</v>
      </c>
      <c r="E228" s="38">
        <v>12.805</v>
      </c>
      <c r="F228" s="38">
        <v>37.788665825378779</v>
      </c>
      <c r="G228" s="38">
        <v>23.73</v>
      </c>
      <c r="H228" s="38">
        <v>2.2700915225376521</v>
      </c>
      <c r="I228" s="38">
        <v>6.9722383656726832</v>
      </c>
      <c r="J228" s="10">
        <v>0</v>
      </c>
      <c r="K228" s="39">
        <v>0</v>
      </c>
      <c r="L228" s="39">
        <v>0</v>
      </c>
      <c r="M228" s="39">
        <v>1</v>
      </c>
      <c r="N228" s="39">
        <v>0</v>
      </c>
      <c r="O228" s="39">
        <v>0</v>
      </c>
      <c r="P228" s="39">
        <v>0</v>
      </c>
      <c r="Q228" s="39">
        <v>0</v>
      </c>
      <c r="R228" s="39">
        <v>0</v>
      </c>
      <c r="S228" s="39">
        <v>0</v>
      </c>
      <c r="T228" s="39">
        <v>0</v>
      </c>
      <c r="U228" s="29" t="str" cm="1">
        <f t="array" aca="1" ref="U228" ca="1">+fair_value_gap(OFFSET(T227,0,0,-1*$J$5,-1*$AA$1),OFFSET(E227,0,0,-1*$J$5,1),F228:T228,0)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V228" s="9" t="str" cm="1">
        <f t="array" aca="1" ref="V228" ca="1">z_score_diff(OFFSET(U228,0,0,$J$5*-1,1),OFFSET(E228,0,0,$J$5*-1,1))</f>
        <v/>
      </c>
      <c r="W228" s="9" t="str">
        <f t="shared" ca="1" si="216"/>
        <v/>
      </c>
      <c r="X228" s="17">
        <f t="shared" ca="1" si="211"/>
        <v>0.14154294716274946</v>
      </c>
      <c r="Y228" s="13">
        <f t="shared" ref="Y228:Z228" ca="1" si="246">+Y227</f>
        <v>0</v>
      </c>
      <c r="Z228" s="13">
        <f t="shared" ca="1" si="246"/>
        <v>0</v>
      </c>
      <c r="AA228" t="str">
        <f t="shared" ca="1" si="218"/>
        <v/>
      </c>
      <c r="AB228" t="str">
        <f t="shared" ca="1" si="219"/>
        <v/>
      </c>
      <c r="AC228" s="24" t="str">
        <f t="shared" ca="1" si="220"/>
        <v/>
      </c>
      <c r="AD228" s="24" t="str">
        <f t="shared" ca="1" si="221"/>
        <v/>
      </c>
    </row>
    <row r="229" spans="3:30" x14ac:dyDescent="0.25">
      <c r="C229" s="6">
        <v>323</v>
      </c>
      <c r="D229" s="36">
        <v>42467</v>
      </c>
      <c r="E229" s="38">
        <v>12.65</v>
      </c>
      <c r="F229" s="38">
        <v>37.223417766021996</v>
      </c>
      <c r="G229" s="38">
        <v>23.38</v>
      </c>
      <c r="H229" s="38">
        <v>2.3091019416422229</v>
      </c>
      <c r="I229" s="38">
        <v>6.988071665496201</v>
      </c>
      <c r="J229" s="10">
        <v>0</v>
      </c>
      <c r="K229" s="39">
        <v>0</v>
      </c>
      <c r="L229" s="39">
        <v>0</v>
      </c>
      <c r="M229" s="39">
        <v>1</v>
      </c>
      <c r="N229" s="39">
        <v>0</v>
      </c>
      <c r="O229" s="39">
        <v>0</v>
      </c>
      <c r="P229" s="39">
        <v>0</v>
      </c>
      <c r="Q229" s="39">
        <v>0</v>
      </c>
      <c r="R229" s="39">
        <v>0</v>
      </c>
      <c r="S229" s="39">
        <v>0</v>
      </c>
      <c r="T229" s="39">
        <v>0</v>
      </c>
      <c r="U229" s="29" t="str" cm="1">
        <f t="array" aca="1" ref="U229" ca="1">+fair_value_gap(OFFSET(T228,0,0,-1*$J$5,-1*$AA$1),OFFSET(E228,0,0,-1*$J$5,1),F229:T229,0)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V229" s="9" t="str" cm="1">
        <f t="array" aca="1" ref="V229" ca="1">z_score_diff(OFFSET(U229,0,0,$J$5*-1,1),OFFSET(E229,0,0,$J$5*-1,1))</f>
        <v/>
      </c>
      <c r="W229" s="9" t="str">
        <f t="shared" ca="1" si="216"/>
        <v/>
      </c>
      <c r="X229" s="17">
        <f t="shared" ca="1" si="211"/>
        <v>0.13986504755972237</v>
      </c>
      <c r="Y229" s="13">
        <f t="shared" ref="Y229:Z229" ca="1" si="247">+Y228</f>
        <v>0</v>
      </c>
      <c r="Z229" s="13">
        <f t="shared" ca="1" si="247"/>
        <v>0</v>
      </c>
      <c r="AA229" t="str">
        <f t="shared" ca="1" si="218"/>
        <v/>
      </c>
      <c r="AB229" t="str">
        <f t="shared" ca="1" si="219"/>
        <v/>
      </c>
      <c r="AC229" s="24" t="str">
        <f t="shared" ca="1" si="220"/>
        <v/>
      </c>
      <c r="AD229" s="24" t="str">
        <f t="shared" ca="1" si="221"/>
        <v/>
      </c>
    </row>
    <row r="230" spans="3:30" x14ac:dyDescent="0.25">
      <c r="C230" s="6">
        <v>324</v>
      </c>
      <c r="D230" s="36">
        <v>42468</v>
      </c>
      <c r="E230" s="38">
        <v>12.8</v>
      </c>
      <c r="F230" s="38">
        <v>39.112265887192805</v>
      </c>
      <c r="G230" s="38">
        <v>23.44</v>
      </c>
      <c r="H230" s="38">
        <v>2.3141712677276174</v>
      </c>
      <c r="I230" s="38">
        <v>6.9719605932662123</v>
      </c>
      <c r="J230" s="10">
        <v>0</v>
      </c>
      <c r="K230" s="39">
        <v>0</v>
      </c>
      <c r="L230" s="39">
        <v>0</v>
      </c>
      <c r="M230" s="39">
        <v>1</v>
      </c>
      <c r="N230" s="39">
        <v>0</v>
      </c>
      <c r="O230" s="39">
        <v>0</v>
      </c>
      <c r="P230" s="39">
        <v>0</v>
      </c>
      <c r="Q230" s="39">
        <v>0</v>
      </c>
      <c r="R230" s="39">
        <v>0</v>
      </c>
      <c r="S230" s="39">
        <v>0</v>
      </c>
      <c r="T230" s="39">
        <v>0</v>
      </c>
      <c r="U230" s="29" t="str" cm="1">
        <f t="array" aca="1" ref="U230" ca="1">+fair_value_gap(OFFSET(T229,0,0,-1*$J$5,-1*$AA$1),OFFSET(E229,0,0,-1*$J$5,1),F230:T230,0)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V230" s="9" t="str" cm="1">
        <f t="array" aca="1" ref="V230" ca="1">z_score_diff(OFFSET(U230,0,0,$J$5*-1,1),OFFSET(E230,0,0,$J$5*-1,1))</f>
        <v/>
      </c>
      <c r="W230" s="9" t="str">
        <f t="shared" ca="1" si="216"/>
        <v/>
      </c>
      <c r="X230" s="17">
        <f t="shared" ca="1" si="211"/>
        <v>0.13123383338050651</v>
      </c>
      <c r="Y230" s="13">
        <f t="shared" ref="Y230:Z230" ca="1" si="248">+Y229</f>
        <v>0</v>
      </c>
      <c r="Z230" s="13">
        <f t="shared" ca="1" si="248"/>
        <v>0</v>
      </c>
      <c r="AA230" t="str">
        <f t="shared" ca="1" si="218"/>
        <v/>
      </c>
      <c r="AB230" t="str">
        <f t="shared" ca="1" si="219"/>
        <v/>
      </c>
      <c r="AC230" s="24" t="str">
        <f t="shared" ca="1" si="220"/>
        <v/>
      </c>
      <c r="AD230" s="24" t="str">
        <f t="shared" ca="1" si="221"/>
        <v/>
      </c>
    </row>
    <row r="231" spans="3:30" x14ac:dyDescent="0.25">
      <c r="C231" s="6">
        <v>325</v>
      </c>
      <c r="D231" s="36">
        <v>42471</v>
      </c>
      <c r="E231" s="38">
        <v>12.856999999999999</v>
      </c>
      <c r="F231" s="38">
        <v>39.894629715527927</v>
      </c>
      <c r="G231" s="38">
        <v>23.73</v>
      </c>
      <c r="H231" s="38">
        <v>2.3010807031147236</v>
      </c>
      <c r="I231" s="38">
        <v>6.966415818004335</v>
      </c>
      <c r="J231" s="10">
        <v>0</v>
      </c>
      <c r="K231" s="39">
        <v>0</v>
      </c>
      <c r="L231" s="39">
        <v>0</v>
      </c>
      <c r="M231" s="39">
        <v>1</v>
      </c>
      <c r="N231" s="39">
        <v>0</v>
      </c>
      <c r="O231" s="39">
        <v>0</v>
      </c>
      <c r="P231" s="39">
        <v>0</v>
      </c>
      <c r="Q231" s="39">
        <v>0</v>
      </c>
      <c r="R231" s="39">
        <v>0</v>
      </c>
      <c r="S231" s="39">
        <v>0</v>
      </c>
      <c r="T231" s="39">
        <v>0</v>
      </c>
      <c r="U231" s="29" t="str" cm="1">
        <f t="array" aca="1" ref="U231" ca="1">+fair_value_gap(OFFSET(T230,0,0,-1*$J$5,-1*$AA$1),OFFSET(E230,0,0,-1*$J$5,1),F231:T231,0)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V231" s="9" t="str" cm="1">
        <f t="array" aca="1" ref="V231" ca="1">z_score_diff(OFFSET(U231,0,0,$J$5*-1,1),OFFSET(E231,0,0,$J$5*-1,1))</f>
        <v/>
      </c>
      <c r="W231" s="9" t="str">
        <f t="shared" ca="1" si="216"/>
        <v/>
      </c>
      <c r="X231" s="17">
        <f t="shared" ca="1" si="211"/>
        <v>0.11278408654612014</v>
      </c>
      <c r="Y231" s="13">
        <f t="shared" ref="Y231:Z231" ca="1" si="249">+Y230</f>
        <v>0</v>
      </c>
      <c r="Z231" s="13">
        <f t="shared" ca="1" si="249"/>
        <v>0</v>
      </c>
      <c r="AA231" t="str">
        <f t="shared" ca="1" si="218"/>
        <v/>
      </c>
      <c r="AB231" t="str">
        <f t="shared" ca="1" si="219"/>
        <v/>
      </c>
      <c r="AC231" s="24" t="str">
        <f t="shared" ca="1" si="220"/>
        <v/>
      </c>
      <c r="AD231" s="24" t="str">
        <f t="shared" ca="1" si="221"/>
        <v/>
      </c>
    </row>
    <row r="232" spans="3:30" x14ac:dyDescent="0.25">
      <c r="C232" s="6">
        <v>326</v>
      </c>
      <c r="D232" s="36">
        <v>42472</v>
      </c>
      <c r="E232" s="38">
        <v>12.938000000000001</v>
      </c>
      <c r="F232" s="38">
        <v>41.068064443136294</v>
      </c>
      <c r="G232" s="38">
        <v>24.17</v>
      </c>
      <c r="H232" s="38">
        <v>2.3295311200909268</v>
      </c>
      <c r="I232" s="38">
        <v>6.9790567609720746</v>
      </c>
      <c r="J232" s="10">
        <v>0</v>
      </c>
      <c r="K232" s="39">
        <v>0</v>
      </c>
      <c r="L232" s="39">
        <v>0</v>
      </c>
      <c r="M232" s="39">
        <v>1</v>
      </c>
      <c r="N232" s="39">
        <v>0</v>
      </c>
      <c r="O232" s="39">
        <v>0</v>
      </c>
      <c r="P232" s="39">
        <v>0</v>
      </c>
      <c r="Q232" s="39">
        <v>0</v>
      </c>
      <c r="R232" s="39">
        <v>0</v>
      </c>
      <c r="S232" s="39">
        <v>0</v>
      </c>
      <c r="T232" s="39">
        <v>0</v>
      </c>
      <c r="U232" s="29" t="str" cm="1">
        <f t="array" aca="1" ref="U232" ca="1">+fair_value_gap(OFFSET(T231,0,0,-1*$J$5,-1*$AA$1),OFFSET(E231,0,0,-1*$J$5,1),F232:T232,0)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V232" s="9" t="str" cm="1">
        <f t="array" aca="1" ref="V232" ca="1">z_score_diff(OFFSET(U232,0,0,$J$5*-1,1),OFFSET(E232,0,0,$J$5*-1,1))</f>
        <v/>
      </c>
      <c r="W232" s="9" t="str">
        <f t="shared" ca="1" si="216"/>
        <v/>
      </c>
      <c r="X232" s="17">
        <f t="shared" ca="1" si="211"/>
        <v>0.10615630343310226</v>
      </c>
      <c r="Y232" s="13">
        <f t="shared" ref="Y232:Z232" ca="1" si="250">+Y231</f>
        <v>0</v>
      </c>
      <c r="Z232" s="13">
        <f t="shared" ca="1" si="250"/>
        <v>0</v>
      </c>
      <c r="AA232" t="str">
        <f t="shared" ca="1" si="218"/>
        <v/>
      </c>
      <c r="AB232" t="str">
        <f t="shared" ca="1" si="219"/>
        <v/>
      </c>
      <c r="AC232" s="24" t="str">
        <f t="shared" ca="1" si="220"/>
        <v/>
      </c>
      <c r="AD232" s="24" t="str">
        <f t="shared" ca="1" si="221"/>
        <v/>
      </c>
    </row>
    <row r="233" spans="3:30" x14ac:dyDescent="0.25">
      <c r="C233" s="6">
        <v>327</v>
      </c>
      <c r="D233" s="36">
        <v>42473</v>
      </c>
      <c r="E233" s="38">
        <v>12.978999999999999</v>
      </c>
      <c r="F233" s="38">
        <v>41.291140171080805</v>
      </c>
      <c r="G233" s="38">
        <v>24.08</v>
      </c>
      <c r="H233" s="38">
        <v>2.3586185409296894</v>
      </c>
      <c r="I233" s="38">
        <v>7.0452242131666063</v>
      </c>
      <c r="J233" s="10">
        <v>0</v>
      </c>
      <c r="K233" s="39">
        <v>0</v>
      </c>
      <c r="L233" s="39">
        <v>0</v>
      </c>
      <c r="M233" s="39">
        <v>1</v>
      </c>
      <c r="N233" s="39">
        <v>0</v>
      </c>
      <c r="O233" s="39">
        <v>0</v>
      </c>
      <c r="P233" s="39">
        <v>0</v>
      </c>
      <c r="Q233" s="39">
        <v>0</v>
      </c>
      <c r="R233" s="39">
        <v>0</v>
      </c>
      <c r="S233" s="39">
        <v>0</v>
      </c>
      <c r="T233" s="39">
        <v>0</v>
      </c>
      <c r="U233" s="29" t="str" cm="1">
        <f t="array" aca="1" ref="U233" ca="1">+fair_value_gap(OFFSET(T232,0,0,-1*$J$5,-1*$AA$1),OFFSET(E232,0,0,-1*$J$5,1),F233:T233,0)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V233" s="9" t="str" cm="1">
        <f t="array" aca="1" ref="V233" ca="1">z_score_diff(OFFSET(U233,0,0,$J$5*-1,1),OFFSET(E233,0,0,$J$5*-1,1))</f>
        <v/>
      </c>
      <c r="W233" s="9" t="str">
        <f t="shared" ca="1" si="216"/>
        <v/>
      </c>
      <c r="X233" s="17">
        <f t="shared" ca="1" si="211"/>
        <v>0.12179002975288357</v>
      </c>
      <c r="Y233" s="13">
        <f t="shared" ref="Y233:Z233" ca="1" si="251">+Y232</f>
        <v>0</v>
      </c>
      <c r="Z233" s="13">
        <f t="shared" ca="1" si="251"/>
        <v>0</v>
      </c>
      <c r="AA233" t="str">
        <f t="shared" ca="1" si="218"/>
        <v/>
      </c>
      <c r="AB233" t="str">
        <f t="shared" ca="1" si="219"/>
        <v/>
      </c>
      <c r="AC233" s="24" t="str">
        <f t="shared" ca="1" si="220"/>
        <v/>
      </c>
      <c r="AD233" s="24" t="str">
        <f t="shared" ca="1" si="221"/>
        <v/>
      </c>
    </row>
    <row r="234" spans="3:30" x14ac:dyDescent="0.25">
      <c r="C234" s="6">
        <v>328</v>
      </c>
      <c r="D234" s="36">
        <v>42474</v>
      </c>
      <c r="E234" s="38">
        <v>12.84</v>
      </c>
      <c r="F234" s="38">
        <v>40.988957164874968</v>
      </c>
      <c r="G234" s="38">
        <v>24.35</v>
      </c>
      <c r="H234" s="38">
        <v>2.3508630199521061</v>
      </c>
      <c r="I234" s="38">
        <v>7.0534652667217514</v>
      </c>
      <c r="J234" s="10">
        <v>0</v>
      </c>
      <c r="K234" s="39">
        <v>0</v>
      </c>
      <c r="L234" s="39">
        <v>0</v>
      </c>
      <c r="M234" s="39">
        <v>1</v>
      </c>
      <c r="N234" s="39">
        <v>0</v>
      </c>
      <c r="O234" s="39">
        <v>0</v>
      </c>
      <c r="P234" s="39">
        <v>0</v>
      </c>
      <c r="Q234" s="39">
        <v>0</v>
      </c>
      <c r="R234" s="39">
        <v>0</v>
      </c>
      <c r="S234" s="39">
        <v>0</v>
      </c>
      <c r="T234" s="39">
        <v>0</v>
      </c>
      <c r="U234" s="29" t="str" cm="1">
        <f t="array" aca="1" ref="U234" ca="1">+fair_value_gap(OFFSET(T233,0,0,-1*$J$5,-1*$AA$1),OFFSET(E233,0,0,-1*$J$5,1),F234:T234,0)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V234" s="9" t="str" cm="1">
        <f t="array" aca="1" ref="V234" ca="1">z_score_diff(OFFSET(U234,0,0,$J$5*-1,1),OFFSET(E234,0,0,$J$5*-1,1))</f>
        <v/>
      </c>
      <c r="W234" s="9" t="str">
        <f t="shared" ca="1" si="216"/>
        <v/>
      </c>
      <c r="X234" s="17">
        <f t="shared" ca="1" si="211"/>
        <v>0.14125074281257047</v>
      </c>
      <c r="Y234" s="13">
        <f t="shared" ref="Y234:Z234" ca="1" si="252">+Y233</f>
        <v>0</v>
      </c>
      <c r="Z234" s="13">
        <f t="shared" ca="1" si="252"/>
        <v>0</v>
      </c>
      <c r="AA234" t="str">
        <f t="shared" ca="1" si="218"/>
        <v/>
      </c>
      <c r="AB234" t="str">
        <f t="shared" ca="1" si="219"/>
        <v/>
      </c>
      <c r="AC234" s="24" t="str">
        <f t="shared" ca="1" si="220"/>
        <v/>
      </c>
      <c r="AD234" s="24" t="str">
        <f t="shared" ca="1" si="221"/>
        <v/>
      </c>
    </row>
    <row r="235" spans="3:30" x14ac:dyDescent="0.25">
      <c r="C235" s="6">
        <v>329</v>
      </c>
      <c r="D235" s="36">
        <v>42475</v>
      </c>
      <c r="E235" s="38">
        <v>12.817</v>
      </c>
      <c r="F235" s="38">
        <v>40.140013126230585</v>
      </c>
      <c r="G235" s="38">
        <v>24.55</v>
      </c>
      <c r="H235" s="38">
        <v>2.332968715817108</v>
      </c>
      <c r="I235" s="38">
        <v>7.0444104134762648</v>
      </c>
      <c r="J235" s="10">
        <v>0</v>
      </c>
      <c r="K235" s="39">
        <v>0</v>
      </c>
      <c r="L235" s="39">
        <v>0</v>
      </c>
      <c r="M235" s="39">
        <v>1</v>
      </c>
      <c r="N235" s="39">
        <v>0</v>
      </c>
      <c r="O235" s="39">
        <v>0</v>
      </c>
      <c r="P235" s="39">
        <v>0</v>
      </c>
      <c r="Q235" s="39">
        <v>0</v>
      </c>
      <c r="R235" s="39">
        <v>0</v>
      </c>
      <c r="S235" s="39">
        <v>0</v>
      </c>
      <c r="T235" s="39">
        <v>0</v>
      </c>
      <c r="U235" s="29" t="str" cm="1">
        <f t="array" aca="1" ref="U235" ca="1">+fair_value_gap(OFFSET(T234,0,0,-1*$J$5,-1*$AA$1),OFFSET(E234,0,0,-1*$J$5,1),F235:T235,0)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V235" s="9" t="str" cm="1">
        <f t="array" aca="1" ref="V235" ca="1">z_score_diff(OFFSET(U235,0,0,$J$5*-1,1),OFFSET(E235,0,0,$J$5*-1,1))</f>
        <v/>
      </c>
      <c r="W235" s="9" t="str">
        <f t="shared" ca="1" si="216"/>
        <v/>
      </c>
      <c r="X235" s="17">
        <f t="shared" ca="1" si="211"/>
        <v>0.15854365147575672</v>
      </c>
      <c r="Y235" s="13">
        <f t="shared" ref="Y235:Z235" ca="1" si="253">+Y234</f>
        <v>0</v>
      </c>
      <c r="Z235" s="13">
        <f t="shared" ca="1" si="253"/>
        <v>0</v>
      </c>
      <c r="AA235" t="str">
        <f t="shared" ca="1" si="218"/>
        <v/>
      </c>
      <c r="AB235" t="str">
        <f t="shared" ca="1" si="219"/>
        <v/>
      </c>
      <c r="AC235" s="24" t="str">
        <f t="shared" ca="1" si="220"/>
        <v/>
      </c>
      <c r="AD235" s="24" t="str">
        <f t="shared" ca="1" si="221"/>
        <v/>
      </c>
    </row>
    <row r="236" spans="3:30" x14ac:dyDescent="0.25">
      <c r="C236" s="6">
        <v>330</v>
      </c>
      <c r="D236" s="36">
        <v>42478</v>
      </c>
      <c r="E236" s="38">
        <v>12.813000000000001</v>
      </c>
      <c r="F236" s="38">
        <v>39.68098131668949</v>
      </c>
      <c r="G236" s="38">
        <v>24.59</v>
      </c>
      <c r="H236" s="38">
        <v>2.3684667537606172</v>
      </c>
      <c r="I236" s="38">
        <v>7.0251132526797981</v>
      </c>
      <c r="J236" s="10">
        <v>0</v>
      </c>
      <c r="K236" s="39">
        <v>0</v>
      </c>
      <c r="L236" s="39">
        <v>0</v>
      </c>
      <c r="M236" s="39">
        <v>1</v>
      </c>
      <c r="N236" s="39">
        <v>0</v>
      </c>
      <c r="O236" s="39">
        <v>0</v>
      </c>
      <c r="P236" s="39">
        <v>0</v>
      </c>
      <c r="Q236" s="39">
        <v>0</v>
      </c>
      <c r="R236" s="39">
        <v>0</v>
      </c>
      <c r="S236" s="39">
        <v>0</v>
      </c>
      <c r="T236" s="39">
        <v>0</v>
      </c>
      <c r="U236" s="29" t="str" cm="1">
        <f t="array" aca="1" ref="U236" ca="1">+fair_value_gap(OFFSET(T235,0,0,-1*$J$5,-1*$AA$1),OFFSET(E235,0,0,-1*$J$5,1),F236:T236,0)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V236" s="9" t="str" cm="1">
        <f t="array" aca="1" ref="V236" ca="1">z_score_diff(OFFSET(U236,0,0,$J$5*-1,1),OFFSET(E236,0,0,$J$5*-1,1))</f>
        <v/>
      </c>
      <c r="W236" s="9" t="str">
        <f t="shared" ca="1" si="216"/>
        <v/>
      </c>
      <c r="X236" s="17">
        <f t="shared" ca="1" si="211"/>
        <v>0.16522734770398212</v>
      </c>
      <c r="Y236" s="13">
        <f t="shared" ref="Y236:Z236" ca="1" si="254">+Y235</f>
        <v>0</v>
      </c>
      <c r="Z236" s="13">
        <f t="shared" ca="1" si="254"/>
        <v>0</v>
      </c>
      <c r="AA236" t="str">
        <f t="shared" ca="1" si="218"/>
        <v/>
      </c>
      <c r="AB236" t="str">
        <f t="shared" ca="1" si="219"/>
        <v/>
      </c>
      <c r="AC236" s="24" t="str">
        <f t="shared" ca="1" si="220"/>
        <v/>
      </c>
      <c r="AD236" s="24" t="str">
        <f t="shared" ca="1" si="221"/>
        <v/>
      </c>
    </row>
    <row r="237" spans="3:30" x14ac:dyDescent="0.25">
      <c r="C237" s="6">
        <v>331</v>
      </c>
      <c r="D237" s="36">
        <v>42479</v>
      </c>
      <c r="E237" s="38">
        <v>13.23</v>
      </c>
      <c r="F237" s="38">
        <v>40.447634386744014</v>
      </c>
      <c r="G237" s="38">
        <v>25.04</v>
      </c>
      <c r="H237" s="38">
        <v>2.395062886689288</v>
      </c>
      <c r="I237" s="38">
        <v>6.9932013920380012</v>
      </c>
      <c r="J237" s="10">
        <v>0</v>
      </c>
      <c r="K237" s="39">
        <v>0</v>
      </c>
      <c r="L237" s="39">
        <v>0</v>
      </c>
      <c r="M237" s="39">
        <v>1</v>
      </c>
      <c r="N237" s="39">
        <v>0</v>
      </c>
      <c r="O237" s="39">
        <v>0</v>
      </c>
      <c r="P237" s="39">
        <v>0</v>
      </c>
      <c r="Q237" s="39">
        <v>0</v>
      </c>
      <c r="R237" s="39">
        <v>0</v>
      </c>
      <c r="S237" s="39">
        <v>0</v>
      </c>
      <c r="T237" s="39">
        <v>0</v>
      </c>
      <c r="U237" s="29" t="str" cm="1">
        <f t="array" aca="1" ref="U237" ca="1">+fair_value_gap(OFFSET(T236,0,0,-1*$J$5,-1*$AA$1),OFFSET(E236,0,0,-1*$J$5,1),F237:T237,0)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V237" s="9" t="str" cm="1">
        <f t="array" aca="1" ref="V237" ca="1">z_score_diff(OFFSET(U237,0,0,$J$5*-1,1),OFFSET(E237,0,0,$J$5*-1,1))</f>
        <v/>
      </c>
      <c r="W237" s="9" t="str">
        <f t="shared" ca="1" si="216"/>
        <v/>
      </c>
      <c r="X237" s="17">
        <f t="shared" ca="1" si="211"/>
        <v>0.14490822923912186</v>
      </c>
      <c r="Y237" s="13">
        <f t="shared" ref="Y237:Z237" ca="1" si="255">+Y236</f>
        <v>0</v>
      </c>
      <c r="Z237" s="13">
        <f t="shared" ca="1" si="255"/>
        <v>0</v>
      </c>
      <c r="AA237" t="str">
        <f t="shared" ca="1" si="218"/>
        <v/>
      </c>
      <c r="AB237" t="str">
        <f t="shared" ca="1" si="219"/>
        <v/>
      </c>
      <c r="AC237" s="24" t="str">
        <f t="shared" ca="1" si="220"/>
        <v/>
      </c>
      <c r="AD237" s="24" t="str">
        <f t="shared" ca="1" si="221"/>
        <v/>
      </c>
    </row>
    <row r="238" spans="3:30" x14ac:dyDescent="0.25">
      <c r="C238" s="6">
        <v>332</v>
      </c>
      <c r="D238" s="36">
        <v>42480</v>
      </c>
      <c r="E238" s="38">
        <v>13.394</v>
      </c>
      <c r="F238" s="38">
        <v>42.144118034974809</v>
      </c>
      <c r="G238" s="38">
        <v>24.98</v>
      </c>
      <c r="H238" s="38">
        <v>2.4072370840288202</v>
      </c>
      <c r="I238" s="38">
        <v>7.0312984493584922</v>
      </c>
      <c r="J238" s="10">
        <v>0</v>
      </c>
      <c r="K238" s="39">
        <v>0</v>
      </c>
      <c r="L238" s="39">
        <v>0</v>
      </c>
      <c r="M238" s="39">
        <v>1</v>
      </c>
      <c r="N238" s="39">
        <v>0</v>
      </c>
      <c r="O238" s="39">
        <v>0</v>
      </c>
      <c r="P238" s="39">
        <v>0</v>
      </c>
      <c r="Q238" s="39">
        <v>0</v>
      </c>
      <c r="R238" s="39">
        <v>0</v>
      </c>
      <c r="S238" s="39">
        <v>0</v>
      </c>
      <c r="T238" s="39">
        <v>0</v>
      </c>
      <c r="U238" s="29" t="str" cm="1">
        <f t="array" aca="1" ref="U238" ca="1">+fair_value_gap(OFFSET(T237,0,0,-1*$J$5,-1*$AA$1),OFFSET(E237,0,0,-1*$J$5,1),F238:T238,0)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V238" s="9" t="str" cm="1">
        <f t="array" aca="1" ref="V238" ca="1">z_score_diff(OFFSET(U238,0,0,$J$5*-1,1),OFFSET(E238,0,0,$J$5*-1,1))</f>
        <v/>
      </c>
      <c r="W238" s="9" t="str">
        <f t="shared" ca="1" si="216"/>
        <v/>
      </c>
      <c r="X238" s="17">
        <f t="shared" ca="1" si="211"/>
        <v>0.11823089712539073</v>
      </c>
      <c r="Y238" s="13">
        <f t="shared" ref="Y238:Z238" ca="1" si="256">+Y237</f>
        <v>0</v>
      </c>
      <c r="Z238" s="13">
        <f t="shared" ca="1" si="256"/>
        <v>0</v>
      </c>
      <c r="AA238" t="str">
        <f t="shared" ca="1" si="218"/>
        <v/>
      </c>
      <c r="AB238" t="str">
        <f t="shared" ca="1" si="219"/>
        <v/>
      </c>
      <c r="AC238" s="24" t="str">
        <f t="shared" ca="1" si="220"/>
        <v/>
      </c>
      <c r="AD238" s="24" t="str">
        <f t="shared" ca="1" si="221"/>
        <v/>
      </c>
    </row>
    <row r="239" spans="3:30" x14ac:dyDescent="0.25">
      <c r="C239" s="6">
        <v>333</v>
      </c>
      <c r="D239" s="36">
        <v>42481</v>
      </c>
      <c r="E239" s="38">
        <v>14.090999999999999</v>
      </c>
      <c r="F239" s="38">
        <v>41.441246105047433</v>
      </c>
      <c r="G239" s="38">
        <v>25.78</v>
      </c>
      <c r="H239" s="38">
        <v>2.4462575232473149</v>
      </c>
      <c r="I239" s="38">
        <v>7.038017534717973</v>
      </c>
      <c r="J239" s="10">
        <v>0</v>
      </c>
      <c r="K239" s="39">
        <v>0</v>
      </c>
      <c r="L239" s="39">
        <v>0</v>
      </c>
      <c r="M239" s="39">
        <v>1</v>
      </c>
      <c r="N239" s="39">
        <v>0</v>
      </c>
      <c r="O239" s="39">
        <v>0</v>
      </c>
      <c r="P239" s="39">
        <v>0</v>
      </c>
      <c r="Q239" s="39">
        <v>0</v>
      </c>
      <c r="R239" s="39">
        <v>0</v>
      </c>
      <c r="S239" s="39">
        <v>0</v>
      </c>
      <c r="T239" s="39">
        <v>0</v>
      </c>
      <c r="U239" s="29" t="str" cm="1">
        <f t="array" aca="1" ref="U239" ca="1">+fair_value_gap(OFFSET(T238,0,0,-1*$J$5,-1*$AA$1),OFFSET(E238,0,0,-1*$J$5,1),F239:T239,0)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V239" s="9" t="str" cm="1">
        <f t="array" aca="1" ref="V239" ca="1">z_score_diff(OFFSET(U239,0,0,$J$5*-1,1),OFFSET(E239,0,0,$J$5*-1,1))</f>
        <v/>
      </c>
      <c r="W239" s="9" t="str">
        <f t="shared" ca="1" si="216"/>
        <v/>
      </c>
      <c r="X239" s="17">
        <f t="shared" ca="1" si="211"/>
        <v>9.1036572322443596E-2</v>
      </c>
      <c r="Y239" s="13">
        <f t="shared" ref="Y239:Z239" ca="1" si="257">+Y238</f>
        <v>0</v>
      </c>
      <c r="Z239" s="13">
        <f t="shared" ca="1" si="257"/>
        <v>0</v>
      </c>
      <c r="AA239" t="str">
        <f t="shared" ca="1" si="218"/>
        <v/>
      </c>
      <c r="AB239" t="str">
        <f t="shared" ca="1" si="219"/>
        <v/>
      </c>
      <c r="AC239" s="24" t="str">
        <f t="shared" ca="1" si="220"/>
        <v/>
      </c>
      <c r="AD239" s="24" t="str">
        <f t="shared" ca="1" si="221"/>
        <v/>
      </c>
    </row>
    <row r="240" spans="3:30" x14ac:dyDescent="0.25">
      <c r="C240" s="6">
        <v>334</v>
      </c>
      <c r="D240" s="36">
        <v>42482</v>
      </c>
      <c r="E240" s="38">
        <v>14.792999999999999</v>
      </c>
      <c r="F240" s="38">
        <v>42.275922671353257</v>
      </c>
      <c r="G240" s="38">
        <v>26.6</v>
      </c>
      <c r="H240" s="38">
        <v>2.4912126537785593</v>
      </c>
      <c r="I240" s="38">
        <v>7.0738137082601069</v>
      </c>
      <c r="J240" s="10">
        <v>0</v>
      </c>
      <c r="K240" s="39">
        <v>0</v>
      </c>
      <c r="L240" s="39">
        <v>0</v>
      </c>
      <c r="M240" s="39">
        <v>1</v>
      </c>
      <c r="N240" s="39">
        <v>0</v>
      </c>
      <c r="O240" s="39">
        <v>0</v>
      </c>
      <c r="P240" s="39">
        <v>0</v>
      </c>
      <c r="Q240" s="39">
        <v>0</v>
      </c>
      <c r="R240" s="39">
        <v>0</v>
      </c>
      <c r="S240" s="39">
        <v>0</v>
      </c>
      <c r="T240" s="39">
        <v>0</v>
      </c>
      <c r="U240" s="29" t="str" cm="1">
        <f t="array" aca="1" ref="U240" ca="1">+fair_value_gap(OFFSET(T239,0,0,-1*$J$5,-1*$AA$1),OFFSET(E239,0,0,-1*$J$5,1),F240:T240,0)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V240" s="9" t="str" cm="1">
        <f t="array" aca="1" ref="V240" ca="1">z_score_diff(OFFSET(U240,0,0,$J$5*-1,1),OFFSET(E240,0,0,$J$5*-1,1))</f>
        <v/>
      </c>
      <c r="W240" s="9" t="str">
        <f t="shared" ca="1" si="216"/>
        <v/>
      </c>
      <c r="X240" s="17">
        <f t="shared" ca="1" si="211"/>
        <v>4.1705805831378527E-2</v>
      </c>
      <c r="Y240" s="13">
        <f t="shared" ref="Y240:Z240" ca="1" si="258">+Y239</f>
        <v>0</v>
      </c>
      <c r="Z240" s="13">
        <f t="shared" ca="1" si="258"/>
        <v>0</v>
      </c>
      <c r="AA240" t="str">
        <f t="shared" ca="1" si="218"/>
        <v/>
      </c>
      <c r="AB240" t="str">
        <f t="shared" ca="1" si="219"/>
        <v/>
      </c>
      <c r="AC240" s="24" t="str">
        <f t="shared" ca="1" si="220"/>
        <v/>
      </c>
      <c r="AD240" s="24" t="str">
        <f t="shared" ca="1" si="221"/>
        <v/>
      </c>
    </row>
    <row r="241" spans="3:30" x14ac:dyDescent="0.25">
      <c r="C241" s="6">
        <v>335</v>
      </c>
      <c r="D241" s="36">
        <v>42485</v>
      </c>
      <c r="E241" s="38">
        <v>14.603999999999999</v>
      </c>
      <c r="F241" s="38">
        <v>41.679719836676405</v>
      </c>
      <c r="G241" s="38">
        <v>27.12</v>
      </c>
      <c r="H241" s="38">
        <v>2.4755810921259194</v>
      </c>
      <c r="I241" s="38">
        <v>7.0443364410087144</v>
      </c>
      <c r="J241" s="10">
        <v>0</v>
      </c>
      <c r="K241" s="39">
        <v>0</v>
      </c>
      <c r="L241" s="39">
        <v>0</v>
      </c>
      <c r="M241" s="39">
        <v>1</v>
      </c>
      <c r="N241" s="39">
        <v>0</v>
      </c>
      <c r="O241" s="39">
        <v>0</v>
      </c>
      <c r="P241" s="39">
        <v>0</v>
      </c>
      <c r="Q241" s="39">
        <v>0</v>
      </c>
      <c r="R241" s="39">
        <v>0</v>
      </c>
      <c r="S241" s="39">
        <v>0</v>
      </c>
      <c r="T241" s="39">
        <v>0</v>
      </c>
      <c r="U241" s="29" t="str" cm="1">
        <f t="array" aca="1" ref="U241" ca="1">+fair_value_gap(OFFSET(T240,0,0,-1*$J$5,-1*$AA$1),OFFSET(E240,0,0,-1*$J$5,1),F241:T241,0)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V241" s="9" t="str" cm="1">
        <f t="array" aca="1" ref="V241" ca="1">z_score_diff(OFFSET(U241,0,0,$J$5*-1,1),OFFSET(E241,0,0,$J$5*-1,1))</f>
        <v/>
      </c>
      <c r="W241" s="9" t="str">
        <f t="shared" ca="1" si="216"/>
        <v/>
      </c>
      <c r="X241" s="17">
        <f t="shared" ca="1" si="211"/>
        <v>8.4646215724597226E-2</v>
      </c>
      <c r="Y241" s="13">
        <f t="shared" ref="Y241:Z241" ca="1" si="259">+Y240</f>
        <v>0</v>
      </c>
      <c r="Z241" s="13">
        <f t="shared" ca="1" si="259"/>
        <v>0</v>
      </c>
      <c r="AA241" t="str">
        <f t="shared" ca="1" si="218"/>
        <v/>
      </c>
      <c r="AB241" t="str">
        <f t="shared" ca="1" si="219"/>
        <v/>
      </c>
      <c r="AC241" s="24" t="str">
        <f t="shared" ca="1" si="220"/>
        <v/>
      </c>
      <c r="AD241" s="24" t="str">
        <f t="shared" ca="1" si="221"/>
        <v/>
      </c>
    </row>
    <row r="242" spans="3:30" x14ac:dyDescent="0.25">
      <c r="C242" s="6">
        <v>336</v>
      </c>
      <c r="D242" s="36">
        <v>42486</v>
      </c>
      <c r="E242" s="38">
        <v>15.378</v>
      </c>
      <c r="F242" s="38">
        <v>42.465365932020489</v>
      </c>
      <c r="G242" s="38">
        <v>28.87</v>
      </c>
      <c r="H242" s="38">
        <v>2.4882050350793254</v>
      </c>
      <c r="I242" s="38">
        <v>7.0280879061012538</v>
      </c>
      <c r="J242" s="10">
        <v>0</v>
      </c>
      <c r="K242" s="39">
        <v>0</v>
      </c>
      <c r="L242" s="39">
        <v>0</v>
      </c>
      <c r="M242" s="39">
        <v>1</v>
      </c>
      <c r="N242" s="39">
        <v>0</v>
      </c>
      <c r="O242" s="39">
        <v>0</v>
      </c>
      <c r="P242" s="39">
        <v>0</v>
      </c>
      <c r="Q242" s="39">
        <v>0</v>
      </c>
      <c r="R242" s="39">
        <v>0</v>
      </c>
      <c r="S242" s="39">
        <v>0</v>
      </c>
      <c r="T242" s="39">
        <v>0</v>
      </c>
      <c r="U242" s="29" t="str" cm="1">
        <f t="array" aca="1" ref="U242" ca="1">+fair_value_gap(OFFSET(T241,0,0,-1*$J$5,-1*$AA$1),OFFSET(E241,0,0,-1*$J$5,1),F242:T242,0)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V242" s="9" t="str" cm="1">
        <f t="array" aca="1" ref="V242" ca="1">z_score_diff(OFFSET(U242,0,0,$J$5*-1,1),OFFSET(E242,0,0,$J$5*-1,1))</f>
        <v/>
      </c>
      <c r="W242" s="9" t="str">
        <f t="shared" ca="1" si="216"/>
        <v/>
      </c>
      <c r="X242" s="17">
        <f t="shared" ca="1" si="211"/>
        <v>4.4078488956944044E-2</v>
      </c>
      <c r="Y242" s="13">
        <f t="shared" ref="Y242:Z242" ca="1" si="260">+Y241</f>
        <v>0</v>
      </c>
      <c r="Z242" s="13">
        <f t="shared" ca="1" si="260"/>
        <v>0</v>
      </c>
      <c r="AA242" t="str">
        <f t="shared" ca="1" si="218"/>
        <v/>
      </c>
      <c r="AB242" t="str">
        <f t="shared" ca="1" si="219"/>
        <v/>
      </c>
      <c r="AC242" s="24" t="str">
        <f t="shared" ca="1" si="220"/>
        <v/>
      </c>
      <c r="AD242" s="24" t="str">
        <f t="shared" ca="1" si="221"/>
        <v/>
      </c>
    </row>
    <row r="243" spans="3:30" x14ac:dyDescent="0.25">
      <c r="C243" s="6">
        <v>337</v>
      </c>
      <c r="D243" s="36">
        <v>42487</v>
      </c>
      <c r="E243" s="38">
        <v>15.539</v>
      </c>
      <c r="F243" s="38">
        <v>43.286573146292589</v>
      </c>
      <c r="G243" s="38">
        <v>29.52</v>
      </c>
      <c r="H243" s="38">
        <v>2.5145944062037122</v>
      </c>
      <c r="I243" s="38">
        <v>7.0140280561122257</v>
      </c>
      <c r="J243" s="10">
        <v>0</v>
      </c>
      <c r="K243" s="39">
        <v>0</v>
      </c>
      <c r="L243" s="39">
        <v>0</v>
      </c>
      <c r="M243" s="39">
        <v>1</v>
      </c>
      <c r="N243" s="39">
        <v>0</v>
      </c>
      <c r="O243" s="39">
        <v>0</v>
      </c>
      <c r="P243" s="39">
        <v>0</v>
      </c>
      <c r="Q243" s="39">
        <v>0</v>
      </c>
      <c r="R243" s="39">
        <v>0</v>
      </c>
      <c r="S243" s="39">
        <v>0</v>
      </c>
      <c r="T243" s="39">
        <v>0</v>
      </c>
      <c r="U243" s="29" t="str" cm="1">
        <f t="array" aca="1" ref="U243" ca="1">+fair_value_gap(OFFSET(T242,0,0,-1*$J$5,-1*$AA$1),OFFSET(E242,0,0,-1*$J$5,1),F243:T243,0)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V243" s="9" t="str" cm="1">
        <f t="array" aca="1" ref="V243" ca="1">z_score_diff(OFFSET(U243,0,0,$J$5*-1,1),OFFSET(E243,0,0,$J$5*-1,1))</f>
        <v/>
      </c>
      <c r="W243" s="9" t="str">
        <f t="shared" ca="1" si="216"/>
        <v/>
      </c>
      <c r="X243" s="17">
        <f t="shared" ca="1" si="211"/>
        <v>3.1919624564341588E-2</v>
      </c>
      <c r="Y243" s="13">
        <f t="shared" ref="Y243:Z243" ca="1" si="261">+Y242</f>
        <v>0</v>
      </c>
      <c r="Z243" s="13">
        <f t="shared" ca="1" si="261"/>
        <v>0</v>
      </c>
      <c r="AA243" t="str">
        <f t="shared" ca="1" si="218"/>
        <v/>
      </c>
      <c r="AB243" t="str">
        <f t="shared" ca="1" si="219"/>
        <v/>
      </c>
      <c r="AC243" s="24" t="str">
        <f t="shared" ca="1" si="220"/>
        <v/>
      </c>
      <c r="AD243" s="24" t="str">
        <f t="shared" ca="1" si="221"/>
        <v/>
      </c>
    </row>
    <row r="244" spans="3:30" x14ac:dyDescent="0.25">
      <c r="C244" s="6">
        <v>338</v>
      </c>
      <c r="D244" s="36">
        <v>42488</v>
      </c>
      <c r="E244" s="38">
        <v>14.45</v>
      </c>
      <c r="F244" s="38">
        <v>43.697408908711509</v>
      </c>
      <c r="G244" s="38">
        <v>27.78</v>
      </c>
      <c r="H244" s="38">
        <v>2.4950091130381602</v>
      </c>
      <c r="I244" s="38">
        <v>6.9933228969210273</v>
      </c>
      <c r="J244" s="10">
        <v>0</v>
      </c>
      <c r="K244" s="39">
        <v>0</v>
      </c>
      <c r="L244" s="39">
        <v>0</v>
      </c>
      <c r="M244" s="39">
        <v>1</v>
      </c>
      <c r="N244" s="39">
        <v>0</v>
      </c>
      <c r="O244" s="39">
        <v>0</v>
      </c>
      <c r="P244" s="39">
        <v>0</v>
      </c>
      <c r="Q244" s="39">
        <v>0</v>
      </c>
      <c r="R244" s="39">
        <v>0</v>
      </c>
      <c r="S244" s="39">
        <v>0</v>
      </c>
      <c r="T244" s="39">
        <v>0</v>
      </c>
      <c r="U244" s="29" t="str" cm="1">
        <f t="array" aca="1" ref="U244" ca="1">+fair_value_gap(OFFSET(T243,0,0,-1*$J$5,-1*$AA$1),OFFSET(E243,0,0,-1*$J$5,1),F244:T244,0)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V244" s="9" t="str" cm="1">
        <f t="array" aca="1" ref="V244" ca="1">z_score_diff(OFFSET(U244,0,0,$J$5*-1,1),OFFSET(E244,0,0,$J$5*-1,1))</f>
        <v/>
      </c>
      <c r="W244" s="9" t="str">
        <f t="shared" ca="1" si="216"/>
        <v/>
      </c>
      <c r="X244" s="17">
        <f t="shared" ca="1" si="211"/>
        <v>9.2475085764848391E-2</v>
      </c>
      <c r="Y244" s="13">
        <f t="shared" ref="Y244:Z244" ca="1" si="262">+Y243</f>
        <v>0</v>
      </c>
      <c r="Z244" s="13">
        <f t="shared" ca="1" si="262"/>
        <v>0</v>
      </c>
      <c r="AA244" t="str">
        <f t="shared" ca="1" si="218"/>
        <v/>
      </c>
      <c r="AB244" t="str">
        <f t="shared" ca="1" si="219"/>
        <v/>
      </c>
      <c r="AC244" s="24" t="str">
        <f t="shared" ca="1" si="220"/>
        <v/>
      </c>
      <c r="AD244" s="24" t="str">
        <f t="shared" ca="1" si="221"/>
        <v/>
      </c>
    </row>
    <row r="245" spans="3:30" x14ac:dyDescent="0.25">
      <c r="C245" s="6">
        <v>339</v>
      </c>
      <c r="D245" s="36">
        <v>42489</v>
      </c>
      <c r="E245" s="38">
        <v>14.404</v>
      </c>
      <c r="F245" s="38">
        <v>42.982397971706192</v>
      </c>
      <c r="G245" s="38">
        <v>26.72</v>
      </c>
      <c r="H245" s="38">
        <v>2.4785281779717581</v>
      </c>
      <c r="I245" s="38">
        <v>6.9326448341461617</v>
      </c>
      <c r="J245" s="10">
        <v>0</v>
      </c>
      <c r="K245" s="39">
        <v>0</v>
      </c>
      <c r="L245" s="39">
        <v>0</v>
      </c>
      <c r="M245" s="39">
        <v>1</v>
      </c>
      <c r="N245" s="39">
        <v>0</v>
      </c>
      <c r="O245" s="39">
        <v>0</v>
      </c>
      <c r="P245" s="39">
        <v>0</v>
      </c>
      <c r="Q245" s="39">
        <v>0</v>
      </c>
      <c r="R245" s="39">
        <v>0</v>
      </c>
      <c r="S245" s="39">
        <v>0</v>
      </c>
      <c r="T245" s="39">
        <v>0</v>
      </c>
      <c r="U245" s="29" t="str" cm="1">
        <f t="array" aca="1" ref="U245" ca="1">+fair_value_gap(OFFSET(T244,0,0,-1*$J$5,-1*$AA$1),OFFSET(E244,0,0,-1*$J$5,1),F245:T245,0)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V245" s="9" t="str" cm="1">
        <f t="array" aca="1" ref="V245" ca="1">z_score_diff(OFFSET(U245,0,0,$J$5*-1,1),OFFSET(E245,0,0,$J$5*-1,1))</f>
        <v/>
      </c>
      <c r="W245" s="9" t="str">
        <f t="shared" ca="1" si="216"/>
        <v/>
      </c>
      <c r="X245" s="17">
        <f t="shared" ca="1" si="211"/>
        <v>7.3463102072690994E-2</v>
      </c>
      <c r="Y245" s="13">
        <f t="shared" ref="Y245:Z245" ca="1" si="263">+Y244</f>
        <v>0</v>
      </c>
      <c r="Z245" s="13">
        <f t="shared" ca="1" si="263"/>
        <v>0</v>
      </c>
      <c r="AA245" t="str">
        <f t="shared" ca="1" si="218"/>
        <v/>
      </c>
      <c r="AB245" t="str">
        <f t="shared" ca="1" si="219"/>
        <v/>
      </c>
      <c r="AC245" s="24" t="str">
        <f t="shared" ca="1" si="220"/>
        <v/>
      </c>
      <c r="AD245" s="24" t="str">
        <f t="shared" ca="1" si="221"/>
        <v/>
      </c>
    </row>
    <row r="246" spans="3:30" x14ac:dyDescent="0.25">
      <c r="C246" s="6">
        <v>340</v>
      </c>
      <c r="D246" s="36">
        <v>42492</v>
      </c>
      <c r="E246" s="38">
        <v>13.8</v>
      </c>
      <c r="F246" s="38">
        <v>41.966549964578689</v>
      </c>
      <c r="G246" s="38">
        <v>25.93</v>
      </c>
      <c r="H246" s="38">
        <v>2.4358566309715708</v>
      </c>
      <c r="I246" s="38">
        <v>6.887476599691305</v>
      </c>
      <c r="J246" s="10">
        <v>0</v>
      </c>
      <c r="K246" s="39">
        <v>0</v>
      </c>
      <c r="L246" s="39">
        <v>0</v>
      </c>
      <c r="M246" s="39">
        <v>0</v>
      </c>
      <c r="N246" s="39">
        <v>1</v>
      </c>
      <c r="O246" s="39">
        <v>0</v>
      </c>
      <c r="P246" s="39">
        <v>0</v>
      </c>
      <c r="Q246" s="39">
        <v>0</v>
      </c>
      <c r="R246" s="39">
        <v>0</v>
      </c>
      <c r="S246" s="39">
        <v>0</v>
      </c>
      <c r="T246" s="39">
        <v>0</v>
      </c>
      <c r="U246" s="29" t="str" cm="1">
        <f t="array" aca="1" ref="U246" ca="1">+fair_value_gap(OFFSET(T245,0,0,-1*$J$5,-1*$AA$1),OFFSET(E245,0,0,-1*$J$5,1),F246:T246,0)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V246" s="9" t="str" cm="1">
        <f t="array" aca="1" ref="V246" ca="1">z_score_diff(OFFSET(U246,0,0,$J$5*-1,1),OFFSET(E246,0,0,$J$5*-1,1))</f>
        <v/>
      </c>
      <c r="W246" s="9" t="str">
        <f t="shared" ca="1" si="216"/>
        <v/>
      </c>
      <c r="X246" s="17">
        <f t="shared" ca="1" si="211"/>
        <v>0.11177468344026897</v>
      </c>
      <c r="Y246" s="13">
        <f t="shared" ref="Y246:Z246" ca="1" si="264">+Y245</f>
        <v>0</v>
      </c>
      <c r="Z246" s="13">
        <f t="shared" ca="1" si="264"/>
        <v>0</v>
      </c>
      <c r="AA246" t="str">
        <f t="shared" ca="1" si="218"/>
        <v/>
      </c>
      <c r="AB246" t="str">
        <f t="shared" ca="1" si="219"/>
        <v/>
      </c>
      <c r="AC246" s="24" t="str">
        <f t="shared" ca="1" si="220"/>
        <v/>
      </c>
      <c r="AD246" s="24" t="str">
        <f t="shared" ca="1" si="221"/>
        <v/>
      </c>
    </row>
    <row r="247" spans="3:30" x14ac:dyDescent="0.25">
      <c r="C247" s="6">
        <v>341</v>
      </c>
      <c r="D247" s="36">
        <v>42493</v>
      </c>
      <c r="E247" s="38">
        <v>13.866</v>
      </c>
      <c r="F247" s="38">
        <v>41.43110662588775</v>
      </c>
      <c r="G247" s="38">
        <v>25.85</v>
      </c>
      <c r="H247" s="38">
        <v>2.4508541947708244</v>
      </c>
      <c r="I247" s="38">
        <v>6.9080449117314915</v>
      </c>
      <c r="J247" s="10">
        <v>0</v>
      </c>
      <c r="K247" s="39">
        <v>0</v>
      </c>
      <c r="L247" s="39">
        <v>0</v>
      </c>
      <c r="M247" s="39">
        <v>0</v>
      </c>
      <c r="N247" s="39">
        <v>1</v>
      </c>
      <c r="O247" s="39">
        <v>0</v>
      </c>
      <c r="P247" s="39">
        <v>0</v>
      </c>
      <c r="Q247" s="39">
        <v>0</v>
      </c>
      <c r="R247" s="39">
        <v>0</v>
      </c>
      <c r="S247" s="39">
        <v>0</v>
      </c>
      <c r="T247" s="39">
        <v>0</v>
      </c>
      <c r="U247" s="29" t="str" cm="1">
        <f t="array" aca="1" ref="U247" ca="1">+fair_value_gap(OFFSET(T246,0,0,-1*$J$5,-1*$AA$1),OFFSET(E246,0,0,-1*$J$5,1),F247:T247,0)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V247" s="9" t="str" cm="1">
        <f t="array" aca="1" ref="V247" ca="1">z_score_diff(OFFSET(U247,0,0,$J$5*-1,1),OFFSET(E247,0,0,$J$5*-1,1))</f>
        <v/>
      </c>
      <c r="W247" s="9" t="str">
        <f t="shared" ca="1" si="216"/>
        <v/>
      </c>
      <c r="X247" s="17">
        <f t="shared" ca="1" si="211"/>
        <v>0.11815157520244413</v>
      </c>
      <c r="Y247" s="13">
        <f t="shared" ref="Y247:Z247" ca="1" si="265">+Y246</f>
        <v>0</v>
      </c>
      <c r="Z247" s="13">
        <f t="shared" ca="1" si="265"/>
        <v>0</v>
      </c>
      <c r="AA247" t="str">
        <f t="shared" ca="1" si="218"/>
        <v/>
      </c>
      <c r="AB247" t="str">
        <f t="shared" ca="1" si="219"/>
        <v/>
      </c>
      <c r="AC247" s="24" t="str">
        <f t="shared" ca="1" si="220"/>
        <v/>
      </c>
      <c r="AD247" s="24" t="str">
        <f t="shared" ca="1" si="221"/>
        <v/>
      </c>
    </row>
    <row r="248" spans="3:30" x14ac:dyDescent="0.25">
      <c r="C248" s="6">
        <v>342</v>
      </c>
      <c r="D248" s="36">
        <v>42494</v>
      </c>
      <c r="E248" s="38">
        <v>14.215999999999999</v>
      </c>
      <c r="F248" s="38">
        <v>41.425810607687346</v>
      </c>
      <c r="G248" s="38">
        <v>26.37</v>
      </c>
      <c r="H248" s="38">
        <v>2.4728365900794502</v>
      </c>
      <c r="I248" s="38">
        <v>6.914322525230836</v>
      </c>
      <c r="J248" s="10">
        <v>0</v>
      </c>
      <c r="K248" s="39">
        <v>0</v>
      </c>
      <c r="L248" s="39">
        <v>0</v>
      </c>
      <c r="M248" s="39">
        <v>0</v>
      </c>
      <c r="N248" s="39">
        <v>1</v>
      </c>
      <c r="O248" s="39">
        <v>0</v>
      </c>
      <c r="P248" s="39">
        <v>0</v>
      </c>
      <c r="Q248" s="39">
        <v>0</v>
      </c>
      <c r="R248" s="39">
        <v>0</v>
      </c>
      <c r="S248" s="39">
        <v>0</v>
      </c>
      <c r="T248" s="39">
        <v>0</v>
      </c>
      <c r="U248" s="29" t="str" cm="1">
        <f t="array" aca="1" ref="U248" ca="1">+fair_value_gap(OFFSET(T247,0,0,-1*$J$5,-1*$AA$1),OFFSET(E247,0,0,-1*$J$5,1),F248:T248,0)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V248" s="9" t="str" cm="1">
        <f t="array" aca="1" ref="V248" ca="1">z_score_diff(OFFSET(U248,0,0,$J$5*-1,1),OFFSET(E248,0,0,$J$5*-1,1))</f>
        <v/>
      </c>
      <c r="W248" s="9" t="str">
        <f t="shared" ca="1" si="216"/>
        <v/>
      </c>
      <c r="X248" s="17">
        <f t="shared" ca="1" si="211"/>
        <v>0.10171007926044145</v>
      </c>
      <c r="Y248" s="13">
        <f t="shared" ref="Y248:Z248" ca="1" si="266">+Y247</f>
        <v>0</v>
      </c>
      <c r="Z248" s="13">
        <f t="shared" ca="1" si="266"/>
        <v>0</v>
      </c>
      <c r="AA248" t="str">
        <f t="shared" ca="1" si="218"/>
        <v/>
      </c>
      <c r="AB248" t="str">
        <f t="shared" ca="1" si="219"/>
        <v/>
      </c>
      <c r="AC248" s="24" t="str">
        <f t="shared" ca="1" si="220"/>
        <v/>
      </c>
      <c r="AD248" s="24" t="str">
        <f t="shared" ca="1" si="221"/>
        <v/>
      </c>
    </row>
    <row r="249" spans="3:30" x14ac:dyDescent="0.25">
      <c r="C249" s="6">
        <v>343</v>
      </c>
      <c r="D249" s="36">
        <v>42495</v>
      </c>
      <c r="E249" s="38">
        <v>14.523999999999999</v>
      </c>
      <c r="F249" s="38">
        <v>42.007279877180203</v>
      </c>
      <c r="G249" s="38">
        <v>26.37</v>
      </c>
      <c r="H249" s="38">
        <v>2.4967244014352055</v>
      </c>
      <c r="I249" s="38">
        <v>6.9665966833807307</v>
      </c>
      <c r="J249" s="10">
        <v>0</v>
      </c>
      <c r="K249" s="39">
        <v>0</v>
      </c>
      <c r="L249" s="39">
        <v>0</v>
      </c>
      <c r="M249" s="39">
        <v>0</v>
      </c>
      <c r="N249" s="39">
        <v>1</v>
      </c>
      <c r="O249" s="39">
        <v>0</v>
      </c>
      <c r="P249" s="39">
        <v>0</v>
      </c>
      <c r="Q249" s="39">
        <v>0</v>
      </c>
      <c r="R249" s="39">
        <v>0</v>
      </c>
      <c r="S249" s="39">
        <v>0</v>
      </c>
      <c r="T249" s="39">
        <v>0</v>
      </c>
      <c r="U249" s="29" t="str" cm="1">
        <f t="array" aca="1" ref="U249" ca="1">+fair_value_gap(OFFSET(T248,0,0,-1*$J$5,-1*$AA$1),OFFSET(E248,0,0,-1*$J$5,1),F249:T249,0)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V249" s="9" t="str" cm="1">
        <f t="array" aca="1" ref="V249" ca="1">z_score_diff(OFFSET(U249,0,0,$J$5*-1,1),OFFSET(E249,0,0,$J$5*-1,1))</f>
        <v/>
      </c>
      <c r="W249" s="9" t="str">
        <f t="shared" ca="1" si="216"/>
        <v/>
      </c>
      <c r="X249" s="17">
        <f t="shared" ca="1" si="211"/>
        <v>7.811300342207067E-2</v>
      </c>
      <c r="Y249" s="13">
        <f t="shared" ref="Y249:Z249" ca="1" si="267">+Y248</f>
        <v>0</v>
      </c>
      <c r="Z249" s="13">
        <f t="shared" ca="1" si="267"/>
        <v>0</v>
      </c>
      <c r="AA249" t="str">
        <f t="shared" ca="1" si="218"/>
        <v/>
      </c>
      <c r="AB249" t="str">
        <f t="shared" ca="1" si="219"/>
        <v/>
      </c>
      <c r="AC249" s="24" t="str">
        <f t="shared" ca="1" si="220"/>
        <v/>
      </c>
      <c r="AD249" s="24" t="str">
        <f t="shared" ca="1" si="221"/>
        <v/>
      </c>
    </row>
    <row r="250" spans="3:30" x14ac:dyDescent="0.25">
      <c r="C250" s="6">
        <v>344</v>
      </c>
      <c r="D250" s="36">
        <v>42496</v>
      </c>
      <c r="E250" s="38">
        <v>14.419</v>
      </c>
      <c r="F250" s="38">
        <v>42.470340853041201</v>
      </c>
      <c r="G250" s="38">
        <v>26.59</v>
      </c>
      <c r="H250" s="38">
        <v>2.4774365497607369</v>
      </c>
      <c r="I250" s="38">
        <v>6.9658973893028051</v>
      </c>
      <c r="J250" s="10">
        <v>0</v>
      </c>
      <c r="K250" s="39">
        <v>0</v>
      </c>
      <c r="L250" s="39">
        <v>0</v>
      </c>
      <c r="M250" s="39">
        <v>0</v>
      </c>
      <c r="N250" s="39">
        <v>1</v>
      </c>
      <c r="O250" s="39">
        <v>0</v>
      </c>
      <c r="P250" s="39">
        <v>0</v>
      </c>
      <c r="Q250" s="39">
        <v>0</v>
      </c>
      <c r="R250" s="39">
        <v>0</v>
      </c>
      <c r="S250" s="39">
        <v>0</v>
      </c>
      <c r="T250" s="39">
        <v>0</v>
      </c>
      <c r="U250" s="29" t="str" cm="1">
        <f t="array" aca="1" ref="U250" ca="1">+fair_value_gap(OFFSET(T249,0,0,-1*$J$5,-1*$AA$1),OFFSET(E249,0,0,-1*$J$5,1),F250:T250,0)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V250" s="9" t="str" cm="1">
        <f t="array" aca="1" ref="V250" ca="1">z_score_diff(OFFSET(U250,0,0,$J$5*-1,1),OFFSET(E250,0,0,$J$5*-1,1))</f>
        <v/>
      </c>
      <c r="W250" s="9" t="str">
        <f t="shared" ca="1" si="216"/>
        <v/>
      </c>
      <c r="X250" s="17">
        <f t="shared" ca="1" si="211"/>
        <v>0.10554081703900731</v>
      </c>
      <c r="Y250" s="13">
        <f t="shared" ref="Y250:Z250" ca="1" si="268">+Y249</f>
        <v>0</v>
      </c>
      <c r="Z250" s="13">
        <f t="shared" ca="1" si="268"/>
        <v>0</v>
      </c>
      <c r="AA250" t="str">
        <f t="shared" ca="1" si="218"/>
        <v/>
      </c>
      <c r="AB250" t="str">
        <f t="shared" ca="1" si="219"/>
        <v/>
      </c>
      <c r="AC250" s="24" t="str">
        <f t="shared" ca="1" si="220"/>
        <v/>
      </c>
      <c r="AD250" s="24" t="str">
        <f t="shared" ca="1" si="221"/>
        <v/>
      </c>
    </row>
    <row r="251" spans="3:30" x14ac:dyDescent="0.25">
      <c r="C251" s="6">
        <v>345</v>
      </c>
      <c r="D251" s="36">
        <v>42499</v>
      </c>
      <c r="E251" s="38">
        <v>14.553000000000001</v>
      </c>
      <c r="F251" s="38">
        <v>41.378185864462381</v>
      </c>
      <c r="G251" s="38">
        <v>26.84</v>
      </c>
      <c r="H251" s="38">
        <v>2.4639577874855925</v>
      </c>
      <c r="I251" s="38">
        <v>6.9816473739032103</v>
      </c>
      <c r="J251" s="10">
        <v>0</v>
      </c>
      <c r="K251" s="39">
        <v>0</v>
      </c>
      <c r="L251" s="39">
        <v>0</v>
      </c>
      <c r="M251" s="39">
        <v>0</v>
      </c>
      <c r="N251" s="39">
        <v>1</v>
      </c>
      <c r="O251" s="39">
        <v>0</v>
      </c>
      <c r="P251" s="39">
        <v>0</v>
      </c>
      <c r="Q251" s="39">
        <v>0</v>
      </c>
      <c r="R251" s="39">
        <v>0</v>
      </c>
      <c r="S251" s="39">
        <v>0</v>
      </c>
      <c r="T251" s="39">
        <v>0</v>
      </c>
      <c r="U251" s="29" t="str" cm="1">
        <f t="array" aca="1" ref="U251" ca="1">+fair_value_gap(OFFSET(T250,0,0,-1*$J$5,-1*$AA$1),OFFSET(E250,0,0,-1*$J$5,1),F251:T251,0)</f>
        <v>TypeError: '&gt;=' not supported between instances of 'NoneType' and 'float'
    return ufunc.reduce(obj, axis, dtype, out, **passkwargs)
  File "C:\Users\jeroe\Anaconda3\lib\site-packages\numpy\core\fromnumeric.py", line 87, in _wrapreduction
    keepdims=keepdims, initial=initial, where=where)
  File "C:\Users\jeroe\Anaconda3\lib\site-packages\numpy\core\fromnumeric.py", line 2706, in amax
  File "&lt;__array_function__ internals&gt;", line 6, in amax
    exog_max = np.max(self.exog, axis=0)
  File "C:\Users\jeroe\Anaconda3\lib\site-packages\statsmodels\base\data.py", line 131, in _handle_constant
    self._handle_constant(hasconst)
  File "C:\Users\jeroe\Anaconda3\lib\site-packages\statsmodels\base\data.py", line 87, in __init__
    **kwargs)
  File "C:\Users\jeroe\Anaconda3\lib\site-packages\statsmodels\base\data.py", line 673, in handle_data
    data = handle_data(endog, exog, missing, hasconst, **kwargs)
  File "C:\Users\jeroe\Anaconda3\lib\site-packages\statsmodels\base\model.py", line 101, in _handle_data
    **kwargs)
  File "C:\Users\jeroe\Anaconda3\lib\site-packages\statsmodels\base\model.py", line 78, in __init__
    super(LikelihoodModel, self).__init__(endog, exog, **kwargs)
  File "C:\Users\jeroe\Anaconda3\lib\site-packages\statsmodels\base\model.py", line 237, in __init__
    super(RegressionModel, self).__init__(endog, exog, **kwargs)
  File "C:\Users\jeroe\Anaconda3\lib\site-packages\statsmodels\regression\linear_model.py", line 190, in __init__
    weights=weights, hasconst=hasconst, **kwargs)
  File "C:\Users\jeroe\Anaconda3\lib\site-packages\statsmodels\regression\linear_model.py", line 704,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V251" s="9" t="str" cm="1">
        <f t="array" aca="1" ref="V251" ca="1">z_score_diff(OFFSET(U251,0,0,$J$5*-1,1),OFFSET(E251,0,0,$J$5*-1,1))</f>
        <v/>
      </c>
      <c r="W251" s="9" t="str">
        <f t="shared" ca="1" si="216"/>
        <v/>
      </c>
      <c r="X251" s="17">
        <f t="shared" ca="1" si="211"/>
        <v>0.14036226585105083</v>
      </c>
      <c r="Y251" s="13">
        <f t="shared" ref="Y251:Z251" ca="1" si="269">+Y250</f>
        <v>0</v>
      </c>
      <c r="Z251" s="13">
        <f t="shared" ca="1" si="269"/>
        <v>0</v>
      </c>
      <c r="AA251" t="str">
        <f t="shared" ca="1" si="218"/>
        <v/>
      </c>
      <c r="AB251" t="str">
        <f t="shared" ca="1" si="219"/>
        <v/>
      </c>
      <c r="AC251" s="24" t="str">
        <f t="shared" ca="1" si="220"/>
        <v/>
      </c>
      <c r="AD251" s="24" t="str">
        <f t="shared" ca="1" si="221"/>
        <v/>
      </c>
    </row>
    <row r="252" spans="3:30" x14ac:dyDescent="0.25">
      <c r="C252" s="6">
        <v>346</v>
      </c>
      <c r="D252" s="36">
        <v>42500</v>
      </c>
      <c r="E252" s="38">
        <v>14.471</v>
      </c>
      <c r="F252" s="38">
        <v>42.69892614933952</v>
      </c>
      <c r="G252" s="38">
        <v>26.42</v>
      </c>
      <c r="H252" s="38">
        <v>2.4598954609505697</v>
      </c>
      <c r="I252" s="38">
        <v>6.9848883459090256</v>
      </c>
      <c r="J252" s="10">
        <v>0</v>
      </c>
      <c r="K252" s="39">
        <v>0</v>
      </c>
      <c r="L252" s="39">
        <v>0</v>
      </c>
      <c r="M252" s="39">
        <v>0</v>
      </c>
      <c r="N252" s="39">
        <v>1</v>
      </c>
      <c r="O252" s="39">
        <v>0</v>
      </c>
      <c r="P252" s="39">
        <v>0</v>
      </c>
      <c r="Q252" s="39">
        <v>0</v>
      </c>
      <c r="R252" s="39">
        <v>0</v>
      </c>
      <c r="S252" s="39">
        <v>0</v>
      </c>
      <c r="T252" s="39">
        <v>0</v>
      </c>
      <c r="U252" s="29" t="str" cm="1">
        <f t="array" aca="1" ref="U252" ca="1">+fair_value_gap(OFFSET(T251,0,0,-1*$J$5,-1*$AA$1),OFFSET(E251,0,0,-1*$J$5,1),F252:T252,0)</f>
        <v>TypeError: '&gt;=' not supported between instances of 'str' and 'float'
    return ufunc.reduce(obj, axis, dtype, out, **passkwargs)
  File "C:\Users\jeroe\Anaconda3\lib\site-packages\numpy\core\fromnumeric.py", line 87, in _wrapreduction
    keepdims=keepdims, initial=initial, where=where)
  File "C:\Users\jeroe\Anaconda3\lib\site-packages\numpy\core\fromnumeric.py", line 2706, in amax
  File "&lt;__array_function__ internals&gt;", line 6, in amax
    exog_max = np.max(self.exog, axis=0)
  File "C:\Users\jeroe\Anaconda3\lib\site-packages\statsmodels\base\data.py", line 131, in _handle_constant
    self._handle_constant(hasconst)
  File "C:\Users\jeroe\Anaconda3\lib\site-packages\statsmodels\base\data.py", line 87, in __init__
    **kwargs)
  File "C:\Users\jeroe\Anaconda3\lib\site-packages\statsmodels\base\data.py", line 673, in handle_data
    data = handle_data(endog, exog, missing, hasconst, **kwargs)
  File "C:\Users\jeroe\Anaconda3\lib\site-packages\statsmodels\base\model.py", line 101, in _handle_data
    **kwargs)
  File "C:\Users\jeroe\Anaconda3\lib\site-packages\statsmodels\base\model.py", line 78, in __init__
    super(LikelihoodModel, self).__init__(endog, exog, **kwargs)
  File "C:\Users\jeroe\Anaconda3\lib\site-packages\statsmodels\base\model.py", line 237, in __init__
    super(RegressionModel, self).__init__(endog, exog, **kwargs)
  File "C:\Users\jeroe\Anaconda3\lib\site-packages\statsmodels\regression\linear_model.py", line 190, in __init__
    weights=weights, hasconst=hasconst, **kwargs)
  File "C:\Users\jeroe\Anaconda3\lib\site-packages\statsmodels\regression\linear_model.py", line 704,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V252" s="9" t="str" cm="1">
        <f t="array" aca="1" ref="V252" ca="1">z_score_diff(OFFSET(U252,0,0,$J$5*-1,1),OFFSET(E252,0,0,$J$5*-1,1))</f>
        <v/>
      </c>
      <c r="W252" s="9" t="str">
        <f t="shared" ca="1" si="216"/>
        <v/>
      </c>
      <c r="X252" s="17">
        <f t="shared" ca="1" si="211"/>
        <v>0.12476876747498318</v>
      </c>
      <c r="Y252" s="13">
        <f t="shared" ref="Y252:Z252" ca="1" si="270">+Y251</f>
        <v>0</v>
      </c>
      <c r="Z252" s="13">
        <f t="shared" ca="1" si="270"/>
        <v>0</v>
      </c>
      <c r="AA252" t="str">
        <f t="shared" ca="1" si="218"/>
        <v/>
      </c>
      <c r="AB252" t="str">
        <f t="shared" ca="1" si="219"/>
        <v/>
      </c>
      <c r="AC252" s="24" t="str">
        <f t="shared" ca="1" si="220"/>
        <v/>
      </c>
      <c r="AD252" s="24" t="str">
        <f t="shared" ca="1" si="221"/>
        <v/>
      </c>
    </row>
    <row r="253" spans="3:30" x14ac:dyDescent="0.25">
      <c r="C253" s="6">
        <v>347</v>
      </c>
      <c r="D253" s="36">
        <v>42501</v>
      </c>
      <c r="E253" s="38">
        <v>14.629</v>
      </c>
      <c r="F253" s="38">
        <v>43.89161370544349</v>
      </c>
      <c r="G253" s="38">
        <v>26.56</v>
      </c>
      <c r="H253" s="38">
        <v>2.4436999171041727</v>
      </c>
      <c r="I253" s="38">
        <v>6.9511605415860744</v>
      </c>
      <c r="J253" s="10">
        <v>0</v>
      </c>
      <c r="K253" s="39">
        <v>0</v>
      </c>
      <c r="L253" s="39">
        <v>0</v>
      </c>
      <c r="M253" s="39">
        <v>0</v>
      </c>
      <c r="N253" s="39">
        <v>1</v>
      </c>
      <c r="O253" s="39">
        <v>0</v>
      </c>
      <c r="P253" s="39">
        <v>0</v>
      </c>
      <c r="Q253" s="39">
        <v>0</v>
      </c>
      <c r="R253" s="39">
        <v>0</v>
      </c>
      <c r="S253" s="39">
        <v>0</v>
      </c>
      <c r="T253" s="39">
        <v>0</v>
      </c>
      <c r="U253" s="29" t="str" cm="1">
        <f t="array" aca="1" ref="U253" ca="1">+fair_value_gap(OFFSET(T252,0,0,-1*$J$5,-1*$AA$1),OFFSET(E252,0,0,-1*$J$5,1),F253:T253,0)</f>
        <v>TypeError: '&gt;=' not supported between instances of 'str' and 'float'
    return ufunc.reduce(obj, axis, dtype, out, **passkwargs)
  File "C:\Users\jeroe\Anaconda3\lib\site-packages\numpy\core\fromnumeric.py", line 87, in _wrapreduction
    keepdims=keepdims, initial=initial, where=where)
  File "C:\Users\jeroe\Anaconda3\lib\site-packages\numpy\core\fromnumeric.py", line 2706, in amax
  File "&lt;__array_function__ internals&gt;", line 6, in amax
    exog_max = np.max(self.exog, axis=0)
  File "C:\Users\jeroe\Anaconda3\lib\site-packages\statsmodels\base\data.py", line 131, in _handle_constant
    self._handle_constant(hasconst)
  File "C:\Users\jeroe\Anaconda3\lib\site-packages\statsmodels\base\data.py", line 87, in __init__
    **kwargs)
  File "C:\Users\jeroe\Anaconda3\lib\site-packages\statsmodels\base\data.py", line 673, in handle_data
    data = handle_data(endog, exog, missing, hasconst, **kwargs)
  File "C:\Users\jeroe\Anaconda3\lib\site-packages\statsmodels\base\model.py", line 101, in _handle_data
    **kwargs)
  File "C:\Users\jeroe\Anaconda3\lib\site-packages\statsmodels\base\model.py", line 78, in __init__
    super(LikelihoodModel, self).__init__(endog, exog, **kwargs)
  File "C:\Users\jeroe\Anaconda3\lib\site-packages\statsmodels\base\model.py", line 237, in __init__
    super(RegressionModel, self).__init__(endog, exog, **kwargs)
  File "C:\Users\jeroe\Anaconda3\lib\site-packages\statsmodels\regression\linear_model.py", line 190, in __init__
    weights=weights, hasconst=hasconst, **kwargs)
  File "C:\Users\jeroe\Anaconda3\lib\site-packages\statsmodels\regression\linear_model.py", line 704,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V253" s="9" t="str" cm="1">
        <f t="array" aca="1" ref="V253" ca="1">z_score_diff(OFFSET(U253,0,0,$J$5*-1,1),OFFSET(E253,0,0,$J$5*-1,1))</f>
        <v/>
      </c>
      <c r="W253" s="9" t="str">
        <f t="shared" ca="1" si="216"/>
        <v/>
      </c>
      <c r="X253" s="17">
        <f t="shared" ca="1" si="211"/>
        <v>0.15091311739543803</v>
      </c>
      <c r="Y253" s="13">
        <f t="shared" ref="Y253:Z253" ca="1" si="271">+Y252</f>
        <v>0</v>
      </c>
      <c r="Z253" s="13">
        <f t="shared" ca="1" si="271"/>
        <v>0</v>
      </c>
      <c r="AA253" t="str">
        <f t="shared" ca="1" si="218"/>
        <v/>
      </c>
      <c r="AB253" t="str">
        <f t="shared" ca="1" si="219"/>
        <v/>
      </c>
      <c r="AC253" s="24" t="str">
        <f t="shared" ca="1" si="220"/>
        <v/>
      </c>
      <c r="AD253" s="24" t="str">
        <f t="shared" ca="1" si="221"/>
        <v/>
      </c>
    </row>
    <row r="254" spans="3:30" x14ac:dyDescent="0.25">
      <c r="C254" s="6">
        <v>348</v>
      </c>
      <c r="D254" s="36">
        <v>42502</v>
      </c>
      <c r="E254" s="38">
        <v>14.476000000000001</v>
      </c>
      <c r="F254" s="38">
        <v>44.242490487864544</v>
      </c>
      <c r="G254" s="38">
        <v>26.79</v>
      </c>
      <c r="H254" s="38">
        <v>2.4420119749674254</v>
      </c>
      <c r="I254" s="38">
        <v>6.9833734985746982</v>
      </c>
      <c r="J254" s="10">
        <v>0</v>
      </c>
      <c r="K254" s="39">
        <v>0</v>
      </c>
      <c r="L254" s="39">
        <v>0</v>
      </c>
      <c r="M254" s="39">
        <v>0</v>
      </c>
      <c r="N254" s="39">
        <v>1</v>
      </c>
      <c r="O254" s="39">
        <v>0</v>
      </c>
      <c r="P254" s="39">
        <v>0</v>
      </c>
      <c r="Q254" s="39">
        <v>0</v>
      </c>
      <c r="R254" s="39">
        <v>0</v>
      </c>
      <c r="S254" s="39">
        <v>0</v>
      </c>
      <c r="T254" s="39">
        <v>0</v>
      </c>
      <c r="U254" s="29" t="str" cm="1">
        <f t="array" aca="1" ref="U254" ca="1">+fair_value_gap(OFFSET(T253,0,0,-1*$J$5,-1*$AA$1),OFFSET(E253,0,0,-1*$J$5,1),F254:T254,0)</f>
        <v>TypeError: '&gt;=' not supported between instances of 'str' and 'float'
    return ufunc.reduce(obj, axis, dtype, out, **passkwargs)
  File "C:\Users\jeroe\Anaconda3\lib\site-packages\numpy\core\fromnumeric.py", line 87, in _wrapreduction
    keepdims=keepdims, initial=initial, where=where)
  File "C:\Users\jeroe\Anaconda3\lib\site-packages\numpy\core\fromnumeric.py", line 2706, in amax
  File "&lt;__array_function__ internals&gt;", line 6, in amax
    exog_max = np.max(self.exog, axis=0)
  File "C:\Users\jeroe\Anaconda3\lib\site-packages\statsmodels\base\data.py", line 131, in _handle_constant
    self._handle_constant(hasconst)
  File "C:\Users\jeroe\Anaconda3\lib\site-packages\statsmodels\base\data.py", line 87, in __init__
    **kwargs)
  File "C:\Users\jeroe\Anaconda3\lib\site-packages\statsmodels\base\data.py", line 673, in handle_data
    data = handle_data(endog, exog, missing, hasconst, **kwargs)
  File "C:\Users\jeroe\Anaconda3\lib\site-packages\statsmodels\base\model.py", line 101, in _handle_data
    **kwargs)
  File "C:\Users\jeroe\Anaconda3\lib\site-packages\statsmodels\base\model.py", line 78, in __init__
    super(LikelihoodModel, self).__init__(endog, exog, **kwargs)
  File "C:\Users\jeroe\Anaconda3\lib\site-packages\statsmodels\base\model.py", line 237, in __init__
    super(RegressionModel, self).__init__(endog, exog, **kwargs)
  File "C:\Users\jeroe\Anaconda3\lib\site-packages\statsmodels\regression\linear_model.py", line 190, in __init__
    weights=weights, hasconst=hasconst, **kwargs)
  File "C:\Users\jeroe\Anaconda3\lib\site-packages\statsmodels\regression\linear_model.py", line 704,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V254" s="9" t="str" cm="1">
        <f t="array" aca="1" ref="V254" ca="1">z_score_diff(OFFSET(U254,0,0,$J$5*-1,1),OFFSET(E254,0,0,$J$5*-1,1))</f>
        <v/>
      </c>
      <c r="W254" s="9" t="str">
        <f t="shared" ca="1" si="216"/>
        <v/>
      </c>
      <c r="X254" s="17">
        <f t="shared" ca="1" si="211"/>
        <v>0.14327583063221841</v>
      </c>
      <c r="Y254" s="13">
        <f t="shared" ref="Y254:Z254" ca="1" si="272">+Y253</f>
        <v>0</v>
      </c>
      <c r="Z254" s="13">
        <f t="shared" ca="1" si="272"/>
        <v>0</v>
      </c>
      <c r="AA254" t="str">
        <f t="shared" ca="1" si="218"/>
        <v/>
      </c>
      <c r="AB254" t="str">
        <f t="shared" ca="1" si="219"/>
        <v/>
      </c>
      <c r="AC254" s="24" t="str">
        <f t="shared" ca="1" si="220"/>
        <v/>
      </c>
      <c r="AD254" s="24" t="str">
        <f t="shared" ca="1" si="221"/>
        <v/>
      </c>
    </row>
    <row r="255" spans="3:30" x14ac:dyDescent="0.25">
      <c r="C255" s="6">
        <v>349</v>
      </c>
      <c r="D255" s="36">
        <v>42503</v>
      </c>
      <c r="E255" s="38">
        <v>14.446</v>
      </c>
      <c r="F255" s="38">
        <v>44.046829744913985</v>
      </c>
      <c r="G255" s="38">
        <v>26.78</v>
      </c>
      <c r="H255" s="38">
        <v>2.4348326761349757</v>
      </c>
      <c r="I255" s="38">
        <v>7.0227169626967241</v>
      </c>
      <c r="J255" s="10">
        <v>0</v>
      </c>
      <c r="K255" s="39">
        <v>0</v>
      </c>
      <c r="L255" s="39">
        <v>0</v>
      </c>
      <c r="M255" s="39">
        <v>0</v>
      </c>
      <c r="N255" s="39">
        <v>1</v>
      </c>
      <c r="O255" s="39">
        <v>0</v>
      </c>
      <c r="P255" s="39">
        <v>0</v>
      </c>
      <c r="Q255" s="39">
        <v>0</v>
      </c>
      <c r="R255" s="39">
        <v>0</v>
      </c>
      <c r="S255" s="39">
        <v>0</v>
      </c>
      <c r="T255" s="39">
        <v>0</v>
      </c>
      <c r="U255" s="29" t="str" cm="1">
        <f t="array" aca="1" ref="U255" ca="1">+fair_value_gap(OFFSET(T254,0,0,-1*$J$5,-1*$AA$1),OFFSET(E254,0,0,-1*$J$5,1),F255:T255,0)</f>
        <v>TypeError: '&gt;=' not supported between instances of 'NoneType' and 'float'
    return ufunc.reduce(obj, axis, dtype, out, **passkwargs)
  File "C:\Users\jeroe\Anaconda3\lib\site-packages\numpy\core\fromnumeric.py", line 87, in _wrapreduction
    keepdims=keepdims, initial=initial, where=where)
  File "C:\Users\jeroe\Anaconda3\lib\site-packages\numpy\core\fromnumeric.py", line 2706, in amax
  File "&lt;__array_function__ internals&gt;", line 6, in amax
    exog_max = np.max(self.exog, axis=0)
  File "C:\Users\jeroe\Anaconda3\lib\site-packages\statsmodels\base\data.py", line 131, in _handle_constant
    self._handle_constant(hasconst)
  File "C:\Users\jeroe\Anaconda3\lib\site-packages\statsmodels\base\data.py", line 87, in __init__
    **kwargs)
  File "C:\Users\jeroe\Anaconda3\lib\site-packages\statsmodels\base\data.py", line 673, in handle_data
    data = handle_data(endog, exog, missing, hasconst, **kwargs)
  File "C:\Users\jeroe\Anaconda3\lib\site-packages\statsmodels\base\model.py", line 101, in _handle_data
    **kwargs)
  File "C:\Users\jeroe\Anaconda3\lib\site-packages\statsmodels\base\model.py", line 78, in __init__
    super(LikelihoodModel, self).__init__(endog, exog, **kwargs)
  File "C:\Users\jeroe\Anaconda3\lib\site-packages\statsmodels\base\model.py", line 237, in __init__
    super(RegressionModel, self).__init__(endog, exog, **kwargs)
  File "C:\Users\jeroe\Anaconda3\lib\site-packages\statsmodels\regression\linear_model.py", line 190, in __init__
    weights=weights, hasconst=hasconst, **kwargs)
  File "C:\Users\jeroe\Anaconda3\lib\site-packages\statsmodels\regression\linear_model.py", line 704,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V255" s="9" t="str" cm="1">
        <f t="array" aca="1" ref="V255" ca="1">z_score_diff(OFFSET(U255,0,0,$J$5*-1,1),OFFSET(E255,0,0,$J$5*-1,1))</f>
        <v/>
      </c>
      <c r="W255" s="9" t="str">
        <f t="shared" ca="1" si="216"/>
        <v/>
      </c>
      <c r="X255" s="17">
        <f t="shared" ca="1" si="211"/>
        <v>0.12533822189266058</v>
      </c>
      <c r="Y255" s="13">
        <f t="shared" ref="Y255:Z255" ca="1" si="273">+Y254</f>
        <v>0</v>
      </c>
      <c r="Z255" s="13">
        <f t="shared" ca="1" si="273"/>
        <v>0</v>
      </c>
      <c r="AA255" t="str">
        <f t="shared" ca="1" si="218"/>
        <v/>
      </c>
      <c r="AB255" t="str">
        <f t="shared" ca="1" si="219"/>
        <v/>
      </c>
      <c r="AC255" s="24" t="str">
        <f t="shared" ca="1" si="220"/>
        <v/>
      </c>
      <c r="AD255" s="24" t="str">
        <f t="shared" ca="1" si="221"/>
        <v/>
      </c>
    </row>
    <row r="256" spans="3:30" x14ac:dyDescent="0.25">
      <c r="C256" s="6">
        <v>350</v>
      </c>
      <c r="D256" s="36">
        <v>42506</v>
      </c>
      <c r="E256" s="38">
        <v>14.737</v>
      </c>
      <c r="F256" s="38">
        <v>44.89262475816485</v>
      </c>
      <c r="G256" s="38">
        <v>27.18</v>
      </c>
      <c r="H256" s="38">
        <v>2.4098507444468371</v>
      </c>
      <c r="I256" s="38">
        <v>7.0185595125893778</v>
      </c>
      <c r="J256" s="10">
        <v>0</v>
      </c>
      <c r="K256" s="39">
        <v>0</v>
      </c>
      <c r="L256" s="39">
        <v>0</v>
      </c>
      <c r="M256" s="39">
        <v>0</v>
      </c>
      <c r="N256" s="39">
        <v>1</v>
      </c>
      <c r="O256" s="39">
        <v>0</v>
      </c>
      <c r="P256" s="39">
        <v>0</v>
      </c>
      <c r="Q256" s="39">
        <v>0</v>
      </c>
      <c r="R256" s="39">
        <v>0</v>
      </c>
      <c r="S256" s="39">
        <v>0</v>
      </c>
      <c r="T256" s="39">
        <v>0</v>
      </c>
      <c r="U256" s="29" t="str" cm="1">
        <f t="array" aca="1" ref="U256" ca="1">+fair_value_gap(OFFSET(T255,0,0,-1*$J$5,-1*$AA$1),OFFSET(E255,0,0,-1*$J$5,1),F256:T256,0)</f>
        <v>TypeError: cannot perform reduce with flexible type
    return ufunc.reduce(obj, axis, dtype, out, **passkwargs)
  File "C:\Users\jeroe\Anaconda3\lib\site-packages\numpy\core\fromnumeric.py", line 87, in _wrapreduction
    keepdims=keepdims, initial=initial, where=where)
  File "C:\Users\jeroe\Anaconda3\lib\site-packages\numpy\core\fromnumeric.py", line 2706, in amax
  File "&lt;__array_function__ internals&gt;", line 6, in amax
    exog_max = np.max(self.exog, axis=0)
  File "C:\Users\jeroe\Anaconda3\lib\site-packages\statsmodels\base\data.py", line 131, in _handle_constant
    self._handle_constant(hasconst)
  File "C:\Users\jeroe\Anaconda3\lib\site-packages\statsmodels\base\data.py", line 87, in __init__
    **kwargs)
  File "C:\Users\jeroe\Anaconda3\lib\site-packages\statsmodels\base\data.py", line 673, in handle_data
    data = handle_data(endog, exog, missing, hasconst, **kwargs)
  File "C:\Users\jeroe\Anaconda3\lib\site-packages\statsmodels\base\model.py", line 101, in _handle_data
    **kwargs)
  File "C:\Users\jeroe\Anaconda3\lib\site-packages\statsmodels\base\model.py", line 78, in __init__
    super(LikelihoodModel, self).__init__(endog, exog, **kwargs)
  File "C:\Users\jeroe\Anaconda3\lib\site-packages\statsmodels\base\model.py", line 237, in __init__
    super(RegressionModel, self).__init__(endog, exog, **kwargs)
  File "C:\Users\jeroe\Anaconda3\lib\site-packages\statsmodels\regression\linear_model.py", line 190, in __init__
    weights=weights, hasconst=hasconst, **kwargs)
  File "C:\Users\jeroe\Anaconda3\lib\site-packages\statsmodels\regression\linear_model.py", line 704,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V256" s="9" t="str" cm="1">
        <f t="array" aca="1" ref="V256" ca="1">z_score_diff(OFFSET(U256,0,0,$J$5*-1,1),OFFSET(E256,0,0,$J$5*-1,1))</f>
        <v/>
      </c>
      <c r="W256" s="9" t="str">
        <f t="shared" ca="1" si="216"/>
        <v/>
      </c>
      <c r="X256" s="17">
        <f t="shared" ca="1" si="211"/>
        <v>6.8572073185653851E-2</v>
      </c>
      <c r="Y256" s="13">
        <f t="shared" ref="Y256:Z256" ca="1" si="274">+Y255</f>
        <v>0</v>
      </c>
      <c r="Z256" s="13">
        <f t="shared" ca="1" si="274"/>
        <v>0</v>
      </c>
      <c r="AA256" t="str">
        <f t="shared" ca="1" si="218"/>
        <v/>
      </c>
      <c r="AB256" t="str">
        <f t="shared" ca="1" si="219"/>
        <v/>
      </c>
      <c r="AC256" s="24" t="str">
        <f t="shared" ca="1" si="220"/>
        <v/>
      </c>
      <c r="AD256" s="24" t="str">
        <f t="shared" ca="1" si="221"/>
        <v/>
      </c>
    </row>
    <row r="257" spans="3:30" x14ac:dyDescent="0.25">
      <c r="C257" s="6">
        <v>351</v>
      </c>
      <c r="D257" s="36">
        <v>42507</v>
      </c>
      <c r="E257" s="38">
        <v>14.815</v>
      </c>
      <c r="F257" s="38">
        <v>45.254508672182858</v>
      </c>
      <c r="G257" s="38">
        <v>27.36</v>
      </c>
      <c r="H257" s="38">
        <v>2.3908535687172106</v>
      </c>
      <c r="I257" s="38">
        <v>7.0165407321084752</v>
      </c>
      <c r="J257" s="10">
        <v>0</v>
      </c>
      <c r="K257" s="39">
        <v>0</v>
      </c>
      <c r="L257" s="39">
        <v>0</v>
      </c>
      <c r="M257" s="39">
        <v>0</v>
      </c>
      <c r="N257" s="39">
        <v>1</v>
      </c>
      <c r="O257" s="39">
        <v>0</v>
      </c>
      <c r="P257" s="39">
        <v>0</v>
      </c>
      <c r="Q257" s="39">
        <v>0</v>
      </c>
      <c r="R257" s="39">
        <v>0</v>
      </c>
      <c r="S257" s="39">
        <v>0</v>
      </c>
      <c r="T257" s="39">
        <v>0</v>
      </c>
      <c r="U257" s="29" cm="1">
        <f t="array" aca="1" ref="U257" ca="1">+fair_value_gap(OFFSET(T256,0,0,-1*$J$5,-1*$AA$1),OFFSET(E256,0,0,-1*$J$5,1),F257:T257,0)</f>
        <v>15.146543605274031</v>
      </c>
      <c r="V257" s="9" t="str" cm="1">
        <f t="array" aca="1" ref="V257" ca="1">z_score_diff(OFFSET(U257,0,0,$J$5*-1,1),OFFSET(E257,0,0,$J$5*-1,1))</f>
        <v/>
      </c>
      <c r="W257" s="9" t="str">
        <f t="shared" ca="1" si="216"/>
        <v/>
      </c>
      <c r="X257" s="17">
        <f t="shared" ca="1" si="211"/>
        <v>6.2913002249788269E-2</v>
      </c>
      <c r="Y257" s="13">
        <f t="shared" ref="Y257:Z257" ca="1" si="275">+Y256</f>
        <v>0</v>
      </c>
      <c r="Z257" s="13">
        <f t="shared" ca="1" si="275"/>
        <v>0</v>
      </c>
      <c r="AA257" t="str">
        <f t="shared" ca="1" si="218"/>
        <v/>
      </c>
      <c r="AB257" t="str">
        <f t="shared" ca="1" si="219"/>
        <v/>
      </c>
      <c r="AC257" s="24" t="str">
        <f t="shared" ca="1" si="220"/>
        <v/>
      </c>
      <c r="AD257" s="24" t="str">
        <f t="shared" ca="1" si="221"/>
        <v/>
      </c>
    </row>
    <row r="258" spans="3:30" x14ac:dyDescent="0.25">
      <c r="C258" s="6">
        <v>352</v>
      </c>
      <c r="D258" s="36">
        <v>42508</v>
      </c>
      <c r="E258" s="38">
        <v>14.752000000000001</v>
      </c>
      <c r="F258" s="38">
        <v>45.638704574416664</v>
      </c>
      <c r="G258" s="38">
        <v>27.17</v>
      </c>
      <c r="H258" s="38">
        <v>2.3816847563387089</v>
      </c>
      <c r="I258" s="38">
        <v>7.0747462319286374</v>
      </c>
      <c r="J258" s="10">
        <v>0</v>
      </c>
      <c r="K258" s="39">
        <v>0</v>
      </c>
      <c r="L258" s="39">
        <v>0</v>
      </c>
      <c r="M258" s="39">
        <v>0</v>
      </c>
      <c r="N258" s="39">
        <v>1</v>
      </c>
      <c r="O258" s="39">
        <v>0</v>
      </c>
      <c r="P258" s="39">
        <v>0</v>
      </c>
      <c r="Q258" s="39">
        <v>0</v>
      </c>
      <c r="R258" s="39">
        <v>0</v>
      </c>
      <c r="S258" s="39">
        <v>0</v>
      </c>
      <c r="T258" s="39">
        <v>0</v>
      </c>
      <c r="U258" s="29" cm="1">
        <f t="array" aca="1" ref="U258" ca="1">+fair_value_gap(OFFSET(T257,0,0,-1*$J$5,-1*$AA$1),OFFSET(E257,0,0,-1*$J$5,1),F258:T258,0)</f>
        <v>15.017539316827785</v>
      </c>
      <c r="V258" s="9" t="str" cm="1">
        <f t="array" aca="1" ref="V258" ca="1">z_score_diff(OFFSET(U258,0,0,$J$5*-1,1),OFFSET(E258,0,0,$J$5*-1,1))</f>
        <v/>
      </c>
      <c r="W258" s="9" t="str">
        <f t="shared" ca="1" si="216"/>
        <v/>
      </c>
      <c r="X258" s="17">
        <f t="shared" ca="1" si="211"/>
        <v>9.381774346462568E-2</v>
      </c>
      <c r="Y258" s="13">
        <f t="shared" ref="Y258:Z258" ca="1" si="276">+Y257</f>
        <v>0</v>
      </c>
      <c r="Z258" s="13">
        <f t="shared" ca="1" si="276"/>
        <v>0</v>
      </c>
      <c r="AA258" t="str">
        <f t="shared" ca="1" si="218"/>
        <v/>
      </c>
      <c r="AB258" t="str">
        <f t="shared" ca="1" si="219"/>
        <v/>
      </c>
      <c r="AC258" s="24" t="str">
        <f t="shared" ca="1" si="220"/>
        <v/>
      </c>
      <c r="AD258" s="24" t="str">
        <f t="shared" ca="1" si="221"/>
        <v/>
      </c>
    </row>
    <row r="259" spans="3:30" x14ac:dyDescent="0.25">
      <c r="C259" s="6">
        <v>353</v>
      </c>
      <c r="D259" s="36">
        <v>42509</v>
      </c>
      <c r="E259" s="38">
        <v>14.548999999999999</v>
      </c>
      <c r="F259" s="38">
        <v>45.58295208155986</v>
      </c>
      <c r="G259" s="38">
        <v>26.82</v>
      </c>
      <c r="H259" s="38">
        <v>2.4226397089311069</v>
      </c>
      <c r="I259" s="38">
        <v>7.086573276488159</v>
      </c>
      <c r="J259" s="10">
        <v>0</v>
      </c>
      <c r="K259" s="39">
        <v>0</v>
      </c>
      <c r="L259" s="39">
        <v>0</v>
      </c>
      <c r="M259" s="39">
        <v>0</v>
      </c>
      <c r="N259" s="39">
        <v>1</v>
      </c>
      <c r="O259" s="39">
        <v>0</v>
      </c>
      <c r="P259" s="39">
        <v>0</v>
      </c>
      <c r="Q259" s="39">
        <v>0</v>
      </c>
      <c r="R259" s="39">
        <v>0</v>
      </c>
      <c r="S259" s="39">
        <v>0</v>
      </c>
      <c r="T259" s="39">
        <v>0</v>
      </c>
      <c r="U259" s="29" cm="1">
        <f t="array" aca="1" ref="U259" ca="1">+fair_value_gap(OFFSET(T258,0,0,-1*$J$5,-1*$AA$1),OFFSET(E258,0,0,-1*$J$5,1),F259:T259,0)</f>
        <v>14.832619117800101</v>
      </c>
      <c r="V259" s="9" t="str" cm="1">
        <f t="array" aca="1" ref="V259" ca="1">z_score_diff(OFFSET(U259,0,0,$J$5*-1,1),OFFSET(E259,0,0,$J$5*-1,1))</f>
        <v/>
      </c>
      <c r="W259" s="9" t="str">
        <f t="shared" ca="1" si="216"/>
        <v/>
      </c>
      <c r="X259" s="17">
        <f t="shared" ca="1" si="211"/>
        <v>7.8238154525034589E-2</v>
      </c>
      <c r="Y259" s="13">
        <f t="shared" ref="Y259:Z259" ca="1" si="277">+Y258</f>
        <v>0</v>
      </c>
      <c r="Z259" s="13">
        <f t="shared" ca="1" si="277"/>
        <v>0</v>
      </c>
      <c r="AA259" t="str">
        <f t="shared" ca="1" si="218"/>
        <v/>
      </c>
      <c r="AB259" t="str">
        <f t="shared" ca="1" si="219"/>
        <v/>
      </c>
      <c r="AC259" s="24" t="str">
        <f t="shared" ca="1" si="220"/>
        <v/>
      </c>
      <c r="AD259" s="24" t="str">
        <f t="shared" ca="1" si="221"/>
        <v/>
      </c>
    </row>
    <row r="260" spans="3:30" x14ac:dyDescent="0.25">
      <c r="C260" s="6">
        <v>354</v>
      </c>
      <c r="D260" s="36">
        <v>42510</v>
      </c>
      <c r="E260" s="38">
        <v>14.595000000000001</v>
      </c>
      <c r="F260" s="38">
        <v>45.391067585964606</v>
      </c>
      <c r="G260" s="38">
        <v>27.08</v>
      </c>
      <c r="H260" s="38">
        <v>2.4267708928022484</v>
      </c>
      <c r="I260" s="38">
        <v>7.0703965570242859</v>
      </c>
      <c r="J260" s="10">
        <v>0</v>
      </c>
      <c r="K260" s="39">
        <v>0</v>
      </c>
      <c r="L260" s="39">
        <v>0</v>
      </c>
      <c r="M260" s="39">
        <v>0</v>
      </c>
      <c r="N260" s="39">
        <v>1</v>
      </c>
      <c r="O260" s="39">
        <v>0</v>
      </c>
      <c r="P260" s="39">
        <v>0</v>
      </c>
      <c r="Q260" s="39">
        <v>0</v>
      </c>
      <c r="R260" s="39">
        <v>0</v>
      </c>
      <c r="S260" s="39">
        <v>0</v>
      </c>
      <c r="T260" s="39">
        <v>0</v>
      </c>
      <c r="U260" s="29" cm="1">
        <f t="array" aca="1" ref="U260" ca="1">+fair_value_gap(OFFSET(T259,0,0,-1*$J$5,-1*$AA$1),OFFSET(E259,0,0,-1*$J$5,1),F260:T260,0)</f>
        <v>14.765892191190716</v>
      </c>
      <c r="V260" s="9" t="str" cm="1">
        <f t="array" aca="1" ref="V260" ca="1">z_score_diff(OFFSET(U260,0,0,$J$5*-1,1),OFFSET(E260,0,0,$J$5*-1,1))</f>
        <v/>
      </c>
      <c r="W260" s="9" t="str">
        <f t="shared" ca="1" si="216"/>
        <v/>
      </c>
      <c r="X260" s="17">
        <f t="shared" ca="1" si="211"/>
        <v>8.7462343006423138E-2</v>
      </c>
      <c r="Y260" s="13">
        <f t="shared" ref="Y260:Z260" ca="1" si="278">+Y259</f>
        <v>0</v>
      </c>
      <c r="Z260" s="13">
        <f t="shared" ca="1" si="278"/>
        <v>0</v>
      </c>
      <c r="AA260" t="str">
        <f t="shared" ca="1" si="218"/>
        <v/>
      </c>
      <c r="AB260" t="str">
        <f t="shared" ca="1" si="219"/>
        <v/>
      </c>
      <c r="AC260" s="24" t="str">
        <f t="shared" ca="1" si="220"/>
        <v/>
      </c>
      <c r="AD260" s="24" t="str">
        <f t="shared" ca="1" si="221"/>
        <v/>
      </c>
    </row>
    <row r="261" spans="3:30" x14ac:dyDescent="0.25">
      <c r="C261" s="6">
        <v>355</v>
      </c>
      <c r="D261" s="36">
        <v>42513</v>
      </c>
      <c r="E261" s="38">
        <v>14.391999999999999</v>
      </c>
      <c r="F261" s="38">
        <v>45.31935737537836</v>
      </c>
      <c r="G261" s="38">
        <v>26.69</v>
      </c>
      <c r="H261" s="38">
        <v>2.4408137803179737</v>
      </c>
      <c r="I261" s="38">
        <v>7.0729125023612989</v>
      </c>
      <c r="J261" s="10">
        <v>0</v>
      </c>
      <c r="K261" s="39">
        <v>0</v>
      </c>
      <c r="L261" s="39">
        <v>0</v>
      </c>
      <c r="M261" s="39">
        <v>0</v>
      </c>
      <c r="N261" s="39">
        <v>1</v>
      </c>
      <c r="O261" s="39">
        <v>0</v>
      </c>
      <c r="P261" s="39">
        <v>0</v>
      </c>
      <c r="Q261" s="39">
        <v>0</v>
      </c>
      <c r="R261" s="39">
        <v>0</v>
      </c>
      <c r="S261" s="39">
        <v>0</v>
      </c>
      <c r="T261" s="39">
        <v>0</v>
      </c>
      <c r="U261" s="29" cm="1">
        <f t="array" aca="1" ref="U261" ca="1">+fair_value_gap(OFFSET(T260,0,0,-1*$J$5,-1*$AA$1),OFFSET(E260,0,0,-1*$J$5,1),F261:T261,0)</f>
        <v>14.657708895135737</v>
      </c>
      <c r="V261" s="9" t="str" cm="1">
        <f t="array" aca="1" ref="V261" ca="1">z_score_diff(OFFSET(U261,0,0,$J$5*-1,1),OFFSET(E261,0,0,$J$5*-1,1))</f>
        <v/>
      </c>
      <c r="W261" s="9" t="str">
        <f t="shared" ca="1" si="216"/>
        <v/>
      </c>
      <c r="X261" s="17">
        <f t="shared" ca="1" si="211"/>
        <v>0.12412444524021803</v>
      </c>
      <c r="Y261" s="13">
        <f t="shared" ref="Y261:Z261" ca="1" si="279">+Y260</f>
        <v>0</v>
      </c>
      <c r="Z261" s="13">
        <f t="shared" ca="1" si="279"/>
        <v>0</v>
      </c>
      <c r="AA261" t="str">
        <f t="shared" ca="1" si="218"/>
        <v/>
      </c>
      <c r="AB261" t="str">
        <f t="shared" ca="1" si="219"/>
        <v/>
      </c>
      <c r="AC261" s="24" t="str">
        <f t="shared" ca="1" si="220"/>
        <v/>
      </c>
      <c r="AD261" s="24" t="str">
        <f t="shared" ca="1" si="221"/>
        <v/>
      </c>
    </row>
    <row r="262" spans="3:30" x14ac:dyDescent="0.25">
      <c r="C262" s="6">
        <v>356</v>
      </c>
      <c r="D262" s="36">
        <v>42514</v>
      </c>
      <c r="E262" s="38">
        <v>14.387</v>
      </c>
      <c r="F262" s="38">
        <v>45.834711942857446</v>
      </c>
      <c r="G262" s="38">
        <v>26.57</v>
      </c>
      <c r="H262" s="38">
        <v>2.459380413069749</v>
      </c>
      <c r="I262" s="38">
        <v>7.1215871673422599</v>
      </c>
      <c r="J262" s="10">
        <v>0</v>
      </c>
      <c r="K262" s="39">
        <v>0</v>
      </c>
      <c r="L262" s="39">
        <v>0</v>
      </c>
      <c r="M262" s="39">
        <v>0</v>
      </c>
      <c r="N262" s="39">
        <v>1</v>
      </c>
      <c r="O262" s="39">
        <v>0</v>
      </c>
      <c r="P262" s="39">
        <v>0</v>
      </c>
      <c r="Q262" s="39">
        <v>0</v>
      </c>
      <c r="R262" s="39">
        <v>0</v>
      </c>
      <c r="S262" s="39">
        <v>0</v>
      </c>
      <c r="T262" s="39">
        <v>0</v>
      </c>
      <c r="U262" s="29" cm="1">
        <f t="array" aca="1" ref="U262" ca="1">+fair_value_gap(OFFSET(T261,0,0,-1*$J$5,-1*$AA$1),OFFSET(E261,0,0,-1*$J$5,1),F262:T262,0)</f>
        <v>14.687322092276439</v>
      </c>
      <c r="V262" s="9" t="str" cm="1">
        <f t="array" aca="1" ref="V262" ca="1">z_score_diff(OFFSET(U262,0,0,$J$5*-1,1),OFFSET(E262,0,0,$J$5*-1,1))</f>
        <v/>
      </c>
      <c r="W262" s="9" t="str">
        <f t="shared" ca="1" si="216"/>
        <v/>
      </c>
      <c r="X262" s="17">
        <f t="shared" ca="1" si="211"/>
        <v>0.10338456043404169</v>
      </c>
      <c r="Y262" s="13">
        <f t="shared" ref="Y262:Z262" ca="1" si="280">+Y261</f>
        <v>0</v>
      </c>
      <c r="Z262" s="13">
        <f t="shared" ca="1" si="280"/>
        <v>0</v>
      </c>
      <c r="AA262" t="str">
        <f t="shared" ca="1" si="218"/>
        <v/>
      </c>
      <c r="AB262" t="str">
        <f t="shared" ca="1" si="219"/>
        <v/>
      </c>
      <c r="AC262" s="24" t="str">
        <f t="shared" ca="1" si="220"/>
        <v/>
      </c>
      <c r="AD262" s="24" t="str">
        <f t="shared" ca="1" si="221"/>
        <v/>
      </c>
    </row>
    <row r="263" spans="3:30" x14ac:dyDescent="0.25">
      <c r="C263" s="6">
        <v>357</v>
      </c>
      <c r="D263" s="36">
        <v>42515</v>
      </c>
      <c r="E263" s="38">
        <v>14.66</v>
      </c>
      <c r="F263" s="38">
        <v>46.475709814857026</v>
      </c>
      <c r="G263" s="38">
        <v>27.02</v>
      </c>
      <c r="H263" s="38">
        <v>2.5040334907852628</v>
      </c>
      <c r="I263" s="38">
        <v>7.1127274526539752</v>
      </c>
      <c r="J263" s="10">
        <v>0</v>
      </c>
      <c r="K263" s="39">
        <v>0</v>
      </c>
      <c r="L263" s="39">
        <v>0</v>
      </c>
      <c r="M263" s="39">
        <v>0</v>
      </c>
      <c r="N263" s="39">
        <v>1</v>
      </c>
      <c r="O263" s="39">
        <v>0</v>
      </c>
      <c r="P263" s="39">
        <v>0</v>
      </c>
      <c r="Q263" s="39">
        <v>0</v>
      </c>
      <c r="R263" s="39">
        <v>0</v>
      </c>
      <c r="S263" s="39">
        <v>0</v>
      </c>
      <c r="T263" s="39">
        <v>0</v>
      </c>
      <c r="U263" s="29" cm="1">
        <f t="array" aca="1" ref="U263" ca="1">+fair_value_gap(OFFSET(T262,0,0,-1*$J$5,-1*$AA$1),OFFSET(E262,0,0,-1*$J$5,1),F263:T263,0)</f>
        <v>14.927585869675887</v>
      </c>
      <c r="V263" s="9" t="str" cm="1">
        <f t="array" aca="1" ref="V263" ca="1">z_score_diff(OFFSET(U263,0,0,$J$5*-1,1),OFFSET(E263,0,0,$J$5*-1,1))</f>
        <v/>
      </c>
      <c r="W263" s="9" t="str">
        <f t="shared" ca="1" si="216"/>
        <v/>
      </c>
      <c r="X263" s="17">
        <f t="shared" ref="X263:X326" ca="1" si="281">+LN(OFFSET(E263,$X$3,0,1,1)/E263)</f>
        <v>7.8488346748925075E-2</v>
      </c>
      <c r="Y263" s="13">
        <f t="shared" ref="Y263:Z263" ca="1" si="282">+Y262</f>
        <v>0</v>
      </c>
      <c r="Z263" s="13">
        <f t="shared" ca="1" si="282"/>
        <v>0</v>
      </c>
      <c r="AA263" t="str">
        <f t="shared" ca="1" si="218"/>
        <v/>
      </c>
      <c r="AB263" t="str">
        <f t="shared" ca="1" si="219"/>
        <v/>
      </c>
      <c r="AC263" s="24" t="str">
        <f t="shared" ca="1" si="220"/>
        <v/>
      </c>
      <c r="AD263" s="24" t="str">
        <f t="shared" ca="1" si="221"/>
        <v/>
      </c>
    </row>
    <row r="264" spans="3:30" x14ac:dyDescent="0.25">
      <c r="C264" s="6">
        <v>358</v>
      </c>
      <c r="D264" s="36">
        <v>42516</v>
      </c>
      <c r="E264" s="38">
        <v>14.788</v>
      </c>
      <c r="F264" s="38">
        <v>46.252173438163375</v>
      </c>
      <c r="G264" s="38">
        <v>27.33</v>
      </c>
      <c r="H264" s="38">
        <v>2.511234935673277</v>
      </c>
      <c r="I264" s="38">
        <v>7.0906493273131828</v>
      </c>
      <c r="J264" s="10">
        <v>0</v>
      </c>
      <c r="K264" s="39">
        <v>0</v>
      </c>
      <c r="L264" s="39">
        <v>0</v>
      </c>
      <c r="M264" s="39">
        <v>0</v>
      </c>
      <c r="N264" s="39">
        <v>1</v>
      </c>
      <c r="O264" s="39">
        <v>0</v>
      </c>
      <c r="P264" s="39">
        <v>0</v>
      </c>
      <c r="Q264" s="39">
        <v>0</v>
      </c>
      <c r="R264" s="39">
        <v>0</v>
      </c>
      <c r="S264" s="39">
        <v>0</v>
      </c>
      <c r="T264" s="39">
        <v>0</v>
      </c>
      <c r="U264" s="29" cm="1">
        <f t="array" aca="1" ref="U264" ca="1">+fair_value_gap(OFFSET(T263,0,0,-1*$J$5,-1*$AA$1),OFFSET(E263,0,0,-1*$J$5,1),F264:T264,0)</f>
        <v>14.985586332667356</v>
      </c>
      <c r="V264" s="9" t="str" cm="1">
        <f t="array" aca="1" ref="V264" ca="1">z_score_diff(OFFSET(U264,0,0,$J$5*-1,1),OFFSET(E264,0,0,$J$5*-1,1))</f>
        <v/>
      </c>
      <c r="W264" s="9" t="str">
        <f t="shared" ca="1" si="216"/>
        <v/>
      </c>
      <c r="X264" s="17">
        <f t="shared" ca="1" si="281"/>
        <v>8.6058574466195539E-2</v>
      </c>
      <c r="Y264" s="13">
        <f t="shared" ref="Y264:Z264" ca="1" si="283">+Y263</f>
        <v>0</v>
      </c>
      <c r="Z264" s="13">
        <f t="shared" ca="1" si="283"/>
        <v>0</v>
      </c>
      <c r="AA264" t="str">
        <f t="shared" ca="1" si="218"/>
        <v/>
      </c>
      <c r="AB264" t="str">
        <f t="shared" ca="1" si="219"/>
        <v/>
      </c>
      <c r="AC264" s="24" t="str">
        <f t="shared" ca="1" si="220"/>
        <v/>
      </c>
      <c r="AD264" s="24" t="str">
        <f t="shared" ca="1" si="221"/>
        <v/>
      </c>
    </row>
    <row r="265" spans="3:30" x14ac:dyDescent="0.25">
      <c r="C265" s="6">
        <v>359</v>
      </c>
      <c r="D265" s="36">
        <v>42517</v>
      </c>
      <c r="E265" s="38">
        <v>15.019</v>
      </c>
      <c r="F265" s="38">
        <v>46.582130367914615</v>
      </c>
      <c r="G265" s="38">
        <v>27.31</v>
      </c>
      <c r="H265" s="38">
        <v>2.5671141683250376</v>
      </c>
      <c r="I265" s="38">
        <v>7.135797325627264</v>
      </c>
      <c r="J265" s="10">
        <v>0</v>
      </c>
      <c r="K265" s="39">
        <v>0</v>
      </c>
      <c r="L265" s="39">
        <v>0</v>
      </c>
      <c r="M265" s="39">
        <v>0</v>
      </c>
      <c r="N265" s="39">
        <v>1</v>
      </c>
      <c r="O265" s="39">
        <v>0</v>
      </c>
      <c r="P265" s="39">
        <v>0</v>
      </c>
      <c r="Q265" s="39">
        <v>0</v>
      </c>
      <c r="R265" s="39">
        <v>0</v>
      </c>
      <c r="S265" s="39">
        <v>0</v>
      </c>
      <c r="T265" s="39">
        <v>0</v>
      </c>
      <c r="U265" s="29" cm="1">
        <f t="array" aca="1" ref="U265" ca="1">+fair_value_gap(OFFSET(T264,0,0,-1*$J$5,-1*$AA$1),OFFSET(E264,0,0,-1*$J$5,1),F265:T265,0)</f>
        <v>15.082512590988168</v>
      </c>
      <c r="V265" s="9" t="str" cm="1">
        <f t="array" aca="1" ref="V265" ca="1">z_score_diff(OFFSET(U265,0,0,$J$5*-1,1),OFFSET(E265,0,0,$J$5*-1,1))</f>
        <v/>
      </c>
      <c r="W265" s="9" t="str">
        <f t="shared" ca="1" si="216"/>
        <v/>
      </c>
      <c r="X265" s="17">
        <f t="shared" ca="1" si="281"/>
        <v>5.0503982363516428E-2</v>
      </c>
      <c r="Y265" s="13">
        <f t="shared" ref="Y265:Z265" ca="1" si="284">+Y264</f>
        <v>0</v>
      </c>
      <c r="Z265" s="13">
        <f t="shared" ca="1" si="284"/>
        <v>0</v>
      </c>
      <c r="AA265" t="str">
        <f t="shared" ca="1" si="218"/>
        <v/>
      </c>
      <c r="AB265" t="str">
        <f t="shared" ca="1" si="219"/>
        <v/>
      </c>
      <c r="AC265" s="24" t="str">
        <f t="shared" ca="1" si="220"/>
        <v/>
      </c>
      <c r="AD265" s="24" t="str">
        <f t="shared" ca="1" si="221"/>
        <v/>
      </c>
    </row>
    <row r="266" spans="3:30" x14ac:dyDescent="0.25">
      <c r="C266" s="6">
        <v>360</v>
      </c>
      <c r="D266" s="36">
        <v>42520</v>
      </c>
      <c r="E266" s="38">
        <v>15.115</v>
      </c>
      <c r="F266" s="38">
        <v>46.772395268295831</v>
      </c>
      <c r="G266" s="38">
        <v>27.46</v>
      </c>
      <c r="H266" s="38">
        <v>2.5605454952171027</v>
      </c>
      <c r="I266" s="38">
        <v>7.1175384103928447</v>
      </c>
      <c r="J266" s="10">
        <v>0</v>
      </c>
      <c r="K266" s="39">
        <v>0</v>
      </c>
      <c r="L266" s="39">
        <v>0</v>
      </c>
      <c r="M266" s="39">
        <v>0</v>
      </c>
      <c r="N266" s="39">
        <v>1</v>
      </c>
      <c r="O266" s="39">
        <v>0</v>
      </c>
      <c r="P266" s="39">
        <v>0</v>
      </c>
      <c r="Q266" s="39">
        <v>0</v>
      </c>
      <c r="R266" s="39">
        <v>0</v>
      </c>
      <c r="S266" s="39">
        <v>0</v>
      </c>
      <c r="T266" s="39">
        <v>0</v>
      </c>
      <c r="U266" s="29" cm="1">
        <f t="array" aca="1" ref="U266" ca="1">+fair_value_gap(OFFSET(T265,0,0,-1*$J$5,-1*$AA$1),OFFSET(E265,0,0,-1*$J$5,1),F266:T266,0)</f>
        <v>15.129918770590763</v>
      </c>
      <c r="V266" s="9" t="str" cm="1">
        <f t="array" aca="1" ref="V266" ca="1">z_score_diff(OFFSET(U266,0,0,$J$5*-1,1),OFFSET(E266,0,0,$J$5*-1,1))</f>
        <v/>
      </c>
      <c r="W266" s="9" t="str">
        <f t="shared" ca="1" si="216"/>
        <v/>
      </c>
      <c r="X266" s="17">
        <f t="shared" ca="1" si="281"/>
        <v>4.0263452855336626E-2</v>
      </c>
      <c r="Y266" s="13">
        <f t="shared" ref="Y266:Z266" ca="1" si="285">+Y265</f>
        <v>0</v>
      </c>
      <c r="Z266" s="13">
        <f t="shared" ca="1" si="285"/>
        <v>0</v>
      </c>
      <c r="AA266" t="str">
        <f t="shared" ca="1" si="218"/>
        <v/>
      </c>
      <c r="AB266" t="str">
        <f t="shared" ca="1" si="219"/>
        <v/>
      </c>
      <c r="AC266" s="24" t="str">
        <f t="shared" ca="1" si="220"/>
        <v/>
      </c>
      <c r="AD266" s="24" t="str">
        <f t="shared" ca="1" si="221"/>
        <v/>
      </c>
    </row>
    <row r="267" spans="3:30" x14ac:dyDescent="0.25">
      <c r="C267" s="6">
        <v>361</v>
      </c>
      <c r="D267" s="36">
        <v>42521</v>
      </c>
      <c r="E267" s="38">
        <v>15.292999999999999</v>
      </c>
      <c r="F267" s="38">
        <v>46.445041951931238</v>
      </c>
      <c r="G267" s="38">
        <v>28.56</v>
      </c>
      <c r="H267" s="38">
        <v>2.5710332029814777</v>
      </c>
      <c r="I267" s="38">
        <v>7.1270031969700058</v>
      </c>
      <c r="J267" s="10">
        <v>0</v>
      </c>
      <c r="K267" s="39">
        <v>0</v>
      </c>
      <c r="L267" s="39">
        <v>0</v>
      </c>
      <c r="M267" s="39">
        <v>0</v>
      </c>
      <c r="N267" s="39">
        <v>1</v>
      </c>
      <c r="O267" s="39">
        <v>0</v>
      </c>
      <c r="P267" s="39">
        <v>0</v>
      </c>
      <c r="Q267" s="39">
        <v>0</v>
      </c>
      <c r="R267" s="39">
        <v>0</v>
      </c>
      <c r="S267" s="39">
        <v>0</v>
      </c>
      <c r="T267" s="39">
        <v>0</v>
      </c>
      <c r="U267" s="29" cm="1">
        <f t="array" aca="1" ref="U267" ca="1">+fair_value_gap(OFFSET(T266,0,0,-1*$J$5,-1*$AA$1),OFFSET(E266,0,0,-1*$J$5,1),F267:T267,0)</f>
        <v>15.420276027479726</v>
      </c>
      <c r="V267" s="9" t="str" cm="1">
        <f t="array" aca="1" ref="V267" ca="1">z_score_diff(OFFSET(U267,0,0,$J$5*-1,1),OFFSET(E267,0,0,$J$5*-1,1))</f>
        <v/>
      </c>
      <c r="W267" s="9" t="str">
        <f t="shared" ref="W267:W330" ca="1" si="286">+IF(ISERROR(AVERAGE(OFFSET(V267,0,0,$W$5*-1,1))),"",AVERAGE(OFFSET(V267,0,0,$W$5*-1,1)))</f>
        <v/>
      </c>
      <c r="X267" s="17">
        <f t="shared" ca="1" si="281"/>
        <v>4.0055337017671243E-2</v>
      </c>
      <c r="Y267" s="13">
        <f t="shared" ref="Y267:Z267" ca="1" si="287">+Y266</f>
        <v>0</v>
      </c>
      <c r="Z267" s="13">
        <f t="shared" ca="1" si="287"/>
        <v>0</v>
      </c>
      <c r="AA267" t="str">
        <f t="shared" ref="AA267:AA330" ca="1" si="288">+IF(W267="","",IF(W267&lt;Y267,1,0))</f>
        <v/>
      </c>
      <c r="AB267" t="str">
        <f t="shared" ref="AB267:AB330" ca="1" si="289">+IF(W267="","",IF(W267&gt;Z267,1,0))</f>
        <v/>
      </c>
      <c r="AC267" s="24" t="str">
        <f t="shared" ref="AC267:AC330" ca="1" si="290">+IF(ISERROR(AA267*X267),"",AA267*X267)</f>
        <v/>
      </c>
      <c r="AD267" s="24" t="str">
        <f t="shared" ref="AD267:AD330" ca="1" si="291">+IF(ISERROR(AB267*X267),"",AB267*X267)</f>
        <v/>
      </c>
    </row>
    <row r="268" spans="3:30" x14ac:dyDescent="0.25">
      <c r="C268" s="6">
        <v>362</v>
      </c>
      <c r="D268" s="36">
        <v>42522</v>
      </c>
      <c r="E268" s="38">
        <v>15.074999999999999</v>
      </c>
      <c r="F268" s="38">
        <v>46.226385207556739</v>
      </c>
      <c r="G268" s="38">
        <v>28.48</v>
      </c>
      <c r="H268" s="38">
        <v>2.5449591856130609</v>
      </c>
      <c r="I268" s="38">
        <v>7.0839977331207269</v>
      </c>
      <c r="J268" s="10">
        <v>0</v>
      </c>
      <c r="K268" s="39">
        <v>0</v>
      </c>
      <c r="L268" s="39">
        <v>0</v>
      </c>
      <c r="M268" s="39">
        <v>0</v>
      </c>
      <c r="N268" s="39">
        <v>0</v>
      </c>
      <c r="O268" s="39">
        <v>1</v>
      </c>
      <c r="P268" s="39">
        <v>0</v>
      </c>
      <c r="Q268" s="39">
        <v>0</v>
      </c>
      <c r="R268" s="39">
        <v>0</v>
      </c>
      <c r="S268" s="39">
        <v>0</v>
      </c>
      <c r="T268" s="39">
        <v>0</v>
      </c>
      <c r="U268" s="29" cm="1">
        <f t="array" aca="1" ref="U268" ca="1">+fair_value_gap(OFFSET(T267,0,0,-1*$J$5,-1*$AA$1),OFFSET(E267,0,0,-1*$J$5,1),F268:T268,0)</f>
        <v>16.752990779649444</v>
      </c>
      <c r="V268" s="9" t="str" cm="1">
        <f t="array" aca="1" ref="V268" ca="1">z_score_diff(OFFSET(U268,0,0,$J$5*-1,1),OFFSET(E268,0,0,$J$5*-1,1))</f>
        <v/>
      </c>
      <c r="W268" s="9" t="str">
        <f t="shared" ca="1" si="286"/>
        <v/>
      </c>
      <c r="X268" s="17">
        <f t="shared" ca="1" si="281"/>
        <v>4.7162052813717666E-2</v>
      </c>
      <c r="Y268" s="13">
        <f t="shared" ref="Y268:Z268" ca="1" si="292">+Y267</f>
        <v>0</v>
      </c>
      <c r="Z268" s="13">
        <f t="shared" ca="1" si="292"/>
        <v>0</v>
      </c>
      <c r="AA268" t="str">
        <f t="shared" ca="1" si="288"/>
        <v/>
      </c>
      <c r="AB268" t="str">
        <f t="shared" ca="1" si="289"/>
        <v/>
      </c>
      <c r="AC268" s="24" t="str">
        <f t="shared" ca="1" si="290"/>
        <v/>
      </c>
      <c r="AD268" s="24" t="str">
        <f t="shared" ca="1" si="291"/>
        <v/>
      </c>
    </row>
    <row r="269" spans="3:30" x14ac:dyDescent="0.25">
      <c r="C269" s="6">
        <v>363</v>
      </c>
      <c r="D269" s="36">
        <v>42523</v>
      </c>
      <c r="E269" s="38">
        <v>15.433999999999999</v>
      </c>
      <c r="F269" s="38">
        <v>46.581107487252694</v>
      </c>
      <c r="G269" s="38">
        <v>28.91</v>
      </c>
      <c r="H269" s="38">
        <v>2.5697789053748923</v>
      </c>
      <c r="I269" s="38">
        <v>7.1112822922887204</v>
      </c>
      <c r="J269" s="10">
        <v>0</v>
      </c>
      <c r="K269" s="39">
        <v>0</v>
      </c>
      <c r="L269" s="39">
        <v>0</v>
      </c>
      <c r="M269" s="39">
        <v>0</v>
      </c>
      <c r="N269" s="39">
        <v>0</v>
      </c>
      <c r="O269" s="39">
        <v>1</v>
      </c>
      <c r="P269" s="39">
        <v>0</v>
      </c>
      <c r="Q269" s="39">
        <v>0</v>
      </c>
      <c r="R269" s="39">
        <v>0</v>
      </c>
      <c r="S269" s="39">
        <v>0</v>
      </c>
      <c r="T269" s="39">
        <v>0</v>
      </c>
      <c r="U269" s="29" cm="1">
        <f t="array" aca="1" ref="U269" ca="1">+fair_value_gap(OFFSET(T268,0,0,-1*$J$5,-1*$AA$1),OFFSET(E268,0,0,-1*$J$5,1),F269:T269,0)</f>
        <v>16.556566514835708</v>
      </c>
      <c r="V269" s="9" t="str" cm="1">
        <f t="array" aca="1" ref="V269" ca="1">z_score_diff(OFFSET(U269,0,0,$J$5*-1,1),OFFSET(E269,0,0,$J$5*-1,1))</f>
        <v/>
      </c>
      <c r="W269" s="9" t="str">
        <f t="shared" ca="1" si="286"/>
        <v/>
      </c>
      <c r="X269" s="17">
        <f t="shared" ca="1" si="281"/>
        <v>2.2613948514178674E-2</v>
      </c>
      <c r="Y269" s="13">
        <f t="shared" ref="Y269:Z269" ca="1" si="293">+Y268</f>
        <v>0</v>
      </c>
      <c r="Z269" s="13">
        <f t="shared" ca="1" si="293"/>
        <v>0</v>
      </c>
      <c r="AA269" t="str">
        <f t="shared" ca="1" si="288"/>
        <v/>
      </c>
      <c r="AB269" t="str">
        <f t="shared" ca="1" si="289"/>
        <v/>
      </c>
      <c r="AC269" s="24" t="str">
        <f t="shared" ca="1" si="290"/>
        <v/>
      </c>
      <c r="AD269" s="24" t="str">
        <f t="shared" ca="1" si="291"/>
        <v/>
      </c>
    </row>
    <row r="270" spans="3:30" x14ac:dyDescent="0.25">
      <c r="C270" s="6">
        <v>364</v>
      </c>
      <c r="D270" s="36">
        <v>42524</v>
      </c>
      <c r="E270" s="38">
        <v>15.423</v>
      </c>
      <c r="F270" s="38">
        <v>45.359812593722651</v>
      </c>
      <c r="G270" s="38">
        <v>28.91</v>
      </c>
      <c r="H270" s="38">
        <v>2.5195077549668126</v>
      </c>
      <c r="I270" s="38">
        <v>6.9817684776188793</v>
      </c>
      <c r="J270" s="10">
        <v>0</v>
      </c>
      <c r="K270" s="39">
        <v>0</v>
      </c>
      <c r="L270" s="39">
        <v>0</v>
      </c>
      <c r="M270" s="39">
        <v>0</v>
      </c>
      <c r="N270" s="39">
        <v>0</v>
      </c>
      <c r="O270" s="39">
        <v>1</v>
      </c>
      <c r="P270" s="39">
        <v>0</v>
      </c>
      <c r="Q270" s="39">
        <v>0</v>
      </c>
      <c r="R270" s="39">
        <v>0</v>
      </c>
      <c r="S270" s="39">
        <v>0</v>
      </c>
      <c r="T270" s="39">
        <v>0</v>
      </c>
      <c r="U270" s="29" cm="1">
        <f t="array" aca="1" ref="U270" ca="1">+fair_value_gap(OFFSET(T269,0,0,-1*$J$5,-1*$AA$1),OFFSET(E269,0,0,-1*$J$5,1),F270:T270,0)</f>
        <v>16.1590521908239</v>
      </c>
      <c r="V270" s="9" t="str" cm="1">
        <f t="array" aca="1" ref="V270" ca="1">z_score_diff(OFFSET(U270,0,0,$J$5*-1,1),OFFSET(E270,0,0,$J$5*-1,1))</f>
        <v/>
      </c>
      <c r="W270" s="9" t="str">
        <f t="shared" ca="1" si="286"/>
        <v/>
      </c>
      <c r="X270" s="17">
        <f t="shared" ca="1" si="281"/>
        <v>5.3340086303500768E-2</v>
      </c>
      <c r="Y270" s="13">
        <f t="shared" ref="Y270:Z270" ca="1" si="294">+Y269</f>
        <v>0</v>
      </c>
      <c r="Z270" s="13">
        <f t="shared" ca="1" si="294"/>
        <v>0</v>
      </c>
      <c r="AA270" t="str">
        <f t="shared" ca="1" si="288"/>
        <v/>
      </c>
      <c r="AB270" t="str">
        <f t="shared" ca="1" si="289"/>
        <v/>
      </c>
      <c r="AC270" s="24" t="str">
        <f t="shared" ca="1" si="290"/>
        <v/>
      </c>
      <c r="AD270" s="24" t="str">
        <f t="shared" ca="1" si="291"/>
        <v/>
      </c>
    </row>
    <row r="271" spans="3:30" x14ac:dyDescent="0.25">
      <c r="C271" s="6">
        <v>365</v>
      </c>
      <c r="D271" s="36">
        <v>42527</v>
      </c>
      <c r="E271" s="38">
        <v>15.894</v>
      </c>
      <c r="F271" s="38">
        <v>46.165854979999423</v>
      </c>
      <c r="G271" s="38">
        <v>29.78</v>
      </c>
      <c r="H271" s="38">
        <v>2.5301354412585728</v>
      </c>
      <c r="I271" s="38">
        <v>6.9895642766408761</v>
      </c>
      <c r="J271" s="10">
        <v>0</v>
      </c>
      <c r="K271" s="39">
        <v>0</v>
      </c>
      <c r="L271" s="39">
        <v>0</v>
      </c>
      <c r="M271" s="39">
        <v>0</v>
      </c>
      <c r="N271" s="39">
        <v>0</v>
      </c>
      <c r="O271" s="39">
        <v>1</v>
      </c>
      <c r="P271" s="39">
        <v>0</v>
      </c>
      <c r="Q271" s="39">
        <v>0</v>
      </c>
      <c r="R271" s="39">
        <v>0</v>
      </c>
      <c r="S271" s="39">
        <v>0</v>
      </c>
      <c r="T271" s="39">
        <v>0</v>
      </c>
      <c r="U271" s="29" cm="1">
        <f t="array" aca="1" ref="U271" ca="1">+fair_value_gap(OFFSET(T270,0,0,-1*$J$5,-1*$AA$1),OFFSET(E270,0,0,-1*$J$5,1),F271:T271,0)</f>
        <v>16.436693920892864</v>
      </c>
      <c r="V271" s="9" t="str" cm="1">
        <f t="array" aca="1" ref="V271" ca="1">z_score_diff(OFFSET(U271,0,0,$J$5*-1,1),OFFSET(E271,0,0,$J$5*-1,1))</f>
        <v/>
      </c>
      <c r="W271" s="9" t="str">
        <f t="shared" ca="1" si="286"/>
        <v/>
      </c>
      <c r="X271" s="17">
        <f t="shared" ca="1" si="281"/>
        <v>1.0950270541628528E-2</v>
      </c>
      <c r="Y271" s="13">
        <f t="shared" ref="Y271:Z271" ca="1" si="295">+Y270</f>
        <v>0</v>
      </c>
      <c r="Z271" s="13">
        <f t="shared" ca="1" si="295"/>
        <v>0</v>
      </c>
      <c r="AA271" t="str">
        <f t="shared" ca="1" si="288"/>
        <v/>
      </c>
      <c r="AB271" t="str">
        <f t="shared" ca="1" si="289"/>
        <v/>
      </c>
      <c r="AC271" s="24" t="str">
        <f t="shared" ca="1" si="290"/>
        <v/>
      </c>
      <c r="AD271" s="24" t="str">
        <f t="shared" ca="1" si="291"/>
        <v/>
      </c>
    </row>
    <row r="272" spans="3:30" x14ac:dyDescent="0.25">
      <c r="C272" s="6">
        <v>366</v>
      </c>
      <c r="D272" s="36">
        <v>42528</v>
      </c>
      <c r="E272" s="38">
        <v>16.071000000000002</v>
      </c>
      <c r="F272" s="38">
        <v>46.89229006739194</v>
      </c>
      <c r="G272" s="38">
        <v>30.01</v>
      </c>
      <c r="H272" s="38">
        <v>2.5715686742491637</v>
      </c>
      <c r="I272" s="38">
        <v>6.9865433100593215</v>
      </c>
      <c r="J272" s="10">
        <v>0</v>
      </c>
      <c r="K272" s="39">
        <v>0</v>
      </c>
      <c r="L272" s="39">
        <v>0</v>
      </c>
      <c r="M272" s="39">
        <v>0</v>
      </c>
      <c r="N272" s="39">
        <v>0</v>
      </c>
      <c r="O272" s="39">
        <v>1</v>
      </c>
      <c r="P272" s="39">
        <v>0</v>
      </c>
      <c r="Q272" s="39">
        <v>0</v>
      </c>
      <c r="R272" s="39">
        <v>0</v>
      </c>
      <c r="S272" s="39">
        <v>0</v>
      </c>
      <c r="T272" s="39">
        <v>0</v>
      </c>
      <c r="U272" s="29" cm="1">
        <f t="array" aca="1" ref="U272" ca="1">+fair_value_gap(OFFSET(T271,0,0,-1*$J$5,-1*$AA$1),OFFSET(E271,0,0,-1*$J$5,1),F272:T272,0)</f>
        <v>16.551674090603878</v>
      </c>
      <c r="V272" s="9" t="str" cm="1">
        <f t="array" aca="1" ref="V272" ca="1">z_score_diff(OFFSET(U272,0,0,$J$5*-1,1),OFFSET(E272,0,0,$J$5*-1,1))</f>
        <v/>
      </c>
      <c r="W272" s="9" t="str">
        <f t="shared" ca="1" si="286"/>
        <v/>
      </c>
      <c r="X272" s="17">
        <f t="shared" ca="1" si="281"/>
        <v>3.7264809287176843E-3</v>
      </c>
      <c r="Y272" s="13">
        <f t="shared" ref="Y272:Z272" ca="1" si="296">+Y271</f>
        <v>0</v>
      </c>
      <c r="Z272" s="13">
        <f t="shared" ca="1" si="296"/>
        <v>0</v>
      </c>
      <c r="AA272" t="str">
        <f t="shared" ca="1" si="288"/>
        <v/>
      </c>
      <c r="AB272" t="str">
        <f t="shared" ca="1" si="289"/>
        <v/>
      </c>
      <c r="AC272" s="24" t="str">
        <f t="shared" ca="1" si="290"/>
        <v/>
      </c>
      <c r="AD272" s="24" t="str">
        <f t="shared" ca="1" si="291"/>
        <v/>
      </c>
    </row>
    <row r="273" spans="3:30" x14ac:dyDescent="0.25">
      <c r="C273" s="6">
        <v>367</v>
      </c>
      <c r="D273" s="36">
        <v>42529</v>
      </c>
      <c r="E273" s="38">
        <v>16.042999999999999</v>
      </c>
      <c r="F273" s="38">
        <v>47.574538058764979</v>
      </c>
      <c r="G273" s="38">
        <v>30.17</v>
      </c>
      <c r="H273" s="38">
        <v>2.5652343242892379</v>
      </c>
      <c r="I273" s="38">
        <v>6.966982560907006</v>
      </c>
      <c r="J273" s="10">
        <v>0</v>
      </c>
      <c r="K273" s="39">
        <v>0</v>
      </c>
      <c r="L273" s="39">
        <v>0</v>
      </c>
      <c r="M273" s="39">
        <v>0</v>
      </c>
      <c r="N273" s="39">
        <v>0</v>
      </c>
      <c r="O273" s="39">
        <v>1</v>
      </c>
      <c r="P273" s="39">
        <v>0</v>
      </c>
      <c r="Q273" s="39">
        <v>0</v>
      </c>
      <c r="R273" s="39">
        <v>0</v>
      </c>
      <c r="S273" s="39">
        <v>0</v>
      </c>
      <c r="T273" s="39">
        <v>0</v>
      </c>
      <c r="U273" s="29" cm="1">
        <f t="array" aca="1" ref="U273" ca="1">+fair_value_gap(OFFSET(T272,0,0,-1*$J$5,-1*$AA$1),OFFSET(E272,0,0,-1*$J$5,1),F273:T273,0)</f>
        <v>16.62596334565729</v>
      </c>
      <c r="V273" s="9" t="str" cm="1">
        <f t="array" aca="1" ref="V273" ca="1">z_score_diff(OFFSET(U273,0,0,$J$5*-1,1),OFFSET(E273,0,0,$J$5*-1,1))</f>
        <v/>
      </c>
      <c r="W273" s="9" t="str">
        <f t="shared" ca="1" si="286"/>
        <v/>
      </c>
      <c r="X273" s="17">
        <f t="shared" ca="1" si="281"/>
        <v>9.6151604578593539E-3</v>
      </c>
      <c r="Y273" s="13">
        <f t="shared" ref="Y273:Z273" ca="1" si="297">+Y272</f>
        <v>0</v>
      </c>
      <c r="Z273" s="13">
        <f t="shared" ca="1" si="297"/>
        <v>0</v>
      </c>
      <c r="AA273" t="str">
        <f t="shared" ca="1" si="288"/>
        <v/>
      </c>
      <c r="AB273" t="str">
        <f t="shared" ca="1" si="289"/>
        <v/>
      </c>
      <c r="AC273" s="24" t="str">
        <f t="shared" ca="1" si="290"/>
        <v/>
      </c>
      <c r="AD273" s="24" t="str">
        <f t="shared" ca="1" si="291"/>
        <v/>
      </c>
    </row>
    <row r="274" spans="3:30" x14ac:dyDescent="0.25">
      <c r="C274" s="6">
        <v>368</v>
      </c>
      <c r="D274" s="36">
        <v>42530</v>
      </c>
      <c r="E274" s="38">
        <v>15.85</v>
      </c>
      <c r="F274" s="38">
        <v>47.496517735578017</v>
      </c>
      <c r="G274" s="38">
        <v>29.84</v>
      </c>
      <c r="H274" s="38">
        <v>2.6062504685149253</v>
      </c>
      <c r="I274" s="38">
        <v>7.016828184463261</v>
      </c>
      <c r="J274" s="10">
        <v>0</v>
      </c>
      <c r="K274" s="39">
        <v>0</v>
      </c>
      <c r="L274" s="39">
        <v>0</v>
      </c>
      <c r="M274" s="39">
        <v>0</v>
      </c>
      <c r="N274" s="39">
        <v>0</v>
      </c>
      <c r="O274" s="39">
        <v>1</v>
      </c>
      <c r="P274" s="39">
        <v>0</v>
      </c>
      <c r="Q274" s="39">
        <v>0</v>
      </c>
      <c r="R274" s="39">
        <v>0</v>
      </c>
      <c r="S274" s="39">
        <v>0</v>
      </c>
      <c r="T274" s="39">
        <v>0</v>
      </c>
      <c r="U274" s="29" cm="1">
        <f t="array" aca="1" ref="U274" ca="1">+fair_value_gap(OFFSET(T273,0,0,-1*$J$5,-1*$AA$1),OFFSET(E273,0,0,-1*$J$5,1),F274:T274,0)</f>
        <v>16.444980600270164</v>
      </c>
      <c r="V274" s="9" t="str" cm="1">
        <f t="array" aca="1" ref="V274" ca="1">z_score_diff(OFFSET(U274,0,0,$J$5*-1,1),OFFSET(E274,0,0,$J$5*-1,1))</f>
        <v/>
      </c>
      <c r="W274" s="9" t="str">
        <f t="shared" ca="1" si="286"/>
        <v/>
      </c>
      <c r="X274" s="17">
        <f t="shared" ca="1" si="281"/>
        <v>2.8608916309632748E-2</v>
      </c>
      <c r="Y274" s="13">
        <f t="shared" ref="Y274:Z274" ca="1" si="298">+Y273</f>
        <v>0</v>
      </c>
      <c r="Z274" s="13">
        <f t="shared" ca="1" si="298"/>
        <v>0</v>
      </c>
      <c r="AA274" t="str">
        <f t="shared" ca="1" si="288"/>
        <v/>
      </c>
      <c r="AB274" t="str">
        <f t="shared" ca="1" si="289"/>
        <v/>
      </c>
      <c r="AC274" s="24" t="str">
        <f t="shared" ca="1" si="290"/>
        <v/>
      </c>
      <c r="AD274" s="24" t="str">
        <f t="shared" ca="1" si="291"/>
        <v/>
      </c>
    </row>
    <row r="275" spans="3:30" x14ac:dyDescent="0.25">
      <c r="C275" s="6">
        <v>369</v>
      </c>
      <c r="D275" s="36">
        <v>42531</v>
      </c>
      <c r="E275" s="38">
        <v>15.502000000000001</v>
      </c>
      <c r="F275" s="38">
        <v>46.684964179549468</v>
      </c>
      <c r="G275" s="38">
        <v>29.67</v>
      </c>
      <c r="H275" s="38">
        <v>2.6104646574477601</v>
      </c>
      <c r="I275" s="38">
        <v>7.0588647942406686</v>
      </c>
      <c r="J275" s="10">
        <v>0</v>
      </c>
      <c r="K275" s="39">
        <v>0</v>
      </c>
      <c r="L275" s="39">
        <v>0</v>
      </c>
      <c r="M275" s="39">
        <v>0</v>
      </c>
      <c r="N275" s="39">
        <v>0</v>
      </c>
      <c r="O275" s="39">
        <v>1</v>
      </c>
      <c r="P275" s="39">
        <v>0</v>
      </c>
      <c r="Q275" s="39">
        <v>0</v>
      </c>
      <c r="R275" s="39">
        <v>0</v>
      </c>
      <c r="S275" s="39">
        <v>0</v>
      </c>
      <c r="T275" s="39">
        <v>0</v>
      </c>
      <c r="U275" s="29" cm="1">
        <f t="array" aca="1" ref="U275" ca="1">+fair_value_gap(OFFSET(T274,0,0,-1*$J$5,-1*$AA$1),OFFSET(E274,0,0,-1*$J$5,1),F275:T275,0)</f>
        <v>16.197551629623618</v>
      </c>
      <c r="V275" s="9" t="str" cm="1">
        <f t="array" aca="1" ref="V275" ca="1">z_score_diff(OFFSET(U275,0,0,$J$5*-1,1),OFFSET(E275,0,0,$J$5*-1,1))</f>
        <v/>
      </c>
      <c r="W275" s="9" t="str">
        <f t="shared" ca="1" si="286"/>
        <v/>
      </c>
      <c r="X275" s="17">
        <f t="shared" ca="1" si="281"/>
        <v>3.6669403012567783E-2</v>
      </c>
      <c r="Y275" s="13">
        <f t="shared" ref="Y275:Z275" ca="1" si="299">+Y274</f>
        <v>0</v>
      </c>
      <c r="Z275" s="13">
        <f t="shared" ca="1" si="299"/>
        <v>0</v>
      </c>
      <c r="AA275" t="str">
        <f t="shared" ca="1" si="288"/>
        <v/>
      </c>
      <c r="AB275" t="str">
        <f t="shared" ca="1" si="289"/>
        <v/>
      </c>
      <c r="AC275" s="24" t="str">
        <f t="shared" ca="1" si="290"/>
        <v/>
      </c>
      <c r="AD275" s="24" t="str">
        <f t="shared" ca="1" si="291"/>
        <v/>
      </c>
    </row>
    <row r="276" spans="3:30" x14ac:dyDescent="0.25">
      <c r="C276" s="6">
        <v>370</v>
      </c>
      <c r="D276" s="36">
        <v>42534</v>
      </c>
      <c r="E276" s="38">
        <v>15.432</v>
      </c>
      <c r="F276" s="38">
        <v>46.415263756439529</v>
      </c>
      <c r="G276" s="38">
        <v>29.66</v>
      </c>
      <c r="H276" s="38">
        <v>2.601141427675516</v>
      </c>
      <c r="I276" s="38">
        <v>7.031292307853561</v>
      </c>
      <c r="J276" s="10">
        <v>0</v>
      </c>
      <c r="K276" s="39">
        <v>0</v>
      </c>
      <c r="L276" s="39">
        <v>0</v>
      </c>
      <c r="M276" s="39">
        <v>0</v>
      </c>
      <c r="N276" s="39">
        <v>0</v>
      </c>
      <c r="O276" s="39">
        <v>1</v>
      </c>
      <c r="P276" s="39">
        <v>0</v>
      </c>
      <c r="Q276" s="39">
        <v>0</v>
      </c>
      <c r="R276" s="39">
        <v>0</v>
      </c>
      <c r="S276" s="39">
        <v>0</v>
      </c>
      <c r="T276" s="39">
        <v>0</v>
      </c>
      <c r="U276" s="29" cm="1">
        <f t="array" aca="1" ref="U276" ca="1">+fair_value_gap(OFFSET(T275,0,0,-1*$J$5,-1*$AA$1),OFFSET(E275,0,0,-1*$J$5,1),F276:T276,0)</f>
        <v>16.07186287648824</v>
      </c>
      <c r="V276" s="9" t="str" cm="1">
        <f t="array" aca="1" ref="V276" ca="1">z_score_diff(OFFSET(U276,0,0,$J$5*-1,1),OFFSET(E276,0,0,$J$5*-1,1))</f>
        <v/>
      </c>
      <c r="W276" s="9" t="str">
        <f t="shared" ca="1" si="286"/>
        <v/>
      </c>
      <c r="X276" s="17">
        <f t="shared" ca="1" si="281"/>
        <v>3.8392919176832546E-2</v>
      </c>
      <c r="Y276" s="13">
        <f t="shared" ref="Y276:Z276" ca="1" si="300">+Y275</f>
        <v>0</v>
      </c>
      <c r="Z276" s="13">
        <f t="shared" ca="1" si="300"/>
        <v>0</v>
      </c>
      <c r="AA276" t="str">
        <f t="shared" ca="1" si="288"/>
        <v/>
      </c>
      <c r="AB276" t="str">
        <f t="shared" ca="1" si="289"/>
        <v/>
      </c>
      <c r="AC276" s="24" t="str">
        <f t="shared" ca="1" si="290"/>
        <v/>
      </c>
      <c r="AD276" s="24" t="str">
        <f t="shared" ca="1" si="291"/>
        <v/>
      </c>
    </row>
    <row r="277" spans="3:30" x14ac:dyDescent="0.25">
      <c r="C277" s="6">
        <v>371</v>
      </c>
      <c r="D277" s="36">
        <v>42535</v>
      </c>
      <c r="E277" s="38">
        <v>15.605</v>
      </c>
      <c r="F277" s="38">
        <v>46.385258075187757</v>
      </c>
      <c r="G277" s="38">
        <v>29.73</v>
      </c>
      <c r="H277" s="38">
        <v>2.6052114787676581</v>
      </c>
      <c r="I277" s="38">
        <v>7.082726242512547</v>
      </c>
      <c r="J277" s="10">
        <v>0</v>
      </c>
      <c r="K277" s="39">
        <v>0</v>
      </c>
      <c r="L277" s="39">
        <v>0</v>
      </c>
      <c r="M277" s="39">
        <v>0</v>
      </c>
      <c r="N277" s="39">
        <v>0</v>
      </c>
      <c r="O277" s="39">
        <v>1</v>
      </c>
      <c r="P277" s="39">
        <v>0</v>
      </c>
      <c r="Q277" s="39">
        <v>0</v>
      </c>
      <c r="R277" s="39">
        <v>0</v>
      </c>
      <c r="S277" s="39">
        <v>0</v>
      </c>
      <c r="T277" s="39">
        <v>0</v>
      </c>
      <c r="U277" s="29" cm="1">
        <f t="array" aca="1" ref="U277" ca="1">+fair_value_gap(OFFSET(T276,0,0,-1*$J$5,-1*$AA$1),OFFSET(E276,0,0,-1*$J$5,1),F277:T277,0)</f>
        <v>16.017350082061114</v>
      </c>
      <c r="V277" s="9" t="str" cm="1">
        <f t="array" aca="1" ref="V277" ca="1">z_score_diff(OFFSET(U277,0,0,$J$5*-1,1),OFFSET(E277,0,0,$J$5*-1,1))</f>
        <v/>
      </c>
      <c r="W277" s="9" t="str">
        <f t="shared" ca="1" si="286"/>
        <v/>
      </c>
      <c r="X277" s="17">
        <f t="shared" ca="1" si="281"/>
        <v>1.7091174945940979E-2</v>
      </c>
      <c r="Y277" s="13">
        <f t="shared" ref="Y277:Z277" ca="1" si="301">+Y276</f>
        <v>0</v>
      </c>
      <c r="Z277" s="13">
        <f t="shared" ca="1" si="301"/>
        <v>0</v>
      </c>
      <c r="AA277" t="str">
        <f t="shared" ca="1" si="288"/>
        <v/>
      </c>
      <c r="AB277" t="str">
        <f t="shared" ca="1" si="289"/>
        <v/>
      </c>
      <c r="AC277" s="24" t="str">
        <f t="shared" ca="1" si="290"/>
        <v/>
      </c>
      <c r="AD277" s="24" t="str">
        <f t="shared" ca="1" si="291"/>
        <v/>
      </c>
    </row>
    <row r="278" spans="3:30" x14ac:dyDescent="0.25">
      <c r="C278" s="6">
        <v>372</v>
      </c>
      <c r="D278" s="36">
        <v>42536</v>
      </c>
      <c r="E278" s="38">
        <v>15.738</v>
      </c>
      <c r="F278" s="38">
        <v>45.604631405624602</v>
      </c>
      <c r="G278" s="38">
        <v>30.3</v>
      </c>
      <c r="H278" s="38">
        <v>2.5749494206363805</v>
      </c>
      <c r="I278" s="38">
        <v>7.0504567469805659</v>
      </c>
      <c r="J278" s="10">
        <v>0</v>
      </c>
      <c r="K278" s="39">
        <v>0</v>
      </c>
      <c r="L278" s="39">
        <v>0</v>
      </c>
      <c r="M278" s="39">
        <v>0</v>
      </c>
      <c r="N278" s="39">
        <v>0</v>
      </c>
      <c r="O278" s="39">
        <v>1</v>
      </c>
      <c r="P278" s="39">
        <v>0</v>
      </c>
      <c r="Q278" s="39">
        <v>0</v>
      </c>
      <c r="R278" s="39">
        <v>0</v>
      </c>
      <c r="S278" s="39">
        <v>0</v>
      </c>
      <c r="T278" s="39">
        <v>0</v>
      </c>
      <c r="U278" s="29" cm="1">
        <f t="array" aca="1" ref="U278" ca="1">+fair_value_gap(OFFSET(T277,0,0,-1*$J$5,-1*$AA$1),OFFSET(E277,0,0,-1*$J$5,1),F278:T278,0)</f>
        <v>16.033241922069301</v>
      </c>
      <c r="V278" s="9" t="str" cm="1">
        <f t="array" aca="1" ref="V278" ca="1">z_score_diff(OFFSET(U278,0,0,$J$5*-1,1),OFFSET(E278,0,0,$J$5*-1,1))</f>
        <v/>
      </c>
      <c r="W278" s="9" t="str">
        <f t="shared" ca="1" si="286"/>
        <v/>
      </c>
      <c r="X278" s="17">
        <f t="shared" ca="1" si="281"/>
        <v>7.0282367374968546E-3</v>
      </c>
      <c r="Y278" s="13">
        <f t="shared" ref="Y278:Z278" ca="1" si="302">+Y277</f>
        <v>0</v>
      </c>
      <c r="Z278" s="13">
        <f t="shared" ca="1" si="302"/>
        <v>0</v>
      </c>
      <c r="AA278" t="str">
        <f t="shared" ca="1" si="288"/>
        <v/>
      </c>
      <c r="AB278" t="str">
        <f t="shared" ca="1" si="289"/>
        <v/>
      </c>
      <c r="AC278" s="24" t="str">
        <f t="shared" ca="1" si="290"/>
        <v/>
      </c>
      <c r="AD278" s="24" t="str">
        <f t="shared" ca="1" si="291"/>
        <v/>
      </c>
    </row>
    <row r="279" spans="3:30" x14ac:dyDescent="0.25">
      <c r="C279" s="6">
        <v>373</v>
      </c>
      <c r="D279" s="36">
        <v>42537</v>
      </c>
      <c r="E279" s="38">
        <v>15.704000000000001</v>
      </c>
      <c r="F279" s="38">
        <v>44.346579630612048</v>
      </c>
      <c r="G279" s="38">
        <v>30.36</v>
      </c>
      <c r="H279" s="38">
        <v>2.5840292587296623</v>
      </c>
      <c r="I279" s="38">
        <v>7.0705083388082199</v>
      </c>
      <c r="J279" s="10">
        <v>0</v>
      </c>
      <c r="K279" s="39">
        <v>0</v>
      </c>
      <c r="L279" s="39">
        <v>0</v>
      </c>
      <c r="M279" s="39">
        <v>0</v>
      </c>
      <c r="N279" s="39">
        <v>0</v>
      </c>
      <c r="O279" s="39">
        <v>1</v>
      </c>
      <c r="P279" s="39">
        <v>0</v>
      </c>
      <c r="Q279" s="39">
        <v>0</v>
      </c>
      <c r="R279" s="39">
        <v>0</v>
      </c>
      <c r="S279" s="39">
        <v>0</v>
      </c>
      <c r="T279" s="39">
        <v>0</v>
      </c>
      <c r="U279" s="29" cm="1">
        <f t="array" aca="1" ref="U279" ca="1">+fair_value_gap(OFFSET(T278,0,0,-1*$J$5,-1*$AA$1),OFFSET(E278,0,0,-1*$J$5,1),F279:T279,0)</f>
        <v>15.837108128387996</v>
      </c>
      <c r="V279" s="9" t="str" cm="1">
        <f t="array" aca="1" ref="V279" ca="1">z_score_diff(OFFSET(U279,0,0,$J$5*-1,1),OFFSET(E279,0,0,$J$5*-1,1))</f>
        <v/>
      </c>
      <c r="W279" s="9" t="str">
        <f t="shared" ca="1" si="286"/>
        <v/>
      </c>
      <c r="X279" s="17">
        <f t="shared" ca="1" si="281"/>
        <v>-3.764079853314528E-3</v>
      </c>
      <c r="Y279" s="13">
        <f t="shared" ref="Y279:Z279" ca="1" si="303">+Y278</f>
        <v>0</v>
      </c>
      <c r="Z279" s="13">
        <f t="shared" ca="1" si="303"/>
        <v>0</v>
      </c>
      <c r="AA279" t="str">
        <f t="shared" ca="1" si="288"/>
        <v/>
      </c>
      <c r="AB279" t="str">
        <f t="shared" ca="1" si="289"/>
        <v/>
      </c>
      <c r="AC279" s="24" t="str">
        <f t="shared" ca="1" si="290"/>
        <v/>
      </c>
      <c r="AD279" s="24" t="str">
        <f t="shared" ca="1" si="291"/>
        <v/>
      </c>
    </row>
    <row r="280" spans="3:30" x14ac:dyDescent="0.25">
      <c r="C280" s="6">
        <v>374</v>
      </c>
      <c r="D280" s="36">
        <v>42538</v>
      </c>
      <c r="E280" s="38">
        <v>16.024000000000001</v>
      </c>
      <c r="F280" s="38">
        <v>45.682017840987065</v>
      </c>
      <c r="G280" s="38">
        <v>30.78</v>
      </c>
      <c r="H280" s="38">
        <v>2.576934339747988</v>
      </c>
      <c r="I280" s="38">
        <v>5.0918054711777581</v>
      </c>
      <c r="J280" s="10">
        <v>0</v>
      </c>
      <c r="K280" s="39">
        <v>0</v>
      </c>
      <c r="L280" s="39">
        <v>0</v>
      </c>
      <c r="M280" s="39">
        <v>0</v>
      </c>
      <c r="N280" s="39">
        <v>0</v>
      </c>
      <c r="O280" s="39">
        <v>1</v>
      </c>
      <c r="P280" s="39">
        <v>0</v>
      </c>
      <c r="Q280" s="39">
        <v>0</v>
      </c>
      <c r="R280" s="39">
        <v>0</v>
      </c>
      <c r="S280" s="39">
        <v>0</v>
      </c>
      <c r="T280" s="39">
        <v>0</v>
      </c>
      <c r="U280" s="29" cm="1">
        <f t="array" aca="1" ref="U280" ca="1">+fair_value_gap(OFFSET(T279,0,0,-1*$J$5,-1*$AA$1),OFFSET(E279,0,0,-1*$J$5,1),F280:T280,0)</f>
        <v>16.278204849132408</v>
      </c>
      <c r="V280" s="9" t="str" cm="1">
        <f t="array" aca="1" ref="V280" ca="1">z_score_diff(OFFSET(U280,0,0,$J$5*-1,1),OFFSET(E280,0,0,$J$5*-1,1))</f>
        <v/>
      </c>
      <c r="W280" s="9" t="str">
        <f t="shared" ca="1" si="286"/>
        <v/>
      </c>
      <c r="X280" s="17">
        <f t="shared" ca="1" si="281"/>
        <v>-2.5535453951977361E-2</v>
      </c>
      <c r="Y280" s="13">
        <f t="shared" ref="Y280:Z280" ca="1" si="304">+Y279</f>
        <v>0</v>
      </c>
      <c r="Z280" s="13">
        <f t="shared" ca="1" si="304"/>
        <v>0</v>
      </c>
      <c r="AA280" t="str">
        <f t="shared" ca="1" si="288"/>
        <v/>
      </c>
      <c r="AB280" t="str">
        <f t="shared" ca="1" si="289"/>
        <v/>
      </c>
      <c r="AC280" s="24" t="str">
        <f t="shared" ca="1" si="290"/>
        <v/>
      </c>
      <c r="AD280" s="24" t="str">
        <f t="shared" ca="1" si="291"/>
        <v/>
      </c>
    </row>
    <row r="281" spans="3:30" x14ac:dyDescent="0.25">
      <c r="C281" s="6">
        <v>375</v>
      </c>
      <c r="D281" s="36">
        <v>42541</v>
      </c>
      <c r="E281" s="38">
        <v>16.745999999999999</v>
      </c>
      <c r="F281" s="38">
        <v>46.795710175255039</v>
      </c>
      <c r="G281" s="38">
        <v>31.89</v>
      </c>
      <c r="H281" s="38">
        <v>2.6087714709216145</v>
      </c>
      <c r="I281" s="38">
        <v>5.3404830412416073</v>
      </c>
      <c r="J281" s="10">
        <v>0</v>
      </c>
      <c r="K281" s="39">
        <v>0</v>
      </c>
      <c r="L281" s="39">
        <v>0</v>
      </c>
      <c r="M281" s="39">
        <v>0</v>
      </c>
      <c r="N281" s="39">
        <v>0</v>
      </c>
      <c r="O281" s="39">
        <v>1</v>
      </c>
      <c r="P281" s="39">
        <v>0</v>
      </c>
      <c r="Q281" s="39">
        <v>0</v>
      </c>
      <c r="R281" s="39">
        <v>0</v>
      </c>
      <c r="S281" s="39">
        <v>0</v>
      </c>
      <c r="T281" s="39">
        <v>0</v>
      </c>
      <c r="U281" s="29" cm="1">
        <f t="array" aca="1" ref="U281" ca="1">+fair_value_gap(OFFSET(T280,0,0,-1*$J$5,-1*$AA$1),OFFSET(E280,0,0,-1*$J$5,1),F281:T281,0)</f>
        <v>16.576662337287196</v>
      </c>
      <c r="V281" s="9" t="str" cm="1">
        <f t="array" aca="1" ref="V281" ca="1">z_score_diff(OFFSET(U281,0,0,$J$5*-1,1),OFFSET(E281,0,0,$J$5*-1,1))</f>
        <v/>
      </c>
      <c r="W281" s="9" t="str">
        <f t="shared" ca="1" si="286"/>
        <v/>
      </c>
      <c r="X281" s="17">
        <f t="shared" ca="1" si="281"/>
        <v>-8.9522589071641651E-2</v>
      </c>
      <c r="Y281" s="13">
        <f t="shared" ref="Y281:Z281" ca="1" si="305">+Y280</f>
        <v>0</v>
      </c>
      <c r="Z281" s="13">
        <f t="shared" ca="1" si="305"/>
        <v>0</v>
      </c>
      <c r="AA281" t="str">
        <f t="shared" ca="1" si="288"/>
        <v/>
      </c>
      <c r="AB281" t="str">
        <f t="shared" ca="1" si="289"/>
        <v/>
      </c>
      <c r="AC281" s="24" t="str">
        <f t="shared" ca="1" si="290"/>
        <v/>
      </c>
      <c r="AD281" s="24" t="str">
        <f t="shared" ca="1" si="291"/>
        <v/>
      </c>
    </row>
    <row r="282" spans="3:30" x14ac:dyDescent="0.25">
      <c r="C282" s="6">
        <v>376</v>
      </c>
      <c r="D282" s="36">
        <v>42542</v>
      </c>
      <c r="E282" s="38">
        <v>16.393999999999998</v>
      </c>
      <c r="F282" s="38">
        <v>47.179532150921879</v>
      </c>
      <c r="G282" s="38">
        <v>31.56</v>
      </c>
      <c r="H282" s="38">
        <v>2.6281981014184552</v>
      </c>
      <c r="I282" s="38">
        <v>5.2835814351171813</v>
      </c>
      <c r="J282" s="10">
        <v>0</v>
      </c>
      <c r="K282" s="39">
        <v>0</v>
      </c>
      <c r="L282" s="39">
        <v>0</v>
      </c>
      <c r="M282" s="39">
        <v>0</v>
      </c>
      <c r="N282" s="39">
        <v>0</v>
      </c>
      <c r="O282" s="39">
        <v>1</v>
      </c>
      <c r="P282" s="39">
        <v>0</v>
      </c>
      <c r="Q282" s="39">
        <v>0</v>
      </c>
      <c r="R282" s="39">
        <v>0</v>
      </c>
      <c r="S282" s="39">
        <v>0</v>
      </c>
      <c r="T282" s="39">
        <v>0</v>
      </c>
      <c r="U282" s="29" cm="1">
        <f t="array" aca="1" ref="U282" ca="1">+fair_value_gap(OFFSET(T281,0,0,-1*$J$5,-1*$AA$1),OFFSET(E281,0,0,-1*$J$5,1),F282:T282,0)</f>
        <v>16.493060014492983</v>
      </c>
      <c r="V282" s="9" t="str" cm="1">
        <f t="array" aca="1" ref="V282" ca="1">z_score_diff(OFFSET(U282,0,0,$J$5*-1,1),OFFSET(E282,0,0,$J$5*-1,1))</f>
        <v/>
      </c>
      <c r="W282" s="9" t="str">
        <f t="shared" ca="1" si="286"/>
        <v/>
      </c>
      <c r="X282" s="17">
        <f t="shared" ca="1" si="281"/>
        <v>-8.3081968372901424E-2</v>
      </c>
      <c r="Y282" s="13">
        <f t="shared" ref="Y282:Z282" ca="1" si="306">+Y281</f>
        <v>0</v>
      </c>
      <c r="Z282" s="13">
        <f t="shared" ca="1" si="306"/>
        <v>0</v>
      </c>
      <c r="AA282" t="str">
        <f t="shared" ca="1" si="288"/>
        <v/>
      </c>
      <c r="AB282" t="str">
        <f t="shared" ca="1" si="289"/>
        <v/>
      </c>
      <c r="AC282" s="24" t="str">
        <f t="shared" ca="1" si="290"/>
        <v/>
      </c>
      <c r="AD282" s="24" t="str">
        <f t="shared" ca="1" si="291"/>
        <v/>
      </c>
    </row>
    <row r="283" spans="3:30" x14ac:dyDescent="0.25">
      <c r="C283" s="6">
        <v>377</v>
      </c>
      <c r="D283" s="36">
        <v>42543</v>
      </c>
      <c r="E283" s="38">
        <v>17.012</v>
      </c>
      <c r="F283" s="38">
        <v>46.484526061644914</v>
      </c>
      <c r="G283" s="38">
        <v>31.96</v>
      </c>
      <c r="H283" s="38">
        <v>2.5946674749417311</v>
      </c>
      <c r="I283" s="38">
        <v>5.3347896220268893</v>
      </c>
      <c r="J283" s="10">
        <v>0</v>
      </c>
      <c r="K283" s="39">
        <v>0</v>
      </c>
      <c r="L283" s="39">
        <v>0</v>
      </c>
      <c r="M283" s="39">
        <v>0</v>
      </c>
      <c r="N283" s="39">
        <v>0</v>
      </c>
      <c r="O283" s="39">
        <v>1</v>
      </c>
      <c r="P283" s="39">
        <v>0</v>
      </c>
      <c r="Q283" s="39">
        <v>0</v>
      </c>
      <c r="R283" s="39">
        <v>0</v>
      </c>
      <c r="S283" s="39">
        <v>0</v>
      </c>
      <c r="T283" s="39">
        <v>0</v>
      </c>
      <c r="U283" s="29" cm="1">
        <f t="array" aca="1" ref="U283" ca="1">+fair_value_gap(OFFSET(T282,0,0,-1*$J$5,-1*$AA$1),OFFSET(E282,0,0,-1*$J$5,1),F283:T283,0)</f>
        <v>16.469960098799131</v>
      </c>
      <c r="V283" s="9" t="str" cm="1">
        <f t="array" aca="1" ref="V283" ca="1">z_score_diff(OFFSET(U283,0,0,$J$5*-1,1),OFFSET(E283,0,0,$J$5*-1,1))</f>
        <v/>
      </c>
      <c r="W283" s="9" t="str">
        <f t="shared" ca="1" si="286"/>
        <v/>
      </c>
      <c r="X283" s="17">
        <f t="shared" ca="1" si="281"/>
        <v>-0.12540221847753455</v>
      </c>
      <c r="Y283" s="13">
        <f t="shared" ref="Y283:Z283" ca="1" si="307">+Y282</f>
        <v>0</v>
      </c>
      <c r="Z283" s="13">
        <f t="shared" ca="1" si="307"/>
        <v>0</v>
      </c>
      <c r="AA283" t="str">
        <f t="shared" ca="1" si="288"/>
        <v/>
      </c>
      <c r="AB283" t="str">
        <f t="shared" ca="1" si="289"/>
        <v/>
      </c>
      <c r="AC283" s="24" t="str">
        <f t="shared" ca="1" si="290"/>
        <v/>
      </c>
      <c r="AD283" s="24" t="str">
        <f t="shared" ca="1" si="291"/>
        <v/>
      </c>
    </row>
    <row r="284" spans="3:30" x14ac:dyDescent="0.25">
      <c r="C284" s="6">
        <v>378</v>
      </c>
      <c r="D284" s="36">
        <v>42544</v>
      </c>
      <c r="E284" s="38">
        <v>16.706</v>
      </c>
      <c r="F284" s="38">
        <v>46.898185274159729</v>
      </c>
      <c r="G284" s="38">
        <v>32.21</v>
      </c>
      <c r="H284" s="38">
        <v>2.5818603378430289</v>
      </c>
      <c r="I284" s="38">
        <v>5.1792584510391757</v>
      </c>
      <c r="J284" s="10">
        <v>0</v>
      </c>
      <c r="K284" s="39">
        <v>0</v>
      </c>
      <c r="L284" s="39">
        <v>0</v>
      </c>
      <c r="M284" s="39">
        <v>0</v>
      </c>
      <c r="N284" s="39">
        <v>0</v>
      </c>
      <c r="O284" s="39">
        <v>1</v>
      </c>
      <c r="P284" s="39">
        <v>0</v>
      </c>
      <c r="Q284" s="39">
        <v>0</v>
      </c>
      <c r="R284" s="39">
        <v>0</v>
      </c>
      <c r="S284" s="39">
        <v>0</v>
      </c>
      <c r="T284" s="39">
        <v>0</v>
      </c>
      <c r="U284" s="29" cm="1">
        <f t="array" aca="1" ref="U284" ca="1">+fair_value_gap(OFFSET(T283,0,0,-1*$J$5,-1*$AA$1),OFFSET(E283,0,0,-1*$J$5,1),F284:T284,0)</f>
        <v>16.681998007840527</v>
      </c>
      <c r="V284" s="9" t="str" cm="1">
        <f t="array" aca="1" ref="V284" ca="1">z_score_diff(OFFSET(U284,0,0,$J$5*-1,1),OFFSET(E284,0,0,$J$5*-1,1))</f>
        <v/>
      </c>
      <c r="W284" s="9" t="str">
        <f t="shared" ca="1" si="286"/>
        <v/>
      </c>
      <c r="X284" s="17">
        <f t="shared" ca="1" si="281"/>
        <v>-0.10938579233220153</v>
      </c>
      <c r="Y284" s="13">
        <f t="shared" ref="Y284:Z284" ca="1" si="308">+Y283</f>
        <v>0</v>
      </c>
      <c r="Z284" s="13">
        <f t="shared" ca="1" si="308"/>
        <v>0</v>
      </c>
      <c r="AA284" t="str">
        <f t="shared" ca="1" si="288"/>
        <v/>
      </c>
      <c r="AB284" t="str">
        <f t="shared" ca="1" si="289"/>
        <v/>
      </c>
      <c r="AC284" s="24" t="str">
        <f t="shared" ca="1" si="290"/>
        <v/>
      </c>
      <c r="AD284" s="24" t="str">
        <f t="shared" ca="1" si="291"/>
        <v/>
      </c>
    </row>
    <row r="285" spans="3:30" x14ac:dyDescent="0.25">
      <c r="C285" s="6">
        <v>379</v>
      </c>
      <c r="D285" s="36">
        <v>42545</v>
      </c>
      <c r="E285" s="38">
        <v>16.375</v>
      </c>
      <c r="F285" s="38">
        <v>46.235549723884603</v>
      </c>
      <c r="G285" s="38">
        <v>31.92</v>
      </c>
      <c r="H285" s="38">
        <v>2.652699103558386</v>
      </c>
      <c r="I285" s="38">
        <v>5.0449287576051747</v>
      </c>
      <c r="J285" s="10">
        <v>0</v>
      </c>
      <c r="K285" s="39">
        <v>0</v>
      </c>
      <c r="L285" s="39">
        <v>0</v>
      </c>
      <c r="M285" s="39">
        <v>0</v>
      </c>
      <c r="N285" s="39">
        <v>0</v>
      </c>
      <c r="O285" s="39">
        <v>1</v>
      </c>
      <c r="P285" s="39">
        <v>0</v>
      </c>
      <c r="Q285" s="39">
        <v>0</v>
      </c>
      <c r="R285" s="39">
        <v>0</v>
      </c>
      <c r="S285" s="39">
        <v>0</v>
      </c>
      <c r="T285" s="39">
        <v>0</v>
      </c>
      <c r="U285" s="29" cm="1">
        <f t="array" aca="1" ref="U285" ca="1">+fair_value_gap(OFFSET(T284,0,0,-1*$J$5,-1*$AA$1),OFFSET(E284,0,0,-1*$J$5,1),F285:T285,0)</f>
        <v>16.643460975597925</v>
      </c>
      <c r="V285" s="9" t="str" cm="1">
        <f t="array" aca="1" ref="V285" ca="1">z_score_diff(OFFSET(U285,0,0,$J$5*-1,1),OFFSET(E285,0,0,$J$5*-1,1))</f>
        <v/>
      </c>
      <c r="W285" s="9" t="str">
        <f t="shared" ca="1" si="286"/>
        <v/>
      </c>
      <c r="X285" s="17">
        <f t="shared" ca="1" si="281"/>
        <v>-0.10302228453099889</v>
      </c>
      <c r="Y285" s="13">
        <f t="shared" ref="Y285:Z285" ca="1" si="309">+Y284</f>
        <v>0</v>
      </c>
      <c r="Z285" s="13">
        <f t="shared" ca="1" si="309"/>
        <v>0</v>
      </c>
      <c r="AA285" t="str">
        <f t="shared" ca="1" si="288"/>
        <v/>
      </c>
      <c r="AB285" t="str">
        <f t="shared" ca="1" si="289"/>
        <v/>
      </c>
      <c r="AC285" s="24" t="str">
        <f t="shared" ca="1" si="290"/>
        <v/>
      </c>
      <c r="AD285" s="24" t="str">
        <f t="shared" ca="1" si="291"/>
        <v/>
      </c>
    </row>
    <row r="286" spans="3:30" x14ac:dyDescent="0.25">
      <c r="C286" s="6">
        <v>380</v>
      </c>
      <c r="D286" s="36">
        <v>42548</v>
      </c>
      <c r="E286" s="38">
        <v>15.782999999999999</v>
      </c>
      <c r="F286" s="38">
        <v>45.71219928657468</v>
      </c>
      <c r="G286" s="38">
        <v>30.84</v>
      </c>
      <c r="H286" s="38">
        <v>2.6659483491524272</v>
      </c>
      <c r="I286" s="38">
        <v>4.8996533103758093</v>
      </c>
      <c r="J286" s="10">
        <v>0</v>
      </c>
      <c r="K286" s="39">
        <v>0</v>
      </c>
      <c r="L286" s="39">
        <v>0</v>
      </c>
      <c r="M286" s="39">
        <v>0</v>
      </c>
      <c r="N286" s="39">
        <v>0</v>
      </c>
      <c r="O286" s="39">
        <v>1</v>
      </c>
      <c r="P286" s="39">
        <v>0</v>
      </c>
      <c r="Q286" s="39">
        <v>0</v>
      </c>
      <c r="R286" s="39">
        <v>0</v>
      </c>
      <c r="S286" s="39">
        <v>0</v>
      </c>
      <c r="T286" s="39">
        <v>0</v>
      </c>
      <c r="U286" s="29" cm="1">
        <f t="array" aca="1" ref="U286" ca="1">+fair_value_gap(OFFSET(T285,0,0,-1*$J$5,-1*$AA$1),OFFSET(E285,0,0,-1*$J$5,1),F286:T286,0)</f>
        <v>16.25193304565564</v>
      </c>
      <c r="V286" s="9" t="str" cm="1">
        <f t="array" aca="1" ref="V286" ca="1">z_score_diff(OFFSET(U286,0,0,$J$5*-1,1),OFFSET(E286,0,0,$J$5*-1,1))</f>
        <v/>
      </c>
      <c r="W286" s="9" t="str">
        <f t="shared" ca="1" si="286"/>
        <v/>
      </c>
      <c r="X286" s="17">
        <f t="shared" ca="1" si="281"/>
        <v>-5.7035429799767889E-2</v>
      </c>
      <c r="Y286" s="13">
        <f t="shared" ref="Y286:Z286" ca="1" si="310">+Y285</f>
        <v>0</v>
      </c>
      <c r="Z286" s="13">
        <f t="shared" ca="1" si="310"/>
        <v>0</v>
      </c>
      <c r="AA286" t="str">
        <f t="shared" ca="1" si="288"/>
        <v/>
      </c>
      <c r="AB286" t="str">
        <f t="shared" ca="1" si="289"/>
        <v/>
      </c>
      <c r="AC286" s="24" t="str">
        <f t="shared" ca="1" si="290"/>
        <v/>
      </c>
      <c r="AD286" s="24" t="str">
        <f t="shared" ca="1" si="291"/>
        <v/>
      </c>
    </row>
    <row r="287" spans="3:30" x14ac:dyDescent="0.25">
      <c r="C287" s="6">
        <v>381</v>
      </c>
      <c r="D287" s="36">
        <v>42549</v>
      </c>
      <c r="E287" s="38">
        <v>15.776999999999999</v>
      </c>
      <c r="F287" s="38">
        <v>47.020853579166044</v>
      </c>
      <c r="G287" s="38">
        <v>30.95</v>
      </c>
      <c r="H287" s="38">
        <v>2.7005340442035255</v>
      </c>
      <c r="I287" s="38">
        <v>4.836710858304432</v>
      </c>
      <c r="J287" s="10">
        <v>0</v>
      </c>
      <c r="K287" s="39">
        <v>0</v>
      </c>
      <c r="L287" s="39">
        <v>0</v>
      </c>
      <c r="M287" s="39">
        <v>0</v>
      </c>
      <c r="N287" s="39">
        <v>0</v>
      </c>
      <c r="O287" s="39">
        <v>1</v>
      </c>
      <c r="P287" s="39">
        <v>0</v>
      </c>
      <c r="Q287" s="39">
        <v>0</v>
      </c>
      <c r="R287" s="39">
        <v>0</v>
      </c>
      <c r="S287" s="39">
        <v>0</v>
      </c>
      <c r="T287" s="39">
        <v>0</v>
      </c>
      <c r="U287" s="29" cm="1">
        <f t="array" aca="1" ref="U287" ca="1">+fair_value_gap(OFFSET(T286,0,0,-1*$J$5,-1*$AA$1),OFFSET(E286,0,0,-1*$J$5,1),F287:T287,0)</f>
        <v>16.390406085610305</v>
      </c>
      <c r="V287" s="9" t="str" cm="1">
        <f t="array" aca="1" ref="V287" ca="1">z_score_diff(OFFSET(U287,0,0,$J$5*-1,1),OFFSET(E287,0,0,$J$5*-1,1))</f>
        <v/>
      </c>
      <c r="W287" s="9" t="str">
        <f t="shared" ca="1" si="286"/>
        <v/>
      </c>
      <c r="X287" s="17">
        <f t="shared" ca="1" si="281"/>
        <v>-5.6856456145282099E-2</v>
      </c>
      <c r="Y287" s="13">
        <f t="shared" ref="Y287:Z287" ca="1" si="311">+Y286</f>
        <v>0</v>
      </c>
      <c r="Z287" s="13">
        <f t="shared" ca="1" si="311"/>
        <v>0</v>
      </c>
      <c r="AA287" t="str">
        <f t="shared" ca="1" si="288"/>
        <v/>
      </c>
      <c r="AB287" t="str">
        <f t="shared" ca="1" si="289"/>
        <v/>
      </c>
      <c r="AC287" s="24" t="str">
        <f t="shared" ca="1" si="290"/>
        <v/>
      </c>
      <c r="AD287" s="24" t="str">
        <f t="shared" ca="1" si="291"/>
        <v/>
      </c>
    </row>
    <row r="288" spans="3:30" x14ac:dyDescent="0.25">
      <c r="C288" s="6">
        <v>382</v>
      </c>
      <c r="D288" s="36">
        <v>42550</v>
      </c>
      <c r="E288" s="38">
        <v>16.202999999999999</v>
      </c>
      <c r="F288" s="38">
        <v>48.613987029766982</v>
      </c>
      <c r="G288" s="38">
        <v>30.84</v>
      </c>
      <c r="H288" s="38">
        <v>2.697624015770725</v>
      </c>
      <c r="I288" s="38">
        <v>5.032549733563072</v>
      </c>
      <c r="J288" s="10">
        <v>0</v>
      </c>
      <c r="K288" s="39">
        <v>0</v>
      </c>
      <c r="L288" s="39">
        <v>0</v>
      </c>
      <c r="M288" s="39">
        <v>0</v>
      </c>
      <c r="N288" s="39">
        <v>0</v>
      </c>
      <c r="O288" s="39">
        <v>1</v>
      </c>
      <c r="P288" s="39">
        <v>0</v>
      </c>
      <c r="Q288" s="39">
        <v>0</v>
      </c>
      <c r="R288" s="39">
        <v>0</v>
      </c>
      <c r="S288" s="39">
        <v>0</v>
      </c>
      <c r="T288" s="39">
        <v>0</v>
      </c>
      <c r="U288" s="29" cm="1">
        <f t="array" aca="1" ref="U288" ca="1">+fair_value_gap(OFFSET(T287,0,0,-1*$J$5,-1*$AA$1),OFFSET(E287,0,0,-1*$J$5,1),F288:T288,0)</f>
        <v>16.413326354999917</v>
      </c>
      <c r="V288" s="9" t="str" cm="1">
        <f t="array" aca="1" ref="V288" ca="1">z_score_diff(OFFSET(U288,0,0,$J$5*-1,1),OFFSET(E288,0,0,$J$5*-1,1))</f>
        <v/>
      </c>
      <c r="W288" s="9" t="str">
        <f t="shared" ca="1" si="286"/>
        <v/>
      </c>
      <c r="X288" s="17">
        <f t="shared" ca="1" si="281"/>
        <v>-8.4909599794487603E-2</v>
      </c>
      <c r="Y288" s="13">
        <f t="shared" ref="Y288:Z288" ca="1" si="312">+Y287</f>
        <v>0</v>
      </c>
      <c r="Z288" s="13">
        <f t="shared" ca="1" si="312"/>
        <v>0</v>
      </c>
      <c r="AA288" t="str">
        <f t="shared" ca="1" si="288"/>
        <v/>
      </c>
      <c r="AB288" t="str">
        <f t="shared" ca="1" si="289"/>
        <v/>
      </c>
      <c r="AC288" s="24" t="str">
        <f t="shared" ca="1" si="290"/>
        <v/>
      </c>
      <c r="AD288" s="24" t="str">
        <f t="shared" ca="1" si="291"/>
        <v/>
      </c>
    </row>
    <row r="289" spans="3:30" x14ac:dyDescent="0.25">
      <c r="C289" s="6">
        <v>383</v>
      </c>
      <c r="D289" s="36">
        <v>42551</v>
      </c>
      <c r="E289" s="38">
        <v>15.733000000000001</v>
      </c>
      <c r="F289" s="38">
        <v>47.264611665531376</v>
      </c>
      <c r="G289" s="38">
        <v>30.21</v>
      </c>
      <c r="H289" s="38">
        <v>2.7388963242483797</v>
      </c>
      <c r="I289" s="38">
        <v>4.9955550661145063</v>
      </c>
      <c r="J289" s="10">
        <v>0</v>
      </c>
      <c r="K289" s="39">
        <v>0</v>
      </c>
      <c r="L289" s="39">
        <v>0</v>
      </c>
      <c r="M289" s="39">
        <v>0</v>
      </c>
      <c r="N289" s="39">
        <v>0</v>
      </c>
      <c r="O289" s="39">
        <v>1</v>
      </c>
      <c r="P289" s="39">
        <v>0</v>
      </c>
      <c r="Q289" s="39">
        <v>0</v>
      </c>
      <c r="R289" s="39">
        <v>0</v>
      </c>
      <c r="S289" s="39">
        <v>0</v>
      </c>
      <c r="T289" s="39">
        <v>0</v>
      </c>
      <c r="U289" s="29" cm="1">
        <f t="array" aca="1" ref="U289" ca="1">+fair_value_gap(OFFSET(T288,0,0,-1*$J$5,-1*$AA$1),OFFSET(E288,0,0,-1*$J$5,1),F289:T289,0)</f>
        <v>16.108022327475311</v>
      </c>
      <c r="V289" s="9" t="str" cm="1">
        <f t="array" aca="1" ref="V289" ca="1">z_score_diff(OFFSET(U289,0,0,$J$5*-1,1),OFFSET(E289,0,0,$J$5*-1,1))</f>
        <v/>
      </c>
      <c r="W289" s="9" t="str">
        <f t="shared" ca="1" si="286"/>
        <v/>
      </c>
      <c r="X289" s="17">
        <f t="shared" ca="1" si="281"/>
        <v>-6.2147263953845684E-2</v>
      </c>
      <c r="Y289" s="13">
        <f t="shared" ref="Y289:Z289" ca="1" si="313">+Y288</f>
        <v>0</v>
      </c>
      <c r="Z289" s="13">
        <f t="shared" ca="1" si="313"/>
        <v>0</v>
      </c>
      <c r="AA289" t="str">
        <f t="shared" ca="1" si="288"/>
        <v/>
      </c>
      <c r="AB289" t="str">
        <f t="shared" ca="1" si="289"/>
        <v/>
      </c>
      <c r="AC289" s="24" t="str">
        <f t="shared" ca="1" si="290"/>
        <v/>
      </c>
      <c r="AD289" s="24" t="str">
        <f t="shared" ca="1" si="291"/>
        <v/>
      </c>
    </row>
    <row r="290" spans="3:30" x14ac:dyDescent="0.25">
      <c r="C290" s="6">
        <v>384</v>
      </c>
      <c r="D290" s="36">
        <v>42552</v>
      </c>
      <c r="E290" s="38">
        <v>15.929</v>
      </c>
      <c r="F290" s="38">
        <v>48.181658040352914</v>
      </c>
      <c r="G290" s="38">
        <v>30.57</v>
      </c>
      <c r="H290" s="38">
        <v>2.7644923398864996</v>
      </c>
      <c r="I290" s="38">
        <v>4.9792729464814469</v>
      </c>
      <c r="J290" s="10">
        <v>0</v>
      </c>
      <c r="K290" s="39">
        <v>0</v>
      </c>
      <c r="L290" s="39">
        <v>0</v>
      </c>
      <c r="M290" s="39">
        <v>0</v>
      </c>
      <c r="N290" s="39">
        <v>0</v>
      </c>
      <c r="O290" s="39">
        <v>0</v>
      </c>
      <c r="P290" s="39">
        <v>1</v>
      </c>
      <c r="Q290" s="39">
        <v>0</v>
      </c>
      <c r="R290" s="39">
        <v>0</v>
      </c>
      <c r="S290" s="39">
        <v>0</v>
      </c>
      <c r="T290" s="39">
        <v>0</v>
      </c>
      <c r="U290" s="29" cm="1">
        <f t="array" aca="1" ref="U290" ca="1">+fair_value_gap(OFFSET(T289,0,0,-1*$J$5,-1*$AA$1),OFFSET(E289,0,0,-1*$J$5,1),F290:T290,0)</f>
        <v>17.90239420074775</v>
      </c>
      <c r="V290" s="9" t="str" cm="1">
        <f t="array" aca="1" ref="V290" ca="1">z_score_diff(OFFSET(U290,0,0,$J$5*-1,1),OFFSET(E290,0,0,$J$5*-1,1))</f>
        <v/>
      </c>
      <c r="W290" s="9" t="str">
        <f t="shared" ca="1" si="286"/>
        <v/>
      </c>
      <c r="X290" s="17">
        <f t="shared" ca="1" si="281"/>
        <v>-7.2501166286972701E-2</v>
      </c>
      <c r="Y290" s="13">
        <f t="shared" ref="Y290:Z290" ca="1" si="314">+Y289</f>
        <v>0</v>
      </c>
      <c r="Z290" s="13">
        <f t="shared" ca="1" si="314"/>
        <v>0</v>
      </c>
      <c r="AA290" t="str">
        <f t="shared" ca="1" si="288"/>
        <v/>
      </c>
      <c r="AB290" t="str">
        <f t="shared" ca="1" si="289"/>
        <v/>
      </c>
      <c r="AC290" s="24" t="str">
        <f t="shared" ca="1" si="290"/>
        <v/>
      </c>
      <c r="AD290" s="24" t="str">
        <f t="shared" ca="1" si="291"/>
        <v/>
      </c>
    </row>
    <row r="291" spans="3:30" x14ac:dyDescent="0.25">
      <c r="C291" s="6">
        <v>385</v>
      </c>
      <c r="D291" s="36">
        <v>42555</v>
      </c>
      <c r="E291" s="38">
        <v>16.294</v>
      </c>
      <c r="F291" s="38">
        <v>47.941755979466151</v>
      </c>
      <c r="G291" s="38">
        <v>31.63</v>
      </c>
      <c r="H291" s="38">
        <v>2.7593458150363586</v>
      </c>
      <c r="I291" s="38">
        <v>4.9700032691577052</v>
      </c>
      <c r="J291" s="10">
        <v>0</v>
      </c>
      <c r="K291" s="39">
        <v>0</v>
      </c>
      <c r="L291" s="39">
        <v>0</v>
      </c>
      <c r="M291" s="39">
        <v>0</v>
      </c>
      <c r="N291" s="39">
        <v>0</v>
      </c>
      <c r="O291" s="39">
        <v>0</v>
      </c>
      <c r="P291" s="39">
        <v>1</v>
      </c>
      <c r="Q291" s="39">
        <v>0</v>
      </c>
      <c r="R291" s="39">
        <v>0</v>
      </c>
      <c r="S291" s="39">
        <v>0</v>
      </c>
      <c r="T291" s="39">
        <v>0</v>
      </c>
      <c r="U291" s="29" cm="1">
        <f t="array" aca="1" ref="U291" ca="1">+fair_value_gap(OFFSET(T290,0,0,-1*$J$5,-1*$AA$1),OFFSET(E290,0,0,-1*$J$5,1),F291:T291,0)</f>
        <v>17.822877532231047</v>
      </c>
      <c r="V291" s="9" t="str" cm="1">
        <f t="array" aca="1" ref="V291" ca="1">z_score_diff(OFFSET(U291,0,0,$J$5*-1,1),OFFSET(E291,0,0,$J$5*-1,1))</f>
        <v/>
      </c>
      <c r="W291" s="9" t="str">
        <f t="shared" ca="1" si="286"/>
        <v/>
      </c>
      <c r="X291" s="17">
        <f t="shared" ca="1" si="281"/>
        <v>-0.10077494330563122</v>
      </c>
      <c r="Y291" s="13">
        <f t="shared" ref="Y291:Z291" ca="1" si="315">+Y290</f>
        <v>0</v>
      </c>
      <c r="Z291" s="13">
        <f t="shared" ca="1" si="315"/>
        <v>0</v>
      </c>
      <c r="AA291" t="str">
        <f t="shared" ca="1" si="288"/>
        <v/>
      </c>
      <c r="AB291" t="str">
        <f t="shared" ca="1" si="289"/>
        <v/>
      </c>
      <c r="AC291" s="24" t="str">
        <f t="shared" ca="1" si="290"/>
        <v/>
      </c>
      <c r="AD291" s="24" t="str">
        <f t="shared" ca="1" si="291"/>
        <v/>
      </c>
    </row>
    <row r="292" spans="3:30" x14ac:dyDescent="0.25">
      <c r="C292" s="6">
        <v>386</v>
      </c>
      <c r="D292" s="36">
        <v>42556</v>
      </c>
      <c r="E292" s="38">
        <v>15.954000000000001</v>
      </c>
      <c r="F292" s="38">
        <v>46.73417257187527</v>
      </c>
      <c r="G292" s="38">
        <v>31.34</v>
      </c>
      <c r="H292" s="38">
        <v>2.7440411481524016</v>
      </c>
      <c r="I292" s="38">
        <v>5.0972211463895194</v>
      </c>
      <c r="J292" s="10">
        <v>0</v>
      </c>
      <c r="K292" s="39">
        <v>0</v>
      </c>
      <c r="L292" s="39">
        <v>0</v>
      </c>
      <c r="M292" s="39">
        <v>0</v>
      </c>
      <c r="N292" s="39">
        <v>0</v>
      </c>
      <c r="O292" s="39">
        <v>0</v>
      </c>
      <c r="P292" s="39">
        <v>1</v>
      </c>
      <c r="Q292" s="39">
        <v>0</v>
      </c>
      <c r="R292" s="39">
        <v>0</v>
      </c>
      <c r="S292" s="39">
        <v>0</v>
      </c>
      <c r="T292" s="39">
        <v>0</v>
      </c>
      <c r="U292" s="29" cm="1">
        <f t="array" aca="1" ref="U292" ca="1">+fair_value_gap(OFFSET(T291,0,0,-1*$J$5,-1*$AA$1),OFFSET(E291,0,0,-1*$J$5,1),F292:T292,0)</f>
        <v>17.371695834470287</v>
      </c>
      <c r="V292" s="9" t="str" cm="1">
        <f t="array" aca="1" ref="V292" ca="1">z_score_diff(OFFSET(U292,0,0,$J$5*-1,1),OFFSET(E292,0,0,$J$5*-1,1))</f>
        <v/>
      </c>
      <c r="W292" s="9" t="str">
        <f t="shared" ca="1" si="286"/>
        <v/>
      </c>
      <c r="X292" s="17">
        <f t="shared" ca="1" si="281"/>
        <v>-7.3664487514159868E-2</v>
      </c>
      <c r="Y292" s="13">
        <f t="shared" ref="Y292:Z292" ca="1" si="316">+Y291</f>
        <v>0</v>
      </c>
      <c r="Z292" s="13">
        <f t="shared" ca="1" si="316"/>
        <v>0</v>
      </c>
      <c r="AA292" t="str">
        <f t="shared" ca="1" si="288"/>
        <v/>
      </c>
      <c r="AB292" t="str">
        <f t="shared" ca="1" si="289"/>
        <v/>
      </c>
      <c r="AC292" s="24" t="str">
        <f t="shared" ca="1" si="290"/>
        <v/>
      </c>
      <c r="AD292" s="24" t="str">
        <f t="shared" ca="1" si="291"/>
        <v/>
      </c>
    </row>
    <row r="293" spans="3:30" x14ac:dyDescent="0.25">
      <c r="C293" s="6">
        <v>387</v>
      </c>
      <c r="D293" s="36">
        <v>42557</v>
      </c>
      <c r="E293" s="38">
        <v>15.856999999999999</v>
      </c>
      <c r="F293" s="38">
        <v>47.432401726880251</v>
      </c>
      <c r="G293" s="38">
        <v>31.17</v>
      </c>
      <c r="H293" s="38">
        <v>2.7692569870483981</v>
      </c>
      <c r="I293" s="38">
        <v>5.0370299363780955</v>
      </c>
      <c r="J293" s="10">
        <v>0</v>
      </c>
      <c r="K293" s="39">
        <v>0</v>
      </c>
      <c r="L293" s="39">
        <v>0</v>
      </c>
      <c r="M293" s="39">
        <v>0</v>
      </c>
      <c r="N293" s="39">
        <v>0</v>
      </c>
      <c r="O293" s="39">
        <v>0</v>
      </c>
      <c r="P293" s="39">
        <v>1</v>
      </c>
      <c r="Q293" s="39">
        <v>0</v>
      </c>
      <c r="R293" s="39">
        <v>0</v>
      </c>
      <c r="S293" s="39">
        <v>0</v>
      </c>
      <c r="T293" s="39">
        <v>0</v>
      </c>
      <c r="U293" s="29" cm="1">
        <f t="array" aca="1" ref="U293" ca="1">+fair_value_gap(OFFSET(T292,0,0,-1*$J$5,-1*$AA$1),OFFSET(E292,0,0,-1*$J$5,1),F293:T293,0)</f>
        <v>17.171292507213678</v>
      </c>
      <c r="V293" s="9" t="str" cm="1">
        <f t="array" aca="1" ref="V293" ca="1">z_score_diff(OFFSET(U293,0,0,$J$5*-1,1),OFFSET(E293,0,0,$J$5*-1,1))</f>
        <v/>
      </c>
      <c r="W293" s="9" t="str">
        <f t="shared" ca="1" si="286"/>
        <v/>
      </c>
      <c r="X293" s="17">
        <f t="shared" ca="1" si="281"/>
        <v>-5.2831237534354168E-2</v>
      </c>
      <c r="Y293" s="13">
        <f t="shared" ref="Y293:Z293" ca="1" si="317">+Y292</f>
        <v>0</v>
      </c>
      <c r="Z293" s="13">
        <f t="shared" ca="1" si="317"/>
        <v>0</v>
      </c>
      <c r="AA293" t="str">
        <f t="shared" ca="1" si="288"/>
        <v/>
      </c>
      <c r="AB293" t="str">
        <f t="shared" ca="1" si="289"/>
        <v/>
      </c>
      <c r="AC293" s="24" t="str">
        <f t="shared" ca="1" si="290"/>
        <v/>
      </c>
      <c r="AD293" s="24" t="str">
        <f t="shared" ca="1" si="291"/>
        <v/>
      </c>
    </row>
    <row r="294" spans="3:30" x14ac:dyDescent="0.25">
      <c r="C294" s="6">
        <v>388</v>
      </c>
      <c r="D294" s="36">
        <v>42558</v>
      </c>
      <c r="E294" s="38">
        <v>16.117000000000001</v>
      </c>
      <c r="F294" s="38">
        <v>45.695493426707721</v>
      </c>
      <c r="G294" s="38">
        <v>31.84</v>
      </c>
      <c r="H294" s="38">
        <v>2.7729058681742913</v>
      </c>
      <c r="I294" s="38">
        <v>5.0550082884320924</v>
      </c>
      <c r="J294" s="10">
        <v>0</v>
      </c>
      <c r="K294" s="39">
        <v>0</v>
      </c>
      <c r="L294" s="39">
        <v>0</v>
      </c>
      <c r="M294" s="39">
        <v>0</v>
      </c>
      <c r="N294" s="39">
        <v>0</v>
      </c>
      <c r="O294" s="39">
        <v>0</v>
      </c>
      <c r="P294" s="39">
        <v>1</v>
      </c>
      <c r="Q294" s="39">
        <v>0</v>
      </c>
      <c r="R294" s="39">
        <v>0</v>
      </c>
      <c r="S294" s="39">
        <v>0</v>
      </c>
      <c r="T294" s="39">
        <v>0</v>
      </c>
      <c r="U294" s="29" cm="1">
        <f t="array" aca="1" ref="U294" ca="1">+fair_value_gap(OFFSET(T293,0,0,-1*$J$5,-1*$AA$1),OFFSET(E293,0,0,-1*$J$5,1),F294:T294,0)</f>
        <v>17.017650003008718</v>
      </c>
      <c r="V294" s="9" t="str" cm="1">
        <f t="array" aca="1" ref="V294" ca="1">z_score_diff(OFFSET(U294,0,0,$J$5*-1,1),OFFSET(E294,0,0,$J$5*-1,1))</f>
        <v/>
      </c>
      <c r="W294" s="9" t="str">
        <f t="shared" ca="1" si="286"/>
        <v/>
      </c>
      <c r="X294" s="17">
        <f t="shared" ca="1" si="281"/>
        <v>-6.6637887751070962E-2</v>
      </c>
      <c r="Y294" s="13">
        <f t="shared" ref="Y294:Z294" ca="1" si="318">+Y293</f>
        <v>0</v>
      </c>
      <c r="Z294" s="13">
        <f t="shared" ca="1" si="318"/>
        <v>0</v>
      </c>
      <c r="AA294" t="str">
        <f t="shared" ca="1" si="288"/>
        <v/>
      </c>
      <c r="AB294" t="str">
        <f t="shared" ca="1" si="289"/>
        <v/>
      </c>
      <c r="AC294" s="24" t="str">
        <f t="shared" ca="1" si="290"/>
        <v/>
      </c>
      <c r="AD294" s="24" t="str">
        <f t="shared" ca="1" si="291"/>
        <v/>
      </c>
    </row>
    <row r="295" spans="3:30" x14ac:dyDescent="0.25">
      <c r="C295" s="6">
        <v>389</v>
      </c>
      <c r="D295" s="36">
        <v>42559</v>
      </c>
      <c r="E295" s="38">
        <v>15.797000000000001</v>
      </c>
      <c r="F295" s="38">
        <v>46.155121498142833</v>
      </c>
      <c r="G295" s="38">
        <v>31.31</v>
      </c>
      <c r="H295" s="38">
        <v>2.7819647391986053</v>
      </c>
      <c r="I295" s="38">
        <v>5.0585228756655187</v>
      </c>
      <c r="J295" s="10">
        <v>0</v>
      </c>
      <c r="K295" s="39">
        <v>0</v>
      </c>
      <c r="L295" s="39">
        <v>0</v>
      </c>
      <c r="M295" s="39">
        <v>0</v>
      </c>
      <c r="N295" s="39">
        <v>0</v>
      </c>
      <c r="O295" s="39">
        <v>0</v>
      </c>
      <c r="P295" s="39">
        <v>1</v>
      </c>
      <c r="Q295" s="39">
        <v>0</v>
      </c>
      <c r="R295" s="39">
        <v>0</v>
      </c>
      <c r="S295" s="39">
        <v>0</v>
      </c>
      <c r="T295" s="39">
        <v>0</v>
      </c>
      <c r="U295" s="29" cm="1">
        <f t="array" aca="1" ref="U295" ca="1">+fair_value_gap(OFFSET(T294,0,0,-1*$J$5,-1*$AA$1),OFFSET(E294,0,0,-1*$J$5,1),F295:T295,0)</f>
        <v>16.764917801346471</v>
      </c>
      <c r="V295" s="9" t="str" cm="1">
        <f t="array" aca="1" ref="V295" ca="1">z_score_diff(OFFSET(U295,0,0,$J$5*-1,1),OFFSET(E295,0,0,$J$5*-1,1))</f>
        <v/>
      </c>
      <c r="W295" s="9" t="str">
        <f t="shared" ca="1" si="286"/>
        <v/>
      </c>
      <c r="X295" s="17">
        <f t="shared" ca="1" si="281"/>
        <v>-7.1156561284940176E-2</v>
      </c>
      <c r="Y295" s="13">
        <f t="shared" ref="Y295:Z295" ca="1" si="319">+Y294</f>
        <v>0</v>
      </c>
      <c r="Z295" s="13">
        <f t="shared" ca="1" si="319"/>
        <v>0</v>
      </c>
      <c r="AA295" t="str">
        <f t="shared" ca="1" si="288"/>
        <v/>
      </c>
      <c r="AB295" t="str">
        <f t="shared" ca="1" si="289"/>
        <v/>
      </c>
      <c r="AC295" s="24" t="str">
        <f t="shared" ca="1" si="290"/>
        <v/>
      </c>
      <c r="AD295" s="24" t="str">
        <f t="shared" ca="1" si="291"/>
        <v/>
      </c>
    </row>
    <row r="296" spans="3:30" x14ac:dyDescent="0.25">
      <c r="C296" s="6">
        <v>390</v>
      </c>
      <c r="D296" s="36">
        <v>42562</v>
      </c>
      <c r="E296" s="38">
        <v>15.736000000000001</v>
      </c>
      <c r="F296" s="38">
        <v>45.953663241078544</v>
      </c>
      <c r="G296" s="38">
        <v>31.07</v>
      </c>
      <c r="H296" s="38">
        <v>2.7645253399974163</v>
      </c>
      <c r="I296" s="38">
        <v>5.1450640794344435</v>
      </c>
      <c r="J296" s="10">
        <v>0</v>
      </c>
      <c r="K296" s="39">
        <v>0</v>
      </c>
      <c r="L296" s="39">
        <v>0</v>
      </c>
      <c r="M296" s="39">
        <v>0</v>
      </c>
      <c r="N296" s="39">
        <v>0</v>
      </c>
      <c r="O296" s="39">
        <v>0</v>
      </c>
      <c r="P296" s="39">
        <v>1</v>
      </c>
      <c r="Q296" s="39">
        <v>0</v>
      </c>
      <c r="R296" s="39">
        <v>0</v>
      </c>
      <c r="S296" s="39">
        <v>0</v>
      </c>
      <c r="T296" s="39">
        <v>0</v>
      </c>
      <c r="U296" s="29" cm="1">
        <f t="array" aca="1" ref="U296" ca="1">+fair_value_gap(OFFSET(T295,0,0,-1*$J$5,-1*$AA$1),OFFSET(E295,0,0,-1*$J$5,1),F296:T296,0)</f>
        <v>16.563656015294583</v>
      </c>
      <c r="V296" s="9" t="str" cm="1">
        <f t="array" aca="1" ref="V296" ca="1">z_score_diff(OFFSET(U296,0,0,$J$5*-1,1),OFFSET(E296,0,0,$J$5*-1,1))</f>
        <v/>
      </c>
      <c r="W296" s="9" t="str">
        <f t="shared" ca="1" si="286"/>
        <v/>
      </c>
      <c r="X296" s="17">
        <f t="shared" ca="1" si="281"/>
        <v>-7.7673038318218021E-2</v>
      </c>
      <c r="Y296" s="13">
        <f t="shared" ref="Y296:Z296" ca="1" si="320">+Y295</f>
        <v>0</v>
      </c>
      <c r="Z296" s="13">
        <f t="shared" ca="1" si="320"/>
        <v>0</v>
      </c>
      <c r="AA296" t="str">
        <f t="shared" ca="1" si="288"/>
        <v/>
      </c>
      <c r="AB296" t="str">
        <f t="shared" ca="1" si="289"/>
        <v/>
      </c>
      <c r="AC296" s="24" t="str">
        <f t="shared" ca="1" si="290"/>
        <v/>
      </c>
      <c r="AD296" s="24" t="str">
        <f t="shared" ca="1" si="291"/>
        <v/>
      </c>
    </row>
    <row r="297" spans="3:30" x14ac:dyDescent="0.25">
      <c r="C297" s="6">
        <v>391</v>
      </c>
      <c r="D297" s="36">
        <v>42563</v>
      </c>
      <c r="E297" s="38">
        <v>15.917999999999999</v>
      </c>
      <c r="F297" s="38">
        <v>47.477892772265506</v>
      </c>
      <c r="G297" s="38">
        <v>31.22</v>
      </c>
      <c r="H297" s="38">
        <v>2.7585617368431832</v>
      </c>
      <c r="I297" s="38">
        <v>5.1199903120878965</v>
      </c>
      <c r="J297" s="10">
        <v>0</v>
      </c>
      <c r="K297" s="39">
        <v>0</v>
      </c>
      <c r="L297" s="39">
        <v>0</v>
      </c>
      <c r="M297" s="39">
        <v>0</v>
      </c>
      <c r="N297" s="39">
        <v>0</v>
      </c>
      <c r="O297" s="39">
        <v>0</v>
      </c>
      <c r="P297" s="39">
        <v>1</v>
      </c>
      <c r="Q297" s="39">
        <v>0</v>
      </c>
      <c r="R297" s="39">
        <v>0</v>
      </c>
      <c r="S297" s="39">
        <v>0</v>
      </c>
      <c r="T297" s="39">
        <v>0</v>
      </c>
      <c r="U297" s="29" cm="1">
        <f t="array" aca="1" ref="U297" ca="1">+fair_value_gap(OFFSET(T296,0,0,-1*$J$5,-1*$AA$1),OFFSET(E296,0,0,-1*$J$5,1),F297:T297,0)</f>
        <v>16.695816904681173</v>
      </c>
      <c r="V297" s="9" t="str" cm="1">
        <f t="array" aca="1" ref="V297" ca="1">z_score_diff(OFFSET(U297,0,0,$J$5*-1,1),OFFSET(E297,0,0,$J$5*-1,1))</f>
        <v/>
      </c>
      <c r="W297" s="9" t="str">
        <f t="shared" ca="1" si="286"/>
        <v/>
      </c>
      <c r="X297" s="17">
        <f t="shared" ca="1" si="281"/>
        <v>-8.4444684387708496E-2</v>
      </c>
      <c r="Y297" s="13">
        <f t="shared" ref="Y297:Z297" ca="1" si="321">+Y296</f>
        <v>0</v>
      </c>
      <c r="Z297" s="13">
        <f t="shared" ca="1" si="321"/>
        <v>0</v>
      </c>
      <c r="AA297" t="str">
        <f t="shared" ca="1" si="288"/>
        <v/>
      </c>
      <c r="AB297" t="str">
        <f t="shared" ca="1" si="289"/>
        <v/>
      </c>
      <c r="AC297" s="24" t="str">
        <f t="shared" ca="1" si="290"/>
        <v/>
      </c>
      <c r="AD297" s="24" t="str">
        <f t="shared" ca="1" si="291"/>
        <v/>
      </c>
    </row>
    <row r="298" spans="3:30" x14ac:dyDescent="0.25">
      <c r="C298" s="6">
        <v>392</v>
      </c>
      <c r="D298" s="36">
        <v>42564</v>
      </c>
      <c r="E298" s="38">
        <v>15.803000000000001</v>
      </c>
      <c r="F298" s="38">
        <v>45.528643068763799</v>
      </c>
      <c r="G298" s="38">
        <v>31.6</v>
      </c>
      <c r="H298" s="38">
        <v>2.7503742232369315</v>
      </c>
      <c r="I298" s="38">
        <v>5.1080916613734999</v>
      </c>
      <c r="J298" s="10">
        <v>0</v>
      </c>
      <c r="K298" s="39">
        <v>0</v>
      </c>
      <c r="L298" s="39">
        <v>0</v>
      </c>
      <c r="M298" s="39">
        <v>0</v>
      </c>
      <c r="N298" s="39">
        <v>0</v>
      </c>
      <c r="O298" s="39">
        <v>0</v>
      </c>
      <c r="P298" s="39">
        <v>1</v>
      </c>
      <c r="Q298" s="39">
        <v>0</v>
      </c>
      <c r="R298" s="39">
        <v>0</v>
      </c>
      <c r="S298" s="39">
        <v>0</v>
      </c>
      <c r="T298" s="39">
        <v>0</v>
      </c>
      <c r="U298" s="29" cm="1">
        <f t="array" aca="1" ref="U298" ca="1">+fair_value_gap(OFFSET(T297,0,0,-1*$J$5,-1*$AA$1),OFFSET(E297,0,0,-1*$J$5,1),F298:T298,0)</f>
        <v>16.504105540558804</v>
      </c>
      <c r="V298" s="9" t="str" cm="1">
        <f t="array" aca="1" ref="V298" ca="1">z_score_diff(OFFSET(U298,0,0,$J$5*-1,1),OFFSET(E298,0,0,$J$5*-1,1))</f>
        <v/>
      </c>
      <c r="W298" s="9" t="str">
        <f t="shared" ca="1" si="286"/>
        <v/>
      </c>
      <c r="X298" s="17">
        <f t="shared" ca="1" si="281"/>
        <v>-8.9713014879722511E-2</v>
      </c>
      <c r="Y298" s="13">
        <f t="shared" ref="Y298:Z298" ca="1" si="322">+Y297</f>
        <v>0</v>
      </c>
      <c r="Z298" s="13">
        <f t="shared" ca="1" si="322"/>
        <v>0</v>
      </c>
      <c r="AA298" t="str">
        <f t="shared" ca="1" si="288"/>
        <v/>
      </c>
      <c r="AB298" t="str">
        <f t="shared" ca="1" si="289"/>
        <v/>
      </c>
      <c r="AC298" s="24" t="str">
        <f t="shared" ca="1" si="290"/>
        <v/>
      </c>
      <c r="AD298" s="24" t="str">
        <f t="shared" ca="1" si="291"/>
        <v/>
      </c>
    </row>
    <row r="299" spans="3:30" x14ac:dyDescent="0.25">
      <c r="C299" s="6">
        <v>393</v>
      </c>
      <c r="D299" s="36">
        <v>42565</v>
      </c>
      <c r="E299" s="38">
        <v>15.787000000000001</v>
      </c>
      <c r="F299" s="38">
        <v>46.116027357686328</v>
      </c>
      <c r="G299" s="38">
        <v>31.84</v>
      </c>
      <c r="H299" s="38">
        <v>2.7479977101496025</v>
      </c>
      <c r="I299" s="38">
        <v>5.1397570844462086</v>
      </c>
      <c r="J299" s="10">
        <v>0</v>
      </c>
      <c r="K299" s="39">
        <v>0</v>
      </c>
      <c r="L299" s="39">
        <v>0</v>
      </c>
      <c r="M299" s="39">
        <v>0</v>
      </c>
      <c r="N299" s="39">
        <v>0</v>
      </c>
      <c r="O299" s="39">
        <v>0</v>
      </c>
      <c r="P299" s="39">
        <v>1</v>
      </c>
      <c r="Q299" s="39">
        <v>0</v>
      </c>
      <c r="R299" s="39">
        <v>0</v>
      </c>
      <c r="S299" s="39">
        <v>0</v>
      </c>
      <c r="T299" s="39">
        <v>0</v>
      </c>
      <c r="U299" s="29" cm="1">
        <f t="array" aca="1" ref="U299" ca="1">+fair_value_gap(OFFSET(T298,0,0,-1*$J$5,-1*$AA$1),OFFSET(E298,0,0,-1*$J$5,1),F299:T299,0)</f>
        <v>16.578642752958338</v>
      </c>
      <c r="V299" s="9" t="str" cm="1">
        <f t="array" aca="1" ref="V299" ca="1">z_score_diff(OFFSET(U299,0,0,$J$5*-1,1),OFFSET(E299,0,0,$J$5*-1,1))</f>
        <v/>
      </c>
      <c r="W299" s="9" t="str">
        <f t="shared" ca="1" si="286"/>
        <v/>
      </c>
      <c r="X299" s="17">
        <f t="shared" ca="1" si="281"/>
        <v>-8.9253937560507826E-2</v>
      </c>
      <c r="Y299" s="13">
        <f t="shared" ref="Y299:Z299" ca="1" si="323">+Y298</f>
        <v>0</v>
      </c>
      <c r="Z299" s="13">
        <f t="shared" ca="1" si="323"/>
        <v>0</v>
      </c>
      <c r="AA299" t="str">
        <f t="shared" ca="1" si="288"/>
        <v/>
      </c>
      <c r="AB299" t="str">
        <f t="shared" ca="1" si="289"/>
        <v/>
      </c>
      <c r="AC299" s="24" t="str">
        <f t="shared" ca="1" si="290"/>
        <v/>
      </c>
      <c r="AD299" s="24" t="str">
        <f t="shared" ca="1" si="291"/>
        <v/>
      </c>
    </row>
    <row r="300" spans="3:30" x14ac:dyDescent="0.25">
      <c r="C300" s="6">
        <v>394</v>
      </c>
      <c r="D300" s="36">
        <v>42566</v>
      </c>
      <c r="E300" s="38">
        <v>16.268000000000001</v>
      </c>
      <c r="F300" s="38">
        <v>46.379010307438314</v>
      </c>
      <c r="G300" s="38">
        <v>31.88</v>
      </c>
      <c r="H300" s="38">
        <v>2.7611440810316363</v>
      </c>
      <c r="I300" s="38">
        <v>4.7967515951987867</v>
      </c>
      <c r="J300" s="10">
        <v>0</v>
      </c>
      <c r="K300" s="39">
        <v>0</v>
      </c>
      <c r="L300" s="39">
        <v>0</v>
      </c>
      <c r="M300" s="39">
        <v>0</v>
      </c>
      <c r="N300" s="39">
        <v>0</v>
      </c>
      <c r="O300" s="39">
        <v>0</v>
      </c>
      <c r="P300" s="39">
        <v>1</v>
      </c>
      <c r="Q300" s="39">
        <v>0</v>
      </c>
      <c r="R300" s="39">
        <v>0</v>
      </c>
      <c r="S300" s="39">
        <v>0</v>
      </c>
      <c r="T300" s="39">
        <v>0</v>
      </c>
      <c r="U300" s="29" cm="1">
        <f t="array" aca="1" ref="U300" ca="1">+fair_value_gap(OFFSET(T299,0,0,-1*$J$5,-1*$AA$1),OFFSET(E299,0,0,-1*$J$5,1),F300:T300,0)</f>
        <v>16.429134152925485</v>
      </c>
      <c r="V300" s="9" t="str" cm="1">
        <f t="array" aca="1" ref="V300" ca="1">z_score_diff(OFFSET(U300,0,0,$J$5*-1,1),OFFSET(E300,0,0,$J$5*-1,1))</f>
        <v/>
      </c>
      <c r="W300" s="9" t="str">
        <f t="shared" ca="1" si="286"/>
        <v/>
      </c>
      <c r="X300" s="17">
        <f t="shared" ca="1" si="281"/>
        <v>-0.10033260635954208</v>
      </c>
      <c r="Y300" s="13">
        <f t="shared" ref="Y300:Z300" ca="1" si="324">+Y299</f>
        <v>0</v>
      </c>
      <c r="Z300" s="13">
        <f t="shared" ca="1" si="324"/>
        <v>0</v>
      </c>
      <c r="AA300" t="str">
        <f t="shared" ca="1" si="288"/>
        <v/>
      </c>
      <c r="AB300" t="str">
        <f t="shared" ca="1" si="289"/>
        <v/>
      </c>
      <c r="AC300" s="24" t="str">
        <f t="shared" ca="1" si="290"/>
        <v/>
      </c>
      <c r="AD300" s="24" t="str">
        <f t="shared" ca="1" si="291"/>
        <v/>
      </c>
    </row>
    <row r="301" spans="3:30" x14ac:dyDescent="0.25">
      <c r="C301" s="6">
        <v>395</v>
      </c>
      <c r="D301" s="36">
        <v>42569</v>
      </c>
      <c r="E301" s="38">
        <v>16.068999999999999</v>
      </c>
      <c r="F301" s="38">
        <v>45.664049163537044</v>
      </c>
      <c r="G301" s="38">
        <v>32.42</v>
      </c>
      <c r="H301" s="38">
        <v>2.7268621258677594</v>
      </c>
      <c r="I301" s="38">
        <v>5.1789931148287245</v>
      </c>
      <c r="J301" s="10">
        <v>0</v>
      </c>
      <c r="K301" s="39">
        <v>0</v>
      </c>
      <c r="L301" s="39">
        <v>0</v>
      </c>
      <c r="M301" s="39">
        <v>0</v>
      </c>
      <c r="N301" s="39">
        <v>0</v>
      </c>
      <c r="O301" s="39">
        <v>0</v>
      </c>
      <c r="P301" s="39">
        <v>1</v>
      </c>
      <c r="Q301" s="39">
        <v>0</v>
      </c>
      <c r="R301" s="39">
        <v>0</v>
      </c>
      <c r="S301" s="39">
        <v>0</v>
      </c>
      <c r="T301" s="39">
        <v>0</v>
      </c>
      <c r="U301" s="29" cm="1">
        <f t="array" aca="1" ref="U301" ca="1">+fair_value_gap(OFFSET(T300,0,0,-1*$J$5,-1*$AA$1),OFFSET(E300,0,0,-1*$J$5,1),F301:T301,0)</f>
        <v>16.585010692250897</v>
      </c>
      <c r="V301" s="9" t="str" cm="1">
        <f t="array" aca="1" ref="V301" ca="1">z_score_diff(OFFSET(U301,0,0,$J$5*-1,1),OFFSET(E301,0,0,$J$5*-1,1))</f>
        <v/>
      </c>
      <c r="W301" s="9" t="str">
        <f t="shared" ca="1" si="286"/>
        <v/>
      </c>
      <c r="X301" s="17">
        <f t="shared" ca="1" si="281"/>
        <v>-7.238133925593869E-2</v>
      </c>
      <c r="Y301" s="13">
        <f t="shared" ref="Y301:Z301" ca="1" si="325">+Y300</f>
        <v>0</v>
      </c>
      <c r="Z301" s="13">
        <f t="shared" ca="1" si="325"/>
        <v>0</v>
      </c>
      <c r="AA301" t="str">
        <f t="shared" ca="1" si="288"/>
        <v/>
      </c>
      <c r="AB301" t="str">
        <f t="shared" ca="1" si="289"/>
        <v/>
      </c>
      <c r="AC301" s="24" t="str">
        <f t="shared" ca="1" si="290"/>
        <v/>
      </c>
      <c r="AD301" s="24" t="str">
        <f t="shared" ca="1" si="291"/>
        <v/>
      </c>
    </row>
    <row r="302" spans="3:30" x14ac:dyDescent="0.25">
      <c r="C302" s="6">
        <v>396</v>
      </c>
      <c r="D302" s="36">
        <v>42570</v>
      </c>
      <c r="E302" s="38">
        <v>16.131</v>
      </c>
      <c r="F302" s="38">
        <v>45.869264107948702</v>
      </c>
      <c r="G302" s="38">
        <v>31.95</v>
      </c>
      <c r="H302" s="38">
        <v>2.7219516554220093</v>
      </c>
      <c r="I302" s="38">
        <v>5.2499888298109996</v>
      </c>
      <c r="J302" s="10">
        <v>0</v>
      </c>
      <c r="K302" s="39">
        <v>0</v>
      </c>
      <c r="L302" s="39">
        <v>0</v>
      </c>
      <c r="M302" s="39">
        <v>0</v>
      </c>
      <c r="N302" s="39">
        <v>0</v>
      </c>
      <c r="O302" s="39">
        <v>0</v>
      </c>
      <c r="P302" s="39">
        <v>1</v>
      </c>
      <c r="Q302" s="39">
        <v>0</v>
      </c>
      <c r="R302" s="39">
        <v>0</v>
      </c>
      <c r="S302" s="39">
        <v>0</v>
      </c>
      <c r="T302" s="39">
        <v>0</v>
      </c>
      <c r="U302" s="29" cm="1">
        <f t="array" aca="1" ref="U302" ca="1">+fair_value_gap(OFFSET(T301,0,0,-1*$J$5,-1*$AA$1),OFFSET(E301,0,0,-1*$J$5,1),F302:T302,0)</f>
        <v>16.366623721846146</v>
      </c>
      <c r="V302" s="9" t="str" cm="1">
        <f t="array" aca="1" ref="V302" ca="1">z_score_diff(OFFSET(U302,0,0,$J$5*-1,1),OFFSET(E302,0,0,$J$5*-1,1))</f>
        <v/>
      </c>
      <c r="W302" s="9" t="str">
        <f t="shared" ca="1" si="286"/>
        <v/>
      </c>
      <c r="X302" s="17">
        <f t="shared" ca="1" si="281"/>
        <v>-0.10150376724756026</v>
      </c>
      <c r="Y302" s="13">
        <f t="shared" ref="Y302:Z302" ca="1" si="326">+Y301</f>
        <v>0</v>
      </c>
      <c r="Z302" s="13">
        <f t="shared" ca="1" si="326"/>
        <v>0</v>
      </c>
      <c r="AA302" t="str">
        <f t="shared" ca="1" si="288"/>
        <v/>
      </c>
      <c r="AB302" t="str">
        <f t="shared" ca="1" si="289"/>
        <v/>
      </c>
      <c r="AC302" s="24" t="str">
        <f t="shared" ca="1" si="290"/>
        <v/>
      </c>
      <c r="AD302" s="24" t="str">
        <f t="shared" ca="1" si="291"/>
        <v/>
      </c>
    </row>
    <row r="303" spans="3:30" x14ac:dyDescent="0.25">
      <c r="C303" s="6">
        <v>397</v>
      </c>
      <c r="D303" s="36">
        <v>42571</v>
      </c>
      <c r="E303" s="38">
        <v>16.198</v>
      </c>
      <c r="F303" s="38">
        <v>46.204030564368388</v>
      </c>
      <c r="G303" s="38">
        <v>31.79</v>
      </c>
      <c r="H303" s="38">
        <v>2.6837660306537381</v>
      </c>
      <c r="I303" s="38">
        <v>5.2728003932257925</v>
      </c>
      <c r="J303" s="10">
        <v>0</v>
      </c>
      <c r="K303" s="39">
        <v>0</v>
      </c>
      <c r="L303" s="39">
        <v>0</v>
      </c>
      <c r="M303" s="39">
        <v>0</v>
      </c>
      <c r="N303" s="39">
        <v>0</v>
      </c>
      <c r="O303" s="39">
        <v>0</v>
      </c>
      <c r="P303" s="39">
        <v>1</v>
      </c>
      <c r="Q303" s="39">
        <v>0</v>
      </c>
      <c r="R303" s="39">
        <v>0</v>
      </c>
      <c r="S303" s="39">
        <v>0</v>
      </c>
      <c r="T303" s="39">
        <v>0</v>
      </c>
      <c r="U303" s="29" cm="1">
        <f t="array" aca="1" ref="U303" ca="1">+fair_value_gap(OFFSET(T302,0,0,-1*$J$5,-1*$AA$1),OFFSET(E302,0,0,-1*$J$5,1),F303:T303,0)</f>
        <v>16.269345351910459</v>
      </c>
      <c r="V303" s="9" t="str" cm="1">
        <f t="array" aca="1" ref="V303" ca="1">z_score_diff(OFFSET(U303,0,0,$J$5*-1,1),OFFSET(E303,0,0,$J$5*-1,1))</f>
        <v/>
      </c>
      <c r="W303" s="9" t="str">
        <f t="shared" ca="1" si="286"/>
        <v/>
      </c>
      <c r="X303" s="17">
        <f t="shared" ca="1" si="281"/>
        <v>-0.10812186676435452</v>
      </c>
      <c r="Y303" s="13">
        <f t="shared" ref="Y303:Z303" ca="1" si="327">+Y302</f>
        <v>0</v>
      </c>
      <c r="Z303" s="13">
        <f t="shared" ca="1" si="327"/>
        <v>0</v>
      </c>
      <c r="AA303" t="str">
        <f t="shared" ca="1" si="288"/>
        <v/>
      </c>
      <c r="AB303" t="str">
        <f t="shared" ca="1" si="289"/>
        <v/>
      </c>
      <c r="AC303" s="24" t="str">
        <f t="shared" ca="1" si="290"/>
        <v/>
      </c>
      <c r="AD303" s="24" t="str">
        <f t="shared" ca="1" si="291"/>
        <v/>
      </c>
    </row>
    <row r="304" spans="3:30" x14ac:dyDescent="0.25">
      <c r="C304" s="6">
        <v>398</v>
      </c>
      <c r="D304" s="36">
        <v>42572</v>
      </c>
      <c r="E304" s="38">
        <v>16.309999999999999</v>
      </c>
      <c r="F304" s="38">
        <v>45.243820367127405</v>
      </c>
      <c r="G304" s="38">
        <v>32.26</v>
      </c>
      <c r="H304" s="38">
        <v>2.6937433392777765</v>
      </c>
      <c r="I304" s="38">
        <v>5.310726596654332</v>
      </c>
      <c r="J304" s="10">
        <v>0</v>
      </c>
      <c r="K304" s="39">
        <v>0</v>
      </c>
      <c r="L304" s="39">
        <v>0</v>
      </c>
      <c r="M304" s="39">
        <v>0</v>
      </c>
      <c r="N304" s="39">
        <v>0</v>
      </c>
      <c r="O304" s="39">
        <v>0</v>
      </c>
      <c r="P304" s="39">
        <v>1</v>
      </c>
      <c r="Q304" s="39">
        <v>0</v>
      </c>
      <c r="R304" s="39">
        <v>0</v>
      </c>
      <c r="S304" s="39">
        <v>0</v>
      </c>
      <c r="T304" s="39">
        <v>0</v>
      </c>
      <c r="U304" s="29" cm="1">
        <f t="array" aca="1" ref="U304" ca="1">+fair_value_gap(OFFSET(T303,0,0,-1*$J$5,-1*$AA$1),OFFSET(E303,0,0,-1*$J$5,1),F304:T304,0)</f>
        <v>16.206927027489201</v>
      </c>
      <c r="V304" s="9" t="str" cm="1">
        <f t="array" aca="1" ref="V304" ca="1">z_score_diff(OFFSET(U304,0,0,$J$5*-1,1),OFFSET(E304,0,0,$J$5*-1,1))</f>
        <v/>
      </c>
      <c r="W304" s="9" t="str">
        <f t="shared" ca="1" si="286"/>
        <v/>
      </c>
      <c r="X304" s="17">
        <f t="shared" ca="1" si="281"/>
        <v>-0.120530522054817</v>
      </c>
      <c r="Y304" s="13">
        <f t="shared" ref="Y304:Z304" ca="1" si="328">+Y303</f>
        <v>0</v>
      </c>
      <c r="Z304" s="13">
        <f t="shared" ca="1" si="328"/>
        <v>0</v>
      </c>
      <c r="AA304" t="str">
        <f t="shared" ca="1" si="288"/>
        <v/>
      </c>
      <c r="AB304" t="str">
        <f t="shared" ca="1" si="289"/>
        <v/>
      </c>
      <c r="AC304" s="24" t="str">
        <f t="shared" ca="1" si="290"/>
        <v/>
      </c>
      <c r="AD304" s="24" t="str">
        <f t="shared" ca="1" si="291"/>
        <v/>
      </c>
    </row>
    <row r="305" spans="3:30" x14ac:dyDescent="0.25">
      <c r="C305" s="6">
        <v>399</v>
      </c>
      <c r="D305" s="36">
        <v>42573</v>
      </c>
      <c r="E305" s="38">
        <v>16.081</v>
      </c>
      <c r="F305" s="38">
        <v>45.060754915576084</v>
      </c>
      <c r="G305" s="38">
        <v>31.95</v>
      </c>
      <c r="H305" s="38">
        <v>2.7246246356632655</v>
      </c>
      <c r="I305" s="38">
        <v>5.2448351821750911</v>
      </c>
      <c r="J305" s="10">
        <v>0</v>
      </c>
      <c r="K305" s="39">
        <v>0</v>
      </c>
      <c r="L305" s="39">
        <v>0</v>
      </c>
      <c r="M305" s="39">
        <v>0</v>
      </c>
      <c r="N305" s="39">
        <v>0</v>
      </c>
      <c r="O305" s="39">
        <v>0</v>
      </c>
      <c r="P305" s="39">
        <v>1</v>
      </c>
      <c r="Q305" s="39">
        <v>0</v>
      </c>
      <c r="R305" s="39">
        <v>0</v>
      </c>
      <c r="S305" s="39">
        <v>0</v>
      </c>
      <c r="T305" s="39">
        <v>0</v>
      </c>
      <c r="U305" s="29" cm="1">
        <f t="array" aca="1" ref="U305" ca="1">+fair_value_gap(OFFSET(T304,0,0,-1*$J$5,-1*$AA$1),OFFSET(E304,0,0,-1*$J$5,1),F305:T305,0)</f>
        <v>15.966996446004671</v>
      </c>
      <c r="V305" s="9" t="str" cm="1">
        <f t="array" aca="1" ref="V305" ca="1">z_score_diff(OFFSET(U305,0,0,$J$5*-1,1),OFFSET(E305,0,0,$J$5*-1,1))</f>
        <v/>
      </c>
      <c r="W305" s="9" t="str">
        <f t="shared" ca="1" si="286"/>
        <v/>
      </c>
      <c r="X305" s="17">
        <f t="shared" ca="1" si="281"/>
        <v>-0.10735934745667622</v>
      </c>
      <c r="Y305" s="13">
        <f t="shared" ref="Y305:Z305" ca="1" si="329">+Y304</f>
        <v>0</v>
      </c>
      <c r="Z305" s="13">
        <f t="shared" ca="1" si="329"/>
        <v>0</v>
      </c>
      <c r="AA305" t="str">
        <f t="shared" ca="1" si="288"/>
        <v/>
      </c>
      <c r="AB305" t="str">
        <f t="shared" ca="1" si="289"/>
        <v/>
      </c>
      <c r="AC305" s="24" t="str">
        <f t="shared" ca="1" si="290"/>
        <v/>
      </c>
      <c r="AD305" s="24" t="str">
        <f t="shared" ca="1" si="291"/>
        <v/>
      </c>
    </row>
    <row r="306" spans="3:30" x14ac:dyDescent="0.25">
      <c r="C306" s="6">
        <v>400</v>
      </c>
      <c r="D306" s="36">
        <v>42576</v>
      </c>
      <c r="E306" s="38">
        <v>16.036000000000001</v>
      </c>
      <c r="F306" s="38">
        <v>44.26868983287406</v>
      </c>
      <c r="G306" s="38">
        <v>31.52</v>
      </c>
      <c r="H306" s="38">
        <v>2.7359267079411658</v>
      </c>
      <c r="I306" s="38">
        <v>5.2338689475002678</v>
      </c>
      <c r="J306" s="10">
        <v>0</v>
      </c>
      <c r="K306" s="39">
        <v>0</v>
      </c>
      <c r="L306" s="39">
        <v>0</v>
      </c>
      <c r="M306" s="39">
        <v>0</v>
      </c>
      <c r="N306" s="39">
        <v>0</v>
      </c>
      <c r="O306" s="39">
        <v>0</v>
      </c>
      <c r="P306" s="39">
        <v>1</v>
      </c>
      <c r="Q306" s="39">
        <v>0</v>
      </c>
      <c r="R306" s="39">
        <v>0</v>
      </c>
      <c r="S306" s="39">
        <v>0</v>
      </c>
      <c r="T306" s="39">
        <v>0</v>
      </c>
      <c r="U306" s="29" cm="1">
        <f t="array" aca="1" ref="U306" ca="1">+fair_value_gap(OFFSET(T305,0,0,-1*$J$5,-1*$AA$1),OFFSET(E305,0,0,-1*$J$5,1),F306:T306,0)</f>
        <v>15.776665293567065</v>
      </c>
      <c r="V306" s="9" t="str" cm="1">
        <f t="array" aca="1" ref="V306" ca="1">z_score_diff(OFFSET(U306,0,0,$J$5*-1,1),OFFSET(E306,0,0,$J$5*-1,1))</f>
        <v/>
      </c>
      <c r="W306" s="9" t="str">
        <f t="shared" ca="1" si="286"/>
        <v/>
      </c>
      <c r="X306" s="17">
        <f t="shared" ca="1" si="281"/>
        <v>-0.10580406069877978</v>
      </c>
      <c r="Y306" s="13">
        <f t="shared" ref="Y306:Z306" ca="1" si="330">+Y305</f>
        <v>0</v>
      </c>
      <c r="Z306" s="13">
        <f t="shared" ca="1" si="330"/>
        <v>0</v>
      </c>
      <c r="AA306" t="str">
        <f t="shared" ca="1" si="288"/>
        <v/>
      </c>
      <c r="AB306" t="str">
        <f t="shared" ca="1" si="289"/>
        <v/>
      </c>
      <c r="AC306" s="24" t="str">
        <f t="shared" ca="1" si="290"/>
        <v/>
      </c>
      <c r="AD306" s="24" t="str">
        <f t="shared" ca="1" si="291"/>
        <v/>
      </c>
    </row>
    <row r="307" spans="3:30" x14ac:dyDescent="0.25">
      <c r="C307" s="6">
        <v>401</v>
      </c>
      <c r="D307" s="36">
        <v>42577</v>
      </c>
      <c r="E307" s="38">
        <v>15.874000000000001</v>
      </c>
      <c r="F307" s="38">
        <v>44.195729059408158</v>
      </c>
      <c r="G307" s="38">
        <v>31.49</v>
      </c>
      <c r="H307" s="38">
        <v>2.7308949276984378</v>
      </c>
      <c r="I307" s="38">
        <v>5.1931772395576852</v>
      </c>
      <c r="J307" s="10">
        <v>0</v>
      </c>
      <c r="K307" s="39">
        <v>0</v>
      </c>
      <c r="L307" s="39">
        <v>0</v>
      </c>
      <c r="M307" s="39">
        <v>0</v>
      </c>
      <c r="N307" s="39">
        <v>0</v>
      </c>
      <c r="O307" s="39">
        <v>0</v>
      </c>
      <c r="P307" s="39">
        <v>1</v>
      </c>
      <c r="Q307" s="39">
        <v>0</v>
      </c>
      <c r="R307" s="39">
        <v>0</v>
      </c>
      <c r="S307" s="39">
        <v>0</v>
      </c>
      <c r="T307" s="39">
        <v>0</v>
      </c>
      <c r="U307" s="29" cm="1">
        <f t="array" aca="1" ref="U307" ca="1">+fair_value_gap(OFFSET(T306,0,0,-1*$J$5,-1*$AA$1),OFFSET(E306,0,0,-1*$J$5,1),F307:T307,0)</f>
        <v>15.772120981763662</v>
      </c>
      <c r="V307" s="9" t="str" cm="1">
        <f t="array" aca="1" ref="V307" ca="1">z_score_diff(OFFSET(U307,0,0,$J$5*-1,1),OFFSET(E307,0,0,$J$5*-1,1))</f>
        <v/>
      </c>
      <c r="W307" s="9" t="str">
        <f t="shared" ca="1" si="286"/>
        <v/>
      </c>
      <c r="X307" s="17">
        <f t="shared" ca="1" si="281"/>
        <v>-0.10002709521899816</v>
      </c>
      <c r="Y307" s="13">
        <f t="shared" ref="Y307:Z307" ca="1" si="331">+Y306</f>
        <v>0</v>
      </c>
      <c r="Z307" s="13">
        <f t="shared" ca="1" si="331"/>
        <v>0</v>
      </c>
      <c r="AA307" t="str">
        <f t="shared" ca="1" si="288"/>
        <v/>
      </c>
      <c r="AB307" t="str">
        <f t="shared" ca="1" si="289"/>
        <v/>
      </c>
      <c r="AC307" s="24" t="str">
        <f t="shared" ca="1" si="290"/>
        <v/>
      </c>
      <c r="AD307" s="24" t="str">
        <f t="shared" ca="1" si="291"/>
        <v/>
      </c>
    </row>
    <row r="308" spans="3:30" x14ac:dyDescent="0.25">
      <c r="C308" s="6">
        <v>402</v>
      </c>
      <c r="D308" s="36">
        <v>42578</v>
      </c>
      <c r="E308" s="38">
        <v>15.849</v>
      </c>
      <c r="F308" s="38">
        <v>42.860560015010094</v>
      </c>
      <c r="G308" s="38">
        <v>31.49</v>
      </c>
      <c r="H308" s="38">
        <v>2.7032386399508441</v>
      </c>
      <c r="I308" s="38">
        <v>5.1574947735904253</v>
      </c>
      <c r="J308" s="10">
        <v>0</v>
      </c>
      <c r="K308" s="39">
        <v>0</v>
      </c>
      <c r="L308" s="39">
        <v>0</v>
      </c>
      <c r="M308" s="39">
        <v>0</v>
      </c>
      <c r="N308" s="39">
        <v>0</v>
      </c>
      <c r="O308" s="39">
        <v>0</v>
      </c>
      <c r="P308" s="39">
        <v>1</v>
      </c>
      <c r="Q308" s="39">
        <v>0</v>
      </c>
      <c r="R308" s="39">
        <v>0</v>
      </c>
      <c r="S308" s="39">
        <v>0</v>
      </c>
      <c r="T308" s="39">
        <v>0</v>
      </c>
      <c r="U308" s="29" cm="1">
        <f t="array" aca="1" ref="U308" ca="1">+fair_value_gap(OFFSET(T307,0,0,-1*$J$5,-1*$AA$1),OFFSET(E307,0,0,-1*$J$5,1),F308:T308,0)</f>
        <v>15.626221924094841</v>
      </c>
      <c r="V308" s="9" t="str" cm="1">
        <f t="array" aca="1" ref="V308" ca="1">z_score_diff(OFFSET(U308,0,0,$J$5*-1,1),OFFSET(E308,0,0,$J$5*-1,1))</f>
        <v/>
      </c>
      <c r="W308" s="9" t="str">
        <f t="shared" ca="1" si="286"/>
        <v/>
      </c>
      <c r="X308" s="17">
        <f t="shared" ca="1" si="281"/>
        <v>-0.10761345648675449</v>
      </c>
      <c r="Y308" s="13">
        <f t="shared" ref="Y308:Z308" ca="1" si="332">+Y307</f>
        <v>0</v>
      </c>
      <c r="Z308" s="13">
        <f t="shared" ca="1" si="332"/>
        <v>0</v>
      </c>
      <c r="AA308" t="str">
        <f t="shared" ca="1" si="288"/>
        <v/>
      </c>
      <c r="AB308" t="str">
        <f t="shared" ca="1" si="289"/>
        <v/>
      </c>
      <c r="AC308" s="24" t="str">
        <f t="shared" ca="1" si="290"/>
        <v/>
      </c>
      <c r="AD308" s="24" t="str">
        <f t="shared" ca="1" si="291"/>
        <v/>
      </c>
    </row>
    <row r="309" spans="3:30" x14ac:dyDescent="0.25">
      <c r="C309" s="6">
        <v>403</v>
      </c>
      <c r="D309" s="36">
        <v>42579</v>
      </c>
      <c r="E309" s="38">
        <v>15.645</v>
      </c>
      <c r="F309" s="38">
        <v>42.128258524001296</v>
      </c>
      <c r="G309" s="38">
        <v>31.29</v>
      </c>
      <c r="H309" s="38">
        <v>2.738692017032462</v>
      </c>
      <c r="I309" s="38">
        <v>5.1505880994773925</v>
      </c>
      <c r="J309" s="10">
        <v>0</v>
      </c>
      <c r="K309" s="39">
        <v>0</v>
      </c>
      <c r="L309" s="39">
        <v>0</v>
      </c>
      <c r="M309" s="39">
        <v>0</v>
      </c>
      <c r="N309" s="39">
        <v>0</v>
      </c>
      <c r="O309" s="39">
        <v>0</v>
      </c>
      <c r="P309" s="39">
        <v>1</v>
      </c>
      <c r="Q309" s="39">
        <v>0</v>
      </c>
      <c r="R309" s="39">
        <v>0</v>
      </c>
      <c r="S309" s="39">
        <v>0</v>
      </c>
      <c r="T309" s="39">
        <v>0</v>
      </c>
      <c r="U309" s="29" cm="1">
        <f t="array" aca="1" ref="U309" ca="1">+fair_value_gap(OFFSET(T308,0,0,-1*$J$5,-1*$AA$1),OFFSET(E308,0,0,-1*$J$5,1),F309:T309,0)</f>
        <v>15.546503845223967</v>
      </c>
      <c r="V309" s="9" t="str" cm="1">
        <f t="array" aca="1" ref="V309" ca="1">z_score_diff(OFFSET(U309,0,0,$J$5*-1,1),OFFSET(E309,0,0,$J$5*-1,1))</f>
        <v/>
      </c>
      <c r="W309" s="9" t="str">
        <f t="shared" ca="1" si="286"/>
        <v/>
      </c>
      <c r="X309" s="17">
        <f t="shared" ca="1" si="281"/>
        <v>-8.9961772370135307E-2</v>
      </c>
      <c r="Y309" s="13">
        <f t="shared" ref="Y309:Z309" ca="1" si="333">+Y308</f>
        <v>0</v>
      </c>
      <c r="Z309" s="13">
        <f t="shared" ca="1" si="333"/>
        <v>0</v>
      </c>
      <c r="AA309" t="str">
        <f t="shared" ca="1" si="288"/>
        <v/>
      </c>
      <c r="AB309" t="str">
        <f t="shared" ca="1" si="289"/>
        <v/>
      </c>
      <c r="AC309" s="24" t="str">
        <f t="shared" ca="1" si="290"/>
        <v/>
      </c>
      <c r="AD309" s="24" t="str">
        <f t="shared" ca="1" si="291"/>
        <v/>
      </c>
    </row>
    <row r="310" spans="3:30" x14ac:dyDescent="0.25">
      <c r="C310" s="6">
        <v>404</v>
      </c>
      <c r="D310" s="36">
        <v>42580</v>
      </c>
      <c r="E310" s="38">
        <v>15.62</v>
      </c>
      <c r="F310" s="38">
        <v>42.132149021243855</v>
      </c>
      <c r="G310" s="38">
        <v>30.39</v>
      </c>
      <c r="H310" s="38">
        <v>2.7319446534769365</v>
      </c>
      <c r="I310" s="38">
        <v>5.1047934890999453</v>
      </c>
      <c r="J310" s="10">
        <v>0</v>
      </c>
      <c r="K310" s="39">
        <v>0</v>
      </c>
      <c r="L310" s="39">
        <v>0</v>
      </c>
      <c r="M310" s="39">
        <v>0</v>
      </c>
      <c r="N310" s="39">
        <v>0</v>
      </c>
      <c r="O310" s="39">
        <v>0</v>
      </c>
      <c r="P310" s="39">
        <v>1</v>
      </c>
      <c r="Q310" s="39">
        <v>0</v>
      </c>
      <c r="R310" s="39">
        <v>0</v>
      </c>
      <c r="S310" s="39">
        <v>0</v>
      </c>
      <c r="T310" s="39">
        <v>0</v>
      </c>
      <c r="U310" s="29" cm="1">
        <f t="array" aca="1" ref="U310" ca="1">+fair_value_gap(OFFSET(T309,0,0,-1*$J$5,-1*$AA$1),OFFSET(E309,0,0,-1*$J$5,1),F310:T310,0)</f>
        <v>15.254556625622385</v>
      </c>
      <c r="V310" s="9" t="str" cm="1">
        <f t="array" aca="1" ref="V310" ca="1">z_score_diff(OFFSET(U310,0,0,$J$5*-1,1),OFFSET(E310,0,0,$J$5*-1,1))</f>
        <v/>
      </c>
      <c r="W310" s="9" t="str">
        <f t="shared" ca="1" si="286"/>
        <v/>
      </c>
      <c r="X310" s="17">
        <f t="shared" ca="1" si="281"/>
        <v>-9.9685936662777572E-2</v>
      </c>
      <c r="Y310" s="13">
        <f t="shared" ref="Y310:Z310" ca="1" si="334">+Y309</f>
        <v>0</v>
      </c>
      <c r="Z310" s="13">
        <f t="shared" ca="1" si="334"/>
        <v>0</v>
      </c>
      <c r="AA310" t="str">
        <f t="shared" ca="1" si="288"/>
        <v/>
      </c>
      <c r="AB310" t="str">
        <f t="shared" ca="1" si="289"/>
        <v/>
      </c>
      <c r="AC310" s="24" t="str">
        <f t="shared" ca="1" si="290"/>
        <v/>
      </c>
      <c r="AD310" s="24" t="str">
        <f t="shared" ca="1" si="291"/>
        <v/>
      </c>
    </row>
    <row r="311" spans="3:30" x14ac:dyDescent="0.25">
      <c r="C311" s="6">
        <v>405</v>
      </c>
      <c r="D311" s="36">
        <v>42583</v>
      </c>
      <c r="E311" s="38">
        <v>15.311999999999999</v>
      </c>
      <c r="F311" s="38">
        <v>41.418855894472721</v>
      </c>
      <c r="G311" s="38">
        <v>30.01</v>
      </c>
      <c r="H311" s="38">
        <v>2.7092410422246633</v>
      </c>
      <c r="I311" s="38">
        <v>4.9591542019244166</v>
      </c>
      <c r="J311" s="10">
        <v>0</v>
      </c>
      <c r="K311" s="39">
        <v>0</v>
      </c>
      <c r="L311" s="39">
        <v>0</v>
      </c>
      <c r="M311" s="39">
        <v>0</v>
      </c>
      <c r="N311" s="39">
        <v>0</v>
      </c>
      <c r="O311" s="39">
        <v>0</v>
      </c>
      <c r="P311" s="39">
        <v>0</v>
      </c>
      <c r="Q311" s="39">
        <v>1</v>
      </c>
      <c r="R311" s="39">
        <v>0</v>
      </c>
      <c r="S311" s="39">
        <v>0</v>
      </c>
      <c r="T311" s="39">
        <v>0</v>
      </c>
      <c r="U311" s="29" cm="1">
        <f t="array" aca="1" ref="U311" ca="1">+fair_value_gap(OFFSET(T310,0,0,-1*$J$5,-1*$AA$1),OFFSET(E310,0,0,-1*$J$5,1),F311:T311,0)</f>
        <v>16.861017764834056</v>
      </c>
      <c r="V311" s="9" t="str" cm="1">
        <f t="array" aca="1" ref="V311" ca="1">z_score_diff(OFFSET(U311,0,0,$J$5*-1,1),OFFSET(E311,0,0,$J$5*-1,1))</f>
        <v/>
      </c>
      <c r="W311" s="9" t="str">
        <f t="shared" ca="1" si="286"/>
        <v/>
      </c>
      <c r="X311" s="17">
        <f t="shared" ca="1" si="281"/>
        <v>-8.4236660684844367E-2</v>
      </c>
      <c r="Y311" s="13">
        <f t="shared" ref="Y311:Z311" ca="1" si="335">+Y310</f>
        <v>0</v>
      </c>
      <c r="Z311" s="13">
        <f t="shared" ca="1" si="335"/>
        <v>0</v>
      </c>
      <c r="AA311" t="str">
        <f t="shared" ca="1" si="288"/>
        <v/>
      </c>
      <c r="AB311" t="str">
        <f t="shared" ca="1" si="289"/>
        <v/>
      </c>
      <c r="AC311" s="24" t="str">
        <f t="shared" ca="1" si="290"/>
        <v/>
      </c>
      <c r="AD311" s="24" t="str">
        <f t="shared" ca="1" si="291"/>
        <v/>
      </c>
    </row>
    <row r="312" spans="3:30" x14ac:dyDescent="0.25">
      <c r="C312" s="6">
        <v>406</v>
      </c>
      <c r="D312" s="36">
        <v>42584</v>
      </c>
      <c r="E312" s="38">
        <v>15.087</v>
      </c>
      <c r="F312" s="38">
        <v>40.835215574703732</v>
      </c>
      <c r="G312" s="38">
        <v>29.83</v>
      </c>
      <c r="H312" s="38">
        <v>2.6943003364807736</v>
      </c>
      <c r="I312" s="38">
        <v>4.9302014940482604</v>
      </c>
      <c r="J312" s="10">
        <v>0</v>
      </c>
      <c r="K312" s="39">
        <v>0</v>
      </c>
      <c r="L312" s="39">
        <v>0</v>
      </c>
      <c r="M312" s="39">
        <v>0</v>
      </c>
      <c r="N312" s="39">
        <v>0</v>
      </c>
      <c r="O312" s="39">
        <v>0</v>
      </c>
      <c r="P312" s="39">
        <v>0</v>
      </c>
      <c r="Q312" s="39">
        <v>1</v>
      </c>
      <c r="R312" s="39">
        <v>0</v>
      </c>
      <c r="S312" s="39">
        <v>0</v>
      </c>
      <c r="T312" s="39">
        <v>0</v>
      </c>
      <c r="U312" s="29" cm="1">
        <f t="array" aca="1" ref="U312" ca="1">+fair_value_gap(OFFSET(T311,0,0,-1*$J$5,-1*$AA$1),OFFSET(E311,0,0,-1*$J$5,1),F312:T312,0)</f>
        <v>16.304222105109933</v>
      </c>
      <c r="V312" s="9" t="str" cm="1">
        <f t="array" aca="1" ref="V312" ca="1">z_score_diff(OFFSET(U312,0,0,$J$5*-1,1),OFFSET(E312,0,0,$J$5*-1,1))</f>
        <v/>
      </c>
      <c r="W312" s="9" t="str">
        <f t="shared" ca="1" si="286"/>
        <v/>
      </c>
      <c r="X312" s="17">
        <f t="shared" ca="1" si="281"/>
        <v>-6.7375000762368326E-2</v>
      </c>
      <c r="Y312" s="13">
        <f t="shared" ref="Y312:Z312" ca="1" si="336">+Y311</f>
        <v>0</v>
      </c>
      <c r="Z312" s="13">
        <f t="shared" ca="1" si="336"/>
        <v>0</v>
      </c>
      <c r="AA312" t="str">
        <f t="shared" ca="1" si="288"/>
        <v/>
      </c>
      <c r="AB312" t="str">
        <f t="shared" ca="1" si="289"/>
        <v/>
      </c>
      <c r="AC312" s="24" t="str">
        <f t="shared" ca="1" si="290"/>
        <v/>
      </c>
      <c r="AD312" s="24" t="str">
        <f t="shared" ca="1" si="291"/>
        <v/>
      </c>
    </row>
    <row r="313" spans="3:30" x14ac:dyDescent="0.25">
      <c r="C313" s="6">
        <v>407</v>
      </c>
      <c r="D313" s="36">
        <v>42585</v>
      </c>
      <c r="E313" s="38">
        <v>15.007</v>
      </c>
      <c r="F313" s="38">
        <v>41.949884271617115</v>
      </c>
      <c r="G313" s="38">
        <v>29.45</v>
      </c>
      <c r="H313" s="38">
        <v>2.7451848962768377</v>
      </c>
      <c r="I313" s="38">
        <v>4.8753283677047667</v>
      </c>
      <c r="J313" s="10">
        <v>0</v>
      </c>
      <c r="K313" s="39">
        <v>0</v>
      </c>
      <c r="L313" s="39">
        <v>0</v>
      </c>
      <c r="M313" s="39">
        <v>0</v>
      </c>
      <c r="N313" s="39">
        <v>0</v>
      </c>
      <c r="O313" s="39">
        <v>0</v>
      </c>
      <c r="P313" s="39">
        <v>0</v>
      </c>
      <c r="Q313" s="39">
        <v>1</v>
      </c>
      <c r="R313" s="39">
        <v>0</v>
      </c>
      <c r="S313" s="39">
        <v>0</v>
      </c>
      <c r="T313" s="39">
        <v>0</v>
      </c>
      <c r="U313" s="29" cm="1">
        <f t="array" aca="1" ref="U313" ca="1">+fair_value_gap(OFFSET(T312,0,0,-1*$J$5,-1*$AA$1),OFFSET(E312,0,0,-1*$J$5,1),F313:T313,0)</f>
        <v>15.971370700553255</v>
      </c>
      <c r="V313" s="9" t="str" cm="1">
        <f t="array" aca="1" ref="V313" ca="1">z_score_diff(OFFSET(U313,0,0,$J$5*-1,1),OFFSET(E313,0,0,$J$5*-1,1))</f>
        <v/>
      </c>
      <c r="W313" s="9" t="str">
        <f t="shared" ca="1" si="286"/>
        <v/>
      </c>
      <c r="X313" s="17">
        <f t="shared" ca="1" si="281"/>
        <v>-6.9459429298593903E-2</v>
      </c>
      <c r="Y313" s="13">
        <f t="shared" ref="Y313:Z313" ca="1" si="337">+Y312</f>
        <v>0</v>
      </c>
      <c r="Z313" s="13">
        <f t="shared" ca="1" si="337"/>
        <v>0</v>
      </c>
      <c r="AA313" t="str">
        <f t="shared" ca="1" si="288"/>
        <v/>
      </c>
      <c r="AB313" t="str">
        <f t="shared" ca="1" si="289"/>
        <v/>
      </c>
      <c r="AC313" s="24" t="str">
        <f t="shared" ca="1" si="290"/>
        <v/>
      </c>
      <c r="AD313" s="24" t="str">
        <f t="shared" ca="1" si="291"/>
        <v/>
      </c>
    </row>
    <row r="314" spans="3:30" x14ac:dyDescent="0.25">
      <c r="C314" s="6">
        <v>408</v>
      </c>
      <c r="D314" s="36">
        <v>42586</v>
      </c>
      <c r="E314" s="38">
        <v>14.975</v>
      </c>
      <c r="F314" s="38">
        <v>42.732700020513107</v>
      </c>
      <c r="G314" s="38">
        <v>29.44</v>
      </c>
      <c r="H314" s="38">
        <v>2.7507020435302358</v>
      </c>
      <c r="I314" s="38">
        <v>4.863021934881484</v>
      </c>
      <c r="J314" s="10">
        <v>0</v>
      </c>
      <c r="K314" s="39">
        <v>0</v>
      </c>
      <c r="L314" s="39">
        <v>0</v>
      </c>
      <c r="M314" s="39">
        <v>0</v>
      </c>
      <c r="N314" s="39">
        <v>0</v>
      </c>
      <c r="O314" s="39">
        <v>0</v>
      </c>
      <c r="P314" s="39">
        <v>0</v>
      </c>
      <c r="Q314" s="39">
        <v>1</v>
      </c>
      <c r="R314" s="39">
        <v>0</v>
      </c>
      <c r="S314" s="39">
        <v>0</v>
      </c>
      <c r="T314" s="39">
        <v>0</v>
      </c>
      <c r="U314" s="29" cm="1">
        <f t="array" aca="1" ref="U314" ca="1">+fair_value_gap(OFFSET(T313,0,0,-1*$J$5,-1*$AA$1),OFFSET(E313,0,0,-1*$J$5,1),F314:T314,0)</f>
        <v>15.806505842145626</v>
      </c>
      <c r="V314" s="9" t="str" cm="1">
        <f t="array" aca="1" ref="V314" ca="1">z_score_diff(OFFSET(U314,0,0,$J$5*-1,1),OFFSET(E314,0,0,$J$5*-1,1))</f>
        <v/>
      </c>
      <c r="W314" s="9" t="str">
        <f t="shared" ca="1" si="286"/>
        <v/>
      </c>
      <c r="X314" s="17">
        <f t="shared" ca="1" si="281"/>
        <v>-5.1592082540186837E-2</v>
      </c>
      <c r="Y314" s="13">
        <f t="shared" ref="Y314:Z314" ca="1" si="338">+Y313</f>
        <v>0</v>
      </c>
      <c r="Z314" s="13">
        <f t="shared" ca="1" si="338"/>
        <v>0</v>
      </c>
      <c r="AA314" t="str">
        <f t="shared" ca="1" si="288"/>
        <v/>
      </c>
      <c r="AB314" t="str">
        <f t="shared" ca="1" si="289"/>
        <v/>
      </c>
      <c r="AC314" s="24" t="str">
        <f t="shared" ca="1" si="290"/>
        <v/>
      </c>
      <c r="AD314" s="24" t="str">
        <f t="shared" ca="1" si="291"/>
        <v/>
      </c>
    </row>
    <row r="315" spans="3:30" x14ac:dyDescent="0.25">
      <c r="C315" s="6">
        <v>409</v>
      </c>
      <c r="D315" s="36">
        <v>42587</v>
      </c>
      <c r="E315" s="38">
        <v>14.772</v>
      </c>
      <c r="F315" s="38">
        <v>42.86823252822321</v>
      </c>
      <c r="G315" s="38">
        <v>29.09</v>
      </c>
      <c r="H315" s="38">
        <v>2.737817996318229</v>
      </c>
      <c r="I315" s="38">
        <v>4.7907379067136873</v>
      </c>
      <c r="J315" s="10">
        <v>0</v>
      </c>
      <c r="K315" s="39">
        <v>0</v>
      </c>
      <c r="L315" s="39">
        <v>0</v>
      </c>
      <c r="M315" s="39">
        <v>0</v>
      </c>
      <c r="N315" s="39">
        <v>0</v>
      </c>
      <c r="O315" s="39">
        <v>0</v>
      </c>
      <c r="P315" s="39">
        <v>0</v>
      </c>
      <c r="Q315" s="39">
        <v>1</v>
      </c>
      <c r="R315" s="39">
        <v>0</v>
      </c>
      <c r="S315" s="39">
        <v>0</v>
      </c>
      <c r="T315" s="39">
        <v>0</v>
      </c>
      <c r="U315" s="29" cm="1">
        <f t="array" aca="1" ref="U315" ca="1">+fair_value_gap(OFFSET(T314,0,0,-1*$J$5,-1*$AA$1),OFFSET(E314,0,0,-1*$J$5,1),F315:T315,0)</f>
        <v>15.492484481589539</v>
      </c>
      <c r="V315" s="9" t="str" cm="1">
        <f t="array" aca="1" ref="V315" ca="1">z_score_diff(OFFSET(U315,0,0,$J$5*-1,1),OFFSET(E315,0,0,$J$5*-1,1))</f>
        <v/>
      </c>
      <c r="W315" s="9" t="str">
        <f t="shared" ca="1" si="286"/>
        <v/>
      </c>
      <c r="X315" s="17">
        <f t="shared" ca="1" si="281"/>
        <v>-3.1216010016323587E-2</v>
      </c>
      <c r="Y315" s="13">
        <f t="shared" ref="Y315:Z315" ca="1" si="339">+Y314</f>
        <v>0</v>
      </c>
      <c r="Z315" s="13">
        <f t="shared" ca="1" si="339"/>
        <v>0</v>
      </c>
      <c r="AA315" t="str">
        <f t="shared" ca="1" si="288"/>
        <v/>
      </c>
      <c r="AB315" t="str">
        <f t="shared" ca="1" si="289"/>
        <v/>
      </c>
      <c r="AC315" s="24" t="str">
        <f t="shared" ca="1" si="290"/>
        <v/>
      </c>
      <c r="AD315" s="24" t="str">
        <f t="shared" ca="1" si="291"/>
        <v/>
      </c>
    </row>
    <row r="316" spans="3:30" x14ac:dyDescent="0.25">
      <c r="C316" s="6">
        <v>410</v>
      </c>
      <c r="D316" s="36">
        <v>42590</v>
      </c>
      <c r="E316" s="38">
        <v>14.907999999999999</v>
      </c>
      <c r="F316" s="38">
        <v>43.650586100426487</v>
      </c>
      <c r="G316" s="38">
        <v>29.34</v>
      </c>
      <c r="H316" s="38">
        <v>2.7259454154917031</v>
      </c>
      <c r="I316" s="38">
        <v>4.7870260954976249</v>
      </c>
      <c r="J316" s="10">
        <v>0</v>
      </c>
      <c r="K316" s="39">
        <v>0</v>
      </c>
      <c r="L316" s="39">
        <v>0</v>
      </c>
      <c r="M316" s="39">
        <v>0</v>
      </c>
      <c r="N316" s="39">
        <v>0</v>
      </c>
      <c r="O316" s="39">
        <v>0</v>
      </c>
      <c r="P316" s="39">
        <v>0</v>
      </c>
      <c r="Q316" s="39">
        <v>1</v>
      </c>
      <c r="R316" s="39">
        <v>0</v>
      </c>
      <c r="S316" s="39">
        <v>0</v>
      </c>
      <c r="T316" s="39">
        <v>0</v>
      </c>
      <c r="U316" s="29" cm="1">
        <f t="array" aca="1" ref="U316" ca="1">+fair_value_gap(OFFSET(T315,0,0,-1*$J$5,-1*$AA$1),OFFSET(E315,0,0,-1*$J$5,1),F316:T316,0)</f>
        <v>15.524592071483053</v>
      </c>
      <c r="V316" s="9" t="str" cm="1">
        <f t="array" aca="1" ref="V316" ca="1">z_score_diff(OFFSET(U316,0,0,$J$5*-1,1),OFFSET(E316,0,0,$J$5*-1,1))</f>
        <v/>
      </c>
      <c r="W316" s="9" t="str">
        <f t="shared" ca="1" si="286"/>
        <v/>
      </c>
      <c r="X316" s="17">
        <f t="shared" ca="1" si="281"/>
        <v>-1.3982462935182762E-2</v>
      </c>
      <c r="Y316" s="13">
        <f t="shared" ref="Y316:Z316" ca="1" si="340">+Y315</f>
        <v>0</v>
      </c>
      <c r="Z316" s="13">
        <f t="shared" ca="1" si="340"/>
        <v>0</v>
      </c>
      <c r="AA316" t="str">
        <f t="shared" ca="1" si="288"/>
        <v/>
      </c>
      <c r="AB316" t="str">
        <f t="shared" ca="1" si="289"/>
        <v/>
      </c>
      <c r="AC316" s="24" t="str">
        <f t="shared" ca="1" si="290"/>
        <v/>
      </c>
      <c r="AD316" s="24" t="str">
        <f t="shared" ca="1" si="291"/>
        <v/>
      </c>
    </row>
    <row r="317" spans="3:30" x14ac:dyDescent="0.25">
      <c r="C317" s="6">
        <v>411</v>
      </c>
      <c r="D317" s="36">
        <v>42591</v>
      </c>
      <c r="E317" s="38">
        <v>14.904999999999999</v>
      </c>
      <c r="F317" s="38">
        <v>43.318828879572955</v>
      </c>
      <c r="G317" s="38">
        <v>29.5</v>
      </c>
      <c r="H317" s="38">
        <v>2.6668623780525009</v>
      </c>
      <c r="I317" s="38">
        <v>4.7969921753762659</v>
      </c>
      <c r="J317" s="10">
        <v>0</v>
      </c>
      <c r="K317" s="39">
        <v>0</v>
      </c>
      <c r="L317" s="39">
        <v>0</v>
      </c>
      <c r="M317" s="39">
        <v>0</v>
      </c>
      <c r="N317" s="39">
        <v>0</v>
      </c>
      <c r="O317" s="39">
        <v>0</v>
      </c>
      <c r="P317" s="39">
        <v>0</v>
      </c>
      <c r="Q317" s="39">
        <v>1</v>
      </c>
      <c r="R317" s="39">
        <v>0</v>
      </c>
      <c r="S317" s="39">
        <v>0</v>
      </c>
      <c r="T317" s="39">
        <v>0</v>
      </c>
      <c r="U317" s="29" cm="1">
        <f t="array" aca="1" ref="U317" ca="1">+fair_value_gap(OFFSET(T316,0,0,-1*$J$5,-1*$AA$1),OFFSET(E316,0,0,-1*$J$5,1),F317:T317,0)</f>
        <v>15.497956559662954</v>
      </c>
      <c r="V317" s="9" t="str" cm="1">
        <f t="array" aca="1" ref="V317" ca="1">z_score_diff(OFFSET(U317,0,0,$J$5*-1,1),OFFSET(E317,0,0,$J$5*-1,1))</f>
        <v/>
      </c>
      <c r="W317" s="9" t="str">
        <f t="shared" ca="1" si="286"/>
        <v/>
      </c>
      <c r="X317" s="17">
        <f t="shared" ca="1" si="281"/>
        <v>-3.5997466568354917E-2</v>
      </c>
      <c r="Y317" s="13">
        <f t="shared" ref="Y317:Z317" ca="1" si="341">+Y316</f>
        <v>0</v>
      </c>
      <c r="Z317" s="13">
        <f t="shared" ca="1" si="341"/>
        <v>0</v>
      </c>
      <c r="AA317" t="str">
        <f t="shared" ca="1" si="288"/>
        <v/>
      </c>
      <c r="AB317" t="str">
        <f t="shared" ca="1" si="289"/>
        <v/>
      </c>
      <c r="AC317" s="24" t="str">
        <f t="shared" ca="1" si="290"/>
        <v/>
      </c>
      <c r="AD317" s="24" t="str">
        <f t="shared" ca="1" si="291"/>
        <v/>
      </c>
    </row>
    <row r="318" spans="3:30" x14ac:dyDescent="0.25">
      <c r="C318" s="6">
        <v>412</v>
      </c>
      <c r="D318" s="36">
        <v>42592</v>
      </c>
      <c r="E318" s="38">
        <v>14.884</v>
      </c>
      <c r="F318" s="38">
        <v>42.555550081292793</v>
      </c>
      <c r="G318" s="38">
        <v>29.3</v>
      </c>
      <c r="H318" s="38">
        <v>2.6332181392042453</v>
      </c>
      <c r="I318" s="38">
        <v>4.7728728383504944</v>
      </c>
      <c r="J318" s="10">
        <v>0</v>
      </c>
      <c r="K318" s="39">
        <v>0</v>
      </c>
      <c r="L318" s="39">
        <v>0</v>
      </c>
      <c r="M318" s="39">
        <v>0</v>
      </c>
      <c r="N318" s="39">
        <v>0</v>
      </c>
      <c r="O318" s="39">
        <v>0</v>
      </c>
      <c r="P318" s="39">
        <v>0</v>
      </c>
      <c r="Q318" s="39">
        <v>1</v>
      </c>
      <c r="R318" s="39">
        <v>0</v>
      </c>
      <c r="S318" s="39">
        <v>0</v>
      </c>
      <c r="T318" s="39">
        <v>0</v>
      </c>
      <c r="U318" s="29" cm="1">
        <f t="array" aca="1" ref="U318" ca="1">+fair_value_gap(OFFSET(T317,0,0,-1*$J$5,-1*$AA$1),OFFSET(E317,0,0,-1*$J$5,1),F318:T318,0)</f>
        <v>15.284526393229125</v>
      </c>
      <c r="V318" s="9" t="str" cm="1">
        <f t="array" aca="1" ref="V318" ca="1">z_score_diff(OFFSET(U318,0,0,$J$5*-1,1),OFFSET(E318,0,0,$J$5*-1,1))</f>
        <v/>
      </c>
      <c r="W318" s="9" t="str">
        <f t="shared" ca="1" si="286"/>
        <v/>
      </c>
      <c r="X318" s="17">
        <f t="shared" ca="1" si="281"/>
        <v>-2.0773267524354974E-2</v>
      </c>
      <c r="Y318" s="13">
        <f t="shared" ref="Y318:Z318" ca="1" si="342">+Y317</f>
        <v>0</v>
      </c>
      <c r="Z318" s="13">
        <f t="shared" ca="1" si="342"/>
        <v>0</v>
      </c>
      <c r="AA318" t="str">
        <f t="shared" ca="1" si="288"/>
        <v/>
      </c>
      <c r="AB318" t="str">
        <f t="shared" ca="1" si="289"/>
        <v/>
      </c>
      <c r="AC318" s="24" t="str">
        <f t="shared" ca="1" si="290"/>
        <v/>
      </c>
      <c r="AD318" s="24" t="str">
        <f t="shared" ca="1" si="291"/>
        <v/>
      </c>
    </row>
    <row r="319" spans="3:30" x14ac:dyDescent="0.25">
      <c r="C319" s="6">
        <v>413</v>
      </c>
      <c r="D319" s="36">
        <v>42593</v>
      </c>
      <c r="E319" s="38">
        <v>14.785</v>
      </c>
      <c r="F319" s="38">
        <v>44.085698641750717</v>
      </c>
      <c r="G319" s="38">
        <v>29.14</v>
      </c>
      <c r="H319" s="38">
        <v>2.6361340233498773</v>
      </c>
      <c r="I319" s="38">
        <v>4.7468074959817725</v>
      </c>
      <c r="J319" s="10">
        <v>0</v>
      </c>
      <c r="K319" s="39">
        <v>0</v>
      </c>
      <c r="L319" s="39">
        <v>0</v>
      </c>
      <c r="M319" s="39">
        <v>0</v>
      </c>
      <c r="N319" s="39">
        <v>0</v>
      </c>
      <c r="O319" s="39">
        <v>0</v>
      </c>
      <c r="P319" s="39">
        <v>0</v>
      </c>
      <c r="Q319" s="39">
        <v>1</v>
      </c>
      <c r="R319" s="39">
        <v>0</v>
      </c>
      <c r="S319" s="39">
        <v>0</v>
      </c>
      <c r="T319" s="39">
        <v>0</v>
      </c>
      <c r="U319" s="29" cm="1">
        <f t="array" aca="1" ref="U319" ca="1">+fair_value_gap(OFFSET(T318,0,0,-1*$J$5,-1*$AA$1),OFFSET(E318,0,0,-1*$J$5,1),F319:T319,0)</f>
        <v>15.255281682470782</v>
      </c>
      <c r="V319" s="9" t="str" cm="1">
        <f t="array" aca="1" ref="V319" ca="1">z_score_diff(OFFSET(U319,0,0,$J$5*-1,1),OFFSET(E319,0,0,$J$5*-1,1))</f>
        <v/>
      </c>
      <c r="W319" s="9" t="str">
        <f t="shared" ca="1" si="286"/>
        <v/>
      </c>
      <c r="X319" s="17">
        <f t="shared" ca="1" si="281"/>
        <v>-3.1161114498196572E-3</v>
      </c>
      <c r="Y319" s="13">
        <f t="shared" ref="Y319:Z319" ca="1" si="343">+Y318</f>
        <v>0</v>
      </c>
      <c r="Z319" s="13">
        <f t="shared" ca="1" si="343"/>
        <v>0</v>
      </c>
      <c r="AA319" t="str">
        <f t="shared" ca="1" si="288"/>
        <v/>
      </c>
      <c r="AB319" t="str">
        <f t="shared" ca="1" si="289"/>
        <v/>
      </c>
      <c r="AC319" s="24" t="str">
        <f t="shared" ca="1" si="290"/>
        <v/>
      </c>
      <c r="AD319" s="24" t="str">
        <f t="shared" ca="1" si="291"/>
        <v/>
      </c>
    </row>
    <row r="320" spans="3:30" x14ac:dyDescent="0.25">
      <c r="C320" s="6">
        <v>414</v>
      </c>
      <c r="D320" s="36">
        <v>42594</v>
      </c>
      <c r="E320" s="38">
        <v>14.815</v>
      </c>
      <c r="F320" s="38">
        <v>44.624728582816921</v>
      </c>
      <c r="G320" s="38">
        <v>29.24</v>
      </c>
      <c r="H320" s="38">
        <v>2.6205796986553564</v>
      </c>
      <c r="I320" s="38">
        <v>4.778704156371532</v>
      </c>
      <c r="J320" s="10">
        <v>0</v>
      </c>
      <c r="K320" s="39">
        <v>0</v>
      </c>
      <c r="L320" s="39">
        <v>0</v>
      </c>
      <c r="M320" s="39">
        <v>0</v>
      </c>
      <c r="N320" s="39">
        <v>0</v>
      </c>
      <c r="O320" s="39">
        <v>0</v>
      </c>
      <c r="P320" s="39">
        <v>0</v>
      </c>
      <c r="Q320" s="39">
        <v>1</v>
      </c>
      <c r="R320" s="39">
        <v>0</v>
      </c>
      <c r="S320" s="39">
        <v>0</v>
      </c>
      <c r="T320" s="39">
        <v>0</v>
      </c>
      <c r="U320" s="29" cm="1">
        <f t="array" aca="1" ref="U320" ca="1">+fair_value_gap(OFFSET(T319,0,0,-1*$J$5,-1*$AA$1),OFFSET(E319,0,0,-1*$J$5,1),F320:T320,0)</f>
        <v>15.287232989432672</v>
      </c>
      <c r="V320" s="9" t="str" cm="1">
        <f t="array" aca="1" ref="V320" ca="1">z_score_diff(OFFSET(U320,0,0,$J$5*-1,1),OFFSET(E320,0,0,$J$5*-1,1))</f>
        <v/>
      </c>
      <c r="W320" s="9" t="str">
        <f t="shared" ca="1" si="286"/>
        <v/>
      </c>
      <c r="X320" s="17">
        <f t="shared" ca="1" si="281"/>
        <v>1.8126980405910667E-2</v>
      </c>
      <c r="Y320" s="13">
        <f t="shared" ref="Y320:Z320" ca="1" si="344">+Y319</f>
        <v>0</v>
      </c>
      <c r="Z320" s="13">
        <f t="shared" ca="1" si="344"/>
        <v>0</v>
      </c>
      <c r="AA320" t="str">
        <f t="shared" ca="1" si="288"/>
        <v/>
      </c>
      <c r="AB320" t="str">
        <f t="shared" ca="1" si="289"/>
        <v/>
      </c>
      <c r="AC320" s="24" t="str">
        <f t="shared" ca="1" si="290"/>
        <v/>
      </c>
      <c r="AD320" s="24" t="str">
        <f t="shared" ca="1" si="291"/>
        <v/>
      </c>
    </row>
    <row r="321" spans="3:30" x14ac:dyDescent="0.25">
      <c r="C321" s="6">
        <v>415</v>
      </c>
      <c r="D321" s="36">
        <v>42597</v>
      </c>
      <c r="E321" s="38">
        <v>14.731999999999999</v>
      </c>
      <c r="F321" s="38">
        <v>45.554519381345344</v>
      </c>
      <c r="G321" s="38">
        <v>29.1</v>
      </c>
      <c r="H321" s="38">
        <v>2.6199567152886529</v>
      </c>
      <c r="I321" s="38">
        <v>4.7507610015308011</v>
      </c>
      <c r="J321" s="10">
        <v>0</v>
      </c>
      <c r="K321" s="39">
        <v>0</v>
      </c>
      <c r="L321" s="39">
        <v>0</v>
      </c>
      <c r="M321" s="39">
        <v>0</v>
      </c>
      <c r="N321" s="39">
        <v>0</v>
      </c>
      <c r="O321" s="39">
        <v>0</v>
      </c>
      <c r="P321" s="39">
        <v>0</v>
      </c>
      <c r="Q321" s="39">
        <v>1</v>
      </c>
      <c r="R321" s="39">
        <v>0</v>
      </c>
      <c r="S321" s="39">
        <v>0</v>
      </c>
      <c r="T321" s="39">
        <v>0</v>
      </c>
      <c r="U321" s="29" cm="1">
        <f t="array" aca="1" ref="U321" ca="1">+fair_value_gap(OFFSET(T320,0,0,-1*$J$5,-1*$AA$1),OFFSET(E320,0,0,-1*$J$5,1),F321:T321,0)</f>
        <v>15.243395978880065</v>
      </c>
      <c r="V321" s="9" t="str" cm="1">
        <f t="array" aca="1" ref="V321" ca="1">z_score_diff(OFFSET(U321,0,0,$J$5*-1,1),OFFSET(E321,0,0,$J$5*-1,1))</f>
        <v/>
      </c>
      <c r="W321" s="9" t="str">
        <f t="shared" ca="1" si="286"/>
        <v/>
      </c>
      <c r="X321" s="17">
        <f t="shared" ca="1" si="281"/>
        <v>1.7961533630403516E-2</v>
      </c>
      <c r="Y321" s="13">
        <f t="shared" ref="Y321:Z321" ca="1" si="345">+Y320</f>
        <v>0</v>
      </c>
      <c r="Z321" s="13">
        <f t="shared" ca="1" si="345"/>
        <v>0</v>
      </c>
      <c r="AA321" t="str">
        <f t="shared" ca="1" si="288"/>
        <v/>
      </c>
      <c r="AB321" t="str">
        <f t="shared" ca="1" si="289"/>
        <v/>
      </c>
      <c r="AC321" s="24" t="str">
        <f t="shared" ca="1" si="290"/>
        <v/>
      </c>
      <c r="AD321" s="24" t="str">
        <f t="shared" ca="1" si="291"/>
        <v/>
      </c>
    </row>
    <row r="322" spans="3:30" x14ac:dyDescent="0.25">
      <c r="C322" s="6">
        <v>416</v>
      </c>
      <c r="D322" s="36">
        <v>42598</v>
      </c>
      <c r="E322" s="38">
        <v>14.821</v>
      </c>
      <c r="F322" s="38">
        <v>45.81689641996612</v>
      </c>
      <c r="G322" s="38">
        <v>29.27</v>
      </c>
      <c r="H322" s="38">
        <v>2.6136218902174124</v>
      </c>
      <c r="I322" s="38">
        <v>4.7980375154191481</v>
      </c>
      <c r="J322" s="10">
        <v>0</v>
      </c>
      <c r="K322" s="39">
        <v>0</v>
      </c>
      <c r="L322" s="39">
        <v>0</v>
      </c>
      <c r="M322" s="39">
        <v>0</v>
      </c>
      <c r="N322" s="39">
        <v>0</v>
      </c>
      <c r="O322" s="39">
        <v>0</v>
      </c>
      <c r="P322" s="39">
        <v>0</v>
      </c>
      <c r="Q322" s="39">
        <v>1</v>
      </c>
      <c r="R322" s="39">
        <v>0</v>
      </c>
      <c r="S322" s="39">
        <v>0</v>
      </c>
      <c r="T322" s="39">
        <v>0</v>
      </c>
      <c r="U322" s="29" cm="1">
        <f t="array" aca="1" ref="U322" ca="1">+fair_value_gap(OFFSET(T321,0,0,-1*$J$5,-1*$AA$1),OFFSET(E321,0,0,-1*$J$5,1),F322:T322,0)</f>
        <v>15.285980353825712</v>
      </c>
      <c r="V322" s="9" t="str" cm="1">
        <f t="array" aca="1" ref="V322" ca="1">z_score_diff(OFFSET(U322,0,0,$J$5*-1,1),OFFSET(E322,0,0,$J$5*-1,1))</f>
        <v/>
      </c>
      <c r="W322" s="9" t="str">
        <f t="shared" ca="1" si="286"/>
        <v/>
      </c>
      <c r="X322" s="17">
        <f t="shared" ca="1" si="281"/>
        <v>-2.1275947441229771E-2</v>
      </c>
      <c r="Y322" s="13">
        <f t="shared" ref="Y322:Z322" ca="1" si="346">+Y321</f>
        <v>0</v>
      </c>
      <c r="Z322" s="13">
        <f t="shared" ca="1" si="346"/>
        <v>0</v>
      </c>
      <c r="AA322" t="str">
        <f t="shared" ca="1" si="288"/>
        <v/>
      </c>
      <c r="AB322" t="str">
        <f t="shared" ca="1" si="289"/>
        <v/>
      </c>
      <c r="AC322" s="24" t="str">
        <f t="shared" ca="1" si="290"/>
        <v/>
      </c>
      <c r="AD322" s="24" t="str">
        <f t="shared" ca="1" si="291"/>
        <v/>
      </c>
    </row>
    <row r="323" spans="3:30" x14ac:dyDescent="0.25">
      <c r="C323" s="6">
        <v>417</v>
      </c>
      <c r="D323" s="36">
        <v>42599</v>
      </c>
      <c r="E323" s="38">
        <v>15.041</v>
      </c>
      <c r="F323" s="38">
        <v>46.337732963235709</v>
      </c>
      <c r="G323" s="38">
        <v>29.24</v>
      </c>
      <c r="H323" s="38">
        <v>2.6014318769091327</v>
      </c>
      <c r="I323" s="38">
        <v>4.8368331379717544</v>
      </c>
      <c r="J323" s="10">
        <v>0</v>
      </c>
      <c r="K323" s="39">
        <v>0</v>
      </c>
      <c r="L323" s="39">
        <v>0</v>
      </c>
      <c r="M323" s="39">
        <v>0</v>
      </c>
      <c r="N323" s="39">
        <v>0</v>
      </c>
      <c r="O323" s="39">
        <v>0</v>
      </c>
      <c r="P323" s="39">
        <v>0</v>
      </c>
      <c r="Q323" s="39">
        <v>1</v>
      </c>
      <c r="R323" s="39">
        <v>0</v>
      </c>
      <c r="S323" s="39">
        <v>0</v>
      </c>
      <c r="T323" s="39">
        <v>0</v>
      </c>
      <c r="U323" s="29" cm="1">
        <f t="array" aca="1" ref="U323" ca="1">+fair_value_gap(OFFSET(T322,0,0,-1*$J$5,-1*$AA$1),OFFSET(E322,0,0,-1*$J$5,1),F323:T323,0)</f>
        <v>15.272822743999445</v>
      </c>
      <c r="V323" s="9" t="str" cm="1">
        <f t="array" aca="1" ref="V323" ca="1">z_score_diff(OFFSET(U323,0,0,$J$5*-1,1),OFFSET(E323,0,0,$J$5*-1,1))</f>
        <v/>
      </c>
      <c r="W323" s="9" t="str">
        <f t="shared" ca="1" si="286"/>
        <v/>
      </c>
      <c r="X323" s="17">
        <f t="shared" ca="1" si="281"/>
        <v>-8.2783035012829517E-3</v>
      </c>
      <c r="Y323" s="13">
        <f t="shared" ref="Y323:Z323" ca="1" si="347">+Y322</f>
        <v>0</v>
      </c>
      <c r="Z323" s="13">
        <f t="shared" ca="1" si="347"/>
        <v>0</v>
      </c>
      <c r="AA323" t="str">
        <f t="shared" ca="1" si="288"/>
        <v/>
      </c>
      <c r="AB323" t="str">
        <f t="shared" ca="1" si="289"/>
        <v/>
      </c>
      <c r="AC323" s="24" t="str">
        <f t="shared" ca="1" si="290"/>
        <v/>
      </c>
      <c r="AD323" s="24" t="str">
        <f t="shared" ca="1" si="291"/>
        <v/>
      </c>
    </row>
    <row r="324" spans="3:30" x14ac:dyDescent="0.25">
      <c r="C324" s="6">
        <v>418</v>
      </c>
      <c r="D324" s="36">
        <v>42600</v>
      </c>
      <c r="E324" s="38">
        <v>15.077999999999999</v>
      </c>
      <c r="F324" s="38">
        <v>46.956493106433271</v>
      </c>
      <c r="G324" s="38">
        <v>29.13</v>
      </c>
      <c r="H324" s="38">
        <v>2.5952149262551698</v>
      </c>
      <c r="I324" s="38">
        <v>4.8958144685615057</v>
      </c>
      <c r="J324" s="10">
        <v>0</v>
      </c>
      <c r="K324" s="39">
        <v>0</v>
      </c>
      <c r="L324" s="39">
        <v>0</v>
      </c>
      <c r="M324" s="39">
        <v>0</v>
      </c>
      <c r="N324" s="39">
        <v>0</v>
      </c>
      <c r="O324" s="39">
        <v>0</v>
      </c>
      <c r="P324" s="39">
        <v>0</v>
      </c>
      <c r="Q324" s="39">
        <v>1</v>
      </c>
      <c r="R324" s="39">
        <v>0</v>
      </c>
      <c r="S324" s="39">
        <v>0</v>
      </c>
      <c r="T324" s="39">
        <v>0</v>
      </c>
      <c r="U324" s="29" cm="1">
        <f t="array" aca="1" ref="U324" ca="1">+fair_value_gap(OFFSET(T323,0,0,-1*$J$5,-1*$AA$1),OFFSET(E323,0,0,-1*$J$5,1),F324:T324,0)</f>
        <v>15.234690624979912</v>
      </c>
      <c r="V324" s="9" t="str" cm="1">
        <f t="array" aca="1" ref="V324" ca="1">z_score_diff(OFFSET(U324,0,0,$J$5*-1,1),OFFSET(E324,0,0,$J$5*-1,1))</f>
        <v/>
      </c>
      <c r="W324" s="9" t="str">
        <f t="shared" ca="1" si="286"/>
        <v/>
      </c>
      <c r="X324" s="17">
        <f t="shared" ca="1" si="281"/>
        <v>-1.7922936192844227E-3</v>
      </c>
      <c r="Y324" s="13">
        <f t="shared" ref="Y324:Z324" ca="1" si="348">+Y323</f>
        <v>0</v>
      </c>
      <c r="Z324" s="13">
        <f t="shared" ca="1" si="348"/>
        <v>0</v>
      </c>
      <c r="AA324" t="str">
        <f t="shared" ca="1" si="288"/>
        <v/>
      </c>
      <c r="AB324" t="str">
        <f t="shared" ca="1" si="289"/>
        <v/>
      </c>
      <c r="AC324" s="24" t="str">
        <f t="shared" ca="1" si="290"/>
        <v/>
      </c>
      <c r="AD324" s="24" t="str">
        <f t="shared" ca="1" si="291"/>
        <v/>
      </c>
    </row>
    <row r="325" spans="3:30" x14ac:dyDescent="0.25">
      <c r="C325" s="6">
        <v>419</v>
      </c>
      <c r="D325" s="36">
        <v>42601</v>
      </c>
      <c r="E325" s="38">
        <v>14.712</v>
      </c>
      <c r="F325" s="38">
        <v>47.119304933806319</v>
      </c>
      <c r="G325" s="38">
        <v>28.79</v>
      </c>
      <c r="H325" s="38">
        <v>2.5695912882258183</v>
      </c>
      <c r="I325" s="38">
        <v>4.8413218762618913</v>
      </c>
      <c r="J325" s="10">
        <v>0</v>
      </c>
      <c r="K325" s="39">
        <v>0</v>
      </c>
      <c r="L325" s="39">
        <v>0</v>
      </c>
      <c r="M325" s="39">
        <v>0</v>
      </c>
      <c r="N325" s="39">
        <v>0</v>
      </c>
      <c r="O325" s="39">
        <v>0</v>
      </c>
      <c r="P325" s="39">
        <v>0</v>
      </c>
      <c r="Q325" s="39">
        <v>1</v>
      </c>
      <c r="R325" s="39">
        <v>0</v>
      </c>
      <c r="S325" s="39">
        <v>0</v>
      </c>
      <c r="T325" s="39">
        <v>0</v>
      </c>
      <c r="U325" s="29" cm="1">
        <f t="array" aca="1" ref="U325" ca="1">+fair_value_gap(OFFSET(T324,0,0,-1*$J$5,-1*$AA$1),OFFSET(E324,0,0,-1*$J$5,1),F325:T325,0)</f>
        <v>15.02427850937049</v>
      </c>
      <c r="V325" s="9" t="str" cm="1">
        <f t="array" aca="1" ref="V325" ca="1">z_score_diff(OFFSET(U325,0,0,$J$5*-1,1),OFFSET(E325,0,0,$J$5*-1,1))</f>
        <v/>
      </c>
      <c r="W325" s="9" t="str">
        <f t="shared" ca="1" si="286"/>
        <v/>
      </c>
      <c r="X325" s="17">
        <f t="shared" ca="1" si="281"/>
        <v>6.9065372030737288E-2</v>
      </c>
      <c r="Y325" s="13">
        <f t="shared" ref="Y325:Z325" ca="1" si="349">+Y324</f>
        <v>0</v>
      </c>
      <c r="Z325" s="13">
        <f t="shared" ca="1" si="349"/>
        <v>0</v>
      </c>
      <c r="AA325" t="str">
        <f t="shared" ca="1" si="288"/>
        <v/>
      </c>
      <c r="AB325" t="str">
        <f t="shared" ca="1" si="289"/>
        <v/>
      </c>
      <c r="AC325" s="24" t="str">
        <f t="shared" ca="1" si="290"/>
        <v/>
      </c>
      <c r="AD325" s="24" t="str">
        <f t="shared" ca="1" si="291"/>
        <v/>
      </c>
    </row>
    <row r="326" spans="3:30" x14ac:dyDescent="0.25">
      <c r="C326" s="6">
        <v>420</v>
      </c>
      <c r="D326" s="36">
        <v>42604</v>
      </c>
      <c r="E326" s="38">
        <v>14.56</v>
      </c>
      <c r="F326" s="38">
        <v>45.885788612573975</v>
      </c>
      <c r="G326" s="38">
        <v>28.41</v>
      </c>
      <c r="H326" s="38">
        <v>2.5727669017578401</v>
      </c>
      <c r="I326" s="38">
        <v>4.7136982242608187</v>
      </c>
      <c r="J326" s="10">
        <v>0</v>
      </c>
      <c r="K326" s="39">
        <v>0</v>
      </c>
      <c r="L326" s="39">
        <v>0</v>
      </c>
      <c r="M326" s="39">
        <v>0</v>
      </c>
      <c r="N326" s="39">
        <v>0</v>
      </c>
      <c r="O326" s="39">
        <v>0</v>
      </c>
      <c r="P326" s="39">
        <v>0</v>
      </c>
      <c r="Q326" s="39">
        <v>1</v>
      </c>
      <c r="R326" s="39">
        <v>0</v>
      </c>
      <c r="S326" s="39">
        <v>0</v>
      </c>
      <c r="T326" s="39">
        <v>0</v>
      </c>
      <c r="U326" s="29" cm="1">
        <f t="array" aca="1" ref="U326" ca="1">+fair_value_gap(OFFSET(T325,0,0,-1*$J$5,-1*$AA$1),OFFSET(E325,0,0,-1*$J$5,1),F326:T326,0)</f>
        <v>14.728771592652162</v>
      </c>
      <c r="V326" s="9" t="str" cm="1">
        <f t="array" aca="1" ref="V326" ca="1">z_score_diff(OFFSET(U326,0,0,$J$5*-1,1),OFFSET(E326,0,0,$J$5*-1,1))</f>
        <v/>
      </c>
      <c r="W326" s="9" t="str">
        <f t="shared" ca="1" si="286"/>
        <v/>
      </c>
      <c r="X326" s="17">
        <f t="shared" ca="1" si="281"/>
        <v>8.9423757897846637E-2</v>
      </c>
      <c r="Y326" s="13">
        <f t="shared" ref="Y326:Z326" ca="1" si="350">+Y325</f>
        <v>0</v>
      </c>
      <c r="Z326" s="13">
        <f t="shared" ca="1" si="350"/>
        <v>0</v>
      </c>
      <c r="AA326" t="str">
        <f t="shared" ca="1" si="288"/>
        <v/>
      </c>
      <c r="AB326" t="str">
        <f t="shared" ca="1" si="289"/>
        <v/>
      </c>
      <c r="AC326" s="24" t="str">
        <f t="shared" ca="1" si="290"/>
        <v/>
      </c>
      <c r="AD326" s="24" t="str">
        <f t="shared" ca="1" si="291"/>
        <v/>
      </c>
    </row>
    <row r="327" spans="3:30" x14ac:dyDescent="0.25">
      <c r="C327" s="6">
        <v>421</v>
      </c>
      <c r="D327" s="36">
        <v>42605</v>
      </c>
      <c r="E327" s="38">
        <v>14.629</v>
      </c>
      <c r="F327" s="38">
        <v>46.582932236363568</v>
      </c>
      <c r="G327" s="38">
        <v>28.36</v>
      </c>
      <c r="H327" s="38">
        <v>2.6032150401793017</v>
      </c>
      <c r="I327" s="38">
        <v>4.7200673773304516</v>
      </c>
      <c r="J327" s="10">
        <v>0</v>
      </c>
      <c r="K327" s="39">
        <v>0</v>
      </c>
      <c r="L327" s="39">
        <v>0</v>
      </c>
      <c r="M327" s="39">
        <v>0</v>
      </c>
      <c r="N327" s="39">
        <v>0</v>
      </c>
      <c r="O327" s="39">
        <v>0</v>
      </c>
      <c r="P327" s="39">
        <v>0</v>
      </c>
      <c r="Q327" s="39">
        <v>1</v>
      </c>
      <c r="R327" s="39">
        <v>0</v>
      </c>
      <c r="S327" s="39">
        <v>0</v>
      </c>
      <c r="T327" s="39">
        <v>0</v>
      </c>
      <c r="U327" s="29" cm="1">
        <f t="array" aca="1" ref="U327" ca="1">+fair_value_gap(OFFSET(T326,0,0,-1*$J$5,-1*$AA$1),OFFSET(E326,0,0,-1*$J$5,1),F327:T327,0)</f>
        <v>14.781310942867787</v>
      </c>
      <c r="V327" s="9" t="str" cm="1">
        <f t="array" aca="1" ref="V327" ca="1">z_score_diff(OFFSET(U327,0,0,$J$5*-1,1),OFFSET(E327,0,0,$J$5*-1,1))</f>
        <v/>
      </c>
      <c r="W327" s="9" t="str">
        <f t="shared" ca="1" si="286"/>
        <v/>
      </c>
      <c r="X327" s="17">
        <f t="shared" ref="X327:X390" ca="1" si="351">+LN(OFFSET(E327,$X$3,0,1,1)/E327)</f>
        <v>0.10342412843231288</v>
      </c>
      <c r="Y327" s="13">
        <f t="shared" ref="Y327:Z327" ca="1" si="352">+Y326</f>
        <v>0</v>
      </c>
      <c r="Z327" s="13">
        <f t="shared" ca="1" si="352"/>
        <v>0</v>
      </c>
      <c r="AA327" t="str">
        <f t="shared" ca="1" si="288"/>
        <v/>
      </c>
      <c r="AB327" t="str">
        <f t="shared" ca="1" si="289"/>
        <v/>
      </c>
      <c r="AC327" s="24" t="str">
        <f t="shared" ca="1" si="290"/>
        <v/>
      </c>
      <c r="AD327" s="24" t="str">
        <f t="shared" ca="1" si="291"/>
        <v/>
      </c>
    </row>
    <row r="328" spans="3:30" x14ac:dyDescent="0.25">
      <c r="C328" s="6">
        <v>422</v>
      </c>
      <c r="D328" s="36">
        <v>42606</v>
      </c>
      <c r="E328" s="38">
        <v>14.446999999999999</v>
      </c>
      <c r="F328" s="38">
        <v>45.957640031959905</v>
      </c>
      <c r="G328" s="38">
        <v>28.28</v>
      </c>
      <c r="H328" s="38">
        <v>2.6476071551758014</v>
      </c>
      <c r="I328" s="38">
        <v>4.6368054069866442</v>
      </c>
      <c r="J328" s="10">
        <v>0</v>
      </c>
      <c r="K328" s="39">
        <v>0</v>
      </c>
      <c r="L328" s="39">
        <v>0</v>
      </c>
      <c r="M328" s="39">
        <v>0</v>
      </c>
      <c r="N328" s="39">
        <v>0</v>
      </c>
      <c r="O328" s="39">
        <v>0</v>
      </c>
      <c r="P328" s="39">
        <v>0</v>
      </c>
      <c r="Q328" s="39">
        <v>1</v>
      </c>
      <c r="R328" s="39">
        <v>0</v>
      </c>
      <c r="S328" s="39">
        <v>0</v>
      </c>
      <c r="T328" s="39">
        <v>0</v>
      </c>
      <c r="U328" s="29" cm="1">
        <f t="array" aca="1" ref="U328" ca="1">+fair_value_gap(OFFSET(T327,0,0,-1*$J$5,-1*$AA$1),OFFSET(E327,0,0,-1*$J$5,1),F328:T328,0)</f>
        <v>14.705975998607222</v>
      </c>
      <c r="V328" s="9" t="str" cm="1">
        <f t="array" aca="1" ref="V328" ca="1">z_score_diff(OFFSET(U328,0,0,$J$5*-1,1),OFFSET(E328,0,0,$J$5*-1,1))</f>
        <v/>
      </c>
      <c r="W328" s="9" t="str">
        <f t="shared" ca="1" si="286"/>
        <v/>
      </c>
      <c r="X328" s="17">
        <f t="shared" ca="1" si="351"/>
        <v>0.1309930453448272</v>
      </c>
      <c r="Y328" s="13">
        <f t="shared" ref="Y328:Z328" ca="1" si="353">+Y327</f>
        <v>0</v>
      </c>
      <c r="Z328" s="13">
        <f t="shared" ca="1" si="353"/>
        <v>0</v>
      </c>
      <c r="AA328" t="str">
        <f t="shared" ca="1" si="288"/>
        <v/>
      </c>
      <c r="AB328" t="str">
        <f t="shared" ca="1" si="289"/>
        <v/>
      </c>
      <c r="AC328" s="24" t="str">
        <f t="shared" ca="1" si="290"/>
        <v/>
      </c>
      <c r="AD328" s="24" t="str">
        <f t="shared" ca="1" si="291"/>
        <v/>
      </c>
    </row>
    <row r="329" spans="3:30" x14ac:dyDescent="0.25">
      <c r="C329" s="6">
        <v>423</v>
      </c>
      <c r="D329" s="36">
        <v>42607</v>
      </c>
      <c r="E329" s="38">
        <v>14.439</v>
      </c>
      <c r="F329" s="38">
        <v>46.267068938455907</v>
      </c>
      <c r="G329" s="38">
        <v>28.26</v>
      </c>
      <c r="H329" s="38">
        <v>2.6464484400341819</v>
      </c>
      <c r="I329" s="38">
        <v>4.6301947995326209</v>
      </c>
      <c r="J329" s="10">
        <v>0</v>
      </c>
      <c r="K329" s="39">
        <v>0</v>
      </c>
      <c r="L329" s="39">
        <v>0</v>
      </c>
      <c r="M329" s="39">
        <v>0</v>
      </c>
      <c r="N329" s="39">
        <v>0</v>
      </c>
      <c r="O329" s="39">
        <v>0</v>
      </c>
      <c r="P329" s="39">
        <v>0</v>
      </c>
      <c r="Q329" s="39">
        <v>1</v>
      </c>
      <c r="R329" s="39">
        <v>0</v>
      </c>
      <c r="S329" s="39">
        <v>0</v>
      </c>
      <c r="T329" s="39">
        <v>0</v>
      </c>
      <c r="U329" s="29" cm="1">
        <f t="array" aca="1" ref="U329" ca="1">+fair_value_gap(OFFSET(T328,0,0,-1*$J$5,-1*$AA$1),OFFSET(E328,0,0,-1*$J$5,1),F329:T329,0)</f>
        <v>14.701061112439561</v>
      </c>
      <c r="V329" s="9" t="str" cm="1">
        <f t="array" aca="1" ref="V329" ca="1">z_score_diff(OFFSET(U329,0,0,$J$5*-1,1),OFFSET(E329,0,0,$J$5*-1,1))</f>
        <v/>
      </c>
      <c r="W329" s="9" t="str">
        <f t="shared" ca="1" si="286"/>
        <v/>
      </c>
      <c r="X329" s="17">
        <f t="shared" ca="1" si="351"/>
        <v>0.14756945567420793</v>
      </c>
      <c r="Y329" s="13">
        <f t="shared" ref="Y329:Z329" ca="1" si="354">+Y328</f>
        <v>0</v>
      </c>
      <c r="Z329" s="13">
        <f t="shared" ca="1" si="354"/>
        <v>0</v>
      </c>
      <c r="AA329" t="str">
        <f t="shared" ca="1" si="288"/>
        <v/>
      </c>
      <c r="AB329" t="str">
        <f t="shared" ca="1" si="289"/>
        <v/>
      </c>
      <c r="AC329" s="24" t="str">
        <f t="shared" ca="1" si="290"/>
        <v/>
      </c>
      <c r="AD329" s="24" t="str">
        <f t="shared" ca="1" si="291"/>
        <v/>
      </c>
    </row>
    <row r="330" spans="3:30" x14ac:dyDescent="0.25">
      <c r="C330" s="6">
        <v>424</v>
      </c>
      <c r="D330" s="36">
        <v>42608</v>
      </c>
      <c r="E330" s="38">
        <v>14.715</v>
      </c>
      <c r="F330" s="38">
        <v>46.829237457771164</v>
      </c>
      <c r="G330" s="38">
        <v>28.29</v>
      </c>
      <c r="H330" s="38">
        <v>2.6724446723182491</v>
      </c>
      <c r="I330" s="38">
        <v>4.7496470687390699</v>
      </c>
      <c r="J330" s="10">
        <v>0</v>
      </c>
      <c r="K330" s="39">
        <v>0</v>
      </c>
      <c r="L330" s="39">
        <v>0</v>
      </c>
      <c r="M330" s="39">
        <v>0</v>
      </c>
      <c r="N330" s="39">
        <v>0</v>
      </c>
      <c r="O330" s="39">
        <v>0</v>
      </c>
      <c r="P330" s="39">
        <v>0</v>
      </c>
      <c r="Q330" s="39">
        <v>1</v>
      </c>
      <c r="R330" s="39">
        <v>0</v>
      </c>
      <c r="S330" s="39">
        <v>0</v>
      </c>
      <c r="T330" s="39">
        <v>0</v>
      </c>
      <c r="U330" s="29" cm="1">
        <f t="array" aca="1" ref="U330" ca="1">+fair_value_gap(OFFSET(T329,0,0,-1*$J$5,-1*$AA$1),OFFSET(E329,0,0,-1*$J$5,1),F330:T330,0)</f>
        <v>14.754469296281222</v>
      </c>
      <c r="V330" s="9" t="str" cm="1">
        <f t="array" aca="1" ref="V330" ca="1">z_score_diff(OFFSET(U330,0,0,$J$5*-1,1),OFFSET(E330,0,0,$J$5*-1,1))</f>
        <v/>
      </c>
      <c r="W330" s="9" t="str">
        <f t="shared" ca="1" si="286"/>
        <v/>
      </c>
      <c r="X330" s="17">
        <f t="shared" ca="1" si="351"/>
        <v>9.928706365843544E-2</v>
      </c>
      <c r="Y330" s="13">
        <f t="shared" ref="Y330:Z330" ca="1" si="355">+Y329</f>
        <v>0</v>
      </c>
      <c r="Z330" s="13">
        <f t="shared" ca="1" si="355"/>
        <v>0</v>
      </c>
      <c r="AA330" t="str">
        <f t="shared" ca="1" si="288"/>
        <v/>
      </c>
      <c r="AB330" t="str">
        <f t="shared" ca="1" si="289"/>
        <v/>
      </c>
      <c r="AC330" s="24" t="str">
        <f t="shared" ca="1" si="290"/>
        <v/>
      </c>
      <c r="AD330" s="24" t="str">
        <f t="shared" ca="1" si="291"/>
        <v/>
      </c>
    </row>
    <row r="331" spans="3:30" x14ac:dyDescent="0.25">
      <c r="C331" s="6">
        <v>425</v>
      </c>
      <c r="D331" s="36">
        <v>42611</v>
      </c>
      <c r="E331" s="38">
        <v>14.946999999999999</v>
      </c>
      <c r="F331" s="38">
        <v>46.324207936019683</v>
      </c>
      <c r="G331" s="38">
        <v>28.49</v>
      </c>
      <c r="H331" s="38">
        <v>2.6857670167421013</v>
      </c>
      <c r="I331" s="38">
        <v>4.6666959616821195</v>
      </c>
      <c r="J331" s="10">
        <v>0</v>
      </c>
      <c r="K331" s="39">
        <v>0</v>
      </c>
      <c r="L331" s="39">
        <v>0</v>
      </c>
      <c r="M331" s="39">
        <v>0</v>
      </c>
      <c r="N331" s="39">
        <v>0</v>
      </c>
      <c r="O331" s="39">
        <v>0</v>
      </c>
      <c r="P331" s="39">
        <v>0</v>
      </c>
      <c r="Q331" s="39">
        <v>1</v>
      </c>
      <c r="R331" s="39">
        <v>0</v>
      </c>
      <c r="S331" s="39">
        <v>0</v>
      </c>
      <c r="T331" s="39">
        <v>0</v>
      </c>
      <c r="U331" s="29" cm="1">
        <f t="array" aca="1" ref="U331" ca="1">+fair_value_gap(OFFSET(T330,0,0,-1*$J$5,-1*$AA$1),OFFSET(E330,0,0,-1*$J$5,1),F331:T331,0)</f>
        <v>14.782968140773113</v>
      </c>
      <c r="V331" s="9" t="str" cm="1">
        <f t="array" aca="1" ref="V331" ca="1">z_score_diff(OFFSET(U331,0,0,$J$5*-1,1),OFFSET(E331,0,0,$J$5*-1,1))</f>
        <v/>
      </c>
      <c r="W331" s="9" t="str">
        <f t="shared" ref="W331:W394" ca="1" si="356">+IF(ISERROR(AVERAGE(OFFSET(V331,0,0,$W$5*-1,1))),"",AVERAGE(OFFSET(V331,0,0,$W$5*-1,1)))</f>
        <v/>
      </c>
      <c r="X331" s="17">
        <f t="shared" ca="1" si="351"/>
        <v>7.9327103613993644E-2</v>
      </c>
      <c r="Y331" s="13">
        <f t="shared" ref="Y331:Z331" ca="1" si="357">+Y330</f>
        <v>0</v>
      </c>
      <c r="Z331" s="13">
        <f t="shared" ca="1" si="357"/>
        <v>0</v>
      </c>
      <c r="AA331" t="str">
        <f t="shared" ref="AA331:AA394" ca="1" si="358">+IF(W331="","",IF(W331&lt;Y331,1,0))</f>
        <v/>
      </c>
      <c r="AB331" t="str">
        <f t="shared" ref="AB331:AB394" ca="1" si="359">+IF(W331="","",IF(W331&gt;Z331,1,0))</f>
        <v/>
      </c>
      <c r="AC331" s="24" t="str">
        <f t="shared" ref="AC331:AC394" ca="1" si="360">+IF(ISERROR(AA331*X331),"",AA331*X331)</f>
        <v/>
      </c>
      <c r="AD331" s="24" t="str">
        <f t="shared" ref="AD331:AD394" ca="1" si="361">+IF(ISERROR(AB331*X331),"",AB331*X331)</f>
        <v/>
      </c>
    </row>
    <row r="332" spans="3:30" x14ac:dyDescent="0.25">
      <c r="C332" s="6">
        <v>426</v>
      </c>
      <c r="D332" s="36">
        <v>42612</v>
      </c>
      <c r="E332" s="38">
        <v>14.574</v>
      </c>
      <c r="F332" s="38">
        <v>45.936483061914544</v>
      </c>
      <c r="G332" s="38">
        <v>28.37</v>
      </c>
      <c r="H332" s="38">
        <v>2.6603629741005062</v>
      </c>
      <c r="I332" s="38">
        <v>4.6854153872217861</v>
      </c>
      <c r="J332" s="10">
        <v>0</v>
      </c>
      <c r="K332" s="39">
        <v>0</v>
      </c>
      <c r="L332" s="39">
        <v>0</v>
      </c>
      <c r="M332" s="39">
        <v>0</v>
      </c>
      <c r="N332" s="39">
        <v>0</v>
      </c>
      <c r="O332" s="39">
        <v>0</v>
      </c>
      <c r="P332" s="39">
        <v>0</v>
      </c>
      <c r="Q332" s="39">
        <v>1</v>
      </c>
      <c r="R332" s="39">
        <v>0</v>
      </c>
      <c r="S332" s="39">
        <v>0</v>
      </c>
      <c r="T332" s="39">
        <v>0</v>
      </c>
      <c r="U332" s="29" cm="1">
        <f t="array" aca="1" ref="U332" ca="1">+fair_value_gap(OFFSET(T331,0,0,-1*$J$5,-1*$AA$1),OFFSET(E331,0,0,-1*$J$5,1),F332:T332,0)</f>
        <v>14.700610714947377</v>
      </c>
      <c r="V332" s="9" t="str" cm="1">
        <f t="array" aca="1" ref="V332" ca="1">z_score_diff(OFFSET(U332,0,0,$J$5*-1,1),OFFSET(E332,0,0,$J$5*-1,1))</f>
        <v/>
      </c>
      <c r="W332" s="9" t="str">
        <f t="shared" ca="1" si="356"/>
        <v/>
      </c>
      <c r="X332" s="17">
        <f t="shared" ca="1" si="351"/>
        <v>8.9090546071307355E-2</v>
      </c>
      <c r="Y332" s="13">
        <f t="shared" ref="Y332:Z332" ca="1" si="362">+Y331</f>
        <v>0</v>
      </c>
      <c r="Z332" s="13">
        <f t="shared" ca="1" si="362"/>
        <v>0</v>
      </c>
      <c r="AA332" t="str">
        <f t="shared" ca="1" si="358"/>
        <v/>
      </c>
      <c r="AB332" t="str">
        <f t="shared" ca="1" si="359"/>
        <v/>
      </c>
      <c r="AC332" s="24" t="str">
        <f t="shared" ca="1" si="360"/>
        <v/>
      </c>
      <c r="AD332" s="24" t="str">
        <f t="shared" ca="1" si="361"/>
        <v/>
      </c>
    </row>
    <row r="333" spans="3:30" x14ac:dyDescent="0.25">
      <c r="C333" s="6">
        <v>427</v>
      </c>
      <c r="D333" s="36">
        <v>42613</v>
      </c>
      <c r="E333" s="38">
        <v>14.538</v>
      </c>
      <c r="F333" s="38">
        <v>44.309333765562222</v>
      </c>
      <c r="G333" s="38">
        <v>30.91</v>
      </c>
      <c r="H333" s="38">
        <v>2.6761780512878337</v>
      </c>
      <c r="I333" s="38">
        <v>4.6115181364357509</v>
      </c>
      <c r="J333" s="10">
        <v>0</v>
      </c>
      <c r="K333" s="39">
        <v>0</v>
      </c>
      <c r="L333" s="39">
        <v>0</v>
      </c>
      <c r="M333" s="39">
        <v>0</v>
      </c>
      <c r="N333" s="39">
        <v>0</v>
      </c>
      <c r="O333" s="39">
        <v>0</v>
      </c>
      <c r="P333" s="39">
        <v>0</v>
      </c>
      <c r="Q333" s="39">
        <v>1</v>
      </c>
      <c r="R333" s="39">
        <v>0</v>
      </c>
      <c r="S333" s="39">
        <v>0</v>
      </c>
      <c r="T333" s="39">
        <v>0</v>
      </c>
      <c r="U333" s="29" cm="1">
        <f t="array" aca="1" ref="U333" ca="1">+fair_value_gap(OFFSET(T332,0,0,-1*$J$5,-1*$AA$1),OFFSET(E332,0,0,-1*$J$5,1),F333:T333,0)</f>
        <v>15.487709754070904</v>
      </c>
      <c r="V333" s="9" t="str" cm="1">
        <f t="array" aca="1" ref="V333" ca="1">z_score_diff(OFFSET(U333,0,0,$J$5*-1,1),OFFSET(E333,0,0,$J$5*-1,1))</f>
        <v/>
      </c>
      <c r="W333" s="9" t="str">
        <f t="shared" ca="1" si="356"/>
        <v/>
      </c>
      <c r="X333" s="17">
        <f t="shared" ca="1" si="351"/>
        <v>9.2567518456664971E-2</v>
      </c>
      <c r="Y333" s="13">
        <f t="shared" ref="Y333:Z333" ca="1" si="363">+Y332</f>
        <v>0</v>
      </c>
      <c r="Z333" s="13">
        <f t="shared" ca="1" si="363"/>
        <v>0</v>
      </c>
      <c r="AA333" t="str">
        <f t="shared" ca="1" si="358"/>
        <v/>
      </c>
      <c r="AB333" t="str">
        <f t="shared" ca="1" si="359"/>
        <v/>
      </c>
      <c r="AC333" s="24" t="str">
        <f t="shared" ca="1" si="360"/>
        <v/>
      </c>
      <c r="AD333" s="24" t="str">
        <f t="shared" ca="1" si="361"/>
        <v/>
      </c>
    </row>
    <row r="334" spans="3:30" x14ac:dyDescent="0.25">
      <c r="C334" s="6">
        <v>428</v>
      </c>
      <c r="D334" s="36">
        <v>42614</v>
      </c>
      <c r="E334" s="38">
        <v>14.458</v>
      </c>
      <c r="F334" s="38">
        <v>43.2087597856424</v>
      </c>
      <c r="G334" s="38">
        <v>30.67</v>
      </c>
      <c r="H334" s="38">
        <v>2.6381933820339385</v>
      </c>
      <c r="I334" s="38">
        <v>4.5975174284113409</v>
      </c>
      <c r="J334" s="10">
        <v>0</v>
      </c>
      <c r="K334" s="39">
        <v>0</v>
      </c>
      <c r="L334" s="39">
        <v>0</v>
      </c>
      <c r="M334" s="39">
        <v>0</v>
      </c>
      <c r="N334" s="39">
        <v>0</v>
      </c>
      <c r="O334" s="39">
        <v>0</v>
      </c>
      <c r="P334" s="39">
        <v>0</v>
      </c>
      <c r="Q334" s="39">
        <v>0</v>
      </c>
      <c r="R334" s="39">
        <v>1</v>
      </c>
      <c r="S334" s="39">
        <v>0</v>
      </c>
      <c r="T334" s="39">
        <v>0</v>
      </c>
      <c r="U334" s="29" cm="1">
        <f t="array" aca="1" ref="U334" ca="1">+fair_value_gap(OFFSET(T333,0,0,-1*$J$5,-1*$AA$1),OFFSET(E333,0,0,-1*$J$5,1),F334:T334,0)</f>
        <v>15.796916484942056</v>
      </c>
      <c r="V334" s="9" t="str" cm="1">
        <f t="array" aca="1" ref="V334" ca="1">z_score_diff(OFFSET(U334,0,0,$J$5*-1,1),OFFSET(E334,0,0,$J$5*-1,1))</f>
        <v/>
      </c>
      <c r="W334" s="9" t="str">
        <f t="shared" ca="1" si="356"/>
        <v/>
      </c>
      <c r="X334" s="17">
        <f t="shared" ca="1" si="351"/>
        <v>0.10850262068929563</v>
      </c>
      <c r="Y334" s="13">
        <f t="shared" ref="Y334:Z334" ca="1" si="364">+Y333</f>
        <v>0</v>
      </c>
      <c r="Z334" s="13">
        <f t="shared" ca="1" si="364"/>
        <v>0</v>
      </c>
      <c r="AA334" t="str">
        <f t="shared" ca="1" si="358"/>
        <v/>
      </c>
      <c r="AB334" t="str">
        <f t="shared" ca="1" si="359"/>
        <v/>
      </c>
      <c r="AC334" s="24" t="str">
        <f t="shared" ca="1" si="360"/>
        <v/>
      </c>
      <c r="AD334" s="24" t="str">
        <f t="shared" ca="1" si="361"/>
        <v/>
      </c>
    </row>
    <row r="335" spans="3:30" x14ac:dyDescent="0.25">
      <c r="C335" s="6">
        <v>429</v>
      </c>
      <c r="D335" s="36">
        <v>42615</v>
      </c>
      <c r="E335" s="38">
        <v>14.444000000000001</v>
      </c>
      <c r="F335" s="38">
        <v>44.529665873225774</v>
      </c>
      <c r="G335" s="38">
        <v>30.74</v>
      </c>
      <c r="H335" s="38">
        <v>2.6439213611919246</v>
      </c>
      <c r="I335" s="38">
        <v>4.6151811690029092</v>
      </c>
      <c r="J335" s="10">
        <v>0</v>
      </c>
      <c r="K335" s="39">
        <v>0</v>
      </c>
      <c r="L335" s="39">
        <v>0</v>
      </c>
      <c r="M335" s="39">
        <v>0</v>
      </c>
      <c r="N335" s="39">
        <v>0</v>
      </c>
      <c r="O335" s="39">
        <v>0</v>
      </c>
      <c r="P335" s="39">
        <v>0</v>
      </c>
      <c r="Q335" s="39">
        <v>0</v>
      </c>
      <c r="R335" s="39">
        <v>1</v>
      </c>
      <c r="S335" s="39">
        <v>0</v>
      </c>
      <c r="T335" s="39">
        <v>0</v>
      </c>
      <c r="U335" s="29" cm="1">
        <f t="array" aca="1" ref="U335" ca="1">+fair_value_gap(OFFSET(T334,0,0,-1*$J$5,-1*$AA$1),OFFSET(E334,0,0,-1*$J$5,1),F335:T335,0)</f>
        <v>15.422286022710491</v>
      </c>
      <c r="V335" s="9" t="str" cm="1">
        <f t="array" aca="1" ref="V335" ca="1">z_score_diff(OFFSET(U335,0,0,$J$5*-1,1),OFFSET(E335,0,0,$J$5*-1,1))</f>
        <v/>
      </c>
      <c r="W335" s="9" t="str">
        <f t="shared" ca="1" si="356"/>
        <v/>
      </c>
      <c r="X335" s="17">
        <f t="shared" ca="1" si="351"/>
        <v>0.12736801816534671</v>
      </c>
      <c r="Y335" s="13">
        <f t="shared" ref="Y335:Z335" ca="1" si="365">+Y334</f>
        <v>0</v>
      </c>
      <c r="Z335" s="13">
        <f t="shared" ca="1" si="365"/>
        <v>0</v>
      </c>
      <c r="AA335" t="str">
        <f t="shared" ca="1" si="358"/>
        <v/>
      </c>
      <c r="AB335" t="str">
        <f t="shared" ca="1" si="359"/>
        <v/>
      </c>
      <c r="AC335" s="24" t="str">
        <f t="shared" ca="1" si="360"/>
        <v/>
      </c>
      <c r="AD335" s="24" t="str">
        <f t="shared" ca="1" si="361"/>
        <v/>
      </c>
    </row>
    <row r="336" spans="3:30" x14ac:dyDescent="0.25">
      <c r="C336" s="6">
        <v>430</v>
      </c>
      <c r="D336" s="36">
        <v>42618</v>
      </c>
      <c r="E336" s="38">
        <v>14.426</v>
      </c>
      <c r="F336" s="38">
        <v>45.131257254340255</v>
      </c>
      <c r="G336" s="38">
        <v>30.72</v>
      </c>
      <c r="H336" s="38">
        <v>2.6450779852602389</v>
      </c>
      <c r="I336" s="38">
        <v>4.6172001509961156</v>
      </c>
      <c r="J336" s="10">
        <v>0</v>
      </c>
      <c r="K336" s="39">
        <v>0</v>
      </c>
      <c r="L336" s="39">
        <v>0</v>
      </c>
      <c r="M336" s="39">
        <v>0</v>
      </c>
      <c r="N336" s="39">
        <v>0</v>
      </c>
      <c r="O336" s="39">
        <v>0</v>
      </c>
      <c r="P336" s="39">
        <v>0</v>
      </c>
      <c r="Q336" s="39">
        <v>0</v>
      </c>
      <c r="R336" s="39">
        <v>1</v>
      </c>
      <c r="S336" s="39">
        <v>0</v>
      </c>
      <c r="T336" s="39">
        <v>0</v>
      </c>
      <c r="U336" s="29" cm="1">
        <f t="array" aca="1" ref="U336" ca="1">+fair_value_gap(OFFSET(T335,0,0,-1*$J$5,-1*$AA$1),OFFSET(E335,0,0,-1*$J$5,1),F336:T336,0)</f>
        <v>15.174771599791388</v>
      </c>
      <c r="V336" s="9" t="str" cm="1">
        <f t="array" aca="1" ref="V336" ca="1">z_score_diff(OFFSET(U336,0,0,$J$5*-1,1),OFFSET(E336,0,0,$J$5*-1,1))</f>
        <v/>
      </c>
      <c r="W336" s="9" t="str">
        <f t="shared" ca="1" si="356"/>
        <v/>
      </c>
      <c r="X336" s="17">
        <f t="shared" ca="1" si="351"/>
        <v>0.13535801945747242</v>
      </c>
      <c r="Y336" s="13">
        <f t="shared" ref="Y336:Z336" ca="1" si="366">+Y335</f>
        <v>0</v>
      </c>
      <c r="Z336" s="13">
        <f t="shared" ca="1" si="366"/>
        <v>0</v>
      </c>
      <c r="AA336" t="str">
        <f t="shared" ca="1" si="358"/>
        <v/>
      </c>
      <c r="AB336" t="str">
        <f t="shared" ca="1" si="359"/>
        <v/>
      </c>
      <c r="AC336" s="24" t="str">
        <f t="shared" ca="1" si="360"/>
        <v/>
      </c>
      <c r="AD336" s="24" t="str">
        <f t="shared" ca="1" si="361"/>
        <v/>
      </c>
    </row>
    <row r="337" spans="3:30" x14ac:dyDescent="0.25">
      <c r="C337" s="6">
        <v>431</v>
      </c>
      <c r="D337" s="36">
        <v>42619</v>
      </c>
      <c r="E337" s="38">
        <v>14.363</v>
      </c>
      <c r="F337" s="38">
        <v>44.50504308913245</v>
      </c>
      <c r="G337" s="38">
        <v>30.65</v>
      </c>
      <c r="H337" s="38">
        <v>2.6115685143426504</v>
      </c>
      <c r="I337" s="38">
        <v>4.5885992972887939</v>
      </c>
      <c r="J337" s="10">
        <v>0</v>
      </c>
      <c r="K337" s="39">
        <v>0</v>
      </c>
      <c r="L337" s="39">
        <v>0</v>
      </c>
      <c r="M337" s="39">
        <v>0</v>
      </c>
      <c r="N337" s="39">
        <v>0</v>
      </c>
      <c r="O337" s="39">
        <v>0</v>
      </c>
      <c r="P337" s="39">
        <v>0</v>
      </c>
      <c r="Q337" s="39">
        <v>0</v>
      </c>
      <c r="R337" s="39">
        <v>1</v>
      </c>
      <c r="S337" s="39">
        <v>0</v>
      </c>
      <c r="T337" s="39">
        <v>0</v>
      </c>
      <c r="U337" s="29" cm="1">
        <f t="array" aca="1" ref="U337" ca="1">+fair_value_gap(OFFSET(T336,0,0,-1*$J$5,-1*$AA$1),OFFSET(E336,0,0,-1*$J$5,1),F337:T337,0)</f>
        <v>14.92810681673971</v>
      </c>
      <c r="V337" s="9" t="str" cm="1">
        <f t="array" aca="1" ref="V337" ca="1">z_score_diff(OFFSET(U337,0,0,$J$5*-1,1),OFFSET(E337,0,0,$J$5*-1,1))</f>
        <v/>
      </c>
      <c r="W337" s="9" t="str">
        <f t="shared" ca="1" si="356"/>
        <v/>
      </c>
      <c r="X337" s="17">
        <f t="shared" ca="1" si="351"/>
        <v>0.15672343095952765</v>
      </c>
      <c r="Y337" s="13">
        <f t="shared" ref="Y337:Z337" ca="1" si="367">+Y336</f>
        <v>0</v>
      </c>
      <c r="Z337" s="13">
        <f t="shared" ca="1" si="367"/>
        <v>0</v>
      </c>
      <c r="AA337" t="str">
        <f t="shared" ca="1" si="358"/>
        <v/>
      </c>
      <c r="AB337" t="str">
        <f t="shared" ca="1" si="359"/>
        <v/>
      </c>
      <c r="AC337" s="24" t="str">
        <f t="shared" ca="1" si="360"/>
        <v/>
      </c>
      <c r="AD337" s="24" t="str">
        <f t="shared" ca="1" si="361"/>
        <v/>
      </c>
    </row>
    <row r="338" spans="3:30" x14ac:dyDescent="0.25">
      <c r="C338" s="6">
        <v>432</v>
      </c>
      <c r="D338" s="36">
        <v>42620</v>
      </c>
      <c r="E338" s="38">
        <v>14.231999999999999</v>
      </c>
      <c r="F338" s="38">
        <v>45.28165187466039</v>
      </c>
      <c r="G338" s="38">
        <v>30.56</v>
      </c>
      <c r="H338" s="38">
        <v>2.6040231107051075</v>
      </c>
      <c r="I338" s="38">
        <v>4.6069158863784914</v>
      </c>
      <c r="J338" s="10">
        <v>0</v>
      </c>
      <c r="K338" s="39">
        <v>0</v>
      </c>
      <c r="L338" s="39">
        <v>0</v>
      </c>
      <c r="M338" s="39">
        <v>0</v>
      </c>
      <c r="N338" s="39">
        <v>0</v>
      </c>
      <c r="O338" s="39">
        <v>0</v>
      </c>
      <c r="P338" s="39">
        <v>0</v>
      </c>
      <c r="Q338" s="39">
        <v>0</v>
      </c>
      <c r="R338" s="39">
        <v>1</v>
      </c>
      <c r="S338" s="39">
        <v>0</v>
      </c>
      <c r="T338" s="39">
        <v>0</v>
      </c>
      <c r="U338" s="29" cm="1">
        <f t="array" aca="1" ref="U338" ca="1">+fair_value_gap(OFFSET(T337,0,0,-1*$J$5,-1*$AA$1),OFFSET(E337,0,0,-1*$J$5,1),F338:T338,0)</f>
        <v>14.847740439734377</v>
      </c>
      <c r="V338" s="9" t="str" cm="1">
        <f t="array" aca="1" ref="V338" ca="1">z_score_diff(OFFSET(U338,0,0,$J$5*-1,1),OFFSET(E338,0,0,$J$5*-1,1))</f>
        <v/>
      </c>
      <c r="W338" s="9" t="str">
        <f t="shared" ca="1" si="356"/>
        <v/>
      </c>
      <c r="X338" s="17">
        <f t="shared" ca="1" si="351"/>
        <v>0.16386007585213155</v>
      </c>
      <c r="Y338" s="13">
        <f t="shared" ref="Y338:Z338" ca="1" si="368">+Y337</f>
        <v>0</v>
      </c>
      <c r="Z338" s="13">
        <f t="shared" ca="1" si="368"/>
        <v>0</v>
      </c>
      <c r="AA338" t="str">
        <f t="shared" ca="1" si="358"/>
        <v/>
      </c>
      <c r="AB338" t="str">
        <f t="shared" ca="1" si="359"/>
        <v/>
      </c>
      <c r="AC338" s="24" t="str">
        <f t="shared" ca="1" si="360"/>
        <v/>
      </c>
      <c r="AD338" s="24" t="str">
        <f t="shared" ca="1" si="361"/>
        <v/>
      </c>
    </row>
    <row r="339" spans="3:30" x14ac:dyDescent="0.25">
      <c r="C339" s="6">
        <v>433</v>
      </c>
      <c r="D339" s="36">
        <v>42621</v>
      </c>
      <c r="E339" s="38">
        <v>14.298999999999999</v>
      </c>
      <c r="F339" s="38">
        <v>46.920672526727571</v>
      </c>
      <c r="G339" s="38">
        <v>30.45</v>
      </c>
      <c r="H339" s="38">
        <v>2.6347560666656182</v>
      </c>
      <c r="I339" s="38">
        <v>4.6169382666869341</v>
      </c>
      <c r="J339" s="10">
        <v>0</v>
      </c>
      <c r="K339" s="39">
        <v>0</v>
      </c>
      <c r="L339" s="39">
        <v>0</v>
      </c>
      <c r="M339" s="39">
        <v>0</v>
      </c>
      <c r="N339" s="39">
        <v>0</v>
      </c>
      <c r="O339" s="39">
        <v>0</v>
      </c>
      <c r="P339" s="39">
        <v>0</v>
      </c>
      <c r="Q339" s="39">
        <v>0</v>
      </c>
      <c r="R339" s="39">
        <v>1</v>
      </c>
      <c r="S339" s="39">
        <v>0</v>
      </c>
      <c r="T339" s="39">
        <v>0</v>
      </c>
      <c r="U339" s="29" cm="1">
        <f t="array" aca="1" ref="U339" ca="1">+fair_value_gap(OFFSET(T338,0,0,-1*$J$5,-1*$AA$1),OFFSET(E338,0,0,-1*$J$5,1),F339:T339,0)</f>
        <v>14.803869756021344</v>
      </c>
      <c r="V339" s="9" t="str" cm="1">
        <f t="array" aca="1" ref="V339" ca="1">z_score_diff(OFFSET(U339,0,0,$J$5*-1,1),OFFSET(E339,0,0,$J$5*-1,1))</f>
        <v/>
      </c>
      <c r="W339" s="9" t="str">
        <f t="shared" ca="1" si="356"/>
        <v/>
      </c>
      <c r="X339" s="17">
        <f t="shared" ca="1" si="351"/>
        <v>0.15671500126358218</v>
      </c>
      <c r="Y339" s="13">
        <f t="shared" ref="Y339:Z339" ca="1" si="369">+Y338</f>
        <v>0</v>
      </c>
      <c r="Z339" s="13">
        <f t="shared" ca="1" si="369"/>
        <v>0</v>
      </c>
      <c r="AA339" t="str">
        <f t="shared" ca="1" si="358"/>
        <v/>
      </c>
      <c r="AB339" t="str">
        <f t="shared" ca="1" si="359"/>
        <v/>
      </c>
      <c r="AC339" s="24" t="str">
        <f t="shared" ca="1" si="360"/>
        <v/>
      </c>
      <c r="AD339" s="24" t="str">
        <f t="shared" ca="1" si="361"/>
        <v/>
      </c>
    </row>
    <row r="340" spans="3:30" x14ac:dyDescent="0.25">
      <c r="C340" s="6">
        <v>434</v>
      </c>
      <c r="D340" s="36">
        <v>42622</v>
      </c>
      <c r="E340" s="38">
        <v>14.138</v>
      </c>
      <c r="F340" s="38">
        <v>45.524876593940185</v>
      </c>
      <c r="G340" s="38">
        <v>30.19</v>
      </c>
      <c r="H340" s="38">
        <v>2.6442278206410981</v>
      </c>
      <c r="I340" s="38">
        <v>4.6874151227401839</v>
      </c>
      <c r="J340" s="10">
        <v>0</v>
      </c>
      <c r="K340" s="39">
        <v>0</v>
      </c>
      <c r="L340" s="39">
        <v>0</v>
      </c>
      <c r="M340" s="39">
        <v>0</v>
      </c>
      <c r="N340" s="39">
        <v>0</v>
      </c>
      <c r="O340" s="39">
        <v>0</v>
      </c>
      <c r="P340" s="39">
        <v>0</v>
      </c>
      <c r="Q340" s="39">
        <v>0</v>
      </c>
      <c r="R340" s="39">
        <v>1</v>
      </c>
      <c r="S340" s="39">
        <v>0</v>
      </c>
      <c r="T340" s="39">
        <v>0</v>
      </c>
      <c r="U340" s="29" cm="1">
        <f t="array" aca="1" ref="U340" ca="1">+fair_value_gap(OFFSET(T339,0,0,-1*$J$5,-1*$AA$1),OFFSET(E339,0,0,-1*$J$5,1),F340:T340,0)</f>
        <v>14.51330826667146</v>
      </c>
      <c r="V340" s="9" t="str" cm="1">
        <f t="array" aca="1" ref="V340" ca="1">z_score_diff(OFFSET(U340,0,0,$J$5*-1,1),OFFSET(E340,0,0,$J$5*-1,1))</f>
        <v/>
      </c>
      <c r="W340" s="9" t="str">
        <f t="shared" ca="1" si="356"/>
        <v/>
      </c>
      <c r="X340" s="17">
        <f t="shared" ca="1" si="351"/>
        <v>0.16732065195802581</v>
      </c>
      <c r="Y340" s="13">
        <f t="shared" ref="Y340:Z340" ca="1" si="370">+Y339</f>
        <v>0</v>
      </c>
      <c r="Z340" s="13">
        <f t="shared" ca="1" si="370"/>
        <v>0</v>
      </c>
      <c r="AA340" t="str">
        <f t="shared" ca="1" si="358"/>
        <v/>
      </c>
      <c r="AB340" t="str">
        <f t="shared" ca="1" si="359"/>
        <v/>
      </c>
      <c r="AC340" s="24" t="str">
        <f t="shared" ca="1" si="360"/>
        <v/>
      </c>
      <c r="AD340" s="24" t="str">
        <f t="shared" ca="1" si="361"/>
        <v/>
      </c>
    </row>
    <row r="341" spans="3:30" x14ac:dyDescent="0.25">
      <c r="C341" s="6">
        <v>435</v>
      </c>
      <c r="D341" s="36">
        <v>42625</v>
      </c>
      <c r="E341" s="38">
        <v>14.074999999999999</v>
      </c>
      <c r="F341" s="38">
        <v>45.853325394879697</v>
      </c>
      <c r="G341" s="38">
        <v>29.88</v>
      </c>
      <c r="H341" s="38">
        <v>2.6634679368192482</v>
      </c>
      <c r="I341" s="38">
        <v>4.5835814100094563</v>
      </c>
      <c r="J341" s="10">
        <v>0</v>
      </c>
      <c r="K341" s="39">
        <v>0</v>
      </c>
      <c r="L341" s="39">
        <v>0</v>
      </c>
      <c r="M341" s="39">
        <v>0</v>
      </c>
      <c r="N341" s="39">
        <v>0</v>
      </c>
      <c r="O341" s="39">
        <v>0</v>
      </c>
      <c r="P341" s="39">
        <v>0</v>
      </c>
      <c r="Q341" s="39">
        <v>0</v>
      </c>
      <c r="R341" s="39">
        <v>1</v>
      </c>
      <c r="S341" s="39">
        <v>0</v>
      </c>
      <c r="T341" s="39">
        <v>0</v>
      </c>
      <c r="U341" s="29" cm="1">
        <f t="array" aca="1" ref="U341" ca="1">+fair_value_gap(OFFSET(T340,0,0,-1*$J$5,-1*$AA$1),OFFSET(E340,0,0,-1*$J$5,1),F341:T341,0)</f>
        <v>14.315460145380879</v>
      </c>
      <c r="V341" s="9" t="str" cm="1">
        <f t="array" aca="1" ref="V341" ca="1">z_score_diff(OFFSET(U341,0,0,$J$5*-1,1),OFFSET(E341,0,0,$J$5*-1,1))</f>
        <v/>
      </c>
      <c r="W341" s="9" t="str">
        <f t="shared" ca="1" si="356"/>
        <v/>
      </c>
      <c r="X341" s="17">
        <f t="shared" ca="1" si="351"/>
        <v>0.18450980618120605</v>
      </c>
      <c r="Y341" s="13">
        <f t="shared" ref="Y341:Z341" ca="1" si="371">+Y340</f>
        <v>0</v>
      </c>
      <c r="Z341" s="13">
        <f t="shared" ca="1" si="371"/>
        <v>0</v>
      </c>
      <c r="AA341" t="str">
        <f t="shared" ca="1" si="358"/>
        <v/>
      </c>
      <c r="AB341" t="str">
        <f t="shared" ca="1" si="359"/>
        <v/>
      </c>
      <c r="AC341" s="24" t="str">
        <f t="shared" ca="1" si="360"/>
        <v/>
      </c>
      <c r="AD341" s="24" t="str">
        <f t="shared" ca="1" si="361"/>
        <v/>
      </c>
    </row>
    <row r="342" spans="3:30" x14ac:dyDescent="0.25">
      <c r="C342" s="6">
        <v>436</v>
      </c>
      <c r="D342" s="36">
        <v>42626</v>
      </c>
      <c r="E342" s="38">
        <v>14.103999999999999</v>
      </c>
      <c r="F342" s="38">
        <v>45.067526733077976</v>
      </c>
      <c r="G342" s="38">
        <v>30.22</v>
      </c>
      <c r="H342" s="38">
        <v>2.6752813650425806</v>
      </c>
      <c r="I342" s="38">
        <v>4.5304354919491576</v>
      </c>
      <c r="J342" s="10">
        <v>0</v>
      </c>
      <c r="K342" s="39">
        <v>0</v>
      </c>
      <c r="L342" s="39">
        <v>0</v>
      </c>
      <c r="M342" s="39">
        <v>0</v>
      </c>
      <c r="N342" s="39">
        <v>0</v>
      </c>
      <c r="O342" s="39">
        <v>0</v>
      </c>
      <c r="P342" s="39">
        <v>0</v>
      </c>
      <c r="Q342" s="39">
        <v>0</v>
      </c>
      <c r="R342" s="39">
        <v>1</v>
      </c>
      <c r="S342" s="39">
        <v>0</v>
      </c>
      <c r="T342" s="39">
        <v>0</v>
      </c>
      <c r="U342" s="29" cm="1">
        <f t="array" aca="1" ref="U342" ca="1">+fair_value_gap(OFFSET(T341,0,0,-1*$J$5,-1*$AA$1),OFFSET(E341,0,0,-1*$J$5,1),F342:T342,0)</f>
        <v>14.355426476431449</v>
      </c>
      <c r="V342" s="9" t="str" cm="1">
        <f t="array" aca="1" ref="V342" ca="1">z_score_diff(OFFSET(U342,0,0,$J$5*-1,1),OFFSET(E342,0,0,$J$5*-1,1))</f>
        <v/>
      </c>
      <c r="W342" s="9" t="str">
        <f t="shared" ca="1" si="356"/>
        <v/>
      </c>
      <c r="X342" s="17">
        <f t="shared" ca="1" si="351"/>
        <v>0.18616649058827148</v>
      </c>
      <c r="Y342" s="13">
        <f t="shared" ref="Y342:Z342" ca="1" si="372">+Y341</f>
        <v>0</v>
      </c>
      <c r="Z342" s="13">
        <f t="shared" ca="1" si="372"/>
        <v>0</v>
      </c>
      <c r="AA342" t="str">
        <f t="shared" ca="1" si="358"/>
        <v/>
      </c>
      <c r="AB342" t="str">
        <f t="shared" ca="1" si="359"/>
        <v/>
      </c>
      <c r="AC342" s="24" t="str">
        <f t="shared" ca="1" si="360"/>
        <v/>
      </c>
      <c r="AD342" s="24" t="str">
        <f t="shared" ca="1" si="361"/>
        <v/>
      </c>
    </row>
    <row r="343" spans="3:30" x14ac:dyDescent="0.25">
      <c r="C343" s="6">
        <v>437</v>
      </c>
      <c r="D343" s="36">
        <v>42627</v>
      </c>
      <c r="E343" s="38">
        <v>14</v>
      </c>
      <c r="F343" s="38">
        <v>43.937438125522547</v>
      </c>
      <c r="G343" s="38">
        <v>30.01</v>
      </c>
      <c r="H343" s="38">
        <v>2.664756647461529</v>
      </c>
      <c r="I343" s="38">
        <v>4.5170554920048556</v>
      </c>
      <c r="J343" s="10">
        <v>0</v>
      </c>
      <c r="K343" s="39">
        <v>0</v>
      </c>
      <c r="L343" s="39">
        <v>0</v>
      </c>
      <c r="M343" s="39">
        <v>0</v>
      </c>
      <c r="N343" s="39">
        <v>0</v>
      </c>
      <c r="O343" s="39">
        <v>0</v>
      </c>
      <c r="P343" s="39">
        <v>0</v>
      </c>
      <c r="Q343" s="39">
        <v>0</v>
      </c>
      <c r="R343" s="39">
        <v>1</v>
      </c>
      <c r="S343" s="39">
        <v>0</v>
      </c>
      <c r="T343" s="39">
        <v>0</v>
      </c>
      <c r="U343" s="29" cm="1">
        <f t="array" aca="1" ref="U343" ca="1">+fair_value_gap(OFFSET(T342,0,0,-1*$J$5,-1*$AA$1),OFFSET(E342,0,0,-1*$J$5,1),F343:T343,0)</f>
        <v>14.156471464682772</v>
      </c>
      <c r="V343" s="9" t="str" cm="1">
        <f t="array" aca="1" ref="V343" ca="1">z_score_diff(OFFSET(U343,0,0,$J$5*-1,1),OFFSET(E343,0,0,$J$5*-1,1))</f>
        <v/>
      </c>
      <c r="W343" s="9" t="str">
        <f t="shared" ca="1" si="356"/>
        <v/>
      </c>
      <c r="X343" s="17">
        <f t="shared" ca="1" si="351"/>
        <v>0.18517462577636096</v>
      </c>
      <c r="Y343" s="13">
        <f t="shared" ref="Y343:Z343" ca="1" si="373">+Y342</f>
        <v>0</v>
      </c>
      <c r="Z343" s="13">
        <f t="shared" ca="1" si="373"/>
        <v>0</v>
      </c>
      <c r="AA343" t="str">
        <f t="shared" ca="1" si="358"/>
        <v/>
      </c>
      <c r="AB343" t="str">
        <f t="shared" ca="1" si="359"/>
        <v/>
      </c>
      <c r="AC343" s="24" t="str">
        <f t="shared" ca="1" si="360"/>
        <v/>
      </c>
      <c r="AD343" s="24" t="str">
        <f t="shared" ca="1" si="361"/>
        <v/>
      </c>
    </row>
    <row r="344" spans="3:30" x14ac:dyDescent="0.25">
      <c r="C344" s="6">
        <v>438</v>
      </c>
      <c r="D344" s="36">
        <v>42628</v>
      </c>
      <c r="E344" s="38">
        <v>14.222</v>
      </c>
      <c r="F344" s="38">
        <v>44.420922796996038</v>
      </c>
      <c r="G344" s="38">
        <v>30.28</v>
      </c>
      <c r="H344" s="38">
        <v>2.6785519024104345</v>
      </c>
      <c r="I344" s="38">
        <v>4.6712825469861921</v>
      </c>
      <c r="J344" s="10">
        <v>0</v>
      </c>
      <c r="K344" s="39">
        <v>0</v>
      </c>
      <c r="L344" s="39">
        <v>0</v>
      </c>
      <c r="M344" s="39">
        <v>0</v>
      </c>
      <c r="N344" s="39">
        <v>0</v>
      </c>
      <c r="O344" s="39">
        <v>0</v>
      </c>
      <c r="P344" s="39">
        <v>0</v>
      </c>
      <c r="Q344" s="39">
        <v>0</v>
      </c>
      <c r="R344" s="39">
        <v>1</v>
      </c>
      <c r="S344" s="39">
        <v>0</v>
      </c>
      <c r="T344" s="39">
        <v>0</v>
      </c>
      <c r="U344" s="29" cm="1">
        <f t="array" aca="1" ref="U344" ca="1">+fair_value_gap(OFFSET(T343,0,0,-1*$J$5,-1*$AA$1),OFFSET(E343,0,0,-1*$J$5,1),F344:T344,0)</f>
        <v>14.306452872493404</v>
      </c>
      <c r="V344" s="9" t="str" cm="1">
        <f t="array" aca="1" ref="V344" ca="1">z_score_diff(OFFSET(U344,0,0,$J$5*-1,1),OFFSET(E344,0,0,$J$5*-1,1))</f>
        <v/>
      </c>
      <c r="W344" s="9" t="str">
        <f t="shared" ca="1" si="356"/>
        <v/>
      </c>
      <c r="X344" s="17">
        <f t="shared" ca="1" si="351"/>
        <v>0.18650815878560098</v>
      </c>
      <c r="Y344" s="13">
        <f t="shared" ref="Y344:Z344" ca="1" si="374">+Y343</f>
        <v>0</v>
      </c>
      <c r="Z344" s="13">
        <f t="shared" ca="1" si="374"/>
        <v>0</v>
      </c>
      <c r="AA344" t="str">
        <f t="shared" ca="1" si="358"/>
        <v/>
      </c>
      <c r="AB344" t="str">
        <f t="shared" ca="1" si="359"/>
        <v/>
      </c>
      <c r="AC344" s="24" t="str">
        <f t="shared" ca="1" si="360"/>
        <v/>
      </c>
      <c r="AD344" s="24" t="str">
        <f t="shared" ca="1" si="361"/>
        <v/>
      </c>
    </row>
    <row r="345" spans="3:30" x14ac:dyDescent="0.25">
      <c r="C345" s="6">
        <v>439</v>
      </c>
      <c r="D345" s="36">
        <v>42629</v>
      </c>
      <c r="E345" s="38">
        <v>14.318</v>
      </c>
      <c r="F345" s="38">
        <v>44.131871852683311</v>
      </c>
      <c r="G345" s="38">
        <v>30.84</v>
      </c>
      <c r="H345" s="38">
        <v>2.7122804759011765</v>
      </c>
      <c r="I345" s="38">
        <v>4.9642844861260151</v>
      </c>
      <c r="J345" s="10">
        <v>0</v>
      </c>
      <c r="K345" s="39">
        <v>0</v>
      </c>
      <c r="L345" s="39">
        <v>0</v>
      </c>
      <c r="M345" s="39">
        <v>0</v>
      </c>
      <c r="N345" s="39">
        <v>0</v>
      </c>
      <c r="O345" s="39">
        <v>0</v>
      </c>
      <c r="P345" s="39">
        <v>0</v>
      </c>
      <c r="Q345" s="39">
        <v>0</v>
      </c>
      <c r="R345" s="39">
        <v>1</v>
      </c>
      <c r="S345" s="39">
        <v>0</v>
      </c>
      <c r="T345" s="39">
        <v>0</v>
      </c>
      <c r="U345" s="29" cm="1">
        <f t="array" aca="1" ref="U345" ca="1">+fair_value_gap(OFFSET(T344,0,0,-1*$J$5,-1*$AA$1),OFFSET(E344,0,0,-1*$J$5,1),F345:T345,0)</f>
        <v>14.540879703350905</v>
      </c>
      <c r="V345" s="9" t="str" cm="1">
        <f t="array" aca="1" ref="V345" ca="1">z_score_diff(OFFSET(U345,0,0,$J$5*-1,1),OFFSET(E345,0,0,$J$5*-1,1))</f>
        <v/>
      </c>
      <c r="W345" s="9" t="str">
        <f t="shared" ca="1" si="356"/>
        <v/>
      </c>
      <c r="X345" s="17">
        <f t="shared" ca="1" si="351"/>
        <v>0.17586363042462266</v>
      </c>
      <c r="Y345" s="13">
        <f t="shared" ref="Y345:Z345" ca="1" si="375">+Y344</f>
        <v>0</v>
      </c>
      <c r="Z345" s="13">
        <f t="shared" ca="1" si="375"/>
        <v>0</v>
      </c>
      <c r="AA345" t="str">
        <f t="shared" ca="1" si="358"/>
        <v/>
      </c>
      <c r="AB345" t="str">
        <f t="shared" ca="1" si="359"/>
        <v/>
      </c>
      <c r="AC345" s="24" t="str">
        <f t="shared" ca="1" si="360"/>
        <v/>
      </c>
      <c r="AD345" s="24" t="str">
        <f t="shared" ca="1" si="361"/>
        <v/>
      </c>
    </row>
    <row r="346" spans="3:30" x14ac:dyDescent="0.25">
      <c r="C346" s="6">
        <v>440</v>
      </c>
      <c r="D346" s="36">
        <v>42632</v>
      </c>
      <c r="E346" s="38">
        <v>14.701000000000001</v>
      </c>
      <c r="F346" s="38">
        <v>44.258533185980866</v>
      </c>
      <c r="G346" s="38">
        <v>31.14</v>
      </c>
      <c r="H346" s="38">
        <v>2.7127049266874557</v>
      </c>
      <c r="I346" s="38">
        <v>5.0857718054665888</v>
      </c>
      <c r="J346" s="10">
        <v>0</v>
      </c>
      <c r="K346" s="39">
        <v>0</v>
      </c>
      <c r="L346" s="39">
        <v>0</v>
      </c>
      <c r="M346" s="39">
        <v>0</v>
      </c>
      <c r="N346" s="39">
        <v>0</v>
      </c>
      <c r="O346" s="39">
        <v>0</v>
      </c>
      <c r="P346" s="39">
        <v>0</v>
      </c>
      <c r="Q346" s="39">
        <v>0</v>
      </c>
      <c r="R346" s="39">
        <v>1</v>
      </c>
      <c r="S346" s="39">
        <v>0</v>
      </c>
      <c r="T346" s="39">
        <v>0</v>
      </c>
      <c r="U346" s="29" cm="1">
        <f t="array" aca="1" ref="U346" ca="1">+fair_value_gap(OFFSET(T345,0,0,-1*$J$5,-1*$AA$1),OFFSET(E345,0,0,-1*$J$5,1),F346:T346,0)</f>
        <v>14.663033076900605</v>
      </c>
      <c r="V346" s="9" t="str" cm="1">
        <f t="array" aca="1" ref="V346" ca="1">z_score_diff(OFFSET(U346,0,0,$J$5*-1,1),OFFSET(E346,0,0,$J$5*-1,1))</f>
        <v/>
      </c>
      <c r="W346" s="9" t="str">
        <f t="shared" ca="1" si="356"/>
        <v/>
      </c>
      <c r="X346" s="17">
        <f t="shared" ca="1" si="351"/>
        <v>0.17964241614865356</v>
      </c>
      <c r="Y346" s="13">
        <f t="shared" ref="Y346:Z346" ca="1" si="376">+Y345</f>
        <v>0</v>
      </c>
      <c r="Z346" s="13">
        <f t="shared" ca="1" si="376"/>
        <v>0</v>
      </c>
      <c r="AA346" t="str">
        <f t="shared" ca="1" si="358"/>
        <v/>
      </c>
      <c r="AB346" t="str">
        <f t="shared" ca="1" si="359"/>
        <v/>
      </c>
      <c r="AC346" s="24" t="str">
        <f t="shared" ca="1" si="360"/>
        <v/>
      </c>
      <c r="AD346" s="24" t="str">
        <f t="shared" ca="1" si="361"/>
        <v/>
      </c>
    </row>
    <row r="347" spans="3:30" x14ac:dyDescent="0.25">
      <c r="C347" s="6">
        <v>441</v>
      </c>
      <c r="D347" s="36">
        <v>42633</v>
      </c>
      <c r="E347" s="38">
        <v>14.378</v>
      </c>
      <c r="F347" s="38">
        <v>44.368302762526426</v>
      </c>
      <c r="G347" s="38">
        <v>30.81</v>
      </c>
      <c r="H347" s="38">
        <v>2.7298144942921665</v>
      </c>
      <c r="I347" s="38">
        <v>4.964100646920186</v>
      </c>
      <c r="J347" s="10">
        <v>0</v>
      </c>
      <c r="K347" s="39">
        <v>0</v>
      </c>
      <c r="L347" s="39">
        <v>0</v>
      </c>
      <c r="M347" s="39">
        <v>0</v>
      </c>
      <c r="N347" s="39">
        <v>0</v>
      </c>
      <c r="O347" s="39">
        <v>0</v>
      </c>
      <c r="P347" s="39">
        <v>0</v>
      </c>
      <c r="Q347" s="39">
        <v>0</v>
      </c>
      <c r="R347" s="39">
        <v>1</v>
      </c>
      <c r="S347" s="39">
        <v>0</v>
      </c>
      <c r="T347" s="39">
        <v>0</v>
      </c>
      <c r="U347" s="29" cm="1">
        <f t="array" aca="1" ref="U347" ca="1">+fair_value_gap(OFFSET(T346,0,0,-1*$J$5,-1*$AA$1),OFFSET(E346,0,0,-1*$J$5,1),F347:T347,0)</f>
        <v>14.486943623958384</v>
      </c>
      <c r="V347" s="9" t="str" cm="1">
        <f t="array" aca="1" ref="V347" ca="1">z_score_diff(OFFSET(U347,0,0,$J$5*-1,1),OFFSET(E347,0,0,$J$5*-1,1))</f>
        <v/>
      </c>
      <c r="W347" s="9" t="str">
        <f t="shared" ca="1" si="356"/>
        <v/>
      </c>
      <c r="X347" s="17">
        <f t="shared" ca="1" si="351"/>
        <v>0.22283748138875525</v>
      </c>
      <c r="Y347" s="13">
        <f t="shared" ref="Y347:Z347" ca="1" si="377">+Y346</f>
        <v>0</v>
      </c>
      <c r="Z347" s="13">
        <f t="shared" ca="1" si="377"/>
        <v>0</v>
      </c>
      <c r="AA347" t="str">
        <f t="shared" ca="1" si="358"/>
        <v/>
      </c>
      <c r="AB347" t="str">
        <f t="shared" ca="1" si="359"/>
        <v/>
      </c>
      <c r="AC347" s="24" t="str">
        <f t="shared" ca="1" si="360"/>
        <v/>
      </c>
      <c r="AD347" s="24" t="str">
        <f t="shared" ca="1" si="361"/>
        <v/>
      </c>
    </row>
    <row r="348" spans="3:30" x14ac:dyDescent="0.25">
      <c r="C348" s="6">
        <v>442</v>
      </c>
      <c r="D348" s="36">
        <v>42634</v>
      </c>
      <c r="E348" s="38">
        <v>14.577999999999999</v>
      </c>
      <c r="F348" s="38">
        <v>44.8576315100253</v>
      </c>
      <c r="G348" s="38">
        <v>31.07</v>
      </c>
      <c r="H348" s="38">
        <v>2.7403231788451974</v>
      </c>
      <c r="I348" s="38">
        <v>5.0359370797892824</v>
      </c>
      <c r="J348" s="10">
        <v>0</v>
      </c>
      <c r="K348" s="39">
        <v>0</v>
      </c>
      <c r="L348" s="39">
        <v>0</v>
      </c>
      <c r="M348" s="39">
        <v>0</v>
      </c>
      <c r="N348" s="39">
        <v>0</v>
      </c>
      <c r="O348" s="39">
        <v>0</v>
      </c>
      <c r="P348" s="39">
        <v>0</v>
      </c>
      <c r="Q348" s="39">
        <v>0</v>
      </c>
      <c r="R348" s="39">
        <v>1</v>
      </c>
      <c r="S348" s="39">
        <v>0</v>
      </c>
      <c r="T348" s="39">
        <v>0</v>
      </c>
      <c r="U348" s="29" cm="1">
        <f t="array" aca="1" ref="U348" ca="1">+fair_value_gap(OFFSET(T347,0,0,-1*$J$5,-1*$AA$1),OFFSET(E347,0,0,-1*$J$5,1),F348:T348,0)</f>
        <v>14.559314693064511</v>
      </c>
      <c r="V348" s="9" t="str" cm="1">
        <f t="array" aca="1" ref="V348" ca="1">z_score_diff(OFFSET(U348,0,0,$J$5*-1,1),OFFSET(E348,0,0,$J$5*-1,1))</f>
        <v/>
      </c>
      <c r="W348" s="9" t="str">
        <f t="shared" ca="1" si="356"/>
        <v/>
      </c>
      <c r="X348" s="17">
        <f t="shared" ca="1" si="351"/>
        <v>0.21030250500242043</v>
      </c>
      <c r="Y348" s="13">
        <f t="shared" ref="Y348:Z348" ca="1" si="378">+Y347</f>
        <v>0</v>
      </c>
      <c r="Z348" s="13">
        <f t="shared" ca="1" si="378"/>
        <v>0</v>
      </c>
      <c r="AA348" t="str">
        <f t="shared" ca="1" si="358"/>
        <v/>
      </c>
      <c r="AB348" t="str">
        <f t="shared" ca="1" si="359"/>
        <v/>
      </c>
      <c r="AC348" s="24" t="str">
        <f t="shared" ca="1" si="360"/>
        <v/>
      </c>
      <c r="AD348" s="24" t="str">
        <f t="shared" ca="1" si="361"/>
        <v/>
      </c>
    </row>
    <row r="349" spans="3:30" x14ac:dyDescent="0.25">
      <c r="C349" s="6">
        <v>443</v>
      </c>
      <c r="D349" s="36">
        <v>42635</v>
      </c>
      <c r="E349" s="38">
        <v>14.739000000000001</v>
      </c>
      <c r="F349" s="38">
        <v>45.695440372584137</v>
      </c>
      <c r="G349" s="38">
        <v>31.76</v>
      </c>
      <c r="H349" s="38">
        <v>2.7082029765660578</v>
      </c>
      <c r="I349" s="38">
        <v>5.0899472663911656</v>
      </c>
      <c r="J349" s="10">
        <v>0</v>
      </c>
      <c r="K349" s="39">
        <v>0</v>
      </c>
      <c r="L349" s="39">
        <v>0</v>
      </c>
      <c r="M349" s="39">
        <v>0</v>
      </c>
      <c r="N349" s="39">
        <v>0</v>
      </c>
      <c r="O349" s="39">
        <v>0</v>
      </c>
      <c r="P349" s="39">
        <v>0</v>
      </c>
      <c r="Q349" s="39">
        <v>0</v>
      </c>
      <c r="R349" s="39">
        <v>1</v>
      </c>
      <c r="S349" s="39">
        <v>0</v>
      </c>
      <c r="T349" s="39">
        <v>0</v>
      </c>
      <c r="U349" s="29" cm="1">
        <f t="array" aca="1" ref="U349" ca="1">+fair_value_gap(OFFSET(T348,0,0,-1*$J$5,-1*$AA$1),OFFSET(E348,0,0,-1*$J$5,1),F349:T349,0)</f>
        <v>14.867415453527283</v>
      </c>
      <c r="V349" s="9" t="str" cm="1">
        <f t="array" aca="1" ref="V349" ca="1">z_score_diff(OFFSET(U349,0,0,$J$5*-1,1),OFFSET(E349,0,0,$J$5*-1,1))</f>
        <v/>
      </c>
      <c r="W349" s="9" t="str">
        <f t="shared" ca="1" si="356"/>
        <v/>
      </c>
      <c r="X349" s="17">
        <f t="shared" ca="1" si="351"/>
        <v>0.19145044239274986</v>
      </c>
      <c r="Y349" s="13">
        <f t="shared" ref="Y349:Z349" ca="1" si="379">+Y348</f>
        <v>0</v>
      </c>
      <c r="Z349" s="13">
        <f t="shared" ca="1" si="379"/>
        <v>0</v>
      </c>
      <c r="AA349" t="str">
        <f t="shared" ca="1" si="358"/>
        <v/>
      </c>
      <c r="AB349" t="str">
        <f t="shared" ca="1" si="359"/>
        <v/>
      </c>
      <c r="AC349" s="24" t="str">
        <f t="shared" ca="1" si="360"/>
        <v/>
      </c>
      <c r="AD349" s="24" t="str">
        <f t="shared" ca="1" si="361"/>
        <v/>
      </c>
    </row>
    <row r="350" spans="3:30" x14ac:dyDescent="0.25">
      <c r="C350" s="6">
        <v>444</v>
      </c>
      <c r="D350" s="36">
        <v>42636</v>
      </c>
      <c r="E350" s="38">
        <v>15.086</v>
      </c>
      <c r="F350" s="38">
        <v>44.210548463282358</v>
      </c>
      <c r="G350" s="38">
        <v>32.28</v>
      </c>
      <c r="H350" s="38">
        <v>2.6642049728319472</v>
      </c>
      <c r="I350" s="38">
        <v>5.1723624020100329</v>
      </c>
      <c r="J350" s="10">
        <v>0</v>
      </c>
      <c r="K350" s="39">
        <v>0</v>
      </c>
      <c r="L350" s="39">
        <v>0</v>
      </c>
      <c r="M350" s="39">
        <v>0</v>
      </c>
      <c r="N350" s="39">
        <v>0</v>
      </c>
      <c r="O350" s="39">
        <v>0</v>
      </c>
      <c r="P350" s="39">
        <v>0</v>
      </c>
      <c r="Q350" s="39">
        <v>0</v>
      </c>
      <c r="R350" s="39">
        <v>1</v>
      </c>
      <c r="S350" s="39">
        <v>0</v>
      </c>
      <c r="T350" s="39">
        <v>0</v>
      </c>
      <c r="U350" s="29" cm="1">
        <f t="array" aca="1" ref="U350" ca="1">+fair_value_gap(OFFSET(T349,0,0,-1*$J$5,-1*$AA$1),OFFSET(E349,0,0,-1*$J$5,1),F350:T350,0)</f>
        <v>14.89780345855473</v>
      </c>
      <c r="V350" s="9" t="str" cm="1">
        <f t="array" aca="1" ref="V350" ca="1">z_score_diff(OFFSET(U350,0,0,$J$5*-1,1),OFFSET(E350,0,0,$J$5*-1,1))</f>
        <v/>
      </c>
      <c r="W350" s="9" t="str">
        <f t="shared" ca="1" si="356"/>
        <v/>
      </c>
      <c r="X350" s="17">
        <f t="shared" ca="1" si="351"/>
        <v>0.14717578577391352</v>
      </c>
      <c r="Y350" s="13">
        <f t="shared" ref="Y350:Z350" ca="1" si="380">+Y349</f>
        <v>0</v>
      </c>
      <c r="Z350" s="13">
        <f t="shared" ca="1" si="380"/>
        <v>0</v>
      </c>
      <c r="AA350" t="str">
        <f t="shared" ca="1" si="358"/>
        <v/>
      </c>
      <c r="AB350" t="str">
        <f t="shared" ca="1" si="359"/>
        <v/>
      </c>
      <c r="AC350" s="24" t="str">
        <f t="shared" ca="1" si="360"/>
        <v/>
      </c>
      <c r="AD350" s="24" t="str">
        <f t="shared" ca="1" si="361"/>
        <v/>
      </c>
    </row>
    <row r="351" spans="3:30" x14ac:dyDescent="0.25">
      <c r="C351" s="6">
        <v>445</v>
      </c>
      <c r="D351" s="36">
        <v>42639</v>
      </c>
      <c r="E351" s="38">
        <v>14.999000000000001</v>
      </c>
      <c r="F351" s="38">
        <v>45.243211769704622</v>
      </c>
      <c r="G351" s="38">
        <v>32.58</v>
      </c>
      <c r="H351" s="38">
        <v>2.6726279880190731</v>
      </c>
      <c r="I351" s="38">
        <v>5.1581632742271939</v>
      </c>
      <c r="J351" s="10">
        <v>0</v>
      </c>
      <c r="K351" s="39">
        <v>0</v>
      </c>
      <c r="L351" s="39">
        <v>0</v>
      </c>
      <c r="M351" s="39">
        <v>0</v>
      </c>
      <c r="N351" s="39">
        <v>0</v>
      </c>
      <c r="O351" s="39">
        <v>0</v>
      </c>
      <c r="P351" s="39">
        <v>0</v>
      </c>
      <c r="Q351" s="39">
        <v>0</v>
      </c>
      <c r="R351" s="39">
        <v>1</v>
      </c>
      <c r="S351" s="39">
        <v>0</v>
      </c>
      <c r="T351" s="39">
        <v>0</v>
      </c>
      <c r="U351" s="29" cm="1">
        <f t="array" aca="1" ref="U351" ca="1">+fair_value_gap(OFFSET(T350,0,0,-1*$J$5,-1*$AA$1),OFFSET(E350,0,0,-1*$J$5,1),F351:T351,0)</f>
        <v>15.114580104029006</v>
      </c>
      <c r="V351" s="9" t="str" cm="1">
        <f t="array" aca="1" ref="V351" ca="1">z_score_diff(OFFSET(U351,0,0,$J$5*-1,1),OFFSET(E351,0,0,$J$5*-1,1))</f>
        <v/>
      </c>
      <c r="W351" s="9" t="str">
        <f t="shared" ca="1" si="356"/>
        <v/>
      </c>
      <c r="X351" s="17">
        <f t="shared" ca="1" si="351"/>
        <v>0.14434015804541231</v>
      </c>
      <c r="Y351" s="13">
        <f t="shared" ref="Y351:Z351" ca="1" si="381">+Y350</f>
        <v>0</v>
      </c>
      <c r="Z351" s="13">
        <f t="shared" ca="1" si="381"/>
        <v>0</v>
      </c>
      <c r="AA351" t="str">
        <f t="shared" ca="1" si="358"/>
        <v/>
      </c>
      <c r="AB351" t="str">
        <f t="shared" ca="1" si="359"/>
        <v/>
      </c>
      <c r="AC351" s="24" t="str">
        <f t="shared" ca="1" si="360"/>
        <v/>
      </c>
      <c r="AD351" s="24" t="str">
        <f t="shared" ca="1" si="361"/>
        <v/>
      </c>
    </row>
    <row r="352" spans="3:30" x14ac:dyDescent="0.25">
      <c r="C352" s="6">
        <v>446</v>
      </c>
      <c r="D352" s="36">
        <v>42640</v>
      </c>
      <c r="E352" s="38">
        <v>14.509</v>
      </c>
      <c r="F352" s="38">
        <v>44.26074302645651</v>
      </c>
      <c r="G352" s="38">
        <v>32.29</v>
      </c>
      <c r="H352" s="38">
        <v>2.67545628276382</v>
      </c>
      <c r="I352" s="38">
        <v>5.0405876886933036</v>
      </c>
      <c r="J352" s="10">
        <v>0</v>
      </c>
      <c r="K352" s="39">
        <v>0</v>
      </c>
      <c r="L352" s="39">
        <v>0</v>
      </c>
      <c r="M352" s="39">
        <v>0</v>
      </c>
      <c r="N352" s="39">
        <v>0</v>
      </c>
      <c r="O352" s="39">
        <v>0</v>
      </c>
      <c r="P352" s="39">
        <v>0</v>
      </c>
      <c r="Q352" s="39">
        <v>0</v>
      </c>
      <c r="R352" s="39">
        <v>1</v>
      </c>
      <c r="S352" s="39">
        <v>0</v>
      </c>
      <c r="T352" s="39">
        <v>0</v>
      </c>
      <c r="U352" s="29" cm="1">
        <f t="array" aca="1" ref="U352" ca="1">+fair_value_gap(OFFSET(T351,0,0,-1*$J$5,-1*$AA$1),OFFSET(E351,0,0,-1*$J$5,1),F352:T352,0)</f>
        <v>14.914487737939169</v>
      </c>
      <c r="V352" s="9" t="str" cm="1">
        <f t="array" aca="1" ref="V352" ca="1">z_score_diff(OFFSET(U352,0,0,$J$5*-1,1),OFFSET(E352,0,0,$J$5*-1,1))</f>
        <v/>
      </c>
      <c r="W352" s="9" t="str">
        <f t="shared" ca="1" si="356"/>
        <v/>
      </c>
      <c r="X352" s="17">
        <f t="shared" ca="1" si="351"/>
        <v>0.16915137643105996</v>
      </c>
      <c r="Y352" s="13">
        <f t="shared" ref="Y352:Z352" ca="1" si="382">+Y351</f>
        <v>0</v>
      </c>
      <c r="Z352" s="13">
        <f t="shared" ca="1" si="382"/>
        <v>0</v>
      </c>
      <c r="AA352" t="str">
        <f t="shared" ca="1" si="358"/>
        <v/>
      </c>
      <c r="AB352" t="str">
        <f t="shared" ca="1" si="359"/>
        <v/>
      </c>
      <c r="AC352" s="24" t="str">
        <f t="shared" ca="1" si="360"/>
        <v/>
      </c>
      <c r="AD352" s="24" t="str">
        <f t="shared" ca="1" si="361"/>
        <v/>
      </c>
    </row>
    <row r="353" spans="3:30" x14ac:dyDescent="0.25">
      <c r="C353" s="6">
        <v>447</v>
      </c>
      <c r="D353" s="36">
        <v>42641</v>
      </c>
      <c r="E353" s="38">
        <v>14.917</v>
      </c>
      <c r="F353" s="38">
        <v>46.202230960315696</v>
      </c>
      <c r="G353" s="38">
        <v>32.630000000000003</v>
      </c>
      <c r="H353" s="38">
        <v>2.6620408921737573</v>
      </c>
      <c r="I353" s="38">
        <v>5.1277376421522822</v>
      </c>
      <c r="J353" s="10">
        <v>0</v>
      </c>
      <c r="K353" s="39">
        <v>0</v>
      </c>
      <c r="L353" s="39">
        <v>0</v>
      </c>
      <c r="M353" s="39">
        <v>0</v>
      </c>
      <c r="N353" s="39">
        <v>0</v>
      </c>
      <c r="O353" s="39">
        <v>0</v>
      </c>
      <c r="P353" s="39">
        <v>0</v>
      </c>
      <c r="Q353" s="39">
        <v>0</v>
      </c>
      <c r="R353" s="39">
        <v>1</v>
      </c>
      <c r="S353" s="39">
        <v>0</v>
      </c>
      <c r="T353" s="39">
        <v>0</v>
      </c>
      <c r="U353" s="29" cm="1">
        <f t="array" aca="1" ref="U353" ca="1">+fair_value_gap(OFFSET(T352,0,0,-1*$J$5,-1*$AA$1),OFFSET(E352,0,0,-1*$J$5,1),F353:T353,0)</f>
        <v>15.174388527942957</v>
      </c>
      <c r="V353" s="9" t="str" cm="1">
        <f t="array" aca="1" ref="V353" ca="1">z_score_diff(OFFSET(U353,0,0,$J$5*-1,1),OFFSET(E353,0,0,$J$5*-1,1))</f>
        <v/>
      </c>
      <c r="W353" s="9" t="str">
        <f t="shared" ca="1" si="356"/>
        <v/>
      </c>
      <c r="X353" s="17">
        <f t="shared" ca="1" si="351"/>
        <v>0.14374419768181598</v>
      </c>
      <c r="Y353" s="13">
        <f t="shared" ref="Y353:Z353" ca="1" si="383">+Y352</f>
        <v>0</v>
      </c>
      <c r="Z353" s="13">
        <f t="shared" ca="1" si="383"/>
        <v>0</v>
      </c>
      <c r="AA353" t="str">
        <f t="shared" ca="1" si="358"/>
        <v/>
      </c>
      <c r="AB353" t="str">
        <f t="shared" ca="1" si="359"/>
        <v/>
      </c>
      <c r="AC353" s="24" t="str">
        <f t="shared" ca="1" si="360"/>
        <v/>
      </c>
      <c r="AD353" s="24" t="str">
        <f t="shared" ca="1" si="361"/>
        <v/>
      </c>
    </row>
    <row r="354" spans="3:30" x14ac:dyDescent="0.25">
      <c r="C354" s="6">
        <v>448</v>
      </c>
      <c r="D354" s="36">
        <v>42642</v>
      </c>
      <c r="E354" s="38">
        <v>15.051</v>
      </c>
      <c r="F354" s="38">
        <v>46.719387406276347</v>
      </c>
      <c r="G354" s="38">
        <v>33.18</v>
      </c>
      <c r="H354" s="38">
        <v>2.6655470375701009</v>
      </c>
      <c r="I354" s="38">
        <v>5.2153912770608688</v>
      </c>
      <c r="J354" s="10">
        <v>0</v>
      </c>
      <c r="K354" s="39">
        <v>0</v>
      </c>
      <c r="L354" s="39">
        <v>0</v>
      </c>
      <c r="M354" s="39">
        <v>0</v>
      </c>
      <c r="N354" s="39">
        <v>0</v>
      </c>
      <c r="O354" s="39">
        <v>0</v>
      </c>
      <c r="P354" s="39">
        <v>0</v>
      </c>
      <c r="Q354" s="39">
        <v>0</v>
      </c>
      <c r="R354" s="39">
        <v>1</v>
      </c>
      <c r="S354" s="39">
        <v>0</v>
      </c>
      <c r="T354" s="39">
        <v>0</v>
      </c>
      <c r="U354" s="29" cm="1">
        <f t="array" aca="1" ref="U354" ca="1">+fair_value_gap(OFFSET(T353,0,0,-1*$J$5,-1*$AA$1),OFFSET(E353,0,0,-1*$J$5,1),F354:T354,0)</f>
        <v>15.406720110349042</v>
      </c>
      <c r="V354" s="9" t="str" cm="1">
        <f t="array" aca="1" ref="V354" ca="1">z_score_diff(OFFSET(U354,0,0,$J$5*-1,1),OFFSET(E354,0,0,$J$5*-1,1))</f>
        <v/>
      </c>
      <c r="W354" s="9" t="str">
        <f t="shared" ca="1" si="356"/>
        <v/>
      </c>
      <c r="X354" s="17">
        <f t="shared" ca="1" si="351"/>
        <v>0.1409369644878827</v>
      </c>
      <c r="Y354" s="13">
        <f t="shared" ref="Y354:Z354" ca="1" si="384">+Y353</f>
        <v>0</v>
      </c>
      <c r="Z354" s="13">
        <f t="shared" ca="1" si="384"/>
        <v>0</v>
      </c>
      <c r="AA354" t="str">
        <f t="shared" ca="1" si="358"/>
        <v/>
      </c>
      <c r="AB354" t="str">
        <f t="shared" ca="1" si="359"/>
        <v/>
      </c>
      <c r="AC354" s="24" t="str">
        <f t="shared" ca="1" si="360"/>
        <v/>
      </c>
      <c r="AD354" s="24" t="str">
        <f t="shared" ca="1" si="361"/>
        <v/>
      </c>
    </row>
    <row r="355" spans="3:30" x14ac:dyDescent="0.25">
      <c r="C355" s="6">
        <v>449</v>
      </c>
      <c r="D355" s="36">
        <v>42643</v>
      </c>
      <c r="E355" s="38">
        <v>15.763999999999999</v>
      </c>
      <c r="F355" s="38">
        <v>47.018147063530023</v>
      </c>
      <c r="G355" s="38">
        <v>33.369999999999997</v>
      </c>
      <c r="H355" s="38">
        <v>2.6477766283869983</v>
      </c>
      <c r="I355" s="38">
        <v>4.8793241698809284</v>
      </c>
      <c r="J355" s="10">
        <v>0</v>
      </c>
      <c r="K355" s="39">
        <v>0</v>
      </c>
      <c r="L355" s="39">
        <v>0</v>
      </c>
      <c r="M355" s="39">
        <v>0</v>
      </c>
      <c r="N355" s="39">
        <v>0</v>
      </c>
      <c r="O355" s="39">
        <v>0</v>
      </c>
      <c r="P355" s="39">
        <v>0</v>
      </c>
      <c r="Q355" s="39">
        <v>0</v>
      </c>
      <c r="R355" s="39">
        <v>1</v>
      </c>
      <c r="S355" s="39">
        <v>0</v>
      </c>
      <c r="T355" s="39">
        <v>0</v>
      </c>
      <c r="U355" s="29" cm="1">
        <f t="array" aca="1" ref="U355" ca="1">+fair_value_gap(OFFSET(T354,0,0,-1*$J$5,-1*$AA$1),OFFSET(E354,0,0,-1*$J$5,1),F355:T355,0)</f>
        <v>15.44943338110556</v>
      </c>
      <c r="V355" s="9" t="str" cm="1">
        <f t="array" aca="1" ref="V355" ca="1">z_score_diff(OFFSET(U355,0,0,$J$5*-1,1),OFFSET(E355,0,0,$J$5*-1,1))</f>
        <v/>
      </c>
      <c r="W355" s="9" t="str">
        <f t="shared" ca="1" si="356"/>
        <v/>
      </c>
      <c r="X355" s="17">
        <f t="shared" ca="1" si="351"/>
        <v>8.2752128949942355E-2</v>
      </c>
      <c r="Y355" s="13">
        <f t="shared" ref="Y355:Z355" ca="1" si="385">+Y354</f>
        <v>0</v>
      </c>
      <c r="Z355" s="13">
        <f t="shared" ca="1" si="385"/>
        <v>0</v>
      </c>
      <c r="AA355" t="str">
        <f t="shared" ca="1" si="358"/>
        <v/>
      </c>
      <c r="AB355" t="str">
        <f t="shared" ca="1" si="359"/>
        <v/>
      </c>
      <c r="AC355" s="24" t="str">
        <f t="shared" ca="1" si="360"/>
        <v/>
      </c>
      <c r="AD355" s="24" t="str">
        <f t="shared" ca="1" si="361"/>
        <v/>
      </c>
    </row>
    <row r="356" spans="3:30" x14ac:dyDescent="0.25">
      <c r="C356" s="6">
        <v>450</v>
      </c>
      <c r="D356" s="36">
        <v>42646</v>
      </c>
      <c r="E356" s="38">
        <v>15.922000000000001</v>
      </c>
      <c r="F356" s="38">
        <v>47.831917746982562</v>
      </c>
      <c r="G356" s="38">
        <v>33.68</v>
      </c>
      <c r="H356" s="38">
        <v>2.683916660092736</v>
      </c>
      <c r="I356" s="38">
        <v>5.3029705400264708</v>
      </c>
      <c r="J356" s="10">
        <v>0</v>
      </c>
      <c r="K356" s="39">
        <v>0</v>
      </c>
      <c r="L356" s="39">
        <v>0</v>
      </c>
      <c r="M356" s="39">
        <v>0</v>
      </c>
      <c r="N356" s="39">
        <v>0</v>
      </c>
      <c r="O356" s="39">
        <v>0</v>
      </c>
      <c r="P356" s="39">
        <v>0</v>
      </c>
      <c r="Q356" s="39">
        <v>0</v>
      </c>
      <c r="R356" s="39">
        <v>0</v>
      </c>
      <c r="S356" s="39">
        <v>1</v>
      </c>
      <c r="T356" s="39">
        <v>0</v>
      </c>
      <c r="U356" s="29" cm="1">
        <f t="array" aca="1" ref="U356" ca="1">+fair_value_gap(OFFSET(T355,0,0,-1*$J$5,-1*$AA$1),OFFSET(E355,0,0,-1*$J$5,1),F356:T356,0)</f>
        <v>17.467154243735713</v>
      </c>
      <c r="V356" s="9" t="str" cm="1">
        <f t="array" aca="1" ref="V356" ca="1">z_score_diff(OFFSET(U356,0,0,$J$5*-1,1),OFFSET(E356,0,0,$J$5*-1,1))</f>
        <v/>
      </c>
      <c r="W356" s="9" t="str">
        <f t="shared" ca="1" si="356"/>
        <v/>
      </c>
      <c r="X356" s="17">
        <f t="shared" ca="1" si="351"/>
        <v>5.2724250987554844E-2</v>
      </c>
      <c r="Y356" s="13">
        <f t="shared" ref="Y356:Z356" ca="1" si="386">+Y355</f>
        <v>0</v>
      </c>
      <c r="Z356" s="13">
        <f t="shared" ca="1" si="386"/>
        <v>0</v>
      </c>
      <c r="AA356" t="str">
        <f t="shared" ca="1" si="358"/>
        <v/>
      </c>
      <c r="AB356" t="str">
        <f t="shared" ca="1" si="359"/>
        <v/>
      </c>
      <c r="AC356" s="24" t="str">
        <f t="shared" ca="1" si="360"/>
        <v/>
      </c>
      <c r="AD356" s="24" t="str">
        <f t="shared" ca="1" si="361"/>
        <v/>
      </c>
    </row>
    <row r="357" spans="3:30" x14ac:dyDescent="0.25">
      <c r="C357" s="6">
        <v>451</v>
      </c>
      <c r="D357" s="36">
        <v>42647</v>
      </c>
      <c r="E357" s="38">
        <v>16.222999999999999</v>
      </c>
      <c r="F357" s="38">
        <v>47.982421655621707</v>
      </c>
      <c r="G357" s="38">
        <v>33.630000000000003</v>
      </c>
      <c r="H357" s="38">
        <v>2.684312872065596</v>
      </c>
      <c r="I357" s="38">
        <v>5.3791559025047739</v>
      </c>
      <c r="J357" s="10">
        <v>0</v>
      </c>
      <c r="K357" s="39">
        <v>0</v>
      </c>
      <c r="L357" s="39">
        <v>0</v>
      </c>
      <c r="M357" s="39">
        <v>0</v>
      </c>
      <c r="N357" s="39">
        <v>0</v>
      </c>
      <c r="O357" s="39">
        <v>0</v>
      </c>
      <c r="P357" s="39">
        <v>0</v>
      </c>
      <c r="Q357" s="39">
        <v>0</v>
      </c>
      <c r="R357" s="39">
        <v>0</v>
      </c>
      <c r="S357" s="39">
        <v>1</v>
      </c>
      <c r="T357" s="39">
        <v>0</v>
      </c>
      <c r="U357" s="29" cm="1">
        <f t="array" aca="1" ref="U357" ca="1">+fair_value_gap(OFFSET(T356,0,0,-1*$J$5,-1*$AA$1),OFFSET(E356,0,0,-1*$J$5,1),F357:T357,0)</f>
        <v>17.009015234262982</v>
      </c>
      <c r="V357" s="9" t="str" cm="1">
        <f t="array" aca="1" ref="V357" ca="1">z_score_diff(OFFSET(U357,0,0,$J$5*-1,1),OFFSET(E357,0,0,$J$5*-1,1))</f>
        <v/>
      </c>
      <c r="W357" s="9" t="str">
        <f t="shared" ca="1" si="356"/>
        <v/>
      </c>
      <c r="X357" s="17">
        <f t="shared" ca="1" si="351"/>
        <v>4.8429059537644058E-2</v>
      </c>
      <c r="Y357" s="13">
        <f t="shared" ref="Y357:Z357" ca="1" si="387">+Y356</f>
        <v>0</v>
      </c>
      <c r="Z357" s="13">
        <f t="shared" ca="1" si="387"/>
        <v>0</v>
      </c>
      <c r="AA357" t="str">
        <f t="shared" ca="1" si="358"/>
        <v/>
      </c>
      <c r="AB357" t="str">
        <f t="shared" ca="1" si="359"/>
        <v/>
      </c>
      <c r="AC357" s="24" t="str">
        <f t="shared" ca="1" si="360"/>
        <v/>
      </c>
      <c r="AD357" s="24" t="str">
        <f t="shared" ca="1" si="361"/>
        <v/>
      </c>
    </row>
    <row r="358" spans="3:30" x14ac:dyDescent="0.25">
      <c r="C358" s="6">
        <v>452</v>
      </c>
      <c r="D358" s="36">
        <v>42648</v>
      </c>
      <c r="E358" s="38">
        <v>16.469000000000001</v>
      </c>
      <c r="F358" s="38">
        <v>48.749750985745408</v>
      </c>
      <c r="G358" s="38">
        <v>34.15</v>
      </c>
      <c r="H358" s="38">
        <v>2.7433253209980224</v>
      </c>
      <c r="I358" s="38">
        <v>5.4673438099224834</v>
      </c>
      <c r="J358" s="10">
        <v>0</v>
      </c>
      <c r="K358" s="39">
        <v>0</v>
      </c>
      <c r="L358" s="39">
        <v>0</v>
      </c>
      <c r="M358" s="39">
        <v>0</v>
      </c>
      <c r="N358" s="39">
        <v>0</v>
      </c>
      <c r="O358" s="39">
        <v>0</v>
      </c>
      <c r="P358" s="39">
        <v>0</v>
      </c>
      <c r="Q358" s="39">
        <v>0</v>
      </c>
      <c r="R358" s="39">
        <v>0</v>
      </c>
      <c r="S358" s="39">
        <v>1</v>
      </c>
      <c r="T358" s="39">
        <v>0</v>
      </c>
      <c r="U358" s="29" cm="1">
        <f t="array" aca="1" ref="U358" ca="1">+fair_value_gap(OFFSET(T357,0,0,-1*$J$5,-1*$AA$1),OFFSET(E357,0,0,-1*$J$5,1),F358:T358,0)</f>
        <v>17.087774049126821</v>
      </c>
      <c r="V358" s="9" t="str" cm="1">
        <f t="array" aca="1" ref="V358" ca="1">z_score_diff(OFFSET(U358,0,0,$J$5*-1,1),OFFSET(E358,0,0,$J$5*-1,1))</f>
        <v/>
      </c>
      <c r="W358" s="9" t="str">
        <f t="shared" ca="1" si="356"/>
        <v/>
      </c>
      <c r="X358" s="17">
        <f t="shared" ca="1" si="351"/>
        <v>2.666185546795919E-2</v>
      </c>
      <c r="Y358" s="13">
        <f t="shared" ref="Y358:Z358" ca="1" si="388">+Y357</f>
        <v>0</v>
      </c>
      <c r="Z358" s="13">
        <f t="shared" ca="1" si="388"/>
        <v>0</v>
      </c>
      <c r="AA358" t="str">
        <f t="shared" ca="1" si="358"/>
        <v/>
      </c>
      <c r="AB358" t="str">
        <f t="shared" ca="1" si="359"/>
        <v/>
      </c>
      <c r="AC358" s="24" t="str">
        <f t="shared" ca="1" si="360"/>
        <v/>
      </c>
      <c r="AD358" s="24" t="str">
        <f t="shared" ca="1" si="361"/>
        <v/>
      </c>
    </row>
    <row r="359" spans="3:30" x14ac:dyDescent="0.25">
      <c r="C359" s="6">
        <v>453</v>
      </c>
      <c r="D359" s="36">
        <v>42649</v>
      </c>
      <c r="E359" s="38">
        <v>16.734999999999999</v>
      </c>
      <c r="F359" s="38">
        <v>49.484248675773635</v>
      </c>
      <c r="G359" s="38">
        <v>35.409999999999997</v>
      </c>
      <c r="H359" s="38">
        <v>2.7737293249533304</v>
      </c>
      <c r="I359" s="38">
        <v>5.5845122859270298</v>
      </c>
      <c r="J359" s="10">
        <v>0</v>
      </c>
      <c r="K359" s="39">
        <v>0</v>
      </c>
      <c r="L359" s="39">
        <v>0</v>
      </c>
      <c r="M359" s="39">
        <v>0</v>
      </c>
      <c r="N359" s="39">
        <v>0</v>
      </c>
      <c r="O359" s="39">
        <v>0</v>
      </c>
      <c r="P359" s="39">
        <v>0</v>
      </c>
      <c r="Q359" s="39">
        <v>0</v>
      </c>
      <c r="R359" s="39">
        <v>0</v>
      </c>
      <c r="S359" s="39">
        <v>1</v>
      </c>
      <c r="T359" s="39">
        <v>0</v>
      </c>
      <c r="U359" s="29" cm="1">
        <f t="array" aca="1" ref="U359" ca="1">+fair_value_gap(OFFSET(T358,0,0,-1*$J$5,-1*$AA$1),OFFSET(E358,0,0,-1*$J$5,1),F359:T359,0)</f>
        <v>17.533270141343696</v>
      </c>
      <c r="V359" s="9" t="str" cm="1">
        <f t="array" aca="1" ref="V359" ca="1">z_score_diff(OFFSET(U359,0,0,$J$5*-1,1),OFFSET(E359,0,0,$J$5*-1,1))</f>
        <v/>
      </c>
      <c r="W359" s="9" t="str">
        <f t="shared" ca="1" si="356"/>
        <v/>
      </c>
      <c r="X359" s="17">
        <f t="shared" ca="1" si="351"/>
        <v>1.5887464412058815E-2</v>
      </c>
      <c r="Y359" s="13">
        <f t="shared" ref="Y359:Z359" ca="1" si="389">+Y358</f>
        <v>0</v>
      </c>
      <c r="Z359" s="13">
        <f t="shared" ca="1" si="389"/>
        <v>0</v>
      </c>
      <c r="AA359" t="str">
        <f t="shared" ca="1" si="358"/>
        <v/>
      </c>
      <c r="AB359" t="str">
        <f t="shared" ca="1" si="359"/>
        <v/>
      </c>
      <c r="AC359" s="24" t="str">
        <f t="shared" ca="1" si="360"/>
        <v/>
      </c>
      <c r="AD359" s="24" t="str">
        <f t="shared" ca="1" si="361"/>
        <v/>
      </c>
    </row>
    <row r="360" spans="3:30" x14ac:dyDescent="0.25">
      <c r="C360" s="6">
        <v>454</v>
      </c>
      <c r="D360" s="36">
        <v>42650</v>
      </c>
      <c r="E360" s="38">
        <v>16.251000000000001</v>
      </c>
      <c r="F360" s="38">
        <v>48.866370453627439</v>
      </c>
      <c r="G360" s="38">
        <v>35.119999999999997</v>
      </c>
      <c r="H360" s="38">
        <v>2.8108041657153899</v>
      </c>
      <c r="I360" s="38">
        <v>5.2686113696633363</v>
      </c>
      <c r="J360" s="10">
        <v>0</v>
      </c>
      <c r="K360" s="39">
        <v>0</v>
      </c>
      <c r="L360" s="39">
        <v>0</v>
      </c>
      <c r="M360" s="39">
        <v>0</v>
      </c>
      <c r="N360" s="39">
        <v>0</v>
      </c>
      <c r="O360" s="39">
        <v>0</v>
      </c>
      <c r="P360" s="39">
        <v>0</v>
      </c>
      <c r="Q360" s="39">
        <v>0</v>
      </c>
      <c r="R360" s="39">
        <v>0</v>
      </c>
      <c r="S360" s="39">
        <v>1</v>
      </c>
      <c r="T360" s="39">
        <v>0</v>
      </c>
      <c r="U360" s="29" cm="1">
        <f t="array" aca="1" ref="U360" ca="1">+fair_value_gap(OFFSET(T359,0,0,-1*$J$5,-1*$AA$1),OFFSET(E359,0,0,-1*$J$5,1),F360:T360,0)</f>
        <v>17.149466656977477</v>
      </c>
      <c r="V360" s="9" t="str" cm="1">
        <f t="array" aca="1" ref="V360" ca="1">z_score_diff(OFFSET(U360,0,0,$J$5*-1,1),OFFSET(E360,0,0,$J$5*-1,1))</f>
        <v/>
      </c>
      <c r="W360" s="9" t="str">
        <f t="shared" ca="1" si="356"/>
        <v/>
      </c>
      <c r="X360" s="17">
        <f t="shared" ca="1" si="351"/>
        <v>5.1683963251443032E-2</v>
      </c>
      <c r="Y360" s="13">
        <f t="shared" ref="Y360:Z360" ca="1" si="390">+Y359</f>
        <v>0</v>
      </c>
      <c r="Z360" s="13">
        <f t="shared" ca="1" si="390"/>
        <v>0</v>
      </c>
      <c r="AA360" t="str">
        <f t="shared" ca="1" si="358"/>
        <v/>
      </c>
      <c r="AB360" t="str">
        <f t="shared" ca="1" si="359"/>
        <v/>
      </c>
      <c r="AC360" s="24" t="str">
        <f t="shared" ca="1" si="360"/>
        <v/>
      </c>
      <c r="AD360" s="24" t="str">
        <f t="shared" ca="1" si="361"/>
        <v/>
      </c>
    </row>
    <row r="361" spans="3:30" x14ac:dyDescent="0.25">
      <c r="C361" s="6">
        <v>455</v>
      </c>
      <c r="D361" s="36">
        <v>42653</v>
      </c>
      <c r="E361" s="38">
        <v>16.181000000000001</v>
      </c>
      <c r="F361" s="38">
        <v>49.934227370242525</v>
      </c>
      <c r="G361" s="38">
        <v>34.96</v>
      </c>
      <c r="H361" s="38">
        <v>2.8542672752474201</v>
      </c>
      <c r="I361" s="38">
        <v>5.297124544226576</v>
      </c>
      <c r="J361" s="10">
        <v>0</v>
      </c>
      <c r="K361" s="39">
        <v>0</v>
      </c>
      <c r="L361" s="39">
        <v>0</v>
      </c>
      <c r="M361" s="39">
        <v>0</v>
      </c>
      <c r="N361" s="39">
        <v>0</v>
      </c>
      <c r="O361" s="39">
        <v>0</v>
      </c>
      <c r="P361" s="39">
        <v>0</v>
      </c>
      <c r="Q361" s="39">
        <v>0</v>
      </c>
      <c r="R361" s="39">
        <v>0</v>
      </c>
      <c r="S361" s="39">
        <v>1</v>
      </c>
      <c r="T361" s="39">
        <v>0</v>
      </c>
      <c r="U361" s="29" cm="1">
        <f t="array" aca="1" ref="U361" ca="1">+fair_value_gap(OFFSET(T360,0,0,-1*$J$5,-1*$AA$1),OFFSET(E360,0,0,-1*$J$5,1),F361:T361,0)</f>
        <v>16.97769964551534</v>
      </c>
      <c r="V361" s="9" t="str" cm="1">
        <f t="array" aca="1" ref="V361" ca="1">z_score_diff(OFFSET(U361,0,0,$J$5*-1,1),OFFSET(E361,0,0,$J$5*-1,1))</f>
        <v/>
      </c>
      <c r="W361" s="9" t="str">
        <f t="shared" ca="1" si="356"/>
        <v/>
      </c>
      <c r="X361" s="17">
        <f t="shared" ca="1" si="351"/>
        <v>5.5065295103301243E-2</v>
      </c>
      <c r="Y361" s="13">
        <f t="shared" ref="Y361:Z361" ca="1" si="391">+Y360</f>
        <v>0</v>
      </c>
      <c r="Z361" s="13">
        <f t="shared" ca="1" si="391"/>
        <v>0</v>
      </c>
      <c r="AA361" t="str">
        <f t="shared" ca="1" si="358"/>
        <v/>
      </c>
      <c r="AB361" t="str">
        <f t="shared" ca="1" si="359"/>
        <v/>
      </c>
      <c r="AC361" s="24" t="str">
        <f t="shared" ca="1" si="360"/>
        <v/>
      </c>
      <c r="AD361" s="24" t="str">
        <f t="shared" ca="1" si="361"/>
        <v/>
      </c>
    </row>
    <row r="362" spans="3:30" x14ac:dyDescent="0.25">
      <c r="C362" s="6">
        <v>456</v>
      </c>
      <c r="D362" s="36">
        <v>42654</v>
      </c>
      <c r="E362" s="38">
        <v>15.932</v>
      </c>
      <c r="F362" s="38">
        <v>49.698206860221234</v>
      </c>
      <c r="G362" s="38">
        <v>34.51</v>
      </c>
      <c r="H362" s="38">
        <v>2.867991418272033</v>
      </c>
      <c r="I362" s="38">
        <v>5.143341730565421</v>
      </c>
      <c r="J362" s="10">
        <v>0</v>
      </c>
      <c r="K362" s="39">
        <v>0</v>
      </c>
      <c r="L362" s="39">
        <v>0</v>
      </c>
      <c r="M362" s="39">
        <v>0</v>
      </c>
      <c r="N362" s="39">
        <v>0</v>
      </c>
      <c r="O362" s="39">
        <v>0</v>
      </c>
      <c r="P362" s="39">
        <v>0</v>
      </c>
      <c r="Q362" s="39">
        <v>0</v>
      </c>
      <c r="R362" s="39">
        <v>0</v>
      </c>
      <c r="S362" s="39">
        <v>1</v>
      </c>
      <c r="T362" s="39">
        <v>0</v>
      </c>
      <c r="U362" s="29" cm="1">
        <f t="array" aca="1" ref="U362" ca="1">+fair_value_gap(OFFSET(T361,0,0,-1*$J$5,-1*$AA$1),OFFSET(E361,0,0,-1*$J$5,1),F362:T362,0)</f>
        <v>16.58355265142265</v>
      </c>
      <c r="V362" s="9" t="str" cm="1">
        <f t="array" aca="1" ref="V362" ca="1">z_score_diff(OFFSET(U362,0,0,$J$5*-1,1),OFFSET(E362,0,0,$J$5*-1,1))</f>
        <v/>
      </c>
      <c r="W362" s="9" t="str">
        <f t="shared" ca="1" si="356"/>
        <v/>
      </c>
      <c r="X362" s="17">
        <f t="shared" ca="1" si="351"/>
        <v>8.3185757474184233E-2</v>
      </c>
      <c r="Y362" s="13">
        <f t="shared" ref="Y362:Z362" ca="1" si="392">+Y361</f>
        <v>0</v>
      </c>
      <c r="Z362" s="13">
        <f t="shared" ca="1" si="392"/>
        <v>0</v>
      </c>
      <c r="AA362" t="str">
        <f t="shared" ca="1" si="358"/>
        <v/>
      </c>
      <c r="AB362" t="str">
        <f t="shared" ca="1" si="359"/>
        <v/>
      </c>
      <c r="AC362" s="24" t="str">
        <f t="shared" ca="1" si="360"/>
        <v/>
      </c>
      <c r="AD362" s="24" t="str">
        <f t="shared" ca="1" si="361"/>
        <v/>
      </c>
    </row>
    <row r="363" spans="3:30" x14ac:dyDescent="0.25">
      <c r="C363" s="6">
        <v>457</v>
      </c>
      <c r="D363" s="36">
        <v>42655</v>
      </c>
      <c r="E363" s="38">
        <v>15.948</v>
      </c>
      <c r="F363" s="38">
        <v>49.462327176592481</v>
      </c>
      <c r="G363" s="38">
        <v>34.49</v>
      </c>
      <c r="H363" s="38">
        <v>2.8884284234218143</v>
      </c>
      <c r="I363" s="38">
        <v>4.956950448358401</v>
      </c>
      <c r="J363" s="10">
        <v>0</v>
      </c>
      <c r="K363" s="39">
        <v>0</v>
      </c>
      <c r="L363" s="39">
        <v>0</v>
      </c>
      <c r="M363" s="39">
        <v>0</v>
      </c>
      <c r="N363" s="39">
        <v>0</v>
      </c>
      <c r="O363" s="39">
        <v>0</v>
      </c>
      <c r="P363" s="39">
        <v>0</v>
      </c>
      <c r="Q363" s="39">
        <v>0</v>
      </c>
      <c r="R363" s="39">
        <v>0</v>
      </c>
      <c r="S363" s="39">
        <v>1</v>
      </c>
      <c r="T363" s="39">
        <v>0</v>
      </c>
      <c r="U363" s="29" cm="1">
        <f t="array" aca="1" ref="U363" ca="1">+fair_value_gap(OFFSET(T362,0,0,-1*$J$5,-1*$AA$1),OFFSET(E362,0,0,-1*$J$5,1),F363:T363,0)</f>
        <v>16.388442866733563</v>
      </c>
      <c r="V363" s="9" t="str" cm="1">
        <f t="array" aca="1" ref="V363" ca="1">z_score_diff(OFFSET(U363,0,0,$J$5*-1,1),OFFSET(E363,0,0,$J$5*-1,1))</f>
        <v/>
      </c>
      <c r="W363" s="9" t="str">
        <f t="shared" ca="1" si="356"/>
        <v/>
      </c>
      <c r="X363" s="17">
        <f t="shared" ca="1" si="351"/>
        <v>9.4523222721301009E-2</v>
      </c>
      <c r="Y363" s="13">
        <f t="shared" ref="Y363:Z363" ca="1" si="393">+Y362</f>
        <v>0</v>
      </c>
      <c r="Z363" s="13">
        <f t="shared" ca="1" si="393"/>
        <v>0</v>
      </c>
      <c r="AA363" t="str">
        <f t="shared" ca="1" si="358"/>
        <v/>
      </c>
      <c r="AB363" t="str">
        <f t="shared" ca="1" si="359"/>
        <v/>
      </c>
      <c r="AC363" s="24" t="str">
        <f t="shared" ca="1" si="360"/>
        <v/>
      </c>
      <c r="AD363" s="24" t="str">
        <f t="shared" ca="1" si="361"/>
        <v/>
      </c>
    </row>
    <row r="364" spans="3:30" x14ac:dyDescent="0.25">
      <c r="C364" s="6">
        <v>458</v>
      </c>
      <c r="D364" s="36">
        <v>42656</v>
      </c>
      <c r="E364" s="38">
        <v>16.114999999999998</v>
      </c>
      <c r="F364" s="38">
        <v>49.552470906828013</v>
      </c>
      <c r="G364" s="38">
        <v>34.5</v>
      </c>
      <c r="H364" s="38">
        <v>2.9420111541989269</v>
      </c>
      <c r="I364" s="38">
        <v>5.2043438923688301</v>
      </c>
      <c r="J364" s="10">
        <v>0</v>
      </c>
      <c r="K364" s="39">
        <v>0</v>
      </c>
      <c r="L364" s="39">
        <v>0</v>
      </c>
      <c r="M364" s="39">
        <v>0</v>
      </c>
      <c r="N364" s="39">
        <v>0</v>
      </c>
      <c r="O364" s="39">
        <v>0</v>
      </c>
      <c r="P364" s="39">
        <v>0</v>
      </c>
      <c r="Q364" s="39">
        <v>0</v>
      </c>
      <c r="R364" s="39">
        <v>0</v>
      </c>
      <c r="S364" s="39">
        <v>1</v>
      </c>
      <c r="T364" s="39">
        <v>0</v>
      </c>
      <c r="U364" s="29" cm="1">
        <f t="array" aca="1" ref="U364" ca="1">+fair_value_gap(OFFSET(T363,0,0,-1*$J$5,-1*$AA$1),OFFSET(E363,0,0,-1*$J$5,1),F364:T364,0)</f>
        <v>16.338051916868459</v>
      </c>
      <c r="V364" s="9" t="str" cm="1">
        <f t="array" aca="1" ref="V364" ca="1">z_score_diff(OFFSET(U364,0,0,$J$5*-1,1),OFFSET(E364,0,0,$J$5*-1,1))</f>
        <v/>
      </c>
      <c r="W364" s="9" t="str">
        <f t="shared" ca="1" si="356"/>
        <v/>
      </c>
      <c r="X364" s="17">
        <f t="shared" ca="1" si="351"/>
        <v>9.115522533974485E-2</v>
      </c>
      <c r="Y364" s="13">
        <f t="shared" ref="Y364:Z364" ca="1" si="394">+Y363</f>
        <v>0</v>
      </c>
      <c r="Z364" s="13">
        <f t="shared" ca="1" si="394"/>
        <v>0</v>
      </c>
      <c r="AA364" t="str">
        <f t="shared" ca="1" si="358"/>
        <v/>
      </c>
      <c r="AB364" t="str">
        <f t="shared" ca="1" si="359"/>
        <v/>
      </c>
      <c r="AC364" s="24" t="str">
        <f t="shared" ca="1" si="360"/>
        <v/>
      </c>
      <c r="AD364" s="24" t="str">
        <f t="shared" ca="1" si="361"/>
        <v/>
      </c>
    </row>
    <row r="365" spans="3:30" x14ac:dyDescent="0.25">
      <c r="C365" s="6">
        <v>459</v>
      </c>
      <c r="D365" s="36">
        <v>42657</v>
      </c>
      <c r="E365" s="38">
        <v>16.405999999999999</v>
      </c>
      <c r="F365" s="38">
        <v>49.790417496955364</v>
      </c>
      <c r="G365" s="38">
        <v>34.89</v>
      </c>
      <c r="H365" s="38">
        <v>2.969309660166052</v>
      </c>
      <c r="I365" s="38">
        <v>5.2911286605193926</v>
      </c>
      <c r="J365" s="10">
        <v>0</v>
      </c>
      <c r="K365" s="39">
        <v>0</v>
      </c>
      <c r="L365" s="39">
        <v>0</v>
      </c>
      <c r="M365" s="39">
        <v>0</v>
      </c>
      <c r="N365" s="39">
        <v>0</v>
      </c>
      <c r="O365" s="39">
        <v>0</v>
      </c>
      <c r="P365" s="39">
        <v>0</v>
      </c>
      <c r="Q365" s="39">
        <v>0</v>
      </c>
      <c r="R365" s="39">
        <v>0</v>
      </c>
      <c r="S365" s="39">
        <v>1</v>
      </c>
      <c r="T365" s="39">
        <v>0</v>
      </c>
      <c r="U365" s="29" cm="1">
        <f t="array" aca="1" ref="U365" ca="1">+fair_value_gap(OFFSET(T364,0,0,-1*$J$5,-1*$AA$1),OFFSET(E364,0,0,-1*$J$5,1),F365:T365,0)</f>
        <v>16.483871458591935</v>
      </c>
      <c r="V365" s="9" t="str" cm="1">
        <f t="array" aca="1" ref="V365" ca="1">z_score_diff(OFFSET(U365,0,0,$J$5*-1,1),OFFSET(E365,0,0,$J$5*-1,1))</f>
        <v/>
      </c>
      <c r="W365" s="9" t="str">
        <f t="shared" ca="1" si="356"/>
        <v/>
      </c>
      <c r="X365" s="17">
        <f t="shared" ca="1" si="351"/>
        <v>6.3639055420510141E-2</v>
      </c>
      <c r="Y365" s="13">
        <f t="shared" ref="Y365:Z365" ca="1" si="395">+Y364</f>
        <v>0</v>
      </c>
      <c r="Z365" s="13">
        <f t="shared" ca="1" si="395"/>
        <v>0</v>
      </c>
      <c r="AA365" t="str">
        <f t="shared" ca="1" si="358"/>
        <v/>
      </c>
      <c r="AB365" t="str">
        <f t="shared" ca="1" si="359"/>
        <v/>
      </c>
      <c r="AC365" s="24" t="str">
        <f t="shared" ca="1" si="360"/>
        <v/>
      </c>
      <c r="AD365" s="24" t="str">
        <f t="shared" ca="1" si="361"/>
        <v/>
      </c>
    </row>
    <row r="366" spans="3:30" x14ac:dyDescent="0.25">
      <c r="C366" s="6">
        <v>460</v>
      </c>
      <c r="D366" s="36">
        <v>42660</v>
      </c>
      <c r="E366" s="38">
        <v>16.516999999999999</v>
      </c>
      <c r="F366" s="38">
        <v>49.408661047642468</v>
      </c>
      <c r="G366" s="38">
        <v>35.36</v>
      </c>
      <c r="H366" s="38">
        <v>2.963625388450446</v>
      </c>
      <c r="I366" s="38">
        <v>5.3209327282076506</v>
      </c>
      <c r="J366" s="10">
        <v>0</v>
      </c>
      <c r="K366" s="39">
        <v>0</v>
      </c>
      <c r="L366" s="39">
        <v>0</v>
      </c>
      <c r="M366" s="39">
        <v>0</v>
      </c>
      <c r="N366" s="39">
        <v>0</v>
      </c>
      <c r="O366" s="39">
        <v>0</v>
      </c>
      <c r="P366" s="39">
        <v>0</v>
      </c>
      <c r="Q366" s="39">
        <v>0</v>
      </c>
      <c r="R366" s="39">
        <v>0</v>
      </c>
      <c r="S366" s="39">
        <v>1</v>
      </c>
      <c r="T366" s="39">
        <v>0</v>
      </c>
      <c r="U366" s="29" cm="1">
        <f t="array" aca="1" ref="U366" ca="1">+fair_value_gap(OFFSET(T365,0,0,-1*$J$5,-1*$AA$1),OFFSET(E365,0,0,-1*$J$5,1),F366:T366,0)</f>
        <v>16.649791331004863</v>
      </c>
      <c r="V366" s="9" t="str" cm="1">
        <f t="array" aca="1" ref="V366" ca="1">z_score_diff(OFFSET(U366,0,0,$J$5*-1,1),OFFSET(E366,0,0,$J$5*-1,1))</f>
        <v/>
      </c>
      <c r="W366" s="9" t="str">
        <f t="shared" ca="1" si="356"/>
        <v/>
      </c>
      <c r="X366" s="17">
        <f t="shared" ca="1" si="351"/>
        <v>5.9694665949038071E-2</v>
      </c>
      <c r="Y366" s="13">
        <f t="shared" ref="Y366:Z366" ca="1" si="396">+Y365</f>
        <v>0</v>
      </c>
      <c r="Z366" s="13">
        <f t="shared" ca="1" si="396"/>
        <v>0</v>
      </c>
      <c r="AA366" t="str">
        <f t="shared" ca="1" si="358"/>
        <v/>
      </c>
      <c r="AB366" t="str">
        <f t="shared" ca="1" si="359"/>
        <v/>
      </c>
      <c r="AC366" s="24" t="str">
        <f t="shared" ca="1" si="360"/>
        <v/>
      </c>
      <c r="AD366" s="24" t="str">
        <f t="shared" ca="1" si="361"/>
        <v/>
      </c>
    </row>
    <row r="367" spans="3:30" x14ac:dyDescent="0.25">
      <c r="C367" s="6">
        <v>461</v>
      </c>
      <c r="D367" s="36">
        <v>42661</v>
      </c>
      <c r="E367" s="38">
        <v>16.8</v>
      </c>
      <c r="F367" s="38">
        <v>49.917789316643294</v>
      </c>
      <c r="G367" s="38">
        <v>35.840000000000003</v>
      </c>
      <c r="H367" s="38">
        <v>2.9945297414507608</v>
      </c>
      <c r="I367" s="38">
        <v>5.4209769406873436</v>
      </c>
      <c r="J367" s="10">
        <v>0</v>
      </c>
      <c r="K367" s="39">
        <v>0</v>
      </c>
      <c r="L367" s="39">
        <v>0</v>
      </c>
      <c r="M367" s="39">
        <v>0</v>
      </c>
      <c r="N367" s="39">
        <v>0</v>
      </c>
      <c r="O367" s="39">
        <v>0</v>
      </c>
      <c r="P367" s="39">
        <v>0</v>
      </c>
      <c r="Q367" s="39">
        <v>0</v>
      </c>
      <c r="R367" s="39">
        <v>0</v>
      </c>
      <c r="S367" s="39">
        <v>1</v>
      </c>
      <c r="T367" s="39">
        <v>0</v>
      </c>
      <c r="U367" s="29" cm="1">
        <f t="array" aca="1" ref="U367" ca="1">+fair_value_gap(OFFSET(T366,0,0,-1*$J$5,-1*$AA$1),OFFSET(E366,0,0,-1*$J$5,1),F367:T367,0)</f>
        <v>16.869142345105843</v>
      </c>
      <c r="V367" s="9" t="str" cm="1">
        <f t="array" aca="1" ref="V367" ca="1">z_score_diff(OFFSET(U367,0,0,$J$5*-1,1),OFFSET(E367,0,0,$J$5*-1,1))</f>
        <v/>
      </c>
      <c r="W367" s="9" t="str">
        <f t="shared" ca="1" si="356"/>
        <v/>
      </c>
      <c r="X367" s="17">
        <f t="shared" ca="1" si="351"/>
        <v>3.710079371840122E-2</v>
      </c>
      <c r="Y367" s="13">
        <f t="shared" ref="Y367:Z367" ca="1" si="397">+Y366</f>
        <v>0</v>
      </c>
      <c r="Z367" s="13">
        <f t="shared" ca="1" si="397"/>
        <v>0</v>
      </c>
      <c r="AA367" t="str">
        <f t="shared" ca="1" si="358"/>
        <v/>
      </c>
      <c r="AB367" t="str">
        <f t="shared" ca="1" si="359"/>
        <v/>
      </c>
      <c r="AC367" s="24" t="str">
        <f t="shared" ca="1" si="360"/>
        <v/>
      </c>
      <c r="AD367" s="24" t="str">
        <f t="shared" ca="1" si="361"/>
        <v/>
      </c>
    </row>
    <row r="368" spans="3:30" x14ac:dyDescent="0.25">
      <c r="C368" s="6">
        <v>462</v>
      </c>
      <c r="D368" s="36">
        <v>42662</v>
      </c>
      <c r="E368" s="38">
        <v>16.765999999999998</v>
      </c>
      <c r="F368" s="38">
        <v>50.751087395184072</v>
      </c>
      <c r="G368" s="38">
        <v>35.1</v>
      </c>
      <c r="H368" s="38">
        <v>2.9783417783955874</v>
      </c>
      <c r="I368" s="38">
        <v>5.5154477377696063</v>
      </c>
      <c r="J368" s="10">
        <v>0</v>
      </c>
      <c r="K368" s="39">
        <v>0</v>
      </c>
      <c r="L368" s="39">
        <v>0</v>
      </c>
      <c r="M368" s="39">
        <v>0</v>
      </c>
      <c r="N368" s="39">
        <v>0</v>
      </c>
      <c r="O368" s="39">
        <v>0</v>
      </c>
      <c r="P368" s="39">
        <v>0</v>
      </c>
      <c r="Q368" s="39">
        <v>0</v>
      </c>
      <c r="R368" s="39">
        <v>0</v>
      </c>
      <c r="S368" s="39">
        <v>1</v>
      </c>
      <c r="T368" s="39">
        <v>0</v>
      </c>
      <c r="U368" s="29" cm="1">
        <f t="array" aca="1" ref="U368" ca="1">+fair_value_gap(OFFSET(T367,0,0,-1*$J$5,-1*$AA$1),OFFSET(E367,0,0,-1*$J$5,1),F368:T368,0)</f>
        <v>16.652219047257656</v>
      </c>
      <c r="V368" s="9" t="str" cm="1">
        <f t="array" aca="1" ref="V368" ca="1">z_score_diff(OFFSET(U368,0,0,$J$5*-1,1),OFFSET(E368,0,0,$J$5*-1,1))</f>
        <v/>
      </c>
      <c r="W368" s="9" t="str">
        <f t="shared" ca="1" si="356"/>
        <v/>
      </c>
      <c r="X368" s="17">
        <f t="shared" ca="1" si="351"/>
        <v>5.4268108943353932E-2</v>
      </c>
      <c r="Y368" s="13">
        <f t="shared" ref="Y368:Z368" ca="1" si="398">+Y367</f>
        <v>0</v>
      </c>
      <c r="Z368" s="13">
        <f t="shared" ca="1" si="398"/>
        <v>0</v>
      </c>
      <c r="AA368" t="str">
        <f t="shared" ca="1" si="358"/>
        <v/>
      </c>
      <c r="AB368" t="str">
        <f t="shared" ca="1" si="359"/>
        <v/>
      </c>
      <c r="AC368" s="24" t="str">
        <f t="shared" ca="1" si="360"/>
        <v/>
      </c>
      <c r="AD368" s="24" t="str">
        <f t="shared" ca="1" si="361"/>
        <v/>
      </c>
    </row>
    <row r="369" spans="3:30" x14ac:dyDescent="0.25">
      <c r="C369" s="6">
        <v>463</v>
      </c>
      <c r="D369" s="36">
        <v>42663</v>
      </c>
      <c r="E369" s="38">
        <v>16.725000000000001</v>
      </c>
      <c r="F369" s="38">
        <v>50.096394607662241</v>
      </c>
      <c r="G369" s="38">
        <v>35.04</v>
      </c>
      <c r="H369" s="38">
        <v>2.9935430913597667</v>
      </c>
      <c r="I369" s="38">
        <v>5.4902624345443707</v>
      </c>
      <c r="J369" s="10">
        <v>0</v>
      </c>
      <c r="K369" s="39">
        <v>0</v>
      </c>
      <c r="L369" s="39">
        <v>0</v>
      </c>
      <c r="M369" s="39">
        <v>0</v>
      </c>
      <c r="N369" s="39">
        <v>0</v>
      </c>
      <c r="O369" s="39">
        <v>0</v>
      </c>
      <c r="P369" s="39">
        <v>0</v>
      </c>
      <c r="Q369" s="39">
        <v>0</v>
      </c>
      <c r="R369" s="39">
        <v>0</v>
      </c>
      <c r="S369" s="39">
        <v>1</v>
      </c>
      <c r="T369" s="39">
        <v>0</v>
      </c>
      <c r="U369" s="29" cm="1">
        <f t="array" aca="1" ref="U369" ca="1">+fair_value_gap(OFFSET(T368,0,0,-1*$J$5,-1*$AA$1),OFFSET(E368,0,0,-1*$J$5,1),F369:T369,0)</f>
        <v>16.562933844364089</v>
      </c>
      <c r="V369" s="9" t="str" cm="1">
        <f t="array" aca="1" ref="V369" ca="1">z_score_diff(OFFSET(U369,0,0,$J$5*-1,1),OFFSET(E369,0,0,$J$5*-1,1))</f>
        <v/>
      </c>
      <c r="W369" s="9" t="str">
        <f t="shared" ca="1" si="356"/>
        <v/>
      </c>
      <c r="X369" s="17">
        <f t="shared" ca="1" si="351"/>
        <v>6.6554425056912947E-2</v>
      </c>
      <c r="Y369" s="13">
        <f t="shared" ref="Y369:Z369" ca="1" si="399">+Y368</f>
        <v>0</v>
      </c>
      <c r="Z369" s="13">
        <f t="shared" ca="1" si="399"/>
        <v>0</v>
      </c>
      <c r="AA369" t="str">
        <f t="shared" ca="1" si="358"/>
        <v/>
      </c>
      <c r="AB369" t="str">
        <f t="shared" ca="1" si="359"/>
        <v/>
      </c>
      <c r="AC369" s="24" t="str">
        <f t="shared" ca="1" si="360"/>
        <v/>
      </c>
      <c r="AD369" s="24" t="str">
        <f t="shared" ca="1" si="361"/>
        <v/>
      </c>
    </row>
    <row r="370" spans="3:30" x14ac:dyDescent="0.25">
      <c r="C370" s="6">
        <v>464</v>
      </c>
      <c r="D370" s="36">
        <v>42664</v>
      </c>
      <c r="E370" s="38">
        <v>16.713000000000001</v>
      </c>
      <c r="F370" s="38">
        <v>50.741925572484597</v>
      </c>
      <c r="G370" s="38">
        <v>35.14</v>
      </c>
      <c r="H370" s="38">
        <v>2.9722207160801752</v>
      </c>
      <c r="I370" s="38">
        <v>5.5124798930036691</v>
      </c>
      <c r="J370" s="10">
        <v>0</v>
      </c>
      <c r="K370" s="39">
        <v>0</v>
      </c>
      <c r="L370" s="39">
        <v>0</v>
      </c>
      <c r="M370" s="39">
        <v>0</v>
      </c>
      <c r="N370" s="39">
        <v>0</v>
      </c>
      <c r="O370" s="39">
        <v>0</v>
      </c>
      <c r="P370" s="39">
        <v>0</v>
      </c>
      <c r="Q370" s="39">
        <v>0</v>
      </c>
      <c r="R370" s="39">
        <v>0</v>
      </c>
      <c r="S370" s="39">
        <v>1</v>
      </c>
      <c r="T370" s="39">
        <v>0</v>
      </c>
      <c r="U370" s="29" cm="1">
        <f t="array" aca="1" ref="U370" ca="1">+fair_value_gap(OFFSET(T369,0,0,-1*$J$5,-1*$AA$1),OFFSET(E369,0,0,-1*$J$5,1),F370:T370,0)</f>
        <v>16.656831850739437</v>
      </c>
      <c r="V370" s="9" t="str" cm="1">
        <f t="array" aca="1" ref="V370" ca="1">z_score_diff(OFFSET(U370,0,0,$J$5*-1,1),OFFSET(E370,0,0,$J$5*-1,1))</f>
        <v/>
      </c>
      <c r="W370" s="9" t="str">
        <f t="shared" ca="1" si="356"/>
        <v/>
      </c>
      <c r="X370" s="17">
        <f t="shared" ca="1" si="351"/>
        <v>5.7547257036353112E-2</v>
      </c>
      <c r="Y370" s="13">
        <f t="shared" ref="Y370:Z370" ca="1" si="400">+Y369</f>
        <v>0</v>
      </c>
      <c r="Z370" s="13">
        <f t="shared" ca="1" si="400"/>
        <v>0</v>
      </c>
      <c r="AA370" t="str">
        <f t="shared" ca="1" si="358"/>
        <v/>
      </c>
      <c r="AB370" t="str">
        <f t="shared" ca="1" si="359"/>
        <v/>
      </c>
      <c r="AC370" s="24" t="str">
        <f t="shared" ca="1" si="360"/>
        <v/>
      </c>
      <c r="AD370" s="24" t="str">
        <f t="shared" ca="1" si="361"/>
        <v/>
      </c>
    </row>
    <row r="371" spans="3:30" x14ac:dyDescent="0.25">
      <c r="C371" s="6">
        <v>465</v>
      </c>
      <c r="D371" s="36">
        <v>42667</v>
      </c>
      <c r="E371" s="38">
        <v>16.927</v>
      </c>
      <c r="F371" s="38">
        <v>50.800652634718908</v>
      </c>
      <c r="G371" s="38">
        <v>35.53</v>
      </c>
      <c r="H371" s="38">
        <v>2.966685799771307</v>
      </c>
      <c r="I371" s="38">
        <v>5.604342461481445</v>
      </c>
      <c r="J371" s="10">
        <v>0</v>
      </c>
      <c r="K371" s="39">
        <v>0</v>
      </c>
      <c r="L371" s="39">
        <v>0</v>
      </c>
      <c r="M371" s="39">
        <v>0</v>
      </c>
      <c r="N371" s="39">
        <v>0</v>
      </c>
      <c r="O371" s="39">
        <v>0</v>
      </c>
      <c r="P371" s="39">
        <v>0</v>
      </c>
      <c r="Q371" s="39">
        <v>0</v>
      </c>
      <c r="R371" s="39">
        <v>0</v>
      </c>
      <c r="S371" s="39">
        <v>1</v>
      </c>
      <c r="T371" s="39">
        <v>0</v>
      </c>
      <c r="U371" s="29" cm="1">
        <f t="array" aca="1" ref="U371" ca="1">+fair_value_gap(OFFSET(T370,0,0,-1*$J$5,-1*$AA$1),OFFSET(E370,0,0,-1*$J$5,1),F371:T371,0)</f>
        <v>16.814244809926961</v>
      </c>
      <c r="V371" s="9" t="str" cm="1">
        <f t="array" aca="1" ref="V371" ca="1">z_score_diff(OFFSET(U371,0,0,$J$5*-1,1),OFFSET(E371,0,0,$J$5*-1,1))</f>
        <v/>
      </c>
      <c r="W371" s="9" t="str">
        <f t="shared" ca="1" si="356"/>
        <v/>
      </c>
      <c r="X371" s="17">
        <f t="shared" ca="1" si="351"/>
        <v>1.8902163270408699E-2</v>
      </c>
      <c r="Y371" s="13">
        <f t="shared" ref="Y371:Z371" ca="1" si="401">+Y370</f>
        <v>0</v>
      </c>
      <c r="Z371" s="13">
        <f t="shared" ca="1" si="401"/>
        <v>0</v>
      </c>
      <c r="AA371" t="str">
        <f t="shared" ca="1" si="358"/>
        <v/>
      </c>
      <c r="AB371" t="str">
        <f t="shared" ca="1" si="359"/>
        <v/>
      </c>
      <c r="AC371" s="24" t="str">
        <f t="shared" ca="1" si="360"/>
        <v/>
      </c>
      <c r="AD371" s="24" t="str">
        <f t="shared" ca="1" si="361"/>
        <v/>
      </c>
    </row>
    <row r="372" spans="3:30" x14ac:dyDescent="0.25">
      <c r="C372" s="6">
        <v>466</v>
      </c>
      <c r="D372" s="36">
        <v>42668</v>
      </c>
      <c r="E372" s="38">
        <v>16.989999999999998</v>
      </c>
      <c r="F372" s="38">
        <v>50.381224253812249</v>
      </c>
      <c r="G372" s="38">
        <v>36.08</v>
      </c>
      <c r="H372" s="38">
        <v>2.8718291537182914</v>
      </c>
      <c r="I372" s="38">
        <v>5.6460938064609385</v>
      </c>
      <c r="J372" s="10">
        <v>0</v>
      </c>
      <c r="K372" s="39">
        <v>0</v>
      </c>
      <c r="L372" s="39">
        <v>0</v>
      </c>
      <c r="M372" s="39">
        <v>0</v>
      </c>
      <c r="N372" s="39">
        <v>0</v>
      </c>
      <c r="O372" s="39">
        <v>0</v>
      </c>
      <c r="P372" s="39">
        <v>0</v>
      </c>
      <c r="Q372" s="39">
        <v>0</v>
      </c>
      <c r="R372" s="39">
        <v>0</v>
      </c>
      <c r="S372" s="39">
        <v>1</v>
      </c>
      <c r="T372" s="39">
        <v>0</v>
      </c>
      <c r="U372" s="29" cm="1">
        <f t="array" aca="1" ref="U372" ca="1">+fair_value_gap(OFFSET(T371,0,0,-1*$J$5,-1*$AA$1),OFFSET(E371,0,0,-1*$J$5,1),F372:T372,0)</f>
        <v>16.966638659662788</v>
      </c>
      <c r="V372" s="9" t="str" cm="1">
        <f t="array" aca="1" ref="V372" ca="1">z_score_diff(OFFSET(U372,0,0,$J$5*-1,1),OFFSET(E372,0,0,$J$5*-1,1))</f>
        <v/>
      </c>
      <c r="W372" s="9" t="str">
        <f t="shared" ca="1" si="356"/>
        <v/>
      </c>
      <c r="X372" s="17">
        <f t="shared" ca="1" si="351"/>
        <v>-1.4226677412765088E-2</v>
      </c>
      <c r="Y372" s="13">
        <f t="shared" ref="Y372:Z372" ca="1" si="402">+Y371</f>
        <v>0</v>
      </c>
      <c r="Z372" s="13">
        <f t="shared" ca="1" si="402"/>
        <v>0</v>
      </c>
      <c r="AA372" t="str">
        <f t="shared" ca="1" si="358"/>
        <v/>
      </c>
      <c r="AB372" t="str">
        <f t="shared" ca="1" si="359"/>
        <v/>
      </c>
      <c r="AC372" s="24" t="str">
        <f t="shared" ca="1" si="360"/>
        <v/>
      </c>
      <c r="AD372" s="24" t="str">
        <f t="shared" ca="1" si="361"/>
        <v/>
      </c>
    </row>
    <row r="373" spans="3:30" x14ac:dyDescent="0.25">
      <c r="C373" s="6">
        <v>467</v>
      </c>
      <c r="D373" s="36">
        <v>42669</v>
      </c>
      <c r="E373" s="38">
        <v>16.847999999999999</v>
      </c>
      <c r="F373" s="38">
        <v>49.440259836232514</v>
      </c>
      <c r="G373" s="38">
        <v>36.659999999999997</v>
      </c>
      <c r="H373" s="38">
        <v>2.7504862016073939</v>
      </c>
      <c r="I373" s="38">
        <v>5.6325487418237916</v>
      </c>
      <c r="J373" s="10">
        <v>0</v>
      </c>
      <c r="K373" s="39">
        <v>0</v>
      </c>
      <c r="L373" s="39">
        <v>0</v>
      </c>
      <c r="M373" s="39">
        <v>0</v>
      </c>
      <c r="N373" s="39">
        <v>0</v>
      </c>
      <c r="O373" s="39">
        <v>0</v>
      </c>
      <c r="P373" s="39">
        <v>0</v>
      </c>
      <c r="Q373" s="39">
        <v>0</v>
      </c>
      <c r="R373" s="39">
        <v>0</v>
      </c>
      <c r="S373" s="39">
        <v>1</v>
      </c>
      <c r="T373" s="39">
        <v>0</v>
      </c>
      <c r="U373" s="29" cm="1">
        <f t="array" aca="1" ref="U373" ca="1">+fair_value_gap(OFFSET(T372,0,0,-1*$J$5,-1*$AA$1),OFFSET(E372,0,0,-1*$J$5,1),F373:T373,0)</f>
        <v>17.071849424934705</v>
      </c>
      <c r="V373" s="9" t="str" cm="1">
        <f t="array" aca="1" ref="V373" ca="1">z_score_diff(OFFSET(U373,0,0,$J$5*-1,1),OFFSET(E373,0,0,$J$5*-1,1))</f>
        <v/>
      </c>
      <c r="W373" s="9" t="str">
        <f t="shared" ca="1" si="356"/>
        <v/>
      </c>
      <c r="X373" s="17">
        <f t="shared" ca="1" si="351"/>
        <v>-6.6698675091072177E-3</v>
      </c>
      <c r="Y373" s="13">
        <f t="shared" ref="Y373:Z373" ca="1" si="403">+Y372</f>
        <v>0</v>
      </c>
      <c r="Z373" s="13">
        <f t="shared" ca="1" si="403"/>
        <v>0</v>
      </c>
      <c r="AA373" t="str">
        <f t="shared" ca="1" si="358"/>
        <v/>
      </c>
      <c r="AB373" t="str">
        <f t="shared" ca="1" si="359"/>
        <v/>
      </c>
      <c r="AC373" s="24" t="str">
        <f t="shared" ca="1" si="360"/>
        <v/>
      </c>
      <c r="AD373" s="24" t="str">
        <f t="shared" ca="1" si="361"/>
        <v/>
      </c>
    </row>
    <row r="374" spans="3:30" x14ac:dyDescent="0.25">
      <c r="C374" s="6">
        <v>468</v>
      </c>
      <c r="D374" s="36">
        <v>42670</v>
      </c>
      <c r="E374" s="38">
        <v>17.138000000000002</v>
      </c>
      <c r="F374" s="38">
        <v>49.825017137496843</v>
      </c>
      <c r="G374" s="38">
        <v>35.950000000000003</v>
      </c>
      <c r="H374" s="38">
        <v>2.8096475087491428</v>
      </c>
      <c r="I374" s="38">
        <v>5.6824331637623109</v>
      </c>
      <c r="J374" s="10">
        <v>0</v>
      </c>
      <c r="K374" s="39">
        <v>0</v>
      </c>
      <c r="L374" s="39">
        <v>0</v>
      </c>
      <c r="M374" s="39">
        <v>0</v>
      </c>
      <c r="N374" s="39">
        <v>0</v>
      </c>
      <c r="O374" s="39">
        <v>0</v>
      </c>
      <c r="P374" s="39">
        <v>0</v>
      </c>
      <c r="Q374" s="39">
        <v>0</v>
      </c>
      <c r="R374" s="39">
        <v>0</v>
      </c>
      <c r="S374" s="39">
        <v>1</v>
      </c>
      <c r="T374" s="39">
        <v>0</v>
      </c>
      <c r="U374" s="29" cm="1">
        <f t="array" aca="1" ref="U374" ca="1">+fair_value_gap(OFFSET(T373,0,0,-1*$J$5,-1*$AA$1),OFFSET(E373,0,0,-1*$J$5,1),F374:T374,0)</f>
        <v>16.842179472398058</v>
      </c>
      <c r="V374" s="9" t="str" cm="1">
        <f t="array" aca="1" ref="V374" ca="1">z_score_diff(OFFSET(U374,0,0,$J$5*-1,1),OFFSET(E374,0,0,$J$5*-1,1))</f>
        <v/>
      </c>
      <c r="W374" s="9" t="str">
        <f t="shared" ca="1" si="356"/>
        <v/>
      </c>
      <c r="X374" s="17">
        <f t="shared" ca="1" si="351"/>
        <v>-1.3156538886896565E-2</v>
      </c>
      <c r="Y374" s="13">
        <f t="shared" ref="Y374:Z374" ca="1" si="404">+Y373</f>
        <v>0</v>
      </c>
      <c r="Z374" s="13">
        <f t="shared" ca="1" si="404"/>
        <v>0</v>
      </c>
      <c r="AA374" t="str">
        <f t="shared" ca="1" si="358"/>
        <v/>
      </c>
      <c r="AB374" t="str">
        <f t="shared" ca="1" si="359"/>
        <v/>
      </c>
      <c r="AC374" s="24" t="str">
        <f t="shared" ca="1" si="360"/>
        <v/>
      </c>
      <c r="AD374" s="24" t="str">
        <f t="shared" ca="1" si="361"/>
        <v/>
      </c>
    </row>
    <row r="375" spans="3:30" x14ac:dyDescent="0.25">
      <c r="C375" s="6">
        <v>469</v>
      </c>
      <c r="D375" s="36">
        <v>42671</v>
      </c>
      <c r="E375" s="38">
        <v>17.071000000000002</v>
      </c>
      <c r="F375" s="38">
        <v>48.693565429180317</v>
      </c>
      <c r="G375" s="38">
        <v>35.79</v>
      </c>
      <c r="H375" s="38">
        <v>2.8591128064614337</v>
      </c>
      <c r="I375" s="38">
        <v>5.6412185031966899</v>
      </c>
      <c r="J375" s="10">
        <v>0</v>
      </c>
      <c r="K375" s="39">
        <v>0</v>
      </c>
      <c r="L375" s="39">
        <v>0</v>
      </c>
      <c r="M375" s="39">
        <v>0</v>
      </c>
      <c r="N375" s="39">
        <v>0</v>
      </c>
      <c r="O375" s="39">
        <v>0</v>
      </c>
      <c r="P375" s="39">
        <v>0</v>
      </c>
      <c r="Q375" s="39">
        <v>0</v>
      </c>
      <c r="R375" s="39">
        <v>0</v>
      </c>
      <c r="S375" s="39">
        <v>1</v>
      </c>
      <c r="T375" s="39">
        <v>0</v>
      </c>
      <c r="U375" s="29" cm="1">
        <f t="array" aca="1" ref="U375" ca="1">+fair_value_gap(OFFSET(T374,0,0,-1*$J$5,-1*$AA$1),OFFSET(E374,0,0,-1*$J$5,1),F375:T375,0)</f>
        <v>16.710403982711274</v>
      </c>
      <c r="V375" s="9" t="str" cm="1">
        <f t="array" aca="1" ref="V375" ca="1">z_score_diff(OFFSET(U375,0,0,$J$5*-1,1),OFFSET(E375,0,0,$J$5*-1,1))</f>
        <v/>
      </c>
      <c r="W375" s="9" t="str">
        <f t="shared" ca="1" si="356"/>
        <v/>
      </c>
      <c r="X375" s="17">
        <f t="shared" ca="1" si="351"/>
        <v>-9.4168196310681004E-3</v>
      </c>
      <c r="Y375" s="13">
        <f t="shared" ref="Y375:Z375" ca="1" si="405">+Y374</f>
        <v>0</v>
      </c>
      <c r="Z375" s="13">
        <f t="shared" ca="1" si="405"/>
        <v>0</v>
      </c>
      <c r="AA375" t="str">
        <f t="shared" ca="1" si="358"/>
        <v/>
      </c>
      <c r="AB375" t="str">
        <f t="shared" ca="1" si="359"/>
        <v/>
      </c>
      <c r="AC375" s="24" t="str">
        <f t="shared" ca="1" si="360"/>
        <v/>
      </c>
      <c r="AD375" s="24" t="str">
        <f t="shared" ca="1" si="361"/>
        <v/>
      </c>
    </row>
    <row r="376" spans="3:30" x14ac:dyDescent="0.25">
      <c r="C376" s="6">
        <v>470</v>
      </c>
      <c r="D376" s="36">
        <v>42674</v>
      </c>
      <c r="E376" s="38">
        <v>17.594000000000001</v>
      </c>
      <c r="F376" s="38">
        <v>47.139451674900705</v>
      </c>
      <c r="G376" s="38">
        <v>36.64</v>
      </c>
      <c r="H376" s="38">
        <v>2.8394671612758269</v>
      </c>
      <c r="I376" s="38">
        <v>5.6395470101001601</v>
      </c>
      <c r="J376" s="10">
        <v>0</v>
      </c>
      <c r="K376" s="39">
        <v>0</v>
      </c>
      <c r="L376" s="39">
        <v>0</v>
      </c>
      <c r="M376" s="39">
        <v>0</v>
      </c>
      <c r="N376" s="39">
        <v>0</v>
      </c>
      <c r="O376" s="39">
        <v>0</v>
      </c>
      <c r="P376" s="39">
        <v>0</v>
      </c>
      <c r="Q376" s="39">
        <v>0</v>
      </c>
      <c r="R376" s="39">
        <v>0</v>
      </c>
      <c r="S376" s="39">
        <v>1</v>
      </c>
      <c r="T376" s="39">
        <v>0</v>
      </c>
      <c r="U376" s="29" cm="1">
        <f t="array" aca="1" ref="U376" ca="1">+fair_value_gap(OFFSET(T375,0,0,-1*$J$5,-1*$AA$1),OFFSET(E375,0,0,-1*$J$5,1),F376:T376,0)</f>
        <v>16.908206841908989</v>
      </c>
      <c r="V376" s="9" t="str" cm="1">
        <f t="array" aca="1" ref="V376" ca="1">z_score_diff(OFFSET(U376,0,0,$J$5*-1,1),OFFSET(E376,0,0,$J$5*-1,1))</f>
        <v/>
      </c>
      <c r="W376" s="9" t="str">
        <f t="shared" ca="1" si="356"/>
        <v/>
      </c>
      <c r="X376" s="17">
        <f t="shared" ca="1" si="351"/>
        <v>-8.7341785439514728E-3</v>
      </c>
      <c r="Y376" s="13">
        <f t="shared" ref="Y376:Z376" ca="1" si="406">+Y375</f>
        <v>0</v>
      </c>
      <c r="Z376" s="13">
        <f t="shared" ca="1" si="406"/>
        <v>0</v>
      </c>
      <c r="AA376" t="str">
        <f t="shared" ca="1" si="358"/>
        <v/>
      </c>
      <c r="AB376" t="str">
        <f t="shared" ca="1" si="359"/>
        <v/>
      </c>
      <c r="AC376" s="24" t="str">
        <f t="shared" ca="1" si="360"/>
        <v/>
      </c>
      <c r="AD376" s="24" t="str">
        <f t="shared" ca="1" si="361"/>
        <v/>
      </c>
    </row>
    <row r="377" spans="3:30" x14ac:dyDescent="0.25">
      <c r="C377" s="6">
        <v>471</v>
      </c>
      <c r="D377" s="36">
        <v>42675</v>
      </c>
      <c r="E377" s="38">
        <v>17.966999999999999</v>
      </c>
      <c r="F377" s="38">
        <v>46.923545049806222</v>
      </c>
      <c r="G377" s="38">
        <v>37.1</v>
      </c>
      <c r="H377" s="38">
        <v>2.764343088163594</v>
      </c>
      <c r="I377" s="38">
        <v>5.756453099587528</v>
      </c>
      <c r="J377" s="10">
        <v>0</v>
      </c>
      <c r="K377" s="39">
        <v>0</v>
      </c>
      <c r="L377" s="39">
        <v>0</v>
      </c>
      <c r="M377" s="39">
        <v>0</v>
      </c>
      <c r="N377" s="39">
        <v>0</v>
      </c>
      <c r="O377" s="39">
        <v>0</v>
      </c>
      <c r="P377" s="39">
        <v>0</v>
      </c>
      <c r="Q377" s="39">
        <v>0</v>
      </c>
      <c r="R377" s="39">
        <v>0</v>
      </c>
      <c r="S377" s="39">
        <v>0</v>
      </c>
      <c r="T377" s="39">
        <v>1</v>
      </c>
      <c r="U377" s="29" cm="1">
        <f t="array" aca="1" ref="U377" ca="1">+fair_value_gap(OFFSET(T376,0,0,-1*$J$5,-1*$AA$1),OFFSET(E376,0,0,-1*$J$5,1),F377:T377,0)</f>
        <v>18.521570836292565</v>
      </c>
      <c r="V377" s="9" t="str" cm="1">
        <f t="array" aca="1" ref="V377" ca="1">z_score_diff(OFFSET(U377,0,0,$J$5*-1,1),OFFSET(E377,0,0,$J$5*-1,1))</f>
        <v/>
      </c>
      <c r="W377" s="9" t="str">
        <f t="shared" ca="1" si="356"/>
        <v/>
      </c>
      <c r="X377" s="17">
        <f t="shared" ca="1" si="351"/>
        <v>-2.1206183200968204E-2</v>
      </c>
      <c r="Y377" s="13">
        <f t="shared" ref="Y377:Z377" ca="1" si="407">+Y376</f>
        <v>0</v>
      </c>
      <c r="Z377" s="13">
        <f t="shared" ca="1" si="407"/>
        <v>0</v>
      </c>
      <c r="AA377" t="str">
        <f t="shared" ca="1" si="358"/>
        <v/>
      </c>
      <c r="AB377" t="str">
        <f t="shared" ca="1" si="359"/>
        <v/>
      </c>
      <c r="AC377" s="24" t="str">
        <f t="shared" ca="1" si="360"/>
        <v/>
      </c>
      <c r="AD377" s="24" t="str">
        <f t="shared" ca="1" si="361"/>
        <v/>
      </c>
    </row>
    <row r="378" spans="3:30" x14ac:dyDescent="0.25">
      <c r="C378" s="6">
        <v>472</v>
      </c>
      <c r="D378" s="36">
        <v>42676</v>
      </c>
      <c r="E378" s="38">
        <v>17.989999999999998</v>
      </c>
      <c r="F378" s="38">
        <v>45.900494885474679</v>
      </c>
      <c r="G378" s="38">
        <v>37.35</v>
      </c>
      <c r="H378" s="38">
        <v>2.6843948948656293</v>
      </c>
      <c r="I378" s="38">
        <v>5.6877277970420268</v>
      </c>
      <c r="J378" s="10">
        <v>0</v>
      </c>
      <c r="K378" s="39">
        <v>0</v>
      </c>
      <c r="L378" s="39">
        <v>0</v>
      </c>
      <c r="M378" s="39">
        <v>0</v>
      </c>
      <c r="N378" s="39">
        <v>0</v>
      </c>
      <c r="O378" s="39">
        <v>0</v>
      </c>
      <c r="P378" s="39">
        <v>0</v>
      </c>
      <c r="Q378" s="39">
        <v>0</v>
      </c>
      <c r="R378" s="39">
        <v>0</v>
      </c>
      <c r="S378" s="39">
        <v>0</v>
      </c>
      <c r="T378" s="39">
        <v>1</v>
      </c>
      <c r="U378" s="29" cm="1">
        <f t="array" aca="1" ref="U378" ca="1">+fair_value_gap(OFFSET(T377,0,0,-1*$J$5,-1*$AA$1),OFFSET(E377,0,0,-1*$J$5,1),F378:T378,0)</f>
        <v>18.474827002959632</v>
      </c>
      <c r="V378" s="9" t="str" cm="1">
        <f t="array" aca="1" ref="V378" ca="1">z_score_diff(OFFSET(U378,0,0,$J$5*-1,1),OFFSET(E378,0,0,$J$5*-1,1))</f>
        <v/>
      </c>
      <c r="W378" s="9" t="str">
        <f t="shared" ca="1" si="356"/>
        <v/>
      </c>
      <c r="X378" s="17">
        <f t="shared" ca="1" si="351"/>
        <v>-1.8230767151333128E-2</v>
      </c>
      <c r="Y378" s="13">
        <f t="shared" ref="Y378:Z378" ca="1" si="408">+Y377</f>
        <v>0</v>
      </c>
      <c r="Z378" s="13">
        <f t="shared" ca="1" si="408"/>
        <v>0</v>
      </c>
      <c r="AA378" t="str">
        <f t="shared" ca="1" si="358"/>
        <v/>
      </c>
      <c r="AB378" t="str">
        <f t="shared" ca="1" si="359"/>
        <v/>
      </c>
      <c r="AC378" s="24" t="str">
        <f t="shared" ca="1" si="360"/>
        <v/>
      </c>
      <c r="AD378" s="24" t="str">
        <f t="shared" ca="1" si="361"/>
        <v/>
      </c>
    </row>
    <row r="379" spans="3:30" x14ac:dyDescent="0.25">
      <c r="C379" s="6">
        <v>473</v>
      </c>
      <c r="D379" s="36">
        <v>42677</v>
      </c>
      <c r="E379" s="38">
        <v>17.849</v>
      </c>
      <c r="F379" s="38">
        <v>45.488039904772698</v>
      </c>
      <c r="G379" s="38">
        <v>37.65</v>
      </c>
      <c r="H379" s="38">
        <v>2.6818104523296675</v>
      </c>
      <c r="I379" s="38">
        <v>5.5974379322072325</v>
      </c>
      <c r="J379" s="10">
        <v>0</v>
      </c>
      <c r="K379" s="39">
        <v>0</v>
      </c>
      <c r="L379" s="39">
        <v>0</v>
      </c>
      <c r="M379" s="39">
        <v>0</v>
      </c>
      <c r="N379" s="39">
        <v>0</v>
      </c>
      <c r="O379" s="39">
        <v>0</v>
      </c>
      <c r="P379" s="39">
        <v>0</v>
      </c>
      <c r="Q379" s="39">
        <v>0</v>
      </c>
      <c r="R379" s="39">
        <v>0</v>
      </c>
      <c r="S379" s="39">
        <v>0</v>
      </c>
      <c r="T379" s="39">
        <v>1</v>
      </c>
      <c r="U379" s="29" cm="1">
        <f t="array" aca="1" ref="U379" ca="1">+fair_value_gap(OFFSET(T378,0,0,-1*$J$5,-1*$AA$1),OFFSET(E378,0,0,-1*$J$5,1),F379:T379,0)</f>
        <v>18.499062904571353</v>
      </c>
      <c r="V379" s="9" t="str" cm="1">
        <f t="array" aca="1" ref="V379" ca="1">z_score_diff(OFFSET(U379,0,0,$J$5*-1,1),OFFSET(E379,0,0,$J$5*-1,1))</f>
        <v/>
      </c>
      <c r="W379" s="9" t="str">
        <f t="shared" ca="1" si="356"/>
        <v/>
      </c>
      <c r="X379" s="17">
        <f t="shared" ca="1" si="351"/>
        <v>-9.1741180938274304E-3</v>
      </c>
      <c r="Y379" s="13">
        <f t="shared" ref="Y379:Z379" ca="1" si="409">+Y378</f>
        <v>0</v>
      </c>
      <c r="Z379" s="13">
        <f t="shared" ca="1" si="409"/>
        <v>0</v>
      </c>
      <c r="AA379" t="str">
        <f t="shared" ca="1" si="358"/>
        <v/>
      </c>
      <c r="AB379" t="str">
        <f t="shared" ca="1" si="359"/>
        <v/>
      </c>
      <c r="AC379" s="24" t="str">
        <f t="shared" ca="1" si="360"/>
        <v/>
      </c>
      <c r="AD379" s="24" t="str">
        <f t="shared" ca="1" si="361"/>
        <v/>
      </c>
    </row>
    <row r="380" spans="3:30" x14ac:dyDescent="0.25">
      <c r="C380" s="6">
        <v>474</v>
      </c>
      <c r="D380" s="36">
        <v>42678</v>
      </c>
      <c r="E380" s="38">
        <v>17.478000000000002</v>
      </c>
      <c r="F380" s="38">
        <v>44.902332132525423</v>
      </c>
      <c r="G380" s="38">
        <v>37.770000000000003</v>
      </c>
      <c r="H380" s="38">
        <v>2.674901114262668</v>
      </c>
      <c r="I380" s="38">
        <v>5.5774909409897928</v>
      </c>
      <c r="J380" s="10">
        <v>0</v>
      </c>
      <c r="K380" s="39">
        <v>0</v>
      </c>
      <c r="L380" s="39">
        <v>0</v>
      </c>
      <c r="M380" s="39">
        <v>0</v>
      </c>
      <c r="N380" s="39">
        <v>0</v>
      </c>
      <c r="O380" s="39">
        <v>0</v>
      </c>
      <c r="P380" s="39">
        <v>0</v>
      </c>
      <c r="Q380" s="39">
        <v>0</v>
      </c>
      <c r="R380" s="39">
        <v>0</v>
      </c>
      <c r="S380" s="39">
        <v>0</v>
      </c>
      <c r="T380" s="39">
        <v>1</v>
      </c>
      <c r="U380" s="29" cm="1">
        <f t="array" aca="1" ref="U380" ca="1">+fair_value_gap(OFFSET(T379,0,0,-1*$J$5,-1*$AA$1),OFFSET(E379,0,0,-1*$J$5,1),F380:T380,0)</f>
        <v>18.422648345049232</v>
      </c>
      <c r="V380" s="9" t="str" cm="1">
        <f t="array" aca="1" ref="V380" ca="1">z_score_diff(OFFSET(U380,0,0,$J$5*-1,1),OFFSET(E380,0,0,$J$5*-1,1))</f>
        <v/>
      </c>
      <c r="W380" s="9" t="str">
        <f t="shared" ca="1" si="356"/>
        <v/>
      </c>
      <c r="X380" s="17">
        <f t="shared" ca="1" si="351"/>
        <v>2.2963511166381661E-2</v>
      </c>
      <c r="Y380" s="13">
        <f t="shared" ref="Y380:Z380" ca="1" si="410">+Y379</f>
        <v>0</v>
      </c>
      <c r="Z380" s="13">
        <f t="shared" ca="1" si="410"/>
        <v>0</v>
      </c>
      <c r="AA380" t="str">
        <f t="shared" ca="1" si="358"/>
        <v/>
      </c>
      <c r="AB380" t="str">
        <f t="shared" ca="1" si="359"/>
        <v/>
      </c>
      <c r="AC380" s="24" t="str">
        <f t="shared" ca="1" si="360"/>
        <v/>
      </c>
      <c r="AD380" s="24" t="str">
        <f t="shared" ca="1" si="361"/>
        <v/>
      </c>
    </row>
    <row r="381" spans="3:30" x14ac:dyDescent="0.25">
      <c r="C381" s="6">
        <v>475</v>
      </c>
      <c r="D381" s="36">
        <v>42681</v>
      </c>
      <c r="E381" s="38">
        <v>17.327999999999999</v>
      </c>
      <c r="F381" s="38">
        <v>45.917403898570193</v>
      </c>
      <c r="G381" s="38">
        <v>37.979999999999997</v>
      </c>
      <c r="H381" s="38">
        <v>2.7452461457884252</v>
      </c>
      <c r="I381" s="38">
        <v>5.5047440561234486</v>
      </c>
      <c r="J381" s="10">
        <v>0</v>
      </c>
      <c r="K381" s="39">
        <v>0</v>
      </c>
      <c r="L381" s="39">
        <v>0</v>
      </c>
      <c r="M381" s="39">
        <v>0</v>
      </c>
      <c r="N381" s="39">
        <v>0</v>
      </c>
      <c r="O381" s="39">
        <v>0</v>
      </c>
      <c r="P381" s="39">
        <v>0</v>
      </c>
      <c r="Q381" s="39">
        <v>0</v>
      </c>
      <c r="R381" s="39">
        <v>0</v>
      </c>
      <c r="S381" s="39">
        <v>0</v>
      </c>
      <c r="T381" s="39">
        <v>1</v>
      </c>
      <c r="U381" s="29" cm="1">
        <f t="array" aca="1" ref="U381" ca="1">+fair_value_gap(OFFSET(T380,0,0,-1*$J$5,-1*$AA$1),OFFSET(E380,0,0,-1*$J$5,1),F381:T381,0)</f>
        <v>18.459063520726492</v>
      </c>
      <c r="V381" s="9" t="str" cm="1">
        <f t="array" aca="1" ref="V381" ca="1">z_score_diff(OFFSET(U381,0,0,$J$5*-1,1),OFFSET(E381,0,0,$J$5*-1,1))</f>
        <v/>
      </c>
      <c r="W381" s="9" t="str">
        <f t="shared" ca="1" si="356"/>
        <v/>
      </c>
      <c r="X381" s="17">
        <f t="shared" ca="1" si="351"/>
        <v>3.1526850647264446E-2</v>
      </c>
      <c r="Y381" s="13">
        <f t="shared" ref="Y381:Z381" ca="1" si="411">+Y380</f>
        <v>0</v>
      </c>
      <c r="Z381" s="13">
        <f t="shared" ca="1" si="411"/>
        <v>0</v>
      </c>
      <c r="AA381" t="str">
        <f t="shared" ca="1" si="358"/>
        <v/>
      </c>
      <c r="AB381" t="str">
        <f t="shared" ca="1" si="359"/>
        <v/>
      </c>
      <c r="AC381" s="24" t="str">
        <f t="shared" ca="1" si="360"/>
        <v/>
      </c>
      <c r="AD381" s="24" t="str">
        <f t="shared" ca="1" si="361"/>
        <v/>
      </c>
    </row>
    <row r="382" spans="3:30" x14ac:dyDescent="0.25">
      <c r="C382" s="6">
        <v>476</v>
      </c>
      <c r="D382" s="36">
        <v>42682</v>
      </c>
      <c r="E382" s="38">
        <v>17.183</v>
      </c>
      <c r="F382" s="38">
        <v>46.147706586649932</v>
      </c>
      <c r="G382" s="38">
        <v>36.54</v>
      </c>
      <c r="H382" s="38">
        <v>2.6542296707701731</v>
      </c>
      <c r="I382" s="38">
        <v>5.5173694468078267</v>
      </c>
      <c r="J382" s="10">
        <v>0</v>
      </c>
      <c r="K382" s="39">
        <v>0</v>
      </c>
      <c r="L382" s="39">
        <v>0</v>
      </c>
      <c r="M382" s="39">
        <v>0</v>
      </c>
      <c r="N382" s="39">
        <v>0</v>
      </c>
      <c r="O382" s="39">
        <v>0</v>
      </c>
      <c r="P382" s="39">
        <v>0</v>
      </c>
      <c r="Q382" s="39">
        <v>0</v>
      </c>
      <c r="R382" s="39">
        <v>0</v>
      </c>
      <c r="S382" s="39">
        <v>0</v>
      </c>
      <c r="T382" s="39">
        <v>1</v>
      </c>
      <c r="U382" s="29" cm="1">
        <f t="array" aca="1" ref="U382" ca="1">+fair_value_gap(OFFSET(T381,0,0,-1*$J$5,-1*$AA$1),OFFSET(E381,0,0,-1*$J$5,1),F382:T382,0)</f>
        <v>17.813193302546015</v>
      </c>
      <c r="V382" s="9" t="str" cm="1">
        <f t="array" aca="1" ref="V382" ca="1">z_score_diff(OFFSET(U382,0,0,$J$5*-1,1),OFFSET(E382,0,0,$J$5*-1,1))</f>
        <v/>
      </c>
      <c r="W382" s="9" t="str">
        <f t="shared" ca="1" si="356"/>
        <v/>
      </c>
      <c r="X382" s="17">
        <f t="shared" ca="1" si="351"/>
        <v>5.2101906440370979E-2</v>
      </c>
      <c r="Y382" s="13">
        <f t="shared" ref="Y382:Z382" ca="1" si="412">+Y381</f>
        <v>0</v>
      </c>
      <c r="Z382" s="13">
        <f t="shared" ca="1" si="412"/>
        <v>0</v>
      </c>
      <c r="AA382" t="str">
        <f t="shared" ca="1" si="358"/>
        <v/>
      </c>
      <c r="AB382" t="str">
        <f t="shared" ca="1" si="359"/>
        <v/>
      </c>
      <c r="AC382" s="24" t="str">
        <f t="shared" ca="1" si="360"/>
        <v/>
      </c>
      <c r="AD382" s="24" t="str">
        <f t="shared" ca="1" si="361"/>
        <v/>
      </c>
    </row>
    <row r="383" spans="3:30" x14ac:dyDescent="0.25">
      <c r="C383" s="6">
        <v>477</v>
      </c>
      <c r="D383" s="36">
        <v>42683</v>
      </c>
      <c r="E383" s="38">
        <v>17.222999999999999</v>
      </c>
      <c r="F383" s="38">
        <v>46.898736572364605</v>
      </c>
      <c r="G383" s="38">
        <v>37.950000000000003</v>
      </c>
      <c r="H383" s="38">
        <v>2.6904827551408403</v>
      </c>
      <c r="I383" s="38">
        <v>5.5233286299441895</v>
      </c>
      <c r="J383" s="10">
        <v>0</v>
      </c>
      <c r="K383" s="39">
        <v>0</v>
      </c>
      <c r="L383" s="39">
        <v>0</v>
      </c>
      <c r="M383" s="39">
        <v>0</v>
      </c>
      <c r="N383" s="39">
        <v>0</v>
      </c>
      <c r="O383" s="39">
        <v>0</v>
      </c>
      <c r="P383" s="39">
        <v>0</v>
      </c>
      <c r="Q383" s="39">
        <v>0</v>
      </c>
      <c r="R383" s="39">
        <v>0</v>
      </c>
      <c r="S383" s="39">
        <v>0</v>
      </c>
      <c r="T383" s="39">
        <v>1</v>
      </c>
      <c r="U383" s="29" cm="1">
        <f t="array" aca="1" ref="U383" ca="1">+fair_value_gap(OFFSET(T382,0,0,-1*$J$5,-1*$AA$1),OFFSET(E382,0,0,-1*$J$5,1),F383:T383,0)</f>
        <v>18.315118453794788</v>
      </c>
      <c r="V383" s="9" t="str" cm="1">
        <f t="array" aca="1" ref="V383" ca="1">z_score_diff(OFFSET(U383,0,0,$J$5*-1,1),OFFSET(E383,0,0,$J$5*-1,1))</f>
        <v/>
      </c>
      <c r="W383" s="9" t="str">
        <f t="shared" ca="1" si="356"/>
        <v/>
      </c>
      <c r="X383" s="17">
        <f t="shared" ca="1" si="351"/>
        <v>5.6877741967718602E-2</v>
      </c>
      <c r="Y383" s="13">
        <f t="shared" ref="Y383:Z383" ca="1" si="413">+Y382</f>
        <v>0</v>
      </c>
      <c r="Z383" s="13">
        <f t="shared" ca="1" si="413"/>
        <v>0</v>
      </c>
      <c r="AA383" t="str">
        <f t="shared" ca="1" si="358"/>
        <v/>
      </c>
      <c r="AB383" t="str">
        <f t="shared" ca="1" si="359"/>
        <v/>
      </c>
      <c r="AC383" s="24" t="str">
        <f t="shared" ca="1" si="360"/>
        <v/>
      </c>
      <c r="AD383" s="24" t="str">
        <f t="shared" ca="1" si="361"/>
        <v/>
      </c>
    </row>
    <row r="384" spans="3:30" x14ac:dyDescent="0.25">
      <c r="C384" s="6">
        <v>478</v>
      </c>
      <c r="D384" s="36">
        <v>42684</v>
      </c>
      <c r="E384" s="38">
        <v>17.329000000000001</v>
      </c>
      <c r="F384" s="38">
        <v>46.60840540733362</v>
      </c>
      <c r="G384" s="38">
        <v>38.17</v>
      </c>
      <c r="H384" s="38">
        <v>2.6785609462924151</v>
      </c>
      <c r="I384" s="38">
        <v>5.6894585170742458</v>
      </c>
      <c r="J384" s="10">
        <v>0</v>
      </c>
      <c r="K384" s="39">
        <v>0</v>
      </c>
      <c r="L384" s="39">
        <v>0</v>
      </c>
      <c r="M384" s="39">
        <v>0</v>
      </c>
      <c r="N384" s="39">
        <v>0</v>
      </c>
      <c r="O384" s="39">
        <v>0</v>
      </c>
      <c r="P384" s="39">
        <v>0</v>
      </c>
      <c r="Q384" s="39">
        <v>0</v>
      </c>
      <c r="R384" s="39">
        <v>0</v>
      </c>
      <c r="S384" s="39">
        <v>0</v>
      </c>
      <c r="T384" s="39">
        <v>1</v>
      </c>
      <c r="U384" s="29" cm="1">
        <f t="array" aca="1" ref="U384" ca="1">+fair_value_gap(OFFSET(T383,0,0,-1*$J$5,-1*$AA$1),OFFSET(E383,0,0,-1*$J$5,1),F384:T384,0)</f>
        <v>18.281890059190285</v>
      </c>
      <c r="V384" s="9" t="str" cm="1">
        <f t="array" aca="1" ref="V384" ca="1">z_score_diff(OFFSET(U384,0,0,$J$5*-1,1),OFFSET(E384,0,0,$J$5*-1,1))</f>
        <v/>
      </c>
      <c r="W384" s="9" t="str">
        <f t="shared" ca="1" si="356"/>
        <v/>
      </c>
      <c r="X384" s="17">
        <f t="shared" ca="1" si="351"/>
        <v>6.8681206558853028E-2</v>
      </c>
      <c r="Y384" s="13">
        <f t="shared" ref="Y384:Z384" ca="1" si="414">+Y383</f>
        <v>0</v>
      </c>
      <c r="Z384" s="13">
        <f t="shared" ca="1" si="414"/>
        <v>0</v>
      </c>
      <c r="AA384" t="str">
        <f t="shared" ca="1" si="358"/>
        <v/>
      </c>
      <c r="AB384" t="str">
        <f t="shared" ca="1" si="359"/>
        <v/>
      </c>
      <c r="AC384" s="24" t="str">
        <f t="shared" ca="1" si="360"/>
        <v/>
      </c>
      <c r="AD384" s="24" t="str">
        <f t="shared" ca="1" si="361"/>
        <v/>
      </c>
    </row>
    <row r="385" spans="3:30" x14ac:dyDescent="0.25">
      <c r="C385" s="6">
        <v>479</v>
      </c>
      <c r="D385" s="36">
        <v>42685</v>
      </c>
      <c r="E385" s="38">
        <v>17.123999999999999</v>
      </c>
      <c r="F385" s="38">
        <v>45.587349329371314</v>
      </c>
      <c r="G385" s="38">
        <v>38.44</v>
      </c>
      <c r="H385" s="38">
        <v>2.726000280844163</v>
      </c>
      <c r="I385" s="38">
        <v>5.4809909269216304</v>
      </c>
      <c r="J385" s="10">
        <v>0</v>
      </c>
      <c r="K385" s="39">
        <v>0</v>
      </c>
      <c r="L385" s="39">
        <v>0</v>
      </c>
      <c r="M385" s="39">
        <v>0</v>
      </c>
      <c r="N385" s="39">
        <v>0</v>
      </c>
      <c r="O385" s="39">
        <v>0</v>
      </c>
      <c r="P385" s="39">
        <v>0</v>
      </c>
      <c r="Q385" s="39">
        <v>0</v>
      </c>
      <c r="R385" s="39">
        <v>0</v>
      </c>
      <c r="S385" s="39">
        <v>0</v>
      </c>
      <c r="T385" s="39">
        <v>1</v>
      </c>
      <c r="U385" s="29" cm="1">
        <f t="array" aca="1" ref="U385" ca="1">+fair_value_gap(OFFSET(T384,0,0,-1*$J$5,-1*$AA$1),OFFSET(E384,0,0,-1*$J$5,1),F385:T385,0)</f>
        <v>18.103406806289041</v>
      </c>
      <c r="V385" s="9" t="str" cm="1">
        <f t="array" aca="1" ref="V385" ca="1">z_score_diff(OFFSET(U385,0,0,$J$5*-1,1),OFFSET(E385,0,0,$J$5*-1,1))</f>
        <v/>
      </c>
      <c r="W385" s="9" t="str">
        <f t="shared" ca="1" si="356"/>
        <v/>
      </c>
      <c r="X385" s="17">
        <f t="shared" ca="1" si="351"/>
        <v>7.1271671476016388E-2</v>
      </c>
      <c r="Y385" s="13">
        <f t="shared" ref="Y385:Z385" ca="1" si="415">+Y384</f>
        <v>0</v>
      </c>
      <c r="Z385" s="13">
        <f t="shared" ca="1" si="415"/>
        <v>0</v>
      </c>
      <c r="AA385" t="str">
        <f t="shared" ca="1" si="358"/>
        <v/>
      </c>
      <c r="AB385" t="str">
        <f t="shared" ca="1" si="359"/>
        <v/>
      </c>
      <c r="AC385" s="24" t="str">
        <f t="shared" ca="1" si="360"/>
        <v/>
      </c>
      <c r="AD385" s="24" t="str">
        <f t="shared" ca="1" si="361"/>
        <v/>
      </c>
    </row>
    <row r="386" spans="3:30" x14ac:dyDescent="0.25">
      <c r="C386" s="6">
        <v>480</v>
      </c>
      <c r="D386" s="36">
        <v>42688</v>
      </c>
      <c r="E386" s="38">
        <v>16.783999999999999</v>
      </c>
      <c r="F386" s="38">
        <v>45.545850129719192</v>
      </c>
      <c r="G386" s="38">
        <v>37.590000000000003</v>
      </c>
      <c r="H386" s="38">
        <v>2.8021176029174231</v>
      </c>
      <c r="I386" s="38">
        <v>5.2619778630879113</v>
      </c>
      <c r="J386" s="10">
        <v>0</v>
      </c>
      <c r="K386" s="39">
        <v>0</v>
      </c>
      <c r="L386" s="39">
        <v>0</v>
      </c>
      <c r="M386" s="39">
        <v>0</v>
      </c>
      <c r="N386" s="39">
        <v>0</v>
      </c>
      <c r="O386" s="39">
        <v>0</v>
      </c>
      <c r="P386" s="39">
        <v>0</v>
      </c>
      <c r="Q386" s="39">
        <v>0</v>
      </c>
      <c r="R386" s="39">
        <v>0</v>
      </c>
      <c r="S386" s="39">
        <v>0</v>
      </c>
      <c r="T386" s="39">
        <v>1</v>
      </c>
      <c r="U386" s="29" cm="1">
        <f t="array" aca="1" ref="U386" ca="1">+fair_value_gap(OFFSET(T385,0,0,-1*$J$5,-1*$AA$1),OFFSET(E385,0,0,-1*$J$5,1),F386:T386,0)</f>
        <v>17.611365591311834</v>
      </c>
      <c r="V386" s="9" t="str" cm="1">
        <f t="array" aca="1" ref="V386" ca="1">z_score_diff(OFFSET(U386,0,0,$J$5*-1,1),OFFSET(E386,0,0,$J$5*-1,1))</f>
        <v/>
      </c>
      <c r="W386" s="9" t="str">
        <f t="shared" ca="1" si="356"/>
        <v/>
      </c>
      <c r="X386" s="17">
        <f t="shared" ca="1" si="351"/>
        <v>0.10219775007941136</v>
      </c>
      <c r="Y386" s="13">
        <f t="shared" ref="Y386:Z386" ca="1" si="416">+Y385</f>
        <v>0</v>
      </c>
      <c r="Z386" s="13">
        <f t="shared" ca="1" si="416"/>
        <v>0</v>
      </c>
      <c r="AA386" t="str">
        <f t="shared" ca="1" si="358"/>
        <v/>
      </c>
      <c r="AB386" t="str">
        <f t="shared" ca="1" si="359"/>
        <v/>
      </c>
      <c r="AC386" s="24" t="str">
        <f t="shared" ca="1" si="360"/>
        <v/>
      </c>
      <c r="AD386" s="24" t="str">
        <f t="shared" ca="1" si="361"/>
        <v/>
      </c>
    </row>
    <row r="387" spans="3:30" x14ac:dyDescent="0.25">
      <c r="C387" s="6">
        <v>481</v>
      </c>
      <c r="D387" s="36">
        <v>42689</v>
      </c>
      <c r="E387" s="38">
        <v>17.027999999999999</v>
      </c>
      <c r="F387" s="38">
        <v>47.478369997847302</v>
      </c>
      <c r="G387" s="38">
        <v>37.15</v>
      </c>
      <c r="H387" s="38">
        <v>2.7902588271935729</v>
      </c>
      <c r="I387" s="38">
        <v>5.2214298473418799</v>
      </c>
      <c r="J387" s="10">
        <v>0</v>
      </c>
      <c r="K387" s="39">
        <v>0</v>
      </c>
      <c r="L387" s="39">
        <v>0</v>
      </c>
      <c r="M387" s="39">
        <v>0</v>
      </c>
      <c r="N387" s="39">
        <v>0</v>
      </c>
      <c r="O387" s="39">
        <v>0</v>
      </c>
      <c r="P387" s="39">
        <v>0</v>
      </c>
      <c r="Q387" s="39">
        <v>0</v>
      </c>
      <c r="R387" s="39">
        <v>0</v>
      </c>
      <c r="S387" s="39">
        <v>0</v>
      </c>
      <c r="T387" s="39">
        <v>1</v>
      </c>
      <c r="U387" s="29" cm="1">
        <f t="array" aca="1" ref="U387" ca="1">+fair_value_gap(OFFSET(T386,0,0,-1*$J$5,-1*$AA$1),OFFSET(E386,0,0,-1*$J$5,1),F387:T387,0)</f>
        <v>17.567988791212638</v>
      </c>
      <c r="V387" s="9" t="str" cm="1">
        <f t="array" aca="1" ref="V387" ca="1">z_score_diff(OFFSET(U387,0,0,$J$5*-1,1),OFFSET(E387,0,0,$J$5*-1,1))</f>
        <v/>
      </c>
      <c r="W387" s="9" t="str">
        <f t="shared" ca="1" si="356"/>
        <v/>
      </c>
      <c r="X387" s="17">
        <f t="shared" ca="1" si="351"/>
        <v>0.10133551287188894</v>
      </c>
      <c r="Y387" s="13">
        <f t="shared" ref="Y387:Z387" ca="1" si="417">+Y386</f>
        <v>0</v>
      </c>
      <c r="Z387" s="13">
        <f t="shared" ca="1" si="417"/>
        <v>0</v>
      </c>
      <c r="AA387" t="str">
        <f t="shared" ca="1" si="358"/>
        <v/>
      </c>
      <c r="AB387" t="str">
        <f t="shared" ca="1" si="359"/>
        <v/>
      </c>
      <c r="AC387" s="24" t="str">
        <f t="shared" ca="1" si="360"/>
        <v/>
      </c>
      <c r="AD387" s="24" t="str">
        <f t="shared" ca="1" si="361"/>
        <v/>
      </c>
    </row>
    <row r="388" spans="3:30" x14ac:dyDescent="0.25">
      <c r="C388" s="6">
        <v>482</v>
      </c>
      <c r="D388" s="36">
        <v>42690</v>
      </c>
      <c r="E388" s="38">
        <v>16.914000000000001</v>
      </c>
      <c r="F388" s="38">
        <v>47.428046624555392</v>
      </c>
      <c r="G388" s="38">
        <v>36.94</v>
      </c>
      <c r="H388" s="38">
        <v>2.8149772972356777</v>
      </c>
      <c r="I388" s="38">
        <v>5.1298410576665843</v>
      </c>
      <c r="J388" s="10">
        <v>0</v>
      </c>
      <c r="K388" s="39">
        <v>0</v>
      </c>
      <c r="L388" s="39">
        <v>0</v>
      </c>
      <c r="M388" s="39">
        <v>0</v>
      </c>
      <c r="N388" s="39">
        <v>0</v>
      </c>
      <c r="O388" s="39">
        <v>0</v>
      </c>
      <c r="P388" s="39">
        <v>0</v>
      </c>
      <c r="Q388" s="39">
        <v>0</v>
      </c>
      <c r="R388" s="39">
        <v>0</v>
      </c>
      <c r="S388" s="39">
        <v>0</v>
      </c>
      <c r="T388" s="39">
        <v>1</v>
      </c>
      <c r="U388" s="29" cm="1">
        <f t="array" aca="1" ref="U388" ca="1">+fair_value_gap(OFFSET(T387,0,0,-1*$J$5,-1*$AA$1),OFFSET(E387,0,0,-1*$J$5,1),F388:T388,0)</f>
        <v>17.38807399059845</v>
      </c>
      <c r="V388" s="9" t="str" cm="1">
        <f t="array" aca="1" ref="V388" ca="1">z_score_diff(OFFSET(U388,0,0,$J$5*-1,1),OFFSET(E388,0,0,$J$5*-1,1))</f>
        <v/>
      </c>
      <c r="W388" s="9" t="str">
        <f t="shared" ca="1" si="356"/>
        <v/>
      </c>
      <c r="X388" s="17">
        <f t="shared" ca="1" si="351"/>
        <v>0.11550751232373502</v>
      </c>
      <c r="Y388" s="13">
        <f t="shared" ref="Y388:Z388" ca="1" si="418">+Y387</f>
        <v>0</v>
      </c>
      <c r="Z388" s="13">
        <f t="shared" ca="1" si="418"/>
        <v>0</v>
      </c>
      <c r="AA388" t="str">
        <f t="shared" ca="1" si="358"/>
        <v/>
      </c>
      <c r="AB388" t="str">
        <f t="shared" ca="1" si="359"/>
        <v/>
      </c>
      <c r="AC388" s="24" t="str">
        <f t="shared" ca="1" si="360"/>
        <v/>
      </c>
      <c r="AD388" s="24" t="str">
        <f t="shared" ca="1" si="361"/>
        <v/>
      </c>
    </row>
    <row r="389" spans="3:30" x14ac:dyDescent="0.25">
      <c r="C389" s="6">
        <v>483</v>
      </c>
      <c r="D389" s="36">
        <v>42691</v>
      </c>
      <c r="E389" s="38">
        <v>17.003</v>
      </c>
      <c r="F389" s="38">
        <v>47.872320758414396</v>
      </c>
      <c r="G389" s="38">
        <v>36.47</v>
      </c>
      <c r="H389" s="38">
        <v>2.8248274230105119</v>
      </c>
      <c r="I389" s="38">
        <v>5.2226030562857959</v>
      </c>
      <c r="J389" s="10">
        <v>0</v>
      </c>
      <c r="K389" s="39">
        <v>0</v>
      </c>
      <c r="L389" s="39">
        <v>0</v>
      </c>
      <c r="M389" s="39">
        <v>0</v>
      </c>
      <c r="N389" s="39">
        <v>0</v>
      </c>
      <c r="O389" s="39">
        <v>0</v>
      </c>
      <c r="P389" s="39">
        <v>0</v>
      </c>
      <c r="Q389" s="39">
        <v>0</v>
      </c>
      <c r="R389" s="39">
        <v>0</v>
      </c>
      <c r="S389" s="39">
        <v>0</v>
      </c>
      <c r="T389" s="39">
        <v>1</v>
      </c>
      <c r="U389" s="29" cm="1">
        <f t="array" aca="1" ref="U389" ca="1">+fair_value_gap(OFFSET(T388,0,0,-1*$J$5,-1*$AA$1),OFFSET(E388,0,0,-1*$J$5,1),F389:T389,0)</f>
        <v>17.227836182109826</v>
      </c>
      <c r="V389" s="9" t="str" cm="1">
        <f t="array" aca="1" ref="V389" ca="1">z_score_diff(OFFSET(U389,0,0,$J$5*-1,1),OFFSET(E389,0,0,$J$5*-1,1))</f>
        <v/>
      </c>
      <c r="W389" s="9" t="str">
        <f t="shared" ca="1" si="356"/>
        <v/>
      </c>
      <c r="X389" s="17">
        <f t="shared" ca="1" si="351"/>
        <v>0.13815223567742443</v>
      </c>
      <c r="Y389" s="13">
        <f t="shared" ref="Y389:Z389" ca="1" si="419">+Y388</f>
        <v>0</v>
      </c>
      <c r="Z389" s="13">
        <f t="shared" ca="1" si="419"/>
        <v>0</v>
      </c>
      <c r="AA389" t="str">
        <f t="shared" ca="1" si="358"/>
        <v/>
      </c>
      <c r="AB389" t="str">
        <f t="shared" ca="1" si="359"/>
        <v/>
      </c>
      <c r="AC389" s="24" t="str">
        <f t="shared" ca="1" si="360"/>
        <v/>
      </c>
      <c r="AD389" s="24" t="str">
        <f t="shared" ca="1" si="361"/>
        <v/>
      </c>
    </row>
    <row r="390" spans="3:30" x14ac:dyDescent="0.25">
      <c r="C390" s="6">
        <v>484</v>
      </c>
      <c r="D390" s="36">
        <v>42692</v>
      </c>
      <c r="E390" s="38">
        <v>17.113</v>
      </c>
      <c r="F390" s="38">
        <v>48.209641000913386</v>
      </c>
      <c r="G390" s="38">
        <v>36.57</v>
      </c>
      <c r="H390" s="38">
        <v>2.8755163828396308</v>
      </c>
      <c r="I390" s="38">
        <v>5.2391704492240931</v>
      </c>
      <c r="J390" s="10">
        <v>0</v>
      </c>
      <c r="K390" s="39">
        <v>0</v>
      </c>
      <c r="L390" s="39">
        <v>0</v>
      </c>
      <c r="M390" s="39">
        <v>0</v>
      </c>
      <c r="N390" s="39">
        <v>0</v>
      </c>
      <c r="O390" s="39">
        <v>0</v>
      </c>
      <c r="P390" s="39">
        <v>0</v>
      </c>
      <c r="Q390" s="39">
        <v>0</v>
      </c>
      <c r="R390" s="39">
        <v>0</v>
      </c>
      <c r="S390" s="39">
        <v>0</v>
      </c>
      <c r="T390" s="39">
        <v>1</v>
      </c>
      <c r="U390" s="29" cm="1">
        <f t="array" aca="1" ref="U390" ca="1">+fair_value_gap(OFFSET(T389,0,0,-1*$J$5,-1*$AA$1),OFFSET(E389,0,0,-1*$J$5,1),F390:T390,0)</f>
        <v>17.224908454967469</v>
      </c>
      <c r="V390" s="9" t="str" cm="1">
        <f t="array" aca="1" ref="V390" ca="1">z_score_diff(OFFSET(U390,0,0,$J$5*-1,1),OFFSET(E390,0,0,$J$5*-1,1))</f>
        <v/>
      </c>
      <c r="W390" s="9" t="str">
        <f t="shared" ca="1" si="356"/>
        <v/>
      </c>
      <c r="X390" s="17">
        <f t="shared" ca="1" si="351"/>
        <v>0.11834774888470646</v>
      </c>
      <c r="Y390" s="13">
        <f t="shared" ref="Y390:Z390" ca="1" si="420">+Y389</f>
        <v>0</v>
      </c>
      <c r="Z390" s="13">
        <f t="shared" ca="1" si="420"/>
        <v>0</v>
      </c>
      <c r="AA390" t="str">
        <f t="shared" ca="1" si="358"/>
        <v/>
      </c>
      <c r="AB390" t="str">
        <f t="shared" ca="1" si="359"/>
        <v/>
      </c>
      <c r="AC390" s="24" t="str">
        <f t="shared" ca="1" si="360"/>
        <v/>
      </c>
      <c r="AD390" s="24" t="str">
        <f t="shared" ca="1" si="361"/>
        <v/>
      </c>
    </row>
    <row r="391" spans="3:30" x14ac:dyDescent="0.25">
      <c r="C391" s="6">
        <v>485</v>
      </c>
      <c r="D391" s="36">
        <v>42695</v>
      </c>
      <c r="E391" s="38">
        <v>17.097000000000001</v>
      </c>
      <c r="F391" s="38">
        <v>49.617002893017428</v>
      </c>
      <c r="G391" s="38">
        <v>36.46</v>
      </c>
      <c r="H391" s="38">
        <v>2.920710644716412</v>
      </c>
      <c r="I391" s="38">
        <v>5.1693993711794901</v>
      </c>
      <c r="J391" s="10">
        <v>0</v>
      </c>
      <c r="K391" s="39">
        <v>0</v>
      </c>
      <c r="L391" s="39">
        <v>0</v>
      </c>
      <c r="M391" s="39">
        <v>0</v>
      </c>
      <c r="N391" s="39">
        <v>0</v>
      </c>
      <c r="O391" s="39">
        <v>0</v>
      </c>
      <c r="P391" s="39">
        <v>0</v>
      </c>
      <c r="Q391" s="39">
        <v>0</v>
      </c>
      <c r="R391" s="39">
        <v>0</v>
      </c>
      <c r="S391" s="39">
        <v>0</v>
      </c>
      <c r="T391" s="39">
        <v>1</v>
      </c>
      <c r="U391" s="29" cm="1">
        <f t="array" aca="1" ref="U391" ca="1">+fair_value_gap(OFFSET(T390,0,0,-1*$J$5,-1*$AA$1),OFFSET(E390,0,0,-1*$J$5,1),F391:T391,0)</f>
        <v>17.132001637365494</v>
      </c>
      <c r="V391" s="9" t="str" cm="1">
        <f t="array" aca="1" ref="V391" ca="1">z_score_diff(OFFSET(U391,0,0,$J$5*-1,1),OFFSET(E391,0,0,$J$5*-1,1))</f>
        <v/>
      </c>
      <c r="W391" s="9" t="str">
        <f t="shared" ca="1" si="356"/>
        <v/>
      </c>
      <c r="X391" s="17">
        <f t="shared" ref="X391:X454" ca="1" si="421">+LN(OFFSET(E391,$X$3,0,1,1)/E391)</f>
        <v>9.5272958333913027E-2</v>
      </c>
      <c r="Y391" s="13">
        <f t="shared" ref="Y391:Z391" ca="1" si="422">+Y390</f>
        <v>0</v>
      </c>
      <c r="Z391" s="13">
        <f t="shared" ca="1" si="422"/>
        <v>0</v>
      </c>
      <c r="AA391" t="str">
        <f t="shared" ca="1" si="358"/>
        <v/>
      </c>
      <c r="AB391" t="str">
        <f t="shared" ca="1" si="359"/>
        <v/>
      </c>
      <c r="AC391" s="24" t="str">
        <f t="shared" ca="1" si="360"/>
        <v/>
      </c>
      <c r="AD391" s="24" t="str">
        <f t="shared" ca="1" si="361"/>
        <v/>
      </c>
    </row>
    <row r="392" spans="3:30" x14ac:dyDescent="0.25">
      <c r="C392" s="6">
        <v>486</v>
      </c>
      <c r="D392" s="36">
        <v>42696</v>
      </c>
      <c r="E392" s="38">
        <v>17.314</v>
      </c>
      <c r="F392" s="38">
        <v>49.815535648636512</v>
      </c>
      <c r="G392" s="38">
        <v>37.21</v>
      </c>
      <c r="H392" s="38">
        <v>2.9133728803226324</v>
      </c>
      <c r="I392" s="38">
        <v>5.209709272358797</v>
      </c>
      <c r="J392" s="10">
        <v>0</v>
      </c>
      <c r="K392" s="39">
        <v>0</v>
      </c>
      <c r="L392" s="39">
        <v>0</v>
      </c>
      <c r="M392" s="39">
        <v>0</v>
      </c>
      <c r="N392" s="39">
        <v>0</v>
      </c>
      <c r="O392" s="39">
        <v>0</v>
      </c>
      <c r="P392" s="39">
        <v>0</v>
      </c>
      <c r="Q392" s="39">
        <v>0</v>
      </c>
      <c r="R392" s="39">
        <v>0</v>
      </c>
      <c r="S392" s="39">
        <v>0</v>
      </c>
      <c r="T392" s="39">
        <v>1</v>
      </c>
      <c r="U392" s="29" cm="1">
        <f t="array" aca="1" ref="U392" ca="1">+fair_value_gap(OFFSET(T391,0,0,-1*$J$5,-1*$AA$1),OFFSET(E391,0,0,-1*$J$5,1),F392:T392,0)</f>
        <v>17.438439331226746</v>
      </c>
      <c r="V392" s="9" t="str" cm="1">
        <f t="array" aca="1" ref="V392" ca="1">z_score_diff(OFFSET(U392,0,0,$J$5*-1,1),OFFSET(E392,0,0,$J$5*-1,1))</f>
        <v/>
      </c>
      <c r="W392" s="9" t="str">
        <f t="shared" ca="1" si="356"/>
        <v/>
      </c>
      <c r="X392" s="17">
        <f t="shared" ca="1" si="421"/>
        <v>8.7593587819318433E-2</v>
      </c>
      <c r="Y392" s="13">
        <f t="shared" ref="Y392:Z392" ca="1" si="423">+Y391</f>
        <v>0</v>
      </c>
      <c r="Z392" s="13">
        <f t="shared" ca="1" si="423"/>
        <v>0</v>
      </c>
      <c r="AA392" t="str">
        <f t="shared" ca="1" si="358"/>
        <v/>
      </c>
      <c r="AB392" t="str">
        <f t="shared" ca="1" si="359"/>
        <v/>
      </c>
      <c r="AC392" s="24" t="str">
        <f t="shared" ca="1" si="360"/>
        <v/>
      </c>
      <c r="AD392" s="24" t="str">
        <f t="shared" ca="1" si="361"/>
        <v/>
      </c>
    </row>
    <row r="393" spans="3:30" x14ac:dyDescent="0.25">
      <c r="C393" s="6">
        <v>487</v>
      </c>
      <c r="D393" s="36">
        <v>42697</v>
      </c>
      <c r="E393" s="38">
        <v>17.529</v>
      </c>
      <c r="F393" s="38">
        <v>49.995720500292123</v>
      </c>
      <c r="G393" s="38">
        <v>37.5</v>
      </c>
      <c r="H393" s="38">
        <v>2.9928588174439854</v>
      </c>
      <c r="I393" s="38">
        <v>5.5168333190683345</v>
      </c>
      <c r="J393" s="10">
        <v>0</v>
      </c>
      <c r="K393" s="39">
        <v>0</v>
      </c>
      <c r="L393" s="39">
        <v>0</v>
      </c>
      <c r="M393" s="39">
        <v>0</v>
      </c>
      <c r="N393" s="39">
        <v>0</v>
      </c>
      <c r="O393" s="39">
        <v>0</v>
      </c>
      <c r="P393" s="39">
        <v>0</v>
      </c>
      <c r="Q393" s="39">
        <v>0</v>
      </c>
      <c r="R393" s="39">
        <v>0</v>
      </c>
      <c r="S393" s="39">
        <v>0</v>
      </c>
      <c r="T393" s="39">
        <v>1</v>
      </c>
      <c r="U393" s="29" cm="1">
        <f t="array" aca="1" ref="U393" ca="1">+fair_value_gap(OFFSET(T392,0,0,-1*$J$5,-1*$AA$1),OFFSET(E392,0,0,-1*$J$5,1),F393:T393,0)</f>
        <v>17.568222599205605</v>
      </c>
      <c r="V393" s="9" t="str" cm="1">
        <f t="array" aca="1" ref="V393" ca="1">z_score_diff(OFFSET(U393,0,0,$J$5*-1,1),OFFSET(E393,0,0,$J$5*-1,1))</f>
        <v/>
      </c>
      <c r="W393" s="9" t="str">
        <f t="shared" ca="1" si="356"/>
        <v/>
      </c>
      <c r="X393" s="17">
        <f t="shared" ca="1" si="421"/>
        <v>7.5516887644197048E-2</v>
      </c>
      <c r="Y393" s="13">
        <f t="shared" ref="Y393:Z393" ca="1" si="424">+Y392</f>
        <v>0</v>
      </c>
      <c r="Z393" s="13">
        <f t="shared" ca="1" si="424"/>
        <v>0</v>
      </c>
      <c r="AA393" t="str">
        <f t="shared" ca="1" si="358"/>
        <v/>
      </c>
      <c r="AB393" t="str">
        <f t="shared" ca="1" si="359"/>
        <v/>
      </c>
      <c r="AC393" s="24" t="str">
        <f t="shared" ca="1" si="360"/>
        <v/>
      </c>
      <c r="AD393" s="24" t="str">
        <f t="shared" ca="1" si="361"/>
        <v/>
      </c>
    </row>
    <row r="394" spans="3:30" x14ac:dyDescent="0.25">
      <c r="C394" s="6">
        <v>488</v>
      </c>
      <c r="D394" s="36">
        <v>42698</v>
      </c>
      <c r="E394" s="38">
        <v>17.652999999999999</v>
      </c>
      <c r="F394" s="38">
        <v>49.938541471025232</v>
      </c>
      <c r="G394" s="38">
        <v>37.630000000000003</v>
      </c>
      <c r="H394" s="38">
        <v>2.9911057142485227</v>
      </c>
      <c r="I394" s="38">
        <v>5.5136017673278639</v>
      </c>
      <c r="J394" s="10">
        <v>0</v>
      </c>
      <c r="K394" s="39">
        <v>0</v>
      </c>
      <c r="L394" s="39">
        <v>0</v>
      </c>
      <c r="M394" s="39">
        <v>0</v>
      </c>
      <c r="N394" s="39">
        <v>0</v>
      </c>
      <c r="O394" s="39">
        <v>0</v>
      </c>
      <c r="P394" s="39">
        <v>0</v>
      </c>
      <c r="Q394" s="39">
        <v>0</v>
      </c>
      <c r="R394" s="39">
        <v>0</v>
      </c>
      <c r="S394" s="39">
        <v>0</v>
      </c>
      <c r="T394" s="39">
        <v>1</v>
      </c>
      <c r="U394" s="29" cm="1">
        <f t="array" aca="1" ref="U394" ca="1">+fair_value_gap(OFFSET(T393,0,0,-1*$J$5,-1*$AA$1),OFFSET(E393,0,0,-1*$J$5,1),F394:T394,0)</f>
        <v>17.612428164566392</v>
      </c>
      <c r="V394" s="9" t="str" cm="1">
        <f t="array" aca="1" ref="V394" ca="1">z_score_diff(OFFSET(U394,0,0,$J$5*-1,1),OFFSET(E394,0,0,$J$5*-1,1))</f>
        <v/>
      </c>
      <c r="W394" s="9" t="str">
        <f t="shared" ca="1" si="356"/>
        <v/>
      </c>
      <c r="X394" s="17">
        <f t="shared" ca="1" si="421"/>
        <v>5.3276824106769267E-2</v>
      </c>
      <c r="Y394" s="13">
        <f t="shared" ref="Y394:Z394" ca="1" si="425">+Y393</f>
        <v>0</v>
      </c>
      <c r="Z394" s="13">
        <f t="shared" ca="1" si="425"/>
        <v>0</v>
      </c>
      <c r="AA394" t="str">
        <f t="shared" ca="1" si="358"/>
        <v/>
      </c>
      <c r="AB394" t="str">
        <f t="shared" ca="1" si="359"/>
        <v/>
      </c>
      <c r="AC394" s="24" t="str">
        <f t="shared" ca="1" si="360"/>
        <v/>
      </c>
      <c r="AD394" s="24" t="str">
        <f t="shared" ca="1" si="361"/>
        <v/>
      </c>
    </row>
    <row r="395" spans="3:30" x14ac:dyDescent="0.25">
      <c r="C395" s="6">
        <v>489</v>
      </c>
      <c r="D395" s="36">
        <v>42699</v>
      </c>
      <c r="E395" s="38">
        <v>17.484000000000002</v>
      </c>
      <c r="F395" s="38">
        <v>48.32439603769599</v>
      </c>
      <c r="G395" s="38">
        <v>37.409999999999997</v>
      </c>
      <c r="H395" s="38">
        <v>3.0267600048917331</v>
      </c>
      <c r="I395" s="38">
        <v>5.4476121300163429</v>
      </c>
      <c r="J395" s="10">
        <v>0</v>
      </c>
      <c r="K395" s="39">
        <v>0</v>
      </c>
      <c r="L395" s="39">
        <v>0</v>
      </c>
      <c r="M395" s="39">
        <v>0</v>
      </c>
      <c r="N395" s="39">
        <v>0</v>
      </c>
      <c r="O395" s="39">
        <v>0</v>
      </c>
      <c r="P395" s="39">
        <v>0</v>
      </c>
      <c r="Q395" s="39">
        <v>0</v>
      </c>
      <c r="R395" s="39">
        <v>0</v>
      </c>
      <c r="S395" s="39">
        <v>0</v>
      </c>
      <c r="T395" s="39">
        <v>1</v>
      </c>
      <c r="U395" s="29" cm="1">
        <f t="array" aca="1" ref="U395" ca="1">+fair_value_gap(OFFSET(T394,0,0,-1*$J$5,-1*$AA$1),OFFSET(E394,0,0,-1*$J$5,1),F395:T395,0)</f>
        <v>17.399594884731886</v>
      </c>
      <c r="V395" s="9" t="str" cm="1">
        <f t="array" aca="1" ref="V395" ca="1">z_score_diff(OFFSET(U395,0,0,$J$5*-1,1),OFFSET(E395,0,0,$J$5*-1,1))</f>
        <v/>
      </c>
      <c r="W395" s="9" t="str">
        <f t="shared" ref="W395:W458" ca="1" si="426">+IF(ISERROR(AVERAGE(OFFSET(V395,0,0,$W$5*-1,1))),"",AVERAGE(OFFSET(V395,0,0,$W$5*-1,1)))</f>
        <v/>
      </c>
      <c r="X395" s="17">
        <f t="shared" ca="1" si="421"/>
        <v>7.6869948415326919E-2</v>
      </c>
      <c r="Y395" s="13">
        <f t="shared" ref="Y395:Z395" ca="1" si="427">+Y394</f>
        <v>0</v>
      </c>
      <c r="Z395" s="13">
        <f t="shared" ca="1" si="427"/>
        <v>0</v>
      </c>
      <c r="AA395" t="str">
        <f t="shared" ref="AA395:AA458" ca="1" si="428">+IF(W395="","",IF(W395&lt;Y395,1,0))</f>
        <v/>
      </c>
      <c r="AB395" t="str">
        <f t="shared" ref="AB395:AB458" ca="1" si="429">+IF(W395="","",IF(W395&gt;Z395,1,0))</f>
        <v/>
      </c>
      <c r="AC395" s="24" t="str">
        <f t="shared" ref="AC395:AC458" ca="1" si="430">+IF(ISERROR(AA395*X395),"",AA395*X395)</f>
        <v/>
      </c>
      <c r="AD395" s="24" t="str">
        <f t="shared" ref="AD395:AD458" ca="1" si="431">+IF(ISERROR(AB395*X395),"",AB395*X395)</f>
        <v/>
      </c>
    </row>
    <row r="396" spans="3:30" x14ac:dyDescent="0.25">
      <c r="C396" s="6">
        <v>490</v>
      </c>
      <c r="D396" s="36">
        <v>42702</v>
      </c>
      <c r="E396" s="38">
        <v>17.533000000000001</v>
      </c>
      <c r="F396" s="38">
        <v>49.109497155016882</v>
      </c>
      <c r="G396" s="38">
        <v>36.06</v>
      </c>
      <c r="H396" s="38">
        <v>3.0735069621131514</v>
      </c>
      <c r="I396" s="38">
        <v>5.6622102974510797</v>
      </c>
      <c r="J396" s="10">
        <v>0</v>
      </c>
      <c r="K396" s="39">
        <v>0</v>
      </c>
      <c r="L396" s="39">
        <v>0</v>
      </c>
      <c r="M396" s="39">
        <v>0</v>
      </c>
      <c r="N396" s="39">
        <v>0</v>
      </c>
      <c r="O396" s="39">
        <v>0</v>
      </c>
      <c r="P396" s="39">
        <v>0</v>
      </c>
      <c r="Q396" s="39">
        <v>0</v>
      </c>
      <c r="R396" s="39">
        <v>0</v>
      </c>
      <c r="S396" s="39">
        <v>0</v>
      </c>
      <c r="T396" s="39">
        <v>1</v>
      </c>
      <c r="U396" s="29" cm="1">
        <f t="array" aca="1" ref="U396" ca="1">+fair_value_gap(OFFSET(T395,0,0,-1*$J$5,-1*$AA$1),OFFSET(E395,0,0,-1*$J$5,1),F396:T396,0)</f>
        <v>16.93451267232345</v>
      </c>
      <c r="V396" s="9" t="str" cm="1">
        <f t="array" aca="1" ref="V396" ca="1">z_score_diff(OFFSET(U396,0,0,$J$5*-1,1),OFFSET(E396,0,0,$J$5*-1,1))</f>
        <v/>
      </c>
      <c r="W396" s="9" t="str">
        <f t="shared" ca="1" si="426"/>
        <v/>
      </c>
      <c r="X396" s="17">
        <f t="shared" ca="1" si="421"/>
        <v>8.6911560224608095E-2</v>
      </c>
      <c r="Y396" s="13">
        <f t="shared" ref="Y396:Z396" ca="1" si="432">+Y395</f>
        <v>0</v>
      </c>
      <c r="Z396" s="13">
        <f t="shared" ca="1" si="432"/>
        <v>0</v>
      </c>
      <c r="AA396" t="str">
        <f t="shared" ca="1" si="428"/>
        <v/>
      </c>
      <c r="AB396" t="str">
        <f t="shared" ca="1" si="429"/>
        <v/>
      </c>
      <c r="AC396" s="24" t="str">
        <f t="shared" ca="1" si="430"/>
        <v/>
      </c>
      <c r="AD396" s="24" t="str">
        <f t="shared" ca="1" si="431"/>
        <v/>
      </c>
    </row>
    <row r="397" spans="3:30" x14ac:dyDescent="0.25">
      <c r="C397" s="6">
        <v>491</v>
      </c>
      <c r="D397" s="36">
        <v>42703</v>
      </c>
      <c r="E397" s="38">
        <v>17.434999999999999</v>
      </c>
      <c r="F397" s="38">
        <v>47.292525937138734</v>
      </c>
      <c r="G397" s="38">
        <v>36.36</v>
      </c>
      <c r="H397" s="38">
        <v>3.1814133919895866</v>
      </c>
      <c r="I397" s="38">
        <v>5.641915374956902</v>
      </c>
      <c r="J397" s="10">
        <v>0</v>
      </c>
      <c r="K397" s="39">
        <v>0</v>
      </c>
      <c r="L397" s="39">
        <v>0</v>
      </c>
      <c r="M397" s="39">
        <v>0</v>
      </c>
      <c r="N397" s="39">
        <v>0</v>
      </c>
      <c r="O397" s="39">
        <v>0</v>
      </c>
      <c r="P397" s="39">
        <v>0</v>
      </c>
      <c r="Q397" s="39">
        <v>0</v>
      </c>
      <c r="R397" s="39">
        <v>0</v>
      </c>
      <c r="S397" s="39">
        <v>0</v>
      </c>
      <c r="T397" s="39">
        <v>1</v>
      </c>
      <c r="U397" s="29" cm="1">
        <f t="array" aca="1" ref="U397" ca="1">+fair_value_gap(OFFSET(T396,0,0,-1*$J$5,-1*$AA$1),OFFSET(E396,0,0,-1*$J$5,1),F397:T397,0)</f>
        <v>17.008574040386108</v>
      </c>
      <c r="V397" s="9" t="str" cm="1">
        <f t="array" aca="1" ref="V397" ca="1">z_score_diff(OFFSET(U397,0,0,$J$5*-1,1),OFFSET(E397,0,0,$J$5*-1,1))</f>
        <v/>
      </c>
      <c r="W397" s="9" t="str">
        <f t="shared" ca="1" si="426"/>
        <v/>
      </c>
      <c r="X397" s="17">
        <f t="shared" ca="1" si="421"/>
        <v>0.10885311890467859</v>
      </c>
      <c r="Y397" s="13">
        <f t="shared" ref="Y397:Z397" ca="1" si="433">+Y396</f>
        <v>0</v>
      </c>
      <c r="Z397" s="13">
        <f t="shared" ca="1" si="433"/>
        <v>0</v>
      </c>
      <c r="AA397" t="str">
        <f t="shared" ca="1" si="428"/>
        <v/>
      </c>
      <c r="AB397" t="str">
        <f t="shared" ca="1" si="429"/>
        <v/>
      </c>
      <c r="AC397" s="24" t="str">
        <f t="shared" ca="1" si="430"/>
        <v/>
      </c>
      <c r="AD397" s="24" t="str">
        <f t="shared" ca="1" si="431"/>
        <v/>
      </c>
    </row>
    <row r="398" spans="3:30" x14ac:dyDescent="0.25">
      <c r="C398" s="6">
        <v>492</v>
      </c>
      <c r="D398" s="36">
        <v>42704</v>
      </c>
      <c r="E398" s="38">
        <v>17.701000000000001</v>
      </c>
      <c r="F398" s="38">
        <v>50.715528956019682</v>
      </c>
      <c r="G398" s="38">
        <v>34.479999999999997</v>
      </c>
      <c r="H398" s="38">
        <v>3.1828047030663678</v>
      </c>
      <c r="I398" s="38">
        <v>5.641234179765477</v>
      </c>
      <c r="J398" s="10">
        <v>0</v>
      </c>
      <c r="K398" s="39">
        <v>0</v>
      </c>
      <c r="L398" s="39">
        <v>0</v>
      </c>
      <c r="M398" s="39">
        <v>0</v>
      </c>
      <c r="N398" s="39">
        <v>0</v>
      </c>
      <c r="O398" s="39">
        <v>0</v>
      </c>
      <c r="P398" s="39">
        <v>0</v>
      </c>
      <c r="Q398" s="39">
        <v>0</v>
      </c>
      <c r="R398" s="39">
        <v>0</v>
      </c>
      <c r="S398" s="39">
        <v>0</v>
      </c>
      <c r="T398" s="39">
        <v>1</v>
      </c>
      <c r="U398" s="29" cm="1">
        <f t="array" aca="1" ref="U398" ca="1">+fair_value_gap(OFFSET(T397,0,0,-1*$J$5,-1*$AA$1),OFFSET(E397,0,0,-1*$J$5,1),F398:T398,0)</f>
        <v>16.581326750329595</v>
      </c>
      <c r="V398" s="9" t="str" cm="1">
        <f t="array" aca="1" ref="V398" ca="1">z_score_diff(OFFSET(U398,0,0,$J$5*-1,1),OFFSET(E398,0,0,$J$5*-1,1))</f>
        <v/>
      </c>
      <c r="W398" s="9" t="str">
        <f t="shared" ca="1" si="426"/>
        <v/>
      </c>
      <c r="X398" s="17">
        <f t="shared" ca="1" si="421"/>
        <v>8.6794793267404066E-2</v>
      </c>
      <c r="Y398" s="13">
        <f t="shared" ref="Y398:Z398" ca="1" si="434">+Y397</f>
        <v>0</v>
      </c>
      <c r="Z398" s="13">
        <f t="shared" ca="1" si="434"/>
        <v>0</v>
      </c>
      <c r="AA398" t="str">
        <f t="shared" ca="1" si="428"/>
        <v/>
      </c>
      <c r="AB398" t="str">
        <f t="shared" ca="1" si="429"/>
        <v/>
      </c>
      <c r="AC398" s="24" t="str">
        <f t="shared" ca="1" si="430"/>
        <v/>
      </c>
      <c r="AD398" s="24" t="str">
        <f t="shared" ca="1" si="431"/>
        <v/>
      </c>
    </row>
    <row r="399" spans="3:30" x14ac:dyDescent="0.25">
      <c r="C399" s="6">
        <v>493</v>
      </c>
      <c r="D399" s="36">
        <v>42705</v>
      </c>
      <c r="E399" s="38">
        <v>17.876000000000001</v>
      </c>
      <c r="F399" s="38">
        <v>51.536566837779972</v>
      </c>
      <c r="G399" s="38">
        <v>35.090000000000003</v>
      </c>
      <c r="H399" s="38">
        <v>3.2209203287217147</v>
      </c>
      <c r="I399" s="38">
        <v>5.6352293915885916</v>
      </c>
      <c r="J399" s="10">
        <v>0</v>
      </c>
      <c r="K399" s="39">
        <v>0</v>
      </c>
      <c r="L399" s="39">
        <v>0</v>
      </c>
      <c r="M399" s="39">
        <v>0</v>
      </c>
      <c r="N399" s="39">
        <v>0</v>
      </c>
      <c r="O399" s="39">
        <v>0</v>
      </c>
      <c r="P399" s="39">
        <v>0</v>
      </c>
      <c r="Q399" s="39">
        <v>0</v>
      </c>
      <c r="R399" s="39">
        <v>0</v>
      </c>
      <c r="S399" s="39">
        <v>0</v>
      </c>
      <c r="T399" s="39">
        <v>0</v>
      </c>
      <c r="U399" s="29" cm="1">
        <f t="array" aca="1" ref="U399" ca="1">+fair_value_gap(OFFSET(T398,0,0,-1*$J$5,-1*$AA$1),OFFSET(E398,0,0,-1*$J$5,1),F399:T399,0)</f>
        <v>18.412402971684539</v>
      </c>
      <c r="V399" s="9" t="str" cm="1">
        <f t="array" aca="1" ref="V399" ca="1">z_score_diff(OFFSET(U399,0,0,$J$5*-1,1),OFFSET(E399,0,0,$J$5*-1,1))</f>
        <v/>
      </c>
      <c r="W399" s="9" t="str">
        <f t="shared" ca="1" si="426"/>
        <v/>
      </c>
      <c r="X399" s="17">
        <f t="shared" ca="1" si="421"/>
        <v>7.145124796253062E-2</v>
      </c>
      <c r="Y399" s="13">
        <f t="shared" ref="Y399:Z399" ca="1" si="435">+Y398</f>
        <v>0</v>
      </c>
      <c r="Z399" s="13">
        <f t="shared" ca="1" si="435"/>
        <v>0</v>
      </c>
      <c r="AA399" t="str">
        <f t="shared" ca="1" si="428"/>
        <v/>
      </c>
      <c r="AB399" t="str">
        <f t="shared" ca="1" si="429"/>
        <v/>
      </c>
      <c r="AC399" s="24" t="str">
        <f t="shared" ca="1" si="430"/>
        <v/>
      </c>
      <c r="AD399" s="24" t="str">
        <f t="shared" ca="1" si="431"/>
        <v/>
      </c>
    </row>
    <row r="400" spans="3:30" x14ac:dyDescent="0.25">
      <c r="C400" s="6">
        <v>494</v>
      </c>
      <c r="D400" s="36">
        <v>42706</v>
      </c>
      <c r="E400" s="38">
        <v>17.702999999999999</v>
      </c>
      <c r="F400" s="38">
        <v>52.239567954212418</v>
      </c>
      <c r="G400" s="38">
        <v>34.76</v>
      </c>
      <c r="H400" s="38">
        <v>3.2075959404180083</v>
      </c>
      <c r="I400" s="38">
        <v>5.6112231822626466</v>
      </c>
      <c r="J400" s="10">
        <v>0</v>
      </c>
      <c r="K400" s="39">
        <v>0</v>
      </c>
      <c r="L400" s="39">
        <v>0</v>
      </c>
      <c r="M400" s="39">
        <v>0</v>
      </c>
      <c r="N400" s="39">
        <v>0</v>
      </c>
      <c r="O400" s="39">
        <v>0</v>
      </c>
      <c r="P400" s="39">
        <v>0</v>
      </c>
      <c r="Q400" s="39">
        <v>0</v>
      </c>
      <c r="R400" s="39">
        <v>0</v>
      </c>
      <c r="S400" s="39">
        <v>0</v>
      </c>
      <c r="T400" s="39">
        <v>0</v>
      </c>
      <c r="U400" s="29" cm="1">
        <f t="array" aca="1" ref="U400" ca="1">+fair_value_gap(OFFSET(T399,0,0,-1*$J$5,-1*$AA$1),OFFSET(E399,0,0,-1*$J$5,1),F400:T400,0)</f>
        <v>18.107786928253127</v>
      </c>
      <c r="V400" s="9" t="str" cm="1">
        <f t="array" aca="1" ref="V400" ca="1">z_score_diff(OFFSET(U400,0,0,$J$5*-1,1),OFFSET(E400,0,0,$J$5*-1,1))</f>
        <v/>
      </c>
      <c r="W400" s="9" t="str">
        <f t="shared" ca="1" si="426"/>
        <v/>
      </c>
      <c r="X400" s="17">
        <f t="shared" ca="1" si="421"/>
        <v>6.1345409598899676E-2</v>
      </c>
      <c r="Y400" s="13">
        <f t="shared" ref="Y400:Z400" ca="1" si="436">+Y399</f>
        <v>0</v>
      </c>
      <c r="Z400" s="13">
        <f t="shared" ca="1" si="436"/>
        <v>0</v>
      </c>
      <c r="AA400" t="str">
        <f t="shared" ca="1" si="428"/>
        <v/>
      </c>
      <c r="AB400" t="str">
        <f t="shared" ca="1" si="429"/>
        <v/>
      </c>
      <c r="AC400" s="24" t="str">
        <f t="shared" ca="1" si="430"/>
        <v/>
      </c>
      <c r="AD400" s="24" t="str">
        <f t="shared" ca="1" si="431"/>
        <v/>
      </c>
    </row>
    <row r="401" spans="3:30" x14ac:dyDescent="0.25">
      <c r="C401" s="6">
        <v>495</v>
      </c>
      <c r="D401" s="36">
        <v>42709</v>
      </c>
      <c r="E401" s="38">
        <v>17.25</v>
      </c>
      <c r="F401" s="38">
        <v>52.339839725765131</v>
      </c>
      <c r="G401" s="38">
        <v>34.020000000000003</v>
      </c>
      <c r="H401" s="38">
        <v>3.2665675968893306</v>
      </c>
      <c r="I401" s="38">
        <v>5.61598001586332</v>
      </c>
      <c r="J401" s="10">
        <v>0</v>
      </c>
      <c r="K401" s="39">
        <v>0</v>
      </c>
      <c r="L401" s="39">
        <v>0</v>
      </c>
      <c r="M401" s="39">
        <v>0</v>
      </c>
      <c r="N401" s="39">
        <v>0</v>
      </c>
      <c r="O401" s="39">
        <v>0</v>
      </c>
      <c r="P401" s="39">
        <v>0</v>
      </c>
      <c r="Q401" s="39">
        <v>0</v>
      </c>
      <c r="R401" s="39">
        <v>0</v>
      </c>
      <c r="S401" s="39">
        <v>0</v>
      </c>
      <c r="T401" s="39">
        <v>0</v>
      </c>
      <c r="U401" s="29" cm="1">
        <f t="array" aca="1" ref="U401" ca="1">+fair_value_gap(OFFSET(T400,0,0,-1*$J$5,-1*$AA$1),OFFSET(E400,0,0,-1*$J$5,1),F401:T401,0)</f>
        <v>17.740246444198345</v>
      </c>
      <c r="V401" s="9" t="str" cm="1">
        <f t="array" aca="1" ref="V401" ca="1">z_score_diff(OFFSET(U401,0,0,$J$5*-1,1),OFFSET(E401,0,0,$J$5*-1,1))</f>
        <v/>
      </c>
      <c r="W401" s="9" t="str">
        <f t="shared" ca="1" si="426"/>
        <v/>
      </c>
      <c r="X401" s="17">
        <f t="shared" ca="1" si="421"/>
        <v>0.10469942762205887</v>
      </c>
      <c r="Y401" s="13">
        <f t="shared" ref="Y401:Z401" ca="1" si="437">+Y400</f>
        <v>0</v>
      </c>
      <c r="Z401" s="13">
        <f t="shared" ca="1" si="437"/>
        <v>0</v>
      </c>
      <c r="AA401" t="str">
        <f t="shared" ca="1" si="428"/>
        <v/>
      </c>
      <c r="AB401" t="str">
        <f t="shared" ca="1" si="429"/>
        <v/>
      </c>
      <c r="AC401" s="24" t="str">
        <f t="shared" ca="1" si="430"/>
        <v/>
      </c>
      <c r="AD401" s="24" t="str">
        <f t="shared" ca="1" si="431"/>
        <v/>
      </c>
    </row>
    <row r="402" spans="3:30" x14ac:dyDescent="0.25">
      <c r="C402" s="6">
        <v>496</v>
      </c>
      <c r="D402" s="36">
        <v>42710</v>
      </c>
      <c r="E402" s="38">
        <v>16.75</v>
      </c>
      <c r="F402" s="38">
        <v>51.914775151971369</v>
      </c>
      <c r="G402" s="38">
        <v>32.56</v>
      </c>
      <c r="H402" s="38">
        <v>3.2537166363548118</v>
      </c>
      <c r="I402" s="38">
        <v>5.5953303259577538</v>
      </c>
      <c r="J402" s="10">
        <v>0</v>
      </c>
      <c r="K402" s="39">
        <v>0</v>
      </c>
      <c r="L402" s="39">
        <v>0</v>
      </c>
      <c r="M402" s="39">
        <v>0</v>
      </c>
      <c r="N402" s="39">
        <v>0</v>
      </c>
      <c r="O402" s="39">
        <v>0</v>
      </c>
      <c r="P402" s="39">
        <v>0</v>
      </c>
      <c r="Q402" s="39">
        <v>0</v>
      </c>
      <c r="R402" s="39">
        <v>0</v>
      </c>
      <c r="S402" s="39">
        <v>0</v>
      </c>
      <c r="T402" s="39">
        <v>0</v>
      </c>
      <c r="U402" s="29" cm="1">
        <f t="array" aca="1" ref="U402" ca="1">+fair_value_gap(OFFSET(T401,0,0,-1*$J$5,-1*$AA$1),OFFSET(E401,0,0,-1*$J$5,1),F402:T402,0)</f>
        <v>17.04873073871682</v>
      </c>
      <c r="V402" s="9" t="str" cm="1">
        <f t="array" aca="1" ref="V402" ca="1">z_score_diff(OFFSET(U402,0,0,$J$5*-1,1),OFFSET(E402,0,0,$J$5*-1,1))</f>
        <v/>
      </c>
      <c r="W402" s="9" t="str">
        <f t="shared" ca="1" si="426"/>
        <v/>
      </c>
      <c r="X402" s="17">
        <f t="shared" ca="1" si="421"/>
        <v>0.14424248028271616</v>
      </c>
      <c r="Y402" s="13">
        <f t="shared" ref="Y402:Z402" ca="1" si="438">+Y401</f>
        <v>0</v>
      </c>
      <c r="Z402" s="13">
        <f t="shared" ca="1" si="438"/>
        <v>0</v>
      </c>
      <c r="AA402" t="str">
        <f t="shared" ca="1" si="428"/>
        <v/>
      </c>
      <c r="AB402" t="str">
        <f t="shared" ca="1" si="429"/>
        <v/>
      </c>
      <c r="AC402" s="24" t="str">
        <f t="shared" ca="1" si="430"/>
        <v/>
      </c>
      <c r="AD402" s="24" t="str">
        <f t="shared" ca="1" si="431"/>
        <v/>
      </c>
    </row>
    <row r="403" spans="3:30" x14ac:dyDescent="0.25">
      <c r="C403" s="6">
        <v>497</v>
      </c>
      <c r="D403" s="36">
        <v>42711</v>
      </c>
      <c r="E403" s="38">
        <v>16.736000000000001</v>
      </c>
      <c r="F403" s="38">
        <v>51.091046654576878</v>
      </c>
      <c r="G403" s="38">
        <v>32.770000000000003</v>
      </c>
      <c r="H403" s="38">
        <v>3.2235365627718036</v>
      </c>
      <c r="I403" s="38">
        <v>5.5672630330996604</v>
      </c>
      <c r="J403" s="10">
        <v>0</v>
      </c>
      <c r="K403" s="39">
        <v>0</v>
      </c>
      <c r="L403" s="39">
        <v>0</v>
      </c>
      <c r="M403" s="39">
        <v>0</v>
      </c>
      <c r="N403" s="39">
        <v>0</v>
      </c>
      <c r="O403" s="39">
        <v>0</v>
      </c>
      <c r="P403" s="39">
        <v>0</v>
      </c>
      <c r="Q403" s="39">
        <v>0</v>
      </c>
      <c r="R403" s="39">
        <v>0</v>
      </c>
      <c r="S403" s="39">
        <v>0</v>
      </c>
      <c r="T403" s="39">
        <v>0</v>
      </c>
      <c r="U403" s="29" cm="1">
        <f t="array" aca="1" ref="U403" ca="1">+fair_value_gap(OFFSET(T402,0,0,-1*$J$5,-1*$AA$1),OFFSET(E402,0,0,-1*$J$5,1),F403:T403,0)</f>
        <v>17.001307436993226</v>
      </c>
      <c r="V403" s="9" t="str" cm="1">
        <f t="array" aca="1" ref="V403" ca="1">z_score_diff(OFFSET(U403,0,0,$J$5*-1,1),OFFSET(E403,0,0,$J$5*-1,1))</f>
        <v/>
      </c>
      <c r="W403" s="9" t="str">
        <f t="shared" ca="1" si="426"/>
        <v/>
      </c>
      <c r="X403" s="17">
        <f t="shared" ca="1" si="421"/>
        <v>0.14781406565657942</v>
      </c>
      <c r="Y403" s="13">
        <f t="shared" ref="Y403:Z403" ca="1" si="439">+Y402</f>
        <v>0</v>
      </c>
      <c r="Z403" s="13">
        <f t="shared" ca="1" si="439"/>
        <v>0</v>
      </c>
      <c r="AA403" t="str">
        <f t="shared" ca="1" si="428"/>
        <v/>
      </c>
      <c r="AB403" t="str">
        <f t="shared" ca="1" si="429"/>
        <v/>
      </c>
      <c r="AC403" s="24" t="str">
        <f t="shared" ca="1" si="430"/>
        <v/>
      </c>
      <c r="AD403" s="24" t="str">
        <f t="shared" ca="1" si="431"/>
        <v/>
      </c>
    </row>
    <row r="404" spans="3:30" x14ac:dyDescent="0.25">
      <c r="C404" s="6">
        <v>498</v>
      </c>
      <c r="D404" s="36">
        <v>42712</v>
      </c>
      <c r="E404" s="38">
        <v>16.914000000000001</v>
      </c>
      <c r="F404" s="38">
        <v>52.213330866367542</v>
      </c>
      <c r="G404" s="38">
        <v>32.76</v>
      </c>
      <c r="H404" s="38">
        <v>3.2998751098570702</v>
      </c>
      <c r="I404" s="38">
        <v>5.6339331143901195</v>
      </c>
      <c r="J404" s="10">
        <v>0</v>
      </c>
      <c r="K404" s="39">
        <v>0</v>
      </c>
      <c r="L404" s="39">
        <v>0</v>
      </c>
      <c r="M404" s="39">
        <v>0</v>
      </c>
      <c r="N404" s="39">
        <v>0</v>
      </c>
      <c r="O404" s="39">
        <v>0</v>
      </c>
      <c r="P404" s="39">
        <v>0</v>
      </c>
      <c r="Q404" s="39">
        <v>0</v>
      </c>
      <c r="R404" s="39">
        <v>0</v>
      </c>
      <c r="S404" s="39">
        <v>0</v>
      </c>
      <c r="T404" s="39">
        <v>0</v>
      </c>
      <c r="U404" s="29" cm="1">
        <f t="array" aca="1" ref="U404" ca="1">+fair_value_gap(OFFSET(T403,0,0,-1*$J$5,-1*$AA$1),OFFSET(E403,0,0,-1*$J$5,1),F404:T404,0)</f>
        <v>17.049492263988132</v>
      </c>
      <c r="V404" s="9" t="str" cm="1">
        <f t="array" aca="1" ref="V404" ca="1">z_score_diff(OFFSET(U404,0,0,$J$5*-1,1),OFFSET(E404,0,0,$J$5*-1,1))</f>
        <v/>
      </c>
      <c r="W404" s="9" t="str">
        <f t="shared" ca="1" si="426"/>
        <v/>
      </c>
      <c r="X404" s="17">
        <f t="shared" ca="1" si="421"/>
        <v>0.14835680307866117</v>
      </c>
      <c r="Y404" s="13">
        <f t="shared" ref="Y404:Z404" ca="1" si="440">+Y403</f>
        <v>0</v>
      </c>
      <c r="Z404" s="13">
        <f t="shared" ca="1" si="440"/>
        <v>0</v>
      </c>
      <c r="AA404" t="str">
        <f t="shared" ca="1" si="428"/>
        <v/>
      </c>
      <c r="AB404" t="str">
        <f t="shared" ca="1" si="429"/>
        <v/>
      </c>
      <c r="AC404" s="24" t="str">
        <f t="shared" ca="1" si="430"/>
        <v/>
      </c>
      <c r="AD404" s="24" t="str">
        <f t="shared" ca="1" si="431"/>
        <v/>
      </c>
    </row>
    <row r="405" spans="3:30" x14ac:dyDescent="0.25">
      <c r="C405" s="6">
        <v>499</v>
      </c>
      <c r="D405" s="36">
        <v>42713</v>
      </c>
      <c r="E405" s="38">
        <v>16.911000000000001</v>
      </c>
      <c r="F405" s="38">
        <v>52.909216525156985</v>
      </c>
      <c r="G405" s="38">
        <v>33.92</v>
      </c>
      <c r="H405" s="38">
        <v>3.3251908311768261</v>
      </c>
      <c r="I405" s="38">
        <v>5.8116450488968576</v>
      </c>
      <c r="J405" s="10">
        <v>0</v>
      </c>
      <c r="K405" s="39">
        <v>0</v>
      </c>
      <c r="L405" s="39">
        <v>0</v>
      </c>
      <c r="M405" s="39">
        <v>0</v>
      </c>
      <c r="N405" s="39">
        <v>0</v>
      </c>
      <c r="O405" s="39">
        <v>0</v>
      </c>
      <c r="P405" s="39">
        <v>0</v>
      </c>
      <c r="Q405" s="39">
        <v>0</v>
      </c>
      <c r="R405" s="39">
        <v>0</v>
      </c>
      <c r="S405" s="39">
        <v>0</v>
      </c>
      <c r="T405" s="39">
        <v>0</v>
      </c>
      <c r="U405" s="29" cm="1">
        <f t="array" aca="1" ref="U405" ca="1">+fair_value_gap(OFFSET(T404,0,0,-1*$J$5,-1*$AA$1),OFFSET(E404,0,0,-1*$J$5,1),F405:T405,0)</f>
        <v>17.529448634417296</v>
      </c>
      <c r="V405" s="9" t="str" cm="1">
        <f t="array" aca="1" ref="V405" ca="1">z_score_diff(OFFSET(U405,0,0,$J$5*-1,1),OFFSET(E405,0,0,$J$5*-1,1))</f>
        <v/>
      </c>
      <c r="W405" s="9" t="str">
        <f t="shared" ca="1" si="426"/>
        <v/>
      </c>
      <c r="X405" s="17">
        <f t="shared" ca="1" si="421"/>
        <v>0.1578691436071957</v>
      </c>
      <c r="Y405" s="13">
        <f t="shared" ref="Y405:Z405" ca="1" si="441">+Y404</f>
        <v>0</v>
      </c>
      <c r="Z405" s="13">
        <f t="shared" ca="1" si="441"/>
        <v>0</v>
      </c>
      <c r="AA405" t="str">
        <f t="shared" ca="1" si="428"/>
        <v/>
      </c>
      <c r="AB405" t="str">
        <f t="shared" ca="1" si="429"/>
        <v/>
      </c>
      <c r="AC405" s="24" t="str">
        <f t="shared" ca="1" si="430"/>
        <v/>
      </c>
      <c r="AD405" s="24" t="str">
        <f t="shared" ca="1" si="431"/>
        <v/>
      </c>
    </row>
    <row r="406" spans="3:30" x14ac:dyDescent="0.25">
      <c r="C406" s="6">
        <v>500</v>
      </c>
      <c r="D406" s="36">
        <v>42716</v>
      </c>
      <c r="E406" s="38">
        <v>17.440999999999999</v>
      </c>
      <c r="F406" s="38">
        <v>53.168367728342034</v>
      </c>
      <c r="G406" s="38">
        <v>35.1</v>
      </c>
      <c r="H406" s="38">
        <v>3.2513827374926052</v>
      </c>
      <c r="I406" s="38">
        <v>5.8788839164995448</v>
      </c>
      <c r="J406" s="10">
        <v>0</v>
      </c>
      <c r="K406" s="39">
        <v>0</v>
      </c>
      <c r="L406" s="39">
        <v>0</v>
      </c>
      <c r="M406" s="39">
        <v>0</v>
      </c>
      <c r="N406" s="39">
        <v>0</v>
      </c>
      <c r="O406" s="39">
        <v>0</v>
      </c>
      <c r="P406" s="39">
        <v>0</v>
      </c>
      <c r="Q406" s="39">
        <v>0</v>
      </c>
      <c r="R406" s="39">
        <v>0</v>
      </c>
      <c r="S406" s="39">
        <v>0</v>
      </c>
      <c r="T406" s="39">
        <v>0</v>
      </c>
      <c r="U406" s="29" cm="1">
        <f t="array" aca="1" ref="U406" ca="1">+fair_value_gap(OFFSET(T405,0,0,-1*$J$5,-1*$AA$1),OFFSET(E405,0,0,-1*$J$5,1),F406:T406,0)</f>
        <v>17.889070794871436</v>
      </c>
      <c r="V406" s="9" t="str" cm="1">
        <f t="array" aca="1" ref="V406" ca="1">z_score_diff(OFFSET(U406,0,0,$J$5*-1,1),OFFSET(E406,0,0,$J$5*-1,1))</f>
        <v/>
      </c>
      <c r="W406" s="9" t="str">
        <f t="shared" ca="1" si="426"/>
        <v/>
      </c>
      <c r="X406" s="17">
        <f t="shared" ca="1" si="421"/>
        <v>0.11599126901207134</v>
      </c>
      <c r="Y406" s="13">
        <f t="shared" ref="Y406:Z406" ca="1" si="442">+Y405</f>
        <v>0</v>
      </c>
      <c r="Z406" s="13">
        <f t="shared" ca="1" si="442"/>
        <v>0</v>
      </c>
      <c r="AA406" t="str">
        <f t="shared" ca="1" si="428"/>
        <v/>
      </c>
      <c r="AB406" t="str">
        <f t="shared" ca="1" si="429"/>
        <v/>
      </c>
      <c r="AC406" s="24" t="str">
        <f t="shared" ca="1" si="430"/>
        <v/>
      </c>
      <c r="AD406" s="24" t="str">
        <f t="shared" ca="1" si="431"/>
        <v/>
      </c>
    </row>
    <row r="407" spans="3:30" x14ac:dyDescent="0.25">
      <c r="C407" s="6">
        <v>501</v>
      </c>
      <c r="D407" s="36">
        <v>42717</v>
      </c>
      <c r="E407" s="38">
        <v>17.59</v>
      </c>
      <c r="F407" s="38">
        <v>53.278040964770518</v>
      </c>
      <c r="G407" s="38">
        <v>35.590000000000003</v>
      </c>
      <c r="H407" s="38">
        <v>3.2524922684008364</v>
      </c>
      <c r="I407" s="38">
        <v>5.9598224804503968</v>
      </c>
      <c r="J407" s="10">
        <v>0</v>
      </c>
      <c r="K407" s="39">
        <v>0</v>
      </c>
      <c r="L407" s="39">
        <v>0</v>
      </c>
      <c r="M407" s="39">
        <v>0</v>
      </c>
      <c r="N407" s="39">
        <v>0</v>
      </c>
      <c r="O407" s="39">
        <v>0</v>
      </c>
      <c r="P407" s="39">
        <v>0</v>
      </c>
      <c r="Q407" s="39">
        <v>0</v>
      </c>
      <c r="R407" s="39">
        <v>0</v>
      </c>
      <c r="S407" s="39">
        <v>0</v>
      </c>
      <c r="T407" s="39">
        <v>0</v>
      </c>
      <c r="U407" s="29" cm="1">
        <f t="array" aca="1" ref="U407" ca="1">+fair_value_gap(OFFSET(T406,0,0,-1*$J$5,-1*$AA$1),OFFSET(E406,0,0,-1*$J$5,1),F407:T407,0)</f>
        <v>18.033712071060066</v>
      </c>
      <c r="V407" s="9" t="str" cm="1">
        <f t="array" aca="1" ref="V407" ca="1">z_score_diff(OFFSET(U407,0,0,$J$5*-1,1),OFFSET(E407,0,0,$J$5*-1,1))</f>
        <v/>
      </c>
      <c r="W407" s="9" t="str">
        <f t="shared" ca="1" si="426"/>
        <v/>
      </c>
      <c r="X407" s="17">
        <f t="shared" ca="1" si="421"/>
        <v>9.002464568352006E-2</v>
      </c>
      <c r="Y407" s="13">
        <f t="shared" ref="Y407:Z407" ca="1" si="443">+Y406</f>
        <v>0</v>
      </c>
      <c r="Z407" s="13">
        <f t="shared" ca="1" si="443"/>
        <v>0</v>
      </c>
      <c r="AA407" t="str">
        <f t="shared" ca="1" si="428"/>
        <v/>
      </c>
      <c r="AB407" t="str">
        <f t="shared" ca="1" si="429"/>
        <v/>
      </c>
      <c r="AC407" s="24" t="str">
        <f t="shared" ca="1" si="430"/>
        <v/>
      </c>
      <c r="AD407" s="24" t="str">
        <f t="shared" ca="1" si="431"/>
        <v/>
      </c>
    </row>
    <row r="408" spans="3:30" x14ac:dyDescent="0.25">
      <c r="C408" s="6">
        <v>502</v>
      </c>
      <c r="D408" s="36">
        <v>42718</v>
      </c>
      <c r="E408" s="38">
        <v>17.664999999999999</v>
      </c>
      <c r="F408" s="38">
        <v>52.616322151704644</v>
      </c>
      <c r="G408" s="38">
        <v>35.700000000000003</v>
      </c>
      <c r="H408" s="38">
        <v>3.3322117217421456</v>
      </c>
      <c r="I408" s="38">
        <v>6.0585667668039003</v>
      </c>
      <c r="J408" s="10">
        <v>0</v>
      </c>
      <c r="K408" s="39">
        <v>0</v>
      </c>
      <c r="L408" s="39">
        <v>0</v>
      </c>
      <c r="M408" s="39">
        <v>0</v>
      </c>
      <c r="N408" s="39">
        <v>0</v>
      </c>
      <c r="O408" s="39">
        <v>0</v>
      </c>
      <c r="P408" s="39">
        <v>0</v>
      </c>
      <c r="Q408" s="39">
        <v>0</v>
      </c>
      <c r="R408" s="39">
        <v>0</v>
      </c>
      <c r="S408" s="39">
        <v>0</v>
      </c>
      <c r="T408" s="39">
        <v>0</v>
      </c>
      <c r="U408" s="29" cm="1">
        <f t="array" aca="1" ref="U408" ca="1">+fair_value_gap(OFFSET(T407,0,0,-1*$J$5,-1*$AA$1),OFFSET(E407,0,0,-1*$J$5,1),F408:T408,0)</f>
        <v>18.033171381271238</v>
      </c>
      <c r="V408" s="9" t="str" cm="1">
        <f t="array" aca="1" ref="V408" ca="1">z_score_diff(OFFSET(U408,0,0,$J$5*-1,1),OFFSET(E408,0,0,$J$5*-1,1))</f>
        <v/>
      </c>
      <c r="W408" s="9" t="str">
        <f t="shared" ca="1" si="426"/>
        <v/>
      </c>
      <c r="X408" s="17">
        <f t="shared" ca="1" si="421"/>
        <v>8.4678248832515804E-2</v>
      </c>
      <c r="Y408" s="13">
        <f t="shared" ref="Y408:Z408" ca="1" si="444">+Y407</f>
        <v>0</v>
      </c>
      <c r="Z408" s="13">
        <f t="shared" ca="1" si="444"/>
        <v>0</v>
      </c>
      <c r="AA408" t="str">
        <f t="shared" ca="1" si="428"/>
        <v/>
      </c>
      <c r="AB408" t="str">
        <f t="shared" ca="1" si="429"/>
        <v/>
      </c>
      <c r="AC408" s="24" t="str">
        <f t="shared" ca="1" si="430"/>
        <v/>
      </c>
      <c r="AD408" s="24" t="str">
        <f t="shared" ca="1" si="431"/>
        <v/>
      </c>
    </row>
    <row r="409" spans="3:30" x14ac:dyDescent="0.25">
      <c r="C409" s="6">
        <v>503</v>
      </c>
      <c r="D409" s="36">
        <v>42719</v>
      </c>
      <c r="E409" s="38">
        <v>17.686</v>
      </c>
      <c r="F409" s="38">
        <v>53.212776716326275</v>
      </c>
      <c r="G409" s="38">
        <v>36.24</v>
      </c>
      <c r="H409" s="38">
        <v>3.3409826896040635</v>
      </c>
      <c r="I409" s="38">
        <v>5.9229935506227616</v>
      </c>
      <c r="J409" s="10">
        <v>0</v>
      </c>
      <c r="K409" s="39">
        <v>0</v>
      </c>
      <c r="L409" s="39">
        <v>0</v>
      </c>
      <c r="M409" s="39">
        <v>0</v>
      </c>
      <c r="N409" s="39">
        <v>0</v>
      </c>
      <c r="O409" s="39">
        <v>0</v>
      </c>
      <c r="P409" s="39">
        <v>0</v>
      </c>
      <c r="Q409" s="39">
        <v>0</v>
      </c>
      <c r="R409" s="39">
        <v>0</v>
      </c>
      <c r="S409" s="39">
        <v>0</v>
      </c>
      <c r="T409" s="39">
        <v>0</v>
      </c>
      <c r="U409" s="29" cm="1">
        <f t="array" aca="1" ref="U409" ca="1">+fair_value_gap(OFFSET(T408,0,0,-1*$J$5,-1*$AA$1),OFFSET(E408,0,0,-1*$J$5,1),F409:T409,0)</f>
        <v>18.208919223559164</v>
      </c>
      <c r="V409" s="9" t="str" cm="1">
        <f t="array" aca="1" ref="V409" ca="1">z_score_diff(OFFSET(U409,0,0,$J$5*-1,1),OFFSET(E409,0,0,$J$5*-1,1))</f>
        <v/>
      </c>
      <c r="W409" s="9" t="str">
        <f t="shared" ca="1" si="426"/>
        <v/>
      </c>
      <c r="X409" s="17">
        <f t="shared" ca="1" si="421"/>
        <v>7.2296992598219742E-2</v>
      </c>
      <c r="Y409" s="13">
        <f t="shared" ref="Y409:Z409" ca="1" si="445">+Y408</f>
        <v>0</v>
      </c>
      <c r="Z409" s="13">
        <f t="shared" ca="1" si="445"/>
        <v>0</v>
      </c>
      <c r="AA409" t="str">
        <f t="shared" ca="1" si="428"/>
        <v/>
      </c>
      <c r="AB409" t="str">
        <f t="shared" ca="1" si="429"/>
        <v/>
      </c>
      <c r="AC409" s="24" t="str">
        <f t="shared" ca="1" si="430"/>
        <v/>
      </c>
      <c r="AD409" s="24" t="str">
        <f t="shared" ca="1" si="431"/>
        <v/>
      </c>
    </row>
    <row r="410" spans="3:30" x14ac:dyDescent="0.25">
      <c r="C410" s="6">
        <v>504</v>
      </c>
      <c r="D410" s="36">
        <v>42720</v>
      </c>
      <c r="E410" s="38">
        <v>17.884</v>
      </c>
      <c r="F410" s="38">
        <v>53.713963752465027</v>
      </c>
      <c r="G410" s="38">
        <v>36.549999999999997</v>
      </c>
      <c r="H410" s="38">
        <v>3.3204995774251107</v>
      </c>
      <c r="I410" s="38">
        <v>5.9066579021504371</v>
      </c>
      <c r="J410" s="10">
        <v>0</v>
      </c>
      <c r="K410" s="39">
        <v>0</v>
      </c>
      <c r="L410" s="39">
        <v>0</v>
      </c>
      <c r="M410" s="39">
        <v>0</v>
      </c>
      <c r="N410" s="39">
        <v>0</v>
      </c>
      <c r="O410" s="39">
        <v>0</v>
      </c>
      <c r="P410" s="39">
        <v>0</v>
      </c>
      <c r="Q410" s="39">
        <v>0</v>
      </c>
      <c r="R410" s="39">
        <v>0</v>
      </c>
      <c r="S410" s="39">
        <v>0</v>
      </c>
      <c r="T410" s="39">
        <v>0</v>
      </c>
      <c r="U410" s="29" cm="1">
        <f t="array" aca="1" ref="U410" ca="1">+fair_value_gap(OFFSET(T409,0,0,-1*$J$5,-1*$AA$1),OFFSET(E409,0,0,-1*$J$5,1),F410:T410,0)</f>
        <v>18.272148774285483</v>
      </c>
      <c r="V410" s="9" t="str" cm="1">
        <f t="array" aca="1" ref="V410" ca="1">z_score_diff(OFFSET(U410,0,0,$J$5*-1,1),OFFSET(E410,0,0,$J$5*-1,1))</f>
        <v/>
      </c>
      <c r="W410" s="9" t="str">
        <f t="shared" ca="1" si="426"/>
        <v/>
      </c>
      <c r="X410" s="17">
        <f t="shared" ca="1" si="421"/>
        <v>6.8970504875827718E-2</v>
      </c>
      <c r="Y410" s="13">
        <f t="shared" ref="Y410:Z410" ca="1" si="446">+Y409</f>
        <v>0</v>
      </c>
      <c r="Z410" s="13">
        <f t="shared" ca="1" si="446"/>
        <v>0</v>
      </c>
      <c r="AA410" t="str">
        <f t="shared" ca="1" si="428"/>
        <v/>
      </c>
      <c r="AB410" t="str">
        <f t="shared" ca="1" si="429"/>
        <v/>
      </c>
      <c r="AC410" s="24" t="str">
        <f t="shared" ca="1" si="430"/>
        <v/>
      </c>
      <c r="AD410" s="24" t="str">
        <f t="shared" ca="1" si="431"/>
        <v/>
      </c>
    </row>
    <row r="411" spans="3:30" x14ac:dyDescent="0.25">
      <c r="C411" s="6">
        <v>505</v>
      </c>
      <c r="D411" s="36">
        <v>42723</v>
      </c>
      <c r="E411" s="38">
        <v>17.882999999999999</v>
      </c>
      <c r="F411" s="38">
        <v>53.815862430549529</v>
      </c>
      <c r="G411" s="38">
        <v>36.229999999999997</v>
      </c>
      <c r="H411" s="38">
        <v>3.3654952341796265</v>
      </c>
      <c r="I411" s="38">
        <v>5.9313435200307794</v>
      </c>
      <c r="J411" s="10">
        <v>0</v>
      </c>
      <c r="K411" s="39">
        <v>0</v>
      </c>
      <c r="L411" s="39">
        <v>0</v>
      </c>
      <c r="M411" s="39">
        <v>0</v>
      </c>
      <c r="N411" s="39">
        <v>0</v>
      </c>
      <c r="O411" s="39">
        <v>0</v>
      </c>
      <c r="P411" s="39">
        <v>0</v>
      </c>
      <c r="Q411" s="39">
        <v>0</v>
      </c>
      <c r="R411" s="39">
        <v>0</v>
      </c>
      <c r="S411" s="39">
        <v>0</v>
      </c>
      <c r="T411" s="39">
        <v>0</v>
      </c>
      <c r="U411" s="29" cm="1">
        <f t="array" aca="1" ref="U411" ca="1">+fair_value_gap(OFFSET(T410,0,0,-1*$J$5,-1*$AA$1),OFFSET(E410,0,0,-1*$J$5,1),F411:T411,0)</f>
        <v>18.120073192878582</v>
      </c>
      <c r="V411" s="9" t="str" cm="1">
        <f t="array" aca="1" ref="V411" ca="1">z_score_diff(OFFSET(U411,0,0,$J$5*-1,1),OFFSET(E411,0,0,$J$5*-1,1))</f>
        <v/>
      </c>
      <c r="W411" s="9" t="str">
        <f t="shared" ca="1" si="426"/>
        <v/>
      </c>
      <c r="X411" s="17">
        <f t="shared" ca="1" si="421"/>
        <v>6.4685297817117099E-2</v>
      </c>
      <c r="Y411" s="13">
        <f t="shared" ref="Y411:Z411" ca="1" si="447">+Y410</f>
        <v>0</v>
      </c>
      <c r="Z411" s="13">
        <f t="shared" ca="1" si="447"/>
        <v>0</v>
      </c>
      <c r="AA411" t="str">
        <f t="shared" ca="1" si="428"/>
        <v/>
      </c>
      <c r="AB411" t="str">
        <f t="shared" ca="1" si="429"/>
        <v/>
      </c>
      <c r="AC411" s="24" t="str">
        <f t="shared" ca="1" si="430"/>
        <v/>
      </c>
      <c r="AD411" s="24" t="str">
        <f t="shared" ca="1" si="431"/>
        <v/>
      </c>
    </row>
    <row r="412" spans="3:30" x14ac:dyDescent="0.25">
      <c r="C412" s="6">
        <v>506</v>
      </c>
      <c r="D412" s="36">
        <v>42724</v>
      </c>
      <c r="E412" s="38">
        <v>18.102</v>
      </c>
      <c r="F412" s="38">
        <v>54.494061242113503</v>
      </c>
      <c r="G412" s="38">
        <v>36.53</v>
      </c>
      <c r="H412" s="38">
        <v>3.2362337374299828</v>
      </c>
      <c r="I412" s="38">
        <v>5.9363984276566324</v>
      </c>
      <c r="J412" s="10">
        <v>0</v>
      </c>
      <c r="K412" s="39">
        <v>0</v>
      </c>
      <c r="L412" s="39">
        <v>0</v>
      </c>
      <c r="M412" s="39">
        <v>0</v>
      </c>
      <c r="N412" s="39">
        <v>0</v>
      </c>
      <c r="O412" s="39">
        <v>0</v>
      </c>
      <c r="P412" s="39">
        <v>0</v>
      </c>
      <c r="Q412" s="39">
        <v>0</v>
      </c>
      <c r="R412" s="39">
        <v>0</v>
      </c>
      <c r="S412" s="39">
        <v>0</v>
      </c>
      <c r="T412" s="39">
        <v>0</v>
      </c>
      <c r="U412" s="29" cm="1">
        <f t="array" aca="1" ref="U412" ca="1">+fair_value_gap(OFFSET(T411,0,0,-1*$J$5,-1*$AA$1),OFFSET(E411,0,0,-1*$J$5,1),F412:T412,0)</f>
        <v>18.150747254402845</v>
      </c>
      <c r="V412" s="9" t="str" cm="1">
        <f t="array" aca="1" ref="V412" ca="1">z_score_diff(OFFSET(U412,0,0,$J$5*-1,1),OFFSET(E412,0,0,$J$5*-1,1))</f>
        <v/>
      </c>
      <c r="W412" s="9" t="str">
        <f t="shared" ca="1" si="426"/>
        <v/>
      </c>
      <c r="X412" s="17">
        <f t="shared" ca="1" si="421"/>
        <v>6.2838369373107175E-2</v>
      </c>
      <c r="Y412" s="13">
        <f t="shared" ref="Y412:Z412" ca="1" si="448">+Y411</f>
        <v>0</v>
      </c>
      <c r="Z412" s="13">
        <f t="shared" ca="1" si="448"/>
        <v>0</v>
      </c>
      <c r="AA412" t="str">
        <f t="shared" ca="1" si="428"/>
        <v/>
      </c>
      <c r="AB412" t="str">
        <f t="shared" ca="1" si="429"/>
        <v/>
      </c>
      <c r="AC412" s="24" t="str">
        <f t="shared" ca="1" si="430"/>
        <v/>
      </c>
      <c r="AD412" s="24" t="str">
        <f t="shared" ca="1" si="431"/>
        <v/>
      </c>
    </row>
    <row r="413" spans="3:30" x14ac:dyDescent="0.25">
      <c r="C413" s="6">
        <v>507</v>
      </c>
      <c r="D413" s="36">
        <v>42725</v>
      </c>
      <c r="E413" s="38">
        <v>18.231000000000002</v>
      </c>
      <c r="F413" s="38">
        <v>53.691464457961594</v>
      </c>
      <c r="G413" s="38">
        <v>36.450000000000003</v>
      </c>
      <c r="H413" s="38">
        <v>3.3431421399494208</v>
      </c>
      <c r="I413" s="38">
        <v>5.9134882059285312</v>
      </c>
      <c r="J413" s="10">
        <v>0</v>
      </c>
      <c r="K413" s="39">
        <v>0</v>
      </c>
      <c r="L413" s="39">
        <v>0</v>
      </c>
      <c r="M413" s="39">
        <v>0</v>
      </c>
      <c r="N413" s="39">
        <v>0</v>
      </c>
      <c r="O413" s="39">
        <v>0</v>
      </c>
      <c r="P413" s="39">
        <v>0</v>
      </c>
      <c r="Q413" s="39">
        <v>0</v>
      </c>
      <c r="R413" s="39">
        <v>0</v>
      </c>
      <c r="S413" s="39">
        <v>0</v>
      </c>
      <c r="T413" s="39">
        <v>0</v>
      </c>
      <c r="U413" s="29" cm="1">
        <f t="array" aca="1" ref="U413" ca="1">+fair_value_gap(OFFSET(T412,0,0,-1*$J$5,-1*$AA$1),OFFSET(E412,0,0,-1*$J$5,1),F413:T413,0)</f>
        <v>18.116077437549805</v>
      </c>
      <c r="V413" s="9" t="str" cm="1">
        <f t="array" aca="1" ref="V413" ca="1">z_score_diff(OFFSET(U413,0,0,$J$5*-1,1),OFFSET(E413,0,0,$J$5*-1,1))</f>
        <v/>
      </c>
      <c r="W413" s="9" t="str">
        <f t="shared" ca="1" si="426"/>
        <v/>
      </c>
      <c r="X413" s="17">
        <f t="shared" ca="1" si="421"/>
        <v>5.682620159289091E-2</v>
      </c>
      <c r="Y413" s="13">
        <f t="shared" ref="Y413:Z413" ca="1" si="449">+Y412</f>
        <v>0</v>
      </c>
      <c r="Z413" s="13">
        <f t="shared" ca="1" si="449"/>
        <v>0</v>
      </c>
      <c r="AA413" t="str">
        <f t="shared" ca="1" si="428"/>
        <v/>
      </c>
      <c r="AB413" t="str">
        <f t="shared" ca="1" si="429"/>
        <v/>
      </c>
      <c r="AC413" s="24" t="str">
        <f t="shared" ca="1" si="430"/>
        <v/>
      </c>
      <c r="AD413" s="24" t="str">
        <f t="shared" ca="1" si="431"/>
        <v/>
      </c>
    </row>
    <row r="414" spans="3:30" x14ac:dyDescent="0.25">
      <c r="C414" s="6">
        <v>508</v>
      </c>
      <c r="D414" s="36">
        <v>42726</v>
      </c>
      <c r="E414" s="38">
        <v>18.561</v>
      </c>
      <c r="F414" s="38">
        <v>54.020790958328831</v>
      </c>
      <c r="G414" s="38">
        <v>37.28</v>
      </c>
      <c r="H414" s="38">
        <v>3.3530470074830538</v>
      </c>
      <c r="I414" s="38">
        <v>5.9094047848328408</v>
      </c>
      <c r="J414" s="10">
        <v>0</v>
      </c>
      <c r="K414" s="39">
        <v>0</v>
      </c>
      <c r="L414" s="39">
        <v>0</v>
      </c>
      <c r="M414" s="39">
        <v>0</v>
      </c>
      <c r="N414" s="39">
        <v>0</v>
      </c>
      <c r="O414" s="39">
        <v>0</v>
      </c>
      <c r="P414" s="39">
        <v>0</v>
      </c>
      <c r="Q414" s="39">
        <v>0</v>
      </c>
      <c r="R414" s="39">
        <v>0</v>
      </c>
      <c r="S414" s="39">
        <v>0</v>
      </c>
      <c r="T414" s="39">
        <v>0</v>
      </c>
      <c r="U414" s="29" cm="1">
        <f t="array" aca="1" ref="U414" ca="1">+fair_value_gap(OFFSET(T413,0,0,-1*$J$5,-1*$AA$1),OFFSET(E413,0,0,-1*$J$5,1),F414:T414,0)</f>
        <v>18.438347571938834</v>
      </c>
      <c r="V414" s="9" t="str" cm="1">
        <f t="array" aca="1" ref="V414" ca="1">z_score_diff(OFFSET(U414,0,0,$J$5*-1,1),OFFSET(E414,0,0,$J$5*-1,1))</f>
        <v/>
      </c>
      <c r="W414" s="9" t="str">
        <f t="shared" ca="1" si="426"/>
        <v/>
      </c>
      <c r="X414" s="17">
        <f t="shared" ca="1" si="421"/>
        <v>4.0492216535442944E-2</v>
      </c>
      <c r="Y414" s="13">
        <f t="shared" ref="Y414:Z414" ca="1" si="450">+Y413</f>
        <v>0</v>
      </c>
      <c r="Z414" s="13">
        <f t="shared" ca="1" si="450"/>
        <v>0</v>
      </c>
      <c r="AA414" t="str">
        <f t="shared" ca="1" si="428"/>
        <v/>
      </c>
      <c r="AB414" t="str">
        <f t="shared" ca="1" si="429"/>
        <v/>
      </c>
      <c r="AC414" s="24" t="str">
        <f t="shared" ca="1" si="430"/>
        <v/>
      </c>
      <c r="AD414" s="24" t="str">
        <f t="shared" ca="1" si="431"/>
        <v/>
      </c>
    </row>
    <row r="415" spans="3:30" x14ac:dyDescent="0.25">
      <c r="C415" s="6">
        <v>509</v>
      </c>
      <c r="D415" s="36">
        <v>42727</v>
      </c>
      <c r="E415" s="38">
        <v>18.388999999999999</v>
      </c>
      <c r="F415" s="38">
        <v>54.027177762454919</v>
      </c>
      <c r="G415" s="38">
        <v>37.31</v>
      </c>
      <c r="H415" s="38">
        <v>3.396985773187172</v>
      </c>
      <c r="I415" s="38">
        <v>5.9008673055364023</v>
      </c>
      <c r="J415" s="10">
        <v>0</v>
      </c>
      <c r="K415" s="39">
        <v>0</v>
      </c>
      <c r="L415" s="39">
        <v>0</v>
      </c>
      <c r="M415" s="39">
        <v>0</v>
      </c>
      <c r="N415" s="39">
        <v>0</v>
      </c>
      <c r="O415" s="39">
        <v>0</v>
      </c>
      <c r="P415" s="39">
        <v>0</v>
      </c>
      <c r="Q415" s="39">
        <v>0</v>
      </c>
      <c r="R415" s="39">
        <v>0</v>
      </c>
      <c r="S415" s="39">
        <v>0</v>
      </c>
      <c r="T415" s="39">
        <v>0</v>
      </c>
      <c r="U415" s="29" cm="1">
        <f t="array" aca="1" ref="U415" ca="1">+fair_value_gap(OFFSET(T414,0,0,-1*$J$5,-1*$AA$1),OFFSET(E414,0,0,-1*$J$5,1),F415:T415,0)</f>
        <v>18.47855703430336</v>
      </c>
      <c r="V415" s="9" t="str" cm="1">
        <f t="array" aca="1" ref="V415" ca="1">z_score_diff(OFFSET(U415,0,0,$J$5*-1,1),OFFSET(E415,0,0,$J$5*-1,1))</f>
        <v/>
      </c>
      <c r="W415" s="9" t="str">
        <f t="shared" ca="1" si="426"/>
        <v/>
      </c>
      <c r="X415" s="17">
        <f t="shared" ca="1" si="421"/>
        <v>4.4198743783430208E-2</v>
      </c>
      <c r="Y415" s="13">
        <f t="shared" ref="Y415:Z415" ca="1" si="451">+Y414</f>
        <v>0</v>
      </c>
      <c r="Z415" s="13">
        <f t="shared" ca="1" si="451"/>
        <v>0</v>
      </c>
      <c r="AA415" t="str">
        <f t="shared" ca="1" si="428"/>
        <v/>
      </c>
      <c r="AB415" t="str">
        <f t="shared" ca="1" si="429"/>
        <v/>
      </c>
      <c r="AC415" s="24" t="str">
        <f t="shared" ca="1" si="430"/>
        <v/>
      </c>
      <c r="AD415" s="24" t="str">
        <f t="shared" ca="1" si="431"/>
        <v/>
      </c>
    </row>
    <row r="416" spans="3:30" x14ac:dyDescent="0.25">
      <c r="C416" s="6">
        <v>510</v>
      </c>
      <c r="D416" s="36">
        <v>42731</v>
      </c>
      <c r="E416" s="38">
        <v>18.59</v>
      </c>
      <c r="F416" s="38">
        <v>54.753081326001663</v>
      </c>
      <c r="G416" s="38">
        <v>38.700000000000003</v>
      </c>
      <c r="H416" s="38">
        <v>3.4460964869507809</v>
      </c>
      <c r="I416" s="38">
        <v>5.8982168443320857</v>
      </c>
      <c r="J416" s="10">
        <v>0</v>
      </c>
      <c r="K416" s="39">
        <v>0</v>
      </c>
      <c r="L416" s="39">
        <v>0</v>
      </c>
      <c r="M416" s="39">
        <v>0</v>
      </c>
      <c r="N416" s="39">
        <v>0</v>
      </c>
      <c r="O416" s="39">
        <v>0</v>
      </c>
      <c r="P416" s="39">
        <v>0</v>
      </c>
      <c r="Q416" s="39">
        <v>0</v>
      </c>
      <c r="R416" s="39">
        <v>0</v>
      </c>
      <c r="S416" s="39">
        <v>0</v>
      </c>
      <c r="T416" s="39">
        <v>0</v>
      </c>
      <c r="U416" s="29" cm="1">
        <f t="array" aca="1" ref="U416" ca="1">+fair_value_gap(OFFSET(T415,0,0,-1*$J$5,-1*$AA$1),OFFSET(E415,0,0,-1*$J$5,1),F416:T416,0)</f>
        <v>19.021528095149762</v>
      </c>
      <c r="V416" s="9" t="str" cm="1">
        <f t="array" aca="1" ref="V416" ca="1">z_score_diff(OFFSET(U416,0,0,$J$5*-1,1),OFFSET(E416,0,0,$J$5*-1,1))</f>
        <v/>
      </c>
      <c r="W416" s="9" t="str">
        <f t="shared" ca="1" si="426"/>
        <v/>
      </c>
      <c r="X416" s="17">
        <f t="shared" ca="1" si="421"/>
        <v>3.0148777380502621E-2</v>
      </c>
      <c r="Y416" s="13">
        <f t="shared" ref="Y416:Z416" ca="1" si="452">+Y415</f>
        <v>0</v>
      </c>
      <c r="Z416" s="13">
        <f t="shared" ca="1" si="452"/>
        <v>0</v>
      </c>
      <c r="AA416" t="str">
        <f t="shared" ca="1" si="428"/>
        <v/>
      </c>
      <c r="AB416" t="str">
        <f t="shared" ca="1" si="429"/>
        <v/>
      </c>
      <c r="AC416" s="24" t="str">
        <f t="shared" ca="1" si="430"/>
        <v/>
      </c>
      <c r="AD416" s="24" t="str">
        <f t="shared" ca="1" si="431"/>
        <v/>
      </c>
    </row>
    <row r="417" spans="3:30" x14ac:dyDescent="0.25">
      <c r="C417" s="6">
        <v>511</v>
      </c>
      <c r="D417" s="36">
        <v>42732</v>
      </c>
      <c r="E417" s="38">
        <v>18.844000000000001</v>
      </c>
      <c r="F417" s="38">
        <v>55.195141471682128</v>
      </c>
      <c r="G417" s="38">
        <v>37.79</v>
      </c>
      <c r="H417" s="38">
        <v>3.5233746057153619</v>
      </c>
      <c r="I417" s="38">
        <v>5.9225083564803924</v>
      </c>
      <c r="J417" s="10">
        <v>0</v>
      </c>
      <c r="K417" s="39">
        <v>0</v>
      </c>
      <c r="L417" s="39">
        <v>0</v>
      </c>
      <c r="M417" s="39">
        <v>0</v>
      </c>
      <c r="N417" s="39">
        <v>0</v>
      </c>
      <c r="O417" s="39">
        <v>0</v>
      </c>
      <c r="P417" s="39">
        <v>0</v>
      </c>
      <c r="Q417" s="39">
        <v>0</v>
      </c>
      <c r="R417" s="39">
        <v>0</v>
      </c>
      <c r="S417" s="39">
        <v>0</v>
      </c>
      <c r="T417" s="39">
        <v>0</v>
      </c>
      <c r="U417" s="29" cm="1">
        <f t="array" aca="1" ref="U417" ca="1">+fair_value_gap(OFFSET(T416,0,0,-1*$J$5,-1*$AA$1),OFFSET(E416,0,0,-1*$J$5,1),F417:T417,0)</f>
        <v>18.746838782050069</v>
      </c>
      <c r="V417" s="9" t="str" cm="1">
        <f t="array" aca="1" ref="V417" ca="1">z_score_diff(OFFSET(U417,0,0,$J$5*-1,1),OFFSET(E417,0,0,$J$5*-1,1))</f>
        <v/>
      </c>
      <c r="W417" s="9" t="str">
        <f t="shared" ca="1" si="426"/>
        <v/>
      </c>
      <c r="X417" s="17">
        <f t="shared" ca="1" si="421"/>
        <v>1.5899255686366725E-2</v>
      </c>
      <c r="Y417" s="13">
        <f t="shared" ref="Y417:Z417" ca="1" si="453">+Y416</f>
        <v>0</v>
      </c>
      <c r="Z417" s="13">
        <f t="shared" ca="1" si="453"/>
        <v>0</v>
      </c>
      <c r="AA417" t="str">
        <f t="shared" ca="1" si="428"/>
        <v/>
      </c>
      <c r="AB417" t="str">
        <f t="shared" ca="1" si="429"/>
        <v/>
      </c>
      <c r="AC417" s="24" t="str">
        <f t="shared" ca="1" si="430"/>
        <v/>
      </c>
      <c r="AD417" s="24" t="str">
        <f t="shared" ca="1" si="431"/>
        <v/>
      </c>
    </row>
    <row r="418" spans="3:30" x14ac:dyDescent="0.25">
      <c r="C418" s="6">
        <v>512</v>
      </c>
      <c r="D418" s="36">
        <v>42733</v>
      </c>
      <c r="E418" s="38">
        <v>18.984999999999999</v>
      </c>
      <c r="F418" s="38">
        <v>54.828487999723237</v>
      </c>
      <c r="G418" s="38">
        <v>37.94</v>
      </c>
      <c r="H418" s="38">
        <v>3.5539407040748299</v>
      </c>
      <c r="I418" s="38">
        <v>5.8811594392608999</v>
      </c>
      <c r="J418" s="10">
        <v>0</v>
      </c>
      <c r="K418" s="39">
        <v>0</v>
      </c>
      <c r="L418" s="39">
        <v>0</v>
      </c>
      <c r="M418" s="39">
        <v>0</v>
      </c>
      <c r="N418" s="39">
        <v>0</v>
      </c>
      <c r="O418" s="39">
        <v>0</v>
      </c>
      <c r="P418" s="39">
        <v>0</v>
      </c>
      <c r="Q418" s="39">
        <v>0</v>
      </c>
      <c r="R418" s="39">
        <v>0</v>
      </c>
      <c r="S418" s="39">
        <v>0</v>
      </c>
      <c r="T418" s="39">
        <v>0</v>
      </c>
      <c r="U418" s="29" cm="1">
        <f t="array" aca="1" ref="U418" ca="1">+fair_value_gap(OFFSET(T417,0,0,-1*$J$5,-1*$AA$1),OFFSET(E417,0,0,-1*$J$5,1),F418:T418,0)</f>
        <v>18.794183544146009</v>
      </c>
      <c r="V418" s="9" t="str" cm="1">
        <f t="array" aca="1" ref="V418" ca="1">z_score_diff(OFFSET(U418,0,0,$J$5*-1,1),OFFSET(E418,0,0,$J$5*-1,1))</f>
        <v/>
      </c>
      <c r="W418" s="9" t="str">
        <f t="shared" ca="1" si="426"/>
        <v/>
      </c>
      <c r="X418" s="17">
        <f t="shared" ca="1" si="421"/>
        <v>8.8101676367583932E-3</v>
      </c>
      <c r="Y418" s="13">
        <f t="shared" ref="Y418:Z418" ca="1" si="454">+Y417</f>
        <v>0</v>
      </c>
      <c r="Z418" s="13">
        <f t="shared" ca="1" si="454"/>
        <v>0</v>
      </c>
      <c r="AA418" t="str">
        <f t="shared" ca="1" si="428"/>
        <v/>
      </c>
      <c r="AB418" t="str">
        <f t="shared" ca="1" si="429"/>
        <v/>
      </c>
      <c r="AC418" s="24" t="str">
        <f t="shared" ca="1" si="430"/>
        <v/>
      </c>
      <c r="AD418" s="24" t="str">
        <f t="shared" ca="1" si="431"/>
        <v/>
      </c>
    </row>
    <row r="419" spans="3:30" x14ac:dyDescent="0.25">
      <c r="C419" s="6">
        <v>513</v>
      </c>
      <c r="D419" s="36">
        <v>42734</v>
      </c>
      <c r="E419" s="38">
        <v>19.521999999999998</v>
      </c>
      <c r="F419" s="38">
        <v>54.643331294658175</v>
      </c>
      <c r="G419" s="38">
        <v>38.840000000000003</v>
      </c>
      <c r="H419" s="38">
        <v>3.5241732177752585</v>
      </c>
      <c r="I419" s="38">
        <v>5.8642988200545965</v>
      </c>
      <c r="J419" s="10">
        <v>0</v>
      </c>
      <c r="K419" s="39">
        <v>0</v>
      </c>
      <c r="L419" s="39">
        <v>0</v>
      </c>
      <c r="M419" s="39">
        <v>0</v>
      </c>
      <c r="N419" s="39">
        <v>0</v>
      </c>
      <c r="O419" s="39">
        <v>0</v>
      </c>
      <c r="P419" s="39">
        <v>0</v>
      </c>
      <c r="Q419" s="39">
        <v>0</v>
      </c>
      <c r="R419" s="39">
        <v>0</v>
      </c>
      <c r="S419" s="39">
        <v>0</v>
      </c>
      <c r="T419" s="39">
        <v>0</v>
      </c>
      <c r="U419" s="29" cm="1">
        <f t="array" aca="1" ref="U419" ca="1">+fair_value_gap(OFFSET(T418,0,0,-1*$J$5,-1*$AA$1),OFFSET(E418,0,0,-1*$J$5,1),F419:T419,0)</f>
        <v>19.08081387839519</v>
      </c>
      <c r="V419" s="9" t="str" cm="1">
        <f t="array" aca="1" ref="V419" ca="1">z_score_diff(OFFSET(U419,0,0,$J$5*-1,1),OFFSET(E419,0,0,$J$5*-1,1))</f>
        <v/>
      </c>
      <c r="W419" s="9" t="str">
        <f t="shared" ca="1" si="426"/>
        <v/>
      </c>
      <c r="X419" s="17">
        <f t="shared" ca="1" si="421"/>
        <v>-1.777824602128383E-2</v>
      </c>
      <c r="Y419" s="13">
        <f t="shared" ref="Y419:Z419" ca="1" si="455">+Y418</f>
        <v>0</v>
      </c>
      <c r="Z419" s="13">
        <f t="shared" ca="1" si="455"/>
        <v>0</v>
      </c>
      <c r="AA419" t="str">
        <f t="shared" ca="1" si="428"/>
        <v/>
      </c>
      <c r="AB419" t="str">
        <f t="shared" ca="1" si="429"/>
        <v/>
      </c>
      <c r="AC419" s="24" t="str">
        <f t="shared" ca="1" si="430"/>
        <v/>
      </c>
      <c r="AD419" s="24" t="str">
        <f t="shared" ca="1" si="431"/>
        <v/>
      </c>
    </row>
    <row r="420" spans="3:30" x14ac:dyDescent="0.25">
      <c r="C420" s="6">
        <v>514</v>
      </c>
      <c r="D420" s="36">
        <v>42737</v>
      </c>
      <c r="E420" s="38">
        <v>19.263000000000002</v>
      </c>
      <c r="F420" s="38">
        <v>54.985106832094189</v>
      </c>
      <c r="G420" s="38">
        <v>37.869999999999997</v>
      </c>
      <c r="H420" s="38">
        <v>3.5462157281234608</v>
      </c>
      <c r="I420" s="38">
        <v>5.9009780237821614</v>
      </c>
      <c r="J420" s="10">
        <v>1</v>
      </c>
      <c r="K420" s="39">
        <v>0</v>
      </c>
      <c r="L420" s="39">
        <v>0</v>
      </c>
      <c r="M420" s="39">
        <v>0</v>
      </c>
      <c r="N420" s="39">
        <v>0</v>
      </c>
      <c r="O420" s="39">
        <v>0</v>
      </c>
      <c r="P420" s="39">
        <v>0</v>
      </c>
      <c r="Q420" s="39">
        <v>0</v>
      </c>
      <c r="R420" s="39">
        <v>0</v>
      </c>
      <c r="S420" s="39">
        <v>0</v>
      </c>
      <c r="T420" s="39">
        <v>0</v>
      </c>
      <c r="U420" s="29" cm="1">
        <f t="array" aca="1" ref="U420" ca="1">+fair_value_gap(OFFSET(T419,0,0,-1*$J$5,-1*$AA$1),OFFSET(E419,0,0,-1*$J$5,1),F420:T420,0)</f>
        <v>18.975105545337755</v>
      </c>
      <c r="V420" s="9" t="str" cm="1">
        <f t="array" aca="1" ref="V420" ca="1">z_score_diff(OFFSET(U420,0,0,$J$5*-1,1),OFFSET(E420,0,0,$J$5*-1,1))</f>
        <v/>
      </c>
      <c r="W420" s="9" t="str">
        <f t="shared" ca="1" si="426"/>
        <v/>
      </c>
      <c r="X420" s="17">
        <f t="shared" ca="1" si="421"/>
        <v>-1.8283768886700556E-2</v>
      </c>
      <c r="Y420" s="13">
        <f t="shared" ref="Y420:Z420" ca="1" si="456">+Y419</f>
        <v>0</v>
      </c>
      <c r="Z420" s="13">
        <f t="shared" ca="1" si="456"/>
        <v>0</v>
      </c>
      <c r="AA420" t="str">
        <f t="shared" ca="1" si="428"/>
        <v/>
      </c>
      <c r="AB420" t="str">
        <f t="shared" ca="1" si="429"/>
        <v/>
      </c>
      <c r="AC420" s="24" t="str">
        <f t="shared" ca="1" si="430"/>
        <v/>
      </c>
      <c r="AD420" s="24" t="str">
        <f t="shared" ca="1" si="431"/>
        <v/>
      </c>
    </row>
    <row r="421" spans="3:30" x14ac:dyDescent="0.25">
      <c r="C421" s="6">
        <v>515</v>
      </c>
      <c r="D421" s="36">
        <v>42738</v>
      </c>
      <c r="E421" s="38">
        <v>18.806000000000001</v>
      </c>
      <c r="F421" s="38">
        <v>54.215561525048308</v>
      </c>
      <c r="G421" s="38">
        <v>37.520000000000003</v>
      </c>
      <c r="H421" s="38">
        <v>3.3630237051698946</v>
      </c>
      <c r="I421" s="38">
        <v>5.9286488524435645</v>
      </c>
      <c r="J421" s="10">
        <v>1</v>
      </c>
      <c r="K421" s="39">
        <v>0</v>
      </c>
      <c r="L421" s="39">
        <v>0</v>
      </c>
      <c r="M421" s="39">
        <v>0</v>
      </c>
      <c r="N421" s="39">
        <v>0</v>
      </c>
      <c r="O421" s="39">
        <v>0</v>
      </c>
      <c r="P421" s="39">
        <v>0</v>
      </c>
      <c r="Q421" s="39">
        <v>0</v>
      </c>
      <c r="R421" s="39">
        <v>0</v>
      </c>
      <c r="S421" s="39">
        <v>0</v>
      </c>
      <c r="T421" s="39">
        <v>0</v>
      </c>
      <c r="U421" s="29" cm="1">
        <f t="array" aca="1" ref="U421" ca="1">+fair_value_gap(OFFSET(T420,0,0,-1*$J$5,-1*$AA$1),OFFSET(E420,0,0,-1*$J$5,1),F421:T421,0)</f>
        <v>18.796989323902647</v>
      </c>
      <c r="V421" s="9" t="str" cm="1">
        <f t="array" aca="1" ref="V421" ca="1">z_score_diff(OFFSET(U421,0,0,$J$5*-1,1),OFFSET(E421,0,0,$J$5*-1,1))</f>
        <v/>
      </c>
      <c r="W421" s="9" t="str">
        <f t="shared" ca="1" si="426"/>
        <v/>
      </c>
      <c r="X421" s="17">
        <f t="shared" ca="1" si="421"/>
        <v>-9.5759969013655267E-4</v>
      </c>
      <c r="Y421" s="13">
        <f t="shared" ref="Y421:Z421" ca="1" si="457">+Y420</f>
        <v>0</v>
      </c>
      <c r="Z421" s="13">
        <f t="shared" ca="1" si="457"/>
        <v>0</v>
      </c>
      <c r="AA421" t="str">
        <f t="shared" ca="1" si="428"/>
        <v/>
      </c>
      <c r="AB421" t="str">
        <f t="shared" ca="1" si="429"/>
        <v/>
      </c>
      <c r="AC421" s="24" t="str">
        <f t="shared" ca="1" si="430"/>
        <v/>
      </c>
      <c r="AD421" s="24" t="str">
        <f t="shared" ca="1" si="431"/>
        <v/>
      </c>
    </row>
    <row r="422" spans="3:30" x14ac:dyDescent="0.25">
      <c r="C422" s="6">
        <v>516</v>
      </c>
      <c r="D422" s="36">
        <v>42739</v>
      </c>
      <c r="E422" s="38">
        <v>18.899000000000001</v>
      </c>
      <c r="F422" s="38">
        <v>54.596991930115855</v>
      </c>
      <c r="G422" s="38">
        <v>37.299999999999997</v>
      </c>
      <c r="H422" s="38">
        <v>3.2758195158069512</v>
      </c>
      <c r="I422" s="38">
        <v>5.8803951924730944</v>
      </c>
      <c r="J422" s="10">
        <v>1</v>
      </c>
      <c r="K422" s="39">
        <v>0</v>
      </c>
      <c r="L422" s="39">
        <v>0</v>
      </c>
      <c r="M422" s="39">
        <v>0</v>
      </c>
      <c r="N422" s="39">
        <v>0</v>
      </c>
      <c r="O422" s="39">
        <v>0</v>
      </c>
      <c r="P422" s="39">
        <v>0</v>
      </c>
      <c r="Q422" s="39">
        <v>0</v>
      </c>
      <c r="R422" s="39">
        <v>0</v>
      </c>
      <c r="S422" s="39">
        <v>0</v>
      </c>
      <c r="T422" s="39">
        <v>0</v>
      </c>
      <c r="U422" s="29" cm="1">
        <f t="array" aca="1" ref="U422" ca="1">+fair_value_gap(OFFSET(T421,0,0,-1*$J$5,-1*$AA$1),OFFSET(E421,0,0,-1*$J$5,1),F422:T422,0)</f>
        <v>18.697966308642346</v>
      </c>
      <c r="V422" s="9" t="str" cm="1">
        <f t="array" aca="1" ref="V422" ca="1">z_score_diff(OFFSET(U422,0,0,$J$5*-1,1),OFFSET(E422,0,0,$J$5*-1,1))</f>
        <v/>
      </c>
      <c r="W422" s="9" t="str">
        <f t="shared" ca="1" si="426"/>
        <v/>
      </c>
      <c r="X422" s="17">
        <f t="shared" ca="1" si="421"/>
        <v>-4.7203672999615231E-3</v>
      </c>
      <c r="Y422" s="13">
        <f t="shared" ref="Y422:Z422" ca="1" si="458">+Y421</f>
        <v>0</v>
      </c>
      <c r="Z422" s="13">
        <f t="shared" ca="1" si="458"/>
        <v>0</v>
      </c>
      <c r="AA422" t="str">
        <f t="shared" ca="1" si="428"/>
        <v/>
      </c>
      <c r="AB422" t="str">
        <f t="shared" ca="1" si="429"/>
        <v/>
      </c>
      <c r="AC422" s="24" t="str">
        <f t="shared" ca="1" si="430"/>
        <v/>
      </c>
      <c r="AD422" s="24" t="str">
        <f t="shared" ca="1" si="431"/>
        <v/>
      </c>
    </row>
    <row r="423" spans="3:30" x14ac:dyDescent="0.25">
      <c r="C423" s="6">
        <v>517</v>
      </c>
      <c r="D423" s="36">
        <v>42740</v>
      </c>
      <c r="E423" s="38">
        <v>18.904</v>
      </c>
      <c r="F423" s="38">
        <v>54.276833126723041</v>
      </c>
      <c r="G423" s="38">
        <v>37.67</v>
      </c>
      <c r="H423" s="38">
        <v>3.2573500841859859</v>
      </c>
      <c r="I423" s="38">
        <v>5.8190093807241841</v>
      </c>
      <c r="J423" s="10">
        <v>1</v>
      </c>
      <c r="K423" s="39">
        <v>0</v>
      </c>
      <c r="L423" s="39">
        <v>0</v>
      </c>
      <c r="M423" s="39">
        <v>0</v>
      </c>
      <c r="N423" s="39">
        <v>0</v>
      </c>
      <c r="O423" s="39">
        <v>0</v>
      </c>
      <c r="P423" s="39">
        <v>0</v>
      </c>
      <c r="Q423" s="39">
        <v>0</v>
      </c>
      <c r="R423" s="39">
        <v>0</v>
      </c>
      <c r="S423" s="39">
        <v>0</v>
      </c>
      <c r="T423" s="39">
        <v>0</v>
      </c>
      <c r="U423" s="29" cm="1">
        <f t="array" aca="1" ref="U423" ca="1">+fair_value_gap(OFFSET(T422,0,0,-1*$J$5,-1*$AA$1),OFFSET(E422,0,0,-1*$J$5,1),F423:T423,0)</f>
        <v>18.838144760628989</v>
      </c>
      <c r="V423" s="9" t="str" cm="1">
        <f t="array" aca="1" ref="V423" ca="1">z_score_diff(OFFSET(U423,0,0,$J$5*-1,1),OFFSET(E423,0,0,$J$5*-1,1))</f>
        <v/>
      </c>
      <c r="W423" s="9" t="str">
        <f t="shared" ca="1" si="426"/>
        <v/>
      </c>
      <c r="X423" s="17">
        <f t="shared" ca="1" si="421"/>
        <v>3.7022346052918909E-4</v>
      </c>
      <c r="Y423" s="13">
        <f t="shared" ref="Y423:Z423" ca="1" si="459">+Y422</f>
        <v>0</v>
      </c>
      <c r="Z423" s="13">
        <f t="shared" ca="1" si="459"/>
        <v>0</v>
      </c>
      <c r="AA423" t="str">
        <f t="shared" ca="1" si="428"/>
        <v/>
      </c>
      <c r="AB423" t="str">
        <f t="shared" ca="1" si="429"/>
        <v/>
      </c>
      <c r="AC423" s="24" t="str">
        <f t="shared" ca="1" si="430"/>
        <v/>
      </c>
      <c r="AD423" s="24" t="str">
        <f t="shared" ca="1" si="431"/>
        <v/>
      </c>
    </row>
    <row r="424" spans="3:30" x14ac:dyDescent="0.25">
      <c r="C424" s="6">
        <v>518</v>
      </c>
      <c r="D424" s="36">
        <v>42741</v>
      </c>
      <c r="E424" s="38">
        <v>18.619</v>
      </c>
      <c r="F424" s="38">
        <v>54.781205689275872</v>
      </c>
      <c r="G424" s="38">
        <v>37.18</v>
      </c>
      <c r="H424" s="38">
        <v>3.3256027655012477</v>
      </c>
      <c r="I424" s="38">
        <v>5.8561146122628349</v>
      </c>
      <c r="J424" s="10">
        <v>1</v>
      </c>
      <c r="K424" s="39">
        <v>0</v>
      </c>
      <c r="L424" s="39">
        <v>0</v>
      </c>
      <c r="M424" s="39">
        <v>0</v>
      </c>
      <c r="N424" s="39">
        <v>0</v>
      </c>
      <c r="O424" s="39">
        <v>0</v>
      </c>
      <c r="P424" s="39">
        <v>0</v>
      </c>
      <c r="Q424" s="39">
        <v>0</v>
      </c>
      <c r="R424" s="39">
        <v>0</v>
      </c>
      <c r="S424" s="39">
        <v>0</v>
      </c>
      <c r="T424" s="39">
        <v>0</v>
      </c>
      <c r="U424" s="29" cm="1">
        <f t="array" aca="1" ref="U424" ca="1">+fair_value_gap(OFFSET(T423,0,0,-1*$J$5,-1*$AA$1),OFFSET(E423,0,0,-1*$J$5,1),F424:T424,0)</f>
        <v>18.7594102454085</v>
      </c>
      <c r="V424" s="9" t="str" cm="1">
        <f t="array" aca="1" ref="V424" ca="1">z_score_diff(OFFSET(U424,0,0,$J$5*-1,1),OFFSET(E424,0,0,$J$5*-1,1))</f>
        <v/>
      </c>
      <c r="W424" s="9" t="str">
        <f t="shared" ca="1" si="426"/>
        <v/>
      </c>
      <c r="X424" s="17">
        <f t="shared" ca="1" si="421"/>
        <v>6.0507266073800111E-3</v>
      </c>
      <c r="Y424" s="13">
        <f t="shared" ref="Y424:Z424" ca="1" si="460">+Y423</f>
        <v>0</v>
      </c>
      <c r="Z424" s="13">
        <f t="shared" ca="1" si="460"/>
        <v>0</v>
      </c>
      <c r="AA424" t="str">
        <f t="shared" ca="1" si="428"/>
        <v/>
      </c>
      <c r="AB424" t="str">
        <f t="shared" ca="1" si="429"/>
        <v/>
      </c>
      <c r="AC424" s="24" t="str">
        <f t="shared" ca="1" si="430"/>
        <v/>
      </c>
      <c r="AD424" s="24" t="str">
        <f t="shared" ca="1" si="431"/>
        <v/>
      </c>
    </row>
    <row r="425" spans="3:30" x14ac:dyDescent="0.25">
      <c r="C425" s="6">
        <v>519</v>
      </c>
      <c r="D425" s="36">
        <v>42744</v>
      </c>
      <c r="E425" s="38">
        <v>18.881</v>
      </c>
      <c r="F425" s="38">
        <v>52.886149598877893</v>
      </c>
      <c r="G425" s="38">
        <v>37.11</v>
      </c>
      <c r="H425" s="38">
        <v>3.2087912903441262</v>
      </c>
      <c r="I425" s="38">
        <v>5.8350093137509553</v>
      </c>
      <c r="J425" s="10">
        <v>1</v>
      </c>
      <c r="K425" s="39">
        <v>0</v>
      </c>
      <c r="L425" s="39">
        <v>0</v>
      </c>
      <c r="M425" s="39">
        <v>0</v>
      </c>
      <c r="N425" s="39">
        <v>0</v>
      </c>
      <c r="O425" s="39">
        <v>0</v>
      </c>
      <c r="P425" s="39">
        <v>0</v>
      </c>
      <c r="Q425" s="39">
        <v>0</v>
      </c>
      <c r="R425" s="39">
        <v>0</v>
      </c>
      <c r="S425" s="39">
        <v>0</v>
      </c>
      <c r="T425" s="39">
        <v>0</v>
      </c>
      <c r="U425" s="29" cm="1">
        <f t="array" aca="1" ref="U425" ca="1">+fair_value_gap(OFFSET(T424,0,0,-1*$J$5,-1*$AA$1),OFFSET(E424,0,0,-1*$J$5,1),F425:T425,0)</f>
        <v>18.53201229014142</v>
      </c>
      <c r="V425" s="9" t="str" cm="1">
        <f t="array" aca="1" ref="V425" ca="1">z_score_diff(OFFSET(U425,0,0,$J$5*-1,1),OFFSET(E425,0,0,$J$5*-1,1))</f>
        <v/>
      </c>
      <c r="W425" s="9" t="str">
        <f t="shared" ca="1" si="426"/>
        <v/>
      </c>
      <c r="X425" s="17">
        <f t="shared" ca="1" si="421"/>
        <v>6.5459770248169988E-3</v>
      </c>
      <c r="Y425" s="13">
        <f t="shared" ref="Y425:Z425" ca="1" si="461">+Y424</f>
        <v>0</v>
      </c>
      <c r="Z425" s="13">
        <f t="shared" ca="1" si="461"/>
        <v>0</v>
      </c>
      <c r="AA425" t="str">
        <f t="shared" ca="1" si="428"/>
        <v/>
      </c>
      <c r="AB425" t="str">
        <f t="shared" ca="1" si="429"/>
        <v/>
      </c>
      <c r="AC425" s="24" t="str">
        <f t="shared" ca="1" si="430"/>
        <v/>
      </c>
      <c r="AD425" s="24" t="str">
        <f t="shared" ca="1" si="431"/>
        <v/>
      </c>
    </row>
    <row r="426" spans="3:30" x14ac:dyDescent="0.25">
      <c r="C426" s="6">
        <v>520</v>
      </c>
      <c r="D426" s="36">
        <v>42745</v>
      </c>
      <c r="E426" s="38">
        <v>19.125</v>
      </c>
      <c r="F426" s="38">
        <v>51.915980039456883</v>
      </c>
      <c r="G426" s="38">
        <v>38.26</v>
      </c>
      <c r="H426" s="38">
        <v>3.3292329116862014</v>
      </c>
      <c r="I426" s="38">
        <v>5.8396193570848318</v>
      </c>
      <c r="J426" s="10">
        <v>1</v>
      </c>
      <c r="K426" s="39">
        <v>0</v>
      </c>
      <c r="L426" s="39">
        <v>0</v>
      </c>
      <c r="M426" s="39">
        <v>0</v>
      </c>
      <c r="N426" s="39">
        <v>0</v>
      </c>
      <c r="O426" s="39">
        <v>0</v>
      </c>
      <c r="P426" s="39">
        <v>0</v>
      </c>
      <c r="Q426" s="39">
        <v>0</v>
      </c>
      <c r="R426" s="39">
        <v>0</v>
      </c>
      <c r="S426" s="39">
        <v>0</v>
      </c>
      <c r="T426" s="39">
        <v>0</v>
      </c>
      <c r="U426" s="29" cm="1">
        <f t="array" aca="1" ref="U426" ca="1">+fair_value_gap(OFFSET(T425,0,0,-1*$J$5,-1*$AA$1),OFFSET(E425,0,0,-1*$J$5,1),F426:T426,0)</f>
        <v>19.007713638601619</v>
      </c>
      <c r="V426" s="9" t="str" cm="1">
        <f t="array" aca="1" ref="V426" ca="1">z_score_diff(OFFSET(U426,0,0,$J$5*-1,1),OFFSET(E426,0,0,$J$5*-1,1))</f>
        <v/>
      </c>
      <c r="W426" s="9" t="str">
        <f t="shared" ca="1" si="426"/>
        <v/>
      </c>
      <c r="X426" s="17">
        <f t="shared" ca="1" si="421"/>
        <v>-1.0301242088517187E-2</v>
      </c>
      <c r="Y426" s="13">
        <f t="shared" ref="Y426:Z426" ca="1" si="462">+Y425</f>
        <v>0</v>
      </c>
      <c r="Z426" s="13">
        <f t="shared" ca="1" si="462"/>
        <v>0</v>
      </c>
      <c r="AA426" t="str">
        <f t="shared" ca="1" si="428"/>
        <v/>
      </c>
      <c r="AB426" t="str">
        <f t="shared" ca="1" si="429"/>
        <v/>
      </c>
      <c r="AC426" s="24" t="str">
        <f t="shared" ca="1" si="430"/>
        <v/>
      </c>
      <c r="AD426" s="24" t="str">
        <f t="shared" ca="1" si="431"/>
        <v/>
      </c>
    </row>
    <row r="427" spans="3:30" x14ac:dyDescent="0.25">
      <c r="C427" s="6">
        <v>521</v>
      </c>
      <c r="D427" s="36">
        <v>42746</v>
      </c>
      <c r="E427" s="38">
        <v>19.440000000000001</v>
      </c>
      <c r="F427" s="38">
        <v>52.788411929310399</v>
      </c>
      <c r="G427" s="38">
        <v>38.81</v>
      </c>
      <c r="H427" s="38">
        <v>3.2910550550068405</v>
      </c>
      <c r="I427" s="38">
        <v>5.8262697146054112</v>
      </c>
      <c r="J427" s="10">
        <v>1</v>
      </c>
      <c r="K427" s="39">
        <v>0</v>
      </c>
      <c r="L427" s="39">
        <v>0</v>
      </c>
      <c r="M427" s="39">
        <v>0</v>
      </c>
      <c r="N427" s="39">
        <v>0</v>
      </c>
      <c r="O427" s="39">
        <v>0</v>
      </c>
      <c r="P427" s="39">
        <v>0</v>
      </c>
      <c r="Q427" s="39">
        <v>0</v>
      </c>
      <c r="R427" s="39">
        <v>0</v>
      </c>
      <c r="S427" s="39">
        <v>0</v>
      </c>
      <c r="T427" s="39">
        <v>0</v>
      </c>
      <c r="U427" s="29" cm="1">
        <f t="array" aca="1" ref="U427" ca="1">+fair_value_gap(OFFSET(T426,0,0,-1*$J$5,-1*$AA$1),OFFSET(E426,0,0,-1*$J$5,1),F427:T427,0)</f>
        <v>19.256877511749842</v>
      </c>
      <c r="V427" s="9" t="str" cm="1">
        <f t="array" aca="1" ref="V427" ca="1">z_score_diff(OFFSET(U427,0,0,$J$5*-1,1),OFFSET(E427,0,0,$J$5*-1,1))</f>
        <v/>
      </c>
      <c r="W427" s="9" t="str">
        <f t="shared" ca="1" si="426"/>
        <v/>
      </c>
      <c r="X427" s="17">
        <f t="shared" ca="1" si="421"/>
        <v>-2.6532009004520109E-2</v>
      </c>
      <c r="Y427" s="13">
        <f t="shared" ref="Y427:Z427" ca="1" si="463">+Y426</f>
        <v>0</v>
      </c>
      <c r="Z427" s="13">
        <f t="shared" ca="1" si="463"/>
        <v>0</v>
      </c>
      <c r="AA427" t="str">
        <f t="shared" ca="1" si="428"/>
        <v/>
      </c>
      <c r="AB427" t="str">
        <f t="shared" ca="1" si="429"/>
        <v/>
      </c>
      <c r="AC427" s="24" t="str">
        <f t="shared" ca="1" si="430"/>
        <v/>
      </c>
      <c r="AD427" s="24" t="str">
        <f t="shared" ca="1" si="431"/>
        <v/>
      </c>
    </row>
    <row r="428" spans="3:30" x14ac:dyDescent="0.25">
      <c r="C428" s="6">
        <v>522</v>
      </c>
      <c r="D428" s="36">
        <v>42747</v>
      </c>
      <c r="E428" s="38">
        <v>19.306000000000001</v>
      </c>
      <c r="F428" s="38">
        <v>53.36759492315602</v>
      </c>
      <c r="G428" s="38">
        <v>38.67</v>
      </c>
      <c r="H428" s="38">
        <v>3.3920081518955096</v>
      </c>
      <c r="I428" s="38">
        <v>5.8056411633803418</v>
      </c>
      <c r="J428" s="10">
        <v>1</v>
      </c>
      <c r="K428" s="39">
        <v>0</v>
      </c>
      <c r="L428" s="39">
        <v>0</v>
      </c>
      <c r="M428" s="39">
        <v>0</v>
      </c>
      <c r="N428" s="39">
        <v>0</v>
      </c>
      <c r="O428" s="39">
        <v>0</v>
      </c>
      <c r="P428" s="39">
        <v>0</v>
      </c>
      <c r="Q428" s="39">
        <v>0</v>
      </c>
      <c r="R428" s="39">
        <v>0</v>
      </c>
      <c r="S428" s="39">
        <v>0</v>
      </c>
      <c r="T428" s="39">
        <v>0</v>
      </c>
      <c r="U428" s="29" cm="1">
        <f t="array" aca="1" ref="U428" ca="1">+fair_value_gap(OFFSET(T427,0,0,-1*$J$5,-1*$AA$1),OFFSET(E427,0,0,-1*$J$5,1),F428:T428,0)</f>
        <v>19.329832404707545</v>
      </c>
      <c r="V428" s="9" t="str" cm="1">
        <f t="array" aca="1" ref="V428" ca="1">z_score_diff(OFFSET(U428,0,0,$J$5*-1,1),OFFSET(E428,0,0,$J$5*-1,1))</f>
        <v/>
      </c>
      <c r="W428" s="9" t="str">
        <f t="shared" ca="1" si="426"/>
        <v/>
      </c>
      <c r="X428" s="17">
        <f t="shared" ca="1" si="421"/>
        <v>-1.208977726970273E-2</v>
      </c>
      <c r="Y428" s="13">
        <f t="shared" ref="Y428:Z428" ca="1" si="464">+Y427</f>
        <v>0</v>
      </c>
      <c r="Z428" s="13">
        <f t="shared" ca="1" si="464"/>
        <v>0</v>
      </c>
      <c r="AA428" t="str">
        <f t="shared" ca="1" si="428"/>
        <v/>
      </c>
      <c r="AB428" t="str">
        <f t="shared" ca="1" si="429"/>
        <v/>
      </c>
      <c r="AC428" s="24" t="str">
        <f t="shared" ca="1" si="430"/>
        <v/>
      </c>
      <c r="AD428" s="24" t="str">
        <f t="shared" ca="1" si="431"/>
        <v/>
      </c>
    </row>
    <row r="429" spans="3:30" x14ac:dyDescent="0.25">
      <c r="C429" s="6">
        <v>523</v>
      </c>
      <c r="D429" s="36">
        <v>42748</v>
      </c>
      <c r="E429" s="38">
        <v>19.2</v>
      </c>
      <c r="F429" s="38">
        <v>52.689874292538455</v>
      </c>
      <c r="G429" s="38">
        <v>38.979999999999997</v>
      </c>
      <c r="H429" s="38">
        <v>3.4140605850621717</v>
      </c>
      <c r="I429" s="38">
        <v>5.796070466947655</v>
      </c>
      <c r="J429" s="10">
        <v>1</v>
      </c>
      <c r="K429" s="39">
        <v>0</v>
      </c>
      <c r="L429" s="39">
        <v>0</v>
      </c>
      <c r="M429" s="39">
        <v>0</v>
      </c>
      <c r="N429" s="39">
        <v>0</v>
      </c>
      <c r="O429" s="39">
        <v>0</v>
      </c>
      <c r="P429" s="39">
        <v>0</v>
      </c>
      <c r="Q429" s="39">
        <v>0</v>
      </c>
      <c r="R429" s="39">
        <v>0</v>
      </c>
      <c r="S429" s="39">
        <v>0</v>
      </c>
      <c r="T429" s="39">
        <v>0</v>
      </c>
      <c r="U429" s="29" cm="1">
        <f t="array" aca="1" ref="U429" ca="1">+fair_value_gap(OFFSET(T428,0,0,-1*$J$5,-1*$AA$1),OFFSET(E428,0,0,-1*$J$5,1),F429:T429,0)</f>
        <v>19.436789713824584</v>
      </c>
      <c r="V429" s="9" t="str" cm="1">
        <f t="array" aca="1" ref="V429" ca="1">z_score_diff(OFFSET(U429,0,0,$J$5*-1,1),OFFSET(E429,0,0,$J$5*-1,1))</f>
        <v/>
      </c>
      <c r="W429" s="9" t="str">
        <f t="shared" ca="1" si="426"/>
        <v/>
      </c>
      <c r="X429" s="17">
        <f t="shared" ca="1" si="421"/>
        <v>-2.0840665871851783E-2</v>
      </c>
      <c r="Y429" s="13">
        <f t="shared" ref="Y429:Z429" ca="1" si="465">+Y428</f>
        <v>0</v>
      </c>
      <c r="Z429" s="13">
        <f t="shared" ca="1" si="465"/>
        <v>0</v>
      </c>
      <c r="AA429" t="str">
        <f t="shared" ca="1" si="428"/>
        <v/>
      </c>
      <c r="AB429" t="str">
        <f t="shared" ca="1" si="429"/>
        <v/>
      </c>
      <c r="AC429" s="24" t="str">
        <f t="shared" ca="1" si="430"/>
        <v/>
      </c>
      <c r="AD429" s="24" t="str">
        <f t="shared" ca="1" si="431"/>
        <v/>
      </c>
    </row>
    <row r="430" spans="3:30" x14ac:dyDescent="0.25">
      <c r="C430" s="6">
        <v>524</v>
      </c>
      <c r="D430" s="36">
        <v>42751</v>
      </c>
      <c r="E430" s="38">
        <v>18.823</v>
      </c>
      <c r="F430" s="38">
        <v>53.178015069569639</v>
      </c>
      <c r="G430" s="38">
        <v>38.479999999999997</v>
      </c>
      <c r="H430" s="38">
        <v>3.4253224240743307</v>
      </c>
      <c r="I430" s="38">
        <v>5.8151897563906996</v>
      </c>
      <c r="J430" s="10">
        <v>1</v>
      </c>
      <c r="K430" s="39">
        <v>0</v>
      </c>
      <c r="L430" s="39">
        <v>0</v>
      </c>
      <c r="M430" s="39">
        <v>0</v>
      </c>
      <c r="N430" s="39">
        <v>0</v>
      </c>
      <c r="O430" s="39">
        <v>0</v>
      </c>
      <c r="P430" s="39">
        <v>0</v>
      </c>
      <c r="Q430" s="39">
        <v>0</v>
      </c>
      <c r="R430" s="39">
        <v>0</v>
      </c>
      <c r="S430" s="39">
        <v>0</v>
      </c>
      <c r="T430" s="39">
        <v>0</v>
      </c>
      <c r="U430" s="29" cm="1">
        <f t="array" aca="1" ref="U430" ca="1">+fair_value_gap(OFFSET(T429,0,0,-1*$J$5,-1*$AA$1),OFFSET(E429,0,0,-1*$J$5,1),F430:T430,0)</f>
        <v>19.282862159527799</v>
      </c>
      <c r="V430" s="9" t="str" cm="1">
        <f t="array" aca="1" ref="V430" ca="1">z_score_diff(OFFSET(U430,0,0,$J$5*-1,1),OFFSET(E430,0,0,$J$5*-1,1))</f>
        <v/>
      </c>
      <c r="W430" s="9" t="str">
        <f t="shared" ca="1" si="426"/>
        <v/>
      </c>
      <c r="X430" s="17">
        <f t="shared" ca="1" si="421"/>
        <v>-2.2783211030084481E-2</v>
      </c>
      <c r="Y430" s="13">
        <f t="shared" ref="Y430:Z430" ca="1" si="466">+Y429</f>
        <v>0</v>
      </c>
      <c r="Z430" s="13">
        <f t="shared" ca="1" si="466"/>
        <v>0</v>
      </c>
      <c r="AA430" t="str">
        <f t="shared" ca="1" si="428"/>
        <v/>
      </c>
      <c r="AB430" t="str">
        <f t="shared" ca="1" si="429"/>
        <v/>
      </c>
      <c r="AC430" s="24" t="str">
        <f t="shared" ca="1" si="430"/>
        <v/>
      </c>
      <c r="AD430" s="24" t="str">
        <f t="shared" ca="1" si="431"/>
        <v/>
      </c>
    </row>
    <row r="431" spans="3:30" x14ac:dyDescent="0.25">
      <c r="C431" s="6">
        <v>525</v>
      </c>
      <c r="D431" s="36">
        <v>42752</v>
      </c>
      <c r="E431" s="38">
        <v>19.154</v>
      </c>
      <c r="F431" s="38">
        <v>52.572596328158482</v>
      </c>
      <c r="G431" s="38">
        <v>39.28</v>
      </c>
      <c r="H431" s="38">
        <v>3.4096194483814384</v>
      </c>
      <c r="I431" s="38">
        <v>5.7589974034154796</v>
      </c>
      <c r="J431" s="10">
        <v>1</v>
      </c>
      <c r="K431" s="39">
        <v>0</v>
      </c>
      <c r="L431" s="39">
        <v>0</v>
      </c>
      <c r="M431" s="39">
        <v>0</v>
      </c>
      <c r="N431" s="39">
        <v>0</v>
      </c>
      <c r="O431" s="39">
        <v>0</v>
      </c>
      <c r="P431" s="39">
        <v>0</v>
      </c>
      <c r="Q431" s="39">
        <v>0</v>
      </c>
      <c r="R431" s="39">
        <v>0</v>
      </c>
      <c r="S431" s="39">
        <v>0</v>
      </c>
      <c r="T431" s="39">
        <v>0</v>
      </c>
      <c r="U431" s="29" cm="1">
        <f t="array" aca="1" ref="U431" ca="1">+fair_value_gap(OFFSET(T430,0,0,-1*$J$5,-1*$AA$1),OFFSET(E430,0,0,-1*$J$5,1),F431:T431,0)</f>
        <v>19.485163635256971</v>
      </c>
      <c r="V431" s="9" t="str" cm="1">
        <f t="array" aca="1" ref="V431" ca="1">z_score_diff(OFFSET(U431,0,0,$J$5*-1,1),OFFSET(E431,0,0,$J$5*-1,1))</f>
        <v/>
      </c>
      <c r="W431" s="9" t="str">
        <f t="shared" ca="1" si="426"/>
        <v/>
      </c>
      <c r="X431" s="17">
        <f t="shared" ca="1" si="421"/>
        <v>-7.1068443947564189E-2</v>
      </c>
      <c r="Y431" s="13">
        <f t="shared" ref="Y431:Z431" ca="1" si="467">+Y430</f>
        <v>0</v>
      </c>
      <c r="Z431" s="13">
        <f t="shared" ca="1" si="467"/>
        <v>0</v>
      </c>
      <c r="AA431" t="str">
        <f t="shared" ca="1" si="428"/>
        <v/>
      </c>
      <c r="AB431" t="str">
        <f t="shared" ca="1" si="429"/>
        <v/>
      </c>
      <c r="AC431" s="24" t="str">
        <f t="shared" ca="1" si="430"/>
        <v/>
      </c>
      <c r="AD431" s="24" t="str">
        <f t="shared" ca="1" si="431"/>
        <v/>
      </c>
    </row>
    <row r="432" spans="3:30" x14ac:dyDescent="0.25">
      <c r="C432" s="6">
        <v>526</v>
      </c>
      <c r="D432" s="36">
        <v>42753</v>
      </c>
      <c r="E432" s="38">
        <v>19.349</v>
      </c>
      <c r="F432" s="38">
        <v>51.683823976503675</v>
      </c>
      <c r="G432" s="38">
        <v>39.6</v>
      </c>
      <c r="H432" s="38">
        <v>3.3562240774759871</v>
      </c>
      <c r="I432" s="38">
        <v>5.7948529913049569</v>
      </c>
      <c r="J432" s="10">
        <v>1</v>
      </c>
      <c r="K432" s="39">
        <v>0</v>
      </c>
      <c r="L432" s="39">
        <v>0</v>
      </c>
      <c r="M432" s="39">
        <v>0</v>
      </c>
      <c r="N432" s="39">
        <v>0</v>
      </c>
      <c r="O432" s="39">
        <v>0</v>
      </c>
      <c r="P432" s="39">
        <v>0</v>
      </c>
      <c r="Q432" s="39">
        <v>0</v>
      </c>
      <c r="R432" s="39">
        <v>0</v>
      </c>
      <c r="S432" s="39">
        <v>0</v>
      </c>
      <c r="T432" s="39">
        <v>0</v>
      </c>
      <c r="U432" s="29" cm="1">
        <f t="array" aca="1" ref="U432" ca="1">+fair_value_gap(OFFSET(T431,0,0,-1*$J$5,-1*$AA$1),OFFSET(E431,0,0,-1*$J$5,1),F432:T432,0)</f>
        <v>19.482738352040283</v>
      </c>
      <c r="V432" s="9" t="str" cm="1">
        <f t="array" aca="1" ref="V432" ca="1">z_score_diff(OFFSET(U432,0,0,$J$5*-1,1),OFFSET(E432,0,0,$J$5*-1,1))</f>
        <v/>
      </c>
      <c r="W432" s="9" t="str">
        <f t="shared" ca="1" si="426"/>
        <v/>
      </c>
      <c r="X432" s="17">
        <f t="shared" ca="1" si="421"/>
        <v>-7.3213871370731834E-2</v>
      </c>
      <c r="Y432" s="13">
        <f t="shared" ref="Y432:Z432" ca="1" si="468">+Y431</f>
        <v>0</v>
      </c>
      <c r="Z432" s="13">
        <f t="shared" ca="1" si="468"/>
        <v>0</v>
      </c>
      <c r="AA432" t="str">
        <f t="shared" ca="1" si="428"/>
        <v/>
      </c>
      <c r="AB432" t="str">
        <f t="shared" ca="1" si="429"/>
        <v/>
      </c>
      <c r="AC432" s="24" t="str">
        <f t="shared" ca="1" si="430"/>
        <v/>
      </c>
      <c r="AD432" s="24" t="str">
        <f t="shared" ca="1" si="431"/>
        <v/>
      </c>
    </row>
    <row r="433" spans="3:30" x14ac:dyDescent="0.25">
      <c r="C433" s="6">
        <v>527</v>
      </c>
      <c r="D433" s="36">
        <v>42754</v>
      </c>
      <c r="E433" s="38">
        <v>19.402000000000001</v>
      </c>
      <c r="F433" s="38">
        <v>51.797185894549166</v>
      </c>
      <c r="G433" s="38">
        <v>39.520000000000003</v>
      </c>
      <c r="H433" s="38">
        <v>3.391263590328006</v>
      </c>
      <c r="I433" s="38">
        <v>5.7807718111553275</v>
      </c>
      <c r="J433" s="10">
        <v>1</v>
      </c>
      <c r="K433" s="39">
        <v>0</v>
      </c>
      <c r="L433" s="39">
        <v>0</v>
      </c>
      <c r="M433" s="39">
        <v>0</v>
      </c>
      <c r="N433" s="39">
        <v>0</v>
      </c>
      <c r="O433" s="39">
        <v>0</v>
      </c>
      <c r="P433" s="39">
        <v>0</v>
      </c>
      <c r="Q433" s="39">
        <v>0</v>
      </c>
      <c r="R433" s="39">
        <v>0</v>
      </c>
      <c r="S433" s="39">
        <v>0</v>
      </c>
      <c r="T433" s="39">
        <v>0</v>
      </c>
      <c r="U433" s="29" cm="1">
        <f t="array" aca="1" ref="U433" ca="1">+fair_value_gap(OFFSET(T432,0,0,-1*$J$5,-1*$AA$1),OFFSET(E432,0,0,-1*$J$5,1),F433:T433,0)</f>
        <v>19.459852336830092</v>
      </c>
      <c r="V433" s="9" t="str" cm="1">
        <f t="array" aca="1" ref="V433" ca="1">z_score_diff(OFFSET(U433,0,0,$J$5*-1,1),OFFSET(E433,0,0,$J$5*-1,1))</f>
        <v/>
      </c>
      <c r="W433" s="9" t="str">
        <f t="shared" ca="1" si="426"/>
        <v/>
      </c>
      <c r="X433" s="17">
        <f t="shared" ca="1" si="421"/>
        <v>-8.9892452581276427E-2</v>
      </c>
      <c r="Y433" s="13">
        <f t="shared" ref="Y433:Z433" ca="1" si="469">+Y432</f>
        <v>0</v>
      </c>
      <c r="Z433" s="13">
        <f t="shared" ca="1" si="469"/>
        <v>0</v>
      </c>
      <c r="AA433" t="str">
        <f t="shared" ca="1" si="428"/>
        <v/>
      </c>
      <c r="AB433" t="str">
        <f t="shared" ca="1" si="429"/>
        <v/>
      </c>
      <c r="AC433" s="24" t="str">
        <f t="shared" ca="1" si="430"/>
        <v/>
      </c>
      <c r="AD433" s="24" t="str">
        <f t="shared" ca="1" si="431"/>
        <v/>
      </c>
    </row>
    <row r="434" spans="3:30" x14ac:dyDescent="0.25">
      <c r="C434" s="6">
        <v>528</v>
      </c>
      <c r="D434" s="36">
        <v>42755</v>
      </c>
      <c r="E434" s="38">
        <v>19.619</v>
      </c>
      <c r="F434" s="38">
        <v>52.74026656107614</v>
      </c>
      <c r="G434" s="38">
        <v>40.200000000000003</v>
      </c>
      <c r="H434" s="38">
        <v>3.2657902286603111</v>
      </c>
      <c r="I434" s="38">
        <v>5.7653158962316464</v>
      </c>
      <c r="J434" s="10">
        <v>1</v>
      </c>
      <c r="K434" s="39">
        <v>0</v>
      </c>
      <c r="L434" s="39">
        <v>0</v>
      </c>
      <c r="M434" s="39">
        <v>0</v>
      </c>
      <c r="N434" s="39">
        <v>0</v>
      </c>
      <c r="O434" s="39">
        <v>0</v>
      </c>
      <c r="P434" s="39">
        <v>0</v>
      </c>
      <c r="Q434" s="39">
        <v>0</v>
      </c>
      <c r="R434" s="39">
        <v>0</v>
      </c>
      <c r="S434" s="39">
        <v>0</v>
      </c>
      <c r="T434" s="39">
        <v>0</v>
      </c>
      <c r="U434" s="29" cm="1">
        <f t="array" aca="1" ref="U434" ca="1">+fair_value_gap(OFFSET(T433,0,0,-1*$J$5,-1*$AA$1),OFFSET(E433,0,0,-1*$J$5,1),F434:T434,0)</f>
        <v>19.648329781227147</v>
      </c>
      <c r="V434" s="9" t="str" cm="1">
        <f t="array" aca="1" ref="V434" ca="1">z_score_diff(OFFSET(U434,0,0,$J$5*-1,1),OFFSET(E434,0,0,$J$5*-1,1))</f>
        <v/>
      </c>
      <c r="W434" s="9" t="str">
        <f t="shared" ca="1" si="426"/>
        <v/>
      </c>
      <c r="X434" s="17">
        <f t="shared" ca="1" si="421"/>
        <v>-9.9380842220942955E-2</v>
      </c>
      <c r="Y434" s="13">
        <f t="shared" ref="Y434:Z434" ca="1" si="470">+Y433</f>
        <v>0</v>
      </c>
      <c r="Z434" s="13">
        <f t="shared" ca="1" si="470"/>
        <v>0</v>
      </c>
      <c r="AA434" t="str">
        <f t="shared" ca="1" si="428"/>
        <v/>
      </c>
      <c r="AB434" t="str">
        <f t="shared" ca="1" si="429"/>
        <v/>
      </c>
      <c r="AC434" s="24" t="str">
        <f t="shared" ca="1" si="430"/>
        <v/>
      </c>
      <c r="AD434" s="24" t="str">
        <f t="shared" ca="1" si="431"/>
        <v/>
      </c>
    </row>
    <row r="435" spans="3:30" x14ac:dyDescent="0.25">
      <c r="C435" s="6">
        <v>529</v>
      </c>
      <c r="D435" s="36">
        <v>42758</v>
      </c>
      <c r="E435" s="38">
        <v>19.803000000000001</v>
      </c>
      <c r="F435" s="38">
        <v>52.05862388602209</v>
      </c>
      <c r="G435" s="38">
        <v>40.549999999999997</v>
      </c>
      <c r="H435" s="38">
        <v>3.2926669050938262</v>
      </c>
      <c r="I435" s="38">
        <v>5.7386741017013483</v>
      </c>
      <c r="J435" s="10">
        <v>1</v>
      </c>
      <c r="K435" s="39">
        <v>0</v>
      </c>
      <c r="L435" s="39">
        <v>0</v>
      </c>
      <c r="M435" s="39">
        <v>0</v>
      </c>
      <c r="N435" s="39">
        <v>0</v>
      </c>
      <c r="O435" s="39">
        <v>0</v>
      </c>
      <c r="P435" s="39">
        <v>0</v>
      </c>
      <c r="Q435" s="39">
        <v>0</v>
      </c>
      <c r="R435" s="39">
        <v>0</v>
      </c>
      <c r="S435" s="39">
        <v>0</v>
      </c>
      <c r="T435" s="39">
        <v>0</v>
      </c>
      <c r="U435" s="29" cm="1">
        <f t="array" aca="1" ref="U435" ca="1">+fair_value_gap(OFFSET(T434,0,0,-1*$J$5,-1*$AA$1),OFFSET(E434,0,0,-1*$J$5,1),F435:T435,0)</f>
        <v>19.75040589458375</v>
      </c>
      <c r="V435" s="9" t="str" cm="1">
        <f t="array" aca="1" ref="V435" ca="1">z_score_diff(OFFSET(U435,0,0,$J$5*-1,1),OFFSET(E435,0,0,$J$5*-1,1))</f>
        <v/>
      </c>
      <c r="W435" s="9" t="str">
        <f t="shared" ca="1" si="426"/>
        <v/>
      </c>
      <c r="X435" s="17">
        <f t="shared" ca="1" si="421"/>
        <v>-0.1086595039448877</v>
      </c>
      <c r="Y435" s="13">
        <f t="shared" ref="Y435:Z435" ca="1" si="471">+Y434</f>
        <v>0</v>
      </c>
      <c r="Z435" s="13">
        <f t="shared" ca="1" si="471"/>
        <v>0</v>
      </c>
      <c r="AA435" t="str">
        <f t="shared" ca="1" si="428"/>
        <v/>
      </c>
      <c r="AB435" t="str">
        <f t="shared" ca="1" si="429"/>
        <v/>
      </c>
      <c r="AC435" s="24" t="str">
        <f t="shared" ca="1" si="430"/>
        <v/>
      </c>
      <c r="AD435" s="24" t="str">
        <f t="shared" ca="1" si="431"/>
        <v/>
      </c>
    </row>
    <row r="436" spans="3:30" x14ac:dyDescent="0.25">
      <c r="C436" s="6">
        <v>530</v>
      </c>
      <c r="D436" s="36">
        <v>42759</v>
      </c>
      <c r="E436" s="38">
        <v>19.585999999999999</v>
      </c>
      <c r="F436" s="38">
        <v>52.231888028860425</v>
      </c>
      <c r="G436" s="38">
        <v>40.17</v>
      </c>
      <c r="H436" s="38">
        <v>3.3308217457816744</v>
      </c>
      <c r="I436" s="38">
        <v>5.7446857090668315</v>
      </c>
      <c r="J436" s="10">
        <v>1</v>
      </c>
      <c r="K436" s="39">
        <v>0</v>
      </c>
      <c r="L436" s="39">
        <v>0</v>
      </c>
      <c r="M436" s="39">
        <v>0</v>
      </c>
      <c r="N436" s="39">
        <v>0</v>
      </c>
      <c r="O436" s="39">
        <v>0</v>
      </c>
      <c r="P436" s="39">
        <v>0</v>
      </c>
      <c r="Q436" s="39">
        <v>0</v>
      </c>
      <c r="R436" s="39">
        <v>0</v>
      </c>
      <c r="S436" s="39">
        <v>0</v>
      </c>
      <c r="T436" s="39">
        <v>0</v>
      </c>
      <c r="U436" s="29" cm="1">
        <f t="array" aca="1" ref="U436" ca="1">+fair_value_gap(OFFSET(T435,0,0,-1*$J$5,-1*$AA$1),OFFSET(E435,0,0,-1*$J$5,1),F436:T436,0)</f>
        <v>19.656973985522562</v>
      </c>
      <c r="V436" s="9" t="str" cm="1">
        <f t="array" aca="1" ref="V436" ca="1">z_score_diff(OFFSET(U436,0,0,$J$5*-1,1),OFFSET(E436,0,0,$J$5*-1,1))</f>
        <v/>
      </c>
      <c r="W436" s="9" t="str">
        <f t="shared" ca="1" si="426"/>
        <v/>
      </c>
      <c r="X436" s="17">
        <f t="shared" ca="1" si="421"/>
        <v>-0.10487275780291151</v>
      </c>
      <c r="Y436" s="13">
        <f t="shared" ref="Y436:Z436" ca="1" si="472">+Y435</f>
        <v>0</v>
      </c>
      <c r="Z436" s="13">
        <f t="shared" ca="1" si="472"/>
        <v>0</v>
      </c>
      <c r="AA436" t="str">
        <f t="shared" ca="1" si="428"/>
        <v/>
      </c>
      <c r="AB436" t="str">
        <f t="shared" ca="1" si="429"/>
        <v/>
      </c>
      <c r="AC436" s="24" t="str">
        <f t="shared" ca="1" si="430"/>
        <v/>
      </c>
      <c r="AD436" s="24" t="str">
        <f t="shared" ca="1" si="431"/>
        <v/>
      </c>
    </row>
    <row r="437" spans="3:30" x14ac:dyDescent="0.25">
      <c r="C437" s="6">
        <v>531</v>
      </c>
      <c r="D437" s="36">
        <v>42760</v>
      </c>
      <c r="E437" s="38">
        <v>19.247</v>
      </c>
      <c r="F437" s="38">
        <v>51.634233049738633</v>
      </c>
      <c r="G437" s="38">
        <v>39.57</v>
      </c>
      <c r="H437" s="38">
        <v>3.3663003429213321</v>
      </c>
      <c r="I437" s="38">
        <v>5.7351108225826595</v>
      </c>
      <c r="J437" s="10">
        <v>1</v>
      </c>
      <c r="K437" s="39">
        <v>0</v>
      </c>
      <c r="L437" s="39">
        <v>0</v>
      </c>
      <c r="M437" s="39">
        <v>0</v>
      </c>
      <c r="N437" s="39">
        <v>0</v>
      </c>
      <c r="O437" s="39">
        <v>0</v>
      </c>
      <c r="P437" s="39">
        <v>0</v>
      </c>
      <c r="Q437" s="39">
        <v>0</v>
      </c>
      <c r="R437" s="39">
        <v>0</v>
      </c>
      <c r="S437" s="39">
        <v>0</v>
      </c>
      <c r="T437" s="39">
        <v>0</v>
      </c>
      <c r="U437" s="29" cm="1">
        <f t="array" aca="1" ref="U437" ca="1">+fair_value_gap(OFFSET(T436,0,0,-1*$J$5,-1*$AA$1),OFFSET(E436,0,0,-1*$J$5,1),F437:T437,0)</f>
        <v>19.437567360671871</v>
      </c>
      <c r="V437" s="9" t="str" cm="1">
        <f t="array" aca="1" ref="V437" ca="1">z_score_diff(OFFSET(U437,0,0,$J$5*-1,1),OFFSET(E437,0,0,$J$5*-1,1))</f>
        <v/>
      </c>
      <c r="W437" s="9" t="str">
        <f t="shared" ca="1" si="426"/>
        <v/>
      </c>
      <c r="X437" s="17">
        <f t="shared" ca="1" si="421"/>
        <v>-9.8302129794249307E-2</v>
      </c>
      <c r="Y437" s="13">
        <f t="shared" ref="Y437:Z437" ca="1" si="473">+Y436</f>
        <v>0</v>
      </c>
      <c r="Z437" s="13">
        <f t="shared" ca="1" si="473"/>
        <v>0</v>
      </c>
      <c r="AA437" t="str">
        <f t="shared" ca="1" si="428"/>
        <v/>
      </c>
      <c r="AB437" t="str">
        <f t="shared" ca="1" si="429"/>
        <v/>
      </c>
      <c r="AC437" s="24" t="str">
        <f t="shared" ca="1" si="430"/>
        <v/>
      </c>
      <c r="AD437" s="24" t="str">
        <f t="shared" ca="1" si="431"/>
        <v/>
      </c>
    </row>
    <row r="438" spans="3:30" x14ac:dyDescent="0.25">
      <c r="C438" s="6">
        <v>532</v>
      </c>
      <c r="D438" s="36">
        <v>42761</v>
      </c>
      <c r="E438" s="38">
        <v>19.225999999999999</v>
      </c>
      <c r="F438" s="38">
        <v>52.714919443405442</v>
      </c>
      <c r="G438" s="38">
        <v>39.6</v>
      </c>
      <c r="H438" s="38">
        <v>3.4123168740126291</v>
      </c>
      <c r="I438" s="38">
        <v>5.7806283699271308</v>
      </c>
      <c r="J438" s="10">
        <v>1</v>
      </c>
      <c r="K438" s="39">
        <v>0</v>
      </c>
      <c r="L438" s="39">
        <v>0</v>
      </c>
      <c r="M438" s="39">
        <v>0</v>
      </c>
      <c r="N438" s="39">
        <v>0</v>
      </c>
      <c r="O438" s="39">
        <v>0</v>
      </c>
      <c r="P438" s="39">
        <v>0</v>
      </c>
      <c r="Q438" s="39">
        <v>0</v>
      </c>
      <c r="R438" s="39">
        <v>0</v>
      </c>
      <c r="S438" s="39">
        <v>0</v>
      </c>
      <c r="T438" s="39">
        <v>0</v>
      </c>
      <c r="U438" s="29" cm="1">
        <f t="array" aca="1" ref="U438" ca="1">+fair_value_gap(OFFSET(T437,0,0,-1*$J$5,-1*$AA$1),OFFSET(E437,0,0,-1*$J$5,1),F438:T438,0)</f>
        <v>19.524861592336794</v>
      </c>
      <c r="V438" s="9" t="str" cm="1">
        <f t="array" aca="1" ref="V438" ca="1">z_score_diff(OFFSET(U438,0,0,$J$5*-1,1),OFFSET(E438,0,0,$J$5*-1,1))</f>
        <v/>
      </c>
      <c r="W438" s="9" t="str">
        <f t="shared" ca="1" si="426"/>
        <v/>
      </c>
      <c r="X438" s="17">
        <f t="shared" ca="1" si="421"/>
        <v>-0.10966951909335525</v>
      </c>
      <c r="Y438" s="13">
        <f t="shared" ref="Y438:Z438" ca="1" si="474">+Y437</f>
        <v>0</v>
      </c>
      <c r="Z438" s="13">
        <f t="shared" ca="1" si="474"/>
        <v>0</v>
      </c>
      <c r="AA438" t="str">
        <f t="shared" ca="1" si="428"/>
        <v/>
      </c>
      <c r="AB438" t="str">
        <f t="shared" ca="1" si="429"/>
        <v/>
      </c>
      <c r="AC438" s="24" t="str">
        <f t="shared" ca="1" si="430"/>
        <v/>
      </c>
      <c r="AD438" s="24" t="str">
        <f t="shared" ca="1" si="431"/>
        <v/>
      </c>
    </row>
    <row r="439" spans="3:30" x14ac:dyDescent="0.25">
      <c r="C439" s="6">
        <v>533</v>
      </c>
      <c r="D439" s="36">
        <v>42762</v>
      </c>
      <c r="E439" s="38">
        <v>19.012</v>
      </c>
      <c r="F439" s="38">
        <v>51.692396791607514</v>
      </c>
      <c r="G439" s="38">
        <v>39.17</v>
      </c>
      <c r="H439" s="38">
        <v>3.3878176021728947</v>
      </c>
      <c r="I439" s="38">
        <v>5.7639634075378705</v>
      </c>
      <c r="J439" s="10">
        <v>1</v>
      </c>
      <c r="K439" s="39">
        <v>0</v>
      </c>
      <c r="L439" s="39">
        <v>0</v>
      </c>
      <c r="M439" s="39">
        <v>0</v>
      </c>
      <c r="N439" s="39">
        <v>0</v>
      </c>
      <c r="O439" s="39">
        <v>0</v>
      </c>
      <c r="P439" s="39">
        <v>0</v>
      </c>
      <c r="Q439" s="39">
        <v>0</v>
      </c>
      <c r="R439" s="39">
        <v>0</v>
      </c>
      <c r="S439" s="39">
        <v>0</v>
      </c>
      <c r="T439" s="39">
        <v>0</v>
      </c>
      <c r="U439" s="29" cm="1">
        <f t="array" aca="1" ref="U439" ca="1">+fair_value_gap(OFFSET(T438,0,0,-1*$J$5,-1*$AA$1),OFFSET(E438,0,0,-1*$J$5,1),F439:T439,0)</f>
        <v>19.291821475560663</v>
      </c>
      <c r="V439" s="9" t="str" cm="1">
        <f t="array" aca="1" ref="V439" ca="1">z_score_diff(OFFSET(U439,0,0,$J$5*-1,1),OFFSET(E439,0,0,$J$5*-1,1))</f>
        <v/>
      </c>
      <c r="W439" s="9" t="str">
        <f t="shared" ca="1" si="426"/>
        <v/>
      </c>
      <c r="X439" s="17">
        <f t="shared" ca="1" si="421"/>
        <v>-9.7954109526555602E-2</v>
      </c>
      <c r="Y439" s="13">
        <f t="shared" ref="Y439:Z439" ca="1" si="475">+Y438</f>
        <v>0</v>
      </c>
      <c r="Z439" s="13">
        <f t="shared" ca="1" si="475"/>
        <v>0</v>
      </c>
      <c r="AA439" t="str">
        <f t="shared" ca="1" si="428"/>
        <v/>
      </c>
      <c r="AB439" t="str">
        <f t="shared" ca="1" si="429"/>
        <v/>
      </c>
      <c r="AC439" s="24" t="str">
        <f t="shared" ca="1" si="430"/>
        <v/>
      </c>
      <c r="AD439" s="24" t="str">
        <f t="shared" ca="1" si="431"/>
        <v/>
      </c>
    </row>
    <row r="440" spans="3:30" x14ac:dyDescent="0.25">
      <c r="C440" s="6">
        <v>534</v>
      </c>
      <c r="D440" s="36">
        <v>42765</v>
      </c>
      <c r="E440" s="38">
        <v>19.161000000000001</v>
      </c>
      <c r="F440" s="38">
        <v>51.525180159414624</v>
      </c>
      <c r="G440" s="38">
        <v>39.590000000000003</v>
      </c>
      <c r="H440" s="38">
        <v>3.2902062748541177</v>
      </c>
      <c r="I440" s="38">
        <v>5.7647346709839553</v>
      </c>
      <c r="J440" s="10">
        <v>1</v>
      </c>
      <c r="K440" s="39">
        <v>0</v>
      </c>
      <c r="L440" s="39">
        <v>0</v>
      </c>
      <c r="M440" s="39">
        <v>0</v>
      </c>
      <c r="N440" s="39">
        <v>0</v>
      </c>
      <c r="O440" s="39">
        <v>0</v>
      </c>
      <c r="P440" s="39">
        <v>0</v>
      </c>
      <c r="Q440" s="39">
        <v>0</v>
      </c>
      <c r="R440" s="39">
        <v>0</v>
      </c>
      <c r="S440" s="39">
        <v>0</v>
      </c>
      <c r="T440" s="39">
        <v>0</v>
      </c>
      <c r="U440" s="29" cm="1">
        <f t="array" aca="1" ref="U440" ca="1">+fair_value_gap(OFFSET(T439,0,0,-1*$J$5,-1*$AA$1),OFFSET(E439,0,0,-1*$J$5,1),F440:T440,0)</f>
        <v>19.348419884147823</v>
      </c>
      <c r="V440" s="9" t="str" cm="1">
        <f t="array" aca="1" ref="V440" ca="1">z_score_diff(OFFSET(U440,0,0,$J$5*-1,1),OFFSET(E440,0,0,$J$5*-1,1))</f>
        <v/>
      </c>
      <c r="W440" s="9" t="str">
        <f t="shared" ca="1" si="426"/>
        <v/>
      </c>
      <c r="X440" s="17">
        <f t="shared" ca="1" si="421"/>
        <v>-0.12107638137593461</v>
      </c>
      <c r="Y440" s="13">
        <f t="shared" ref="Y440:Z440" ca="1" si="476">+Y439</f>
        <v>0</v>
      </c>
      <c r="Z440" s="13">
        <f t="shared" ca="1" si="476"/>
        <v>0</v>
      </c>
      <c r="AA440" t="str">
        <f t="shared" ca="1" si="428"/>
        <v/>
      </c>
      <c r="AB440" t="str">
        <f t="shared" ca="1" si="429"/>
        <v/>
      </c>
      <c r="AC440" s="24" t="str">
        <f t="shared" ca="1" si="430"/>
        <v/>
      </c>
      <c r="AD440" s="24" t="str">
        <f t="shared" ca="1" si="431"/>
        <v/>
      </c>
    </row>
    <row r="441" spans="3:30" x14ac:dyDescent="0.25">
      <c r="C441" s="6">
        <v>535</v>
      </c>
      <c r="D441" s="36">
        <v>42766</v>
      </c>
      <c r="E441" s="38">
        <v>19.077999999999999</v>
      </c>
      <c r="F441" s="38">
        <v>51.276459443619061</v>
      </c>
      <c r="G441" s="38">
        <v>39.53</v>
      </c>
      <c r="H441" s="38">
        <v>3.1976229094824649</v>
      </c>
      <c r="I441" s="38">
        <v>5.7155578575290429</v>
      </c>
      <c r="J441" s="10">
        <v>1</v>
      </c>
      <c r="K441" s="39">
        <v>0</v>
      </c>
      <c r="L441" s="39">
        <v>0</v>
      </c>
      <c r="M441" s="39">
        <v>0</v>
      </c>
      <c r="N441" s="39">
        <v>0</v>
      </c>
      <c r="O441" s="39">
        <v>0</v>
      </c>
      <c r="P441" s="39">
        <v>0</v>
      </c>
      <c r="Q441" s="39">
        <v>0</v>
      </c>
      <c r="R441" s="39">
        <v>0</v>
      </c>
      <c r="S441" s="39">
        <v>0</v>
      </c>
      <c r="T441" s="39">
        <v>0</v>
      </c>
      <c r="U441" s="29" cm="1">
        <f t="array" aca="1" ref="U441" ca="1">+fair_value_gap(OFFSET(T440,0,0,-1*$J$5,-1*$AA$1),OFFSET(E440,0,0,-1*$J$5,1),F441:T441,0)</f>
        <v>19.236154836525206</v>
      </c>
      <c r="V441" s="9" t="str" cm="1">
        <f t="array" aca="1" ref="V441" ca="1">z_score_diff(OFFSET(U441,0,0,$J$5*-1,1),OFFSET(E441,0,0,$J$5*-1,1))</f>
        <v/>
      </c>
      <c r="W441" s="9" t="str">
        <f t="shared" ca="1" si="426"/>
        <v/>
      </c>
      <c r="X441" s="17">
        <f t="shared" ca="1" si="421"/>
        <v>-0.11591090303917578</v>
      </c>
      <c r="Y441" s="13">
        <f t="shared" ref="Y441:Z441" ca="1" si="477">+Y440</f>
        <v>0</v>
      </c>
      <c r="Z441" s="13">
        <f t="shared" ca="1" si="477"/>
        <v>0</v>
      </c>
      <c r="AA441" t="str">
        <f t="shared" ca="1" si="428"/>
        <v/>
      </c>
      <c r="AB441" t="str">
        <f t="shared" ca="1" si="429"/>
        <v/>
      </c>
      <c r="AC441" s="24" t="str">
        <f t="shared" ca="1" si="430"/>
        <v/>
      </c>
      <c r="AD441" s="24" t="str">
        <f t="shared" ca="1" si="431"/>
        <v/>
      </c>
    </row>
    <row r="442" spans="3:30" x14ac:dyDescent="0.25">
      <c r="C442" s="6">
        <v>536</v>
      </c>
      <c r="D442" s="36">
        <v>42767</v>
      </c>
      <c r="E442" s="38">
        <v>19.276</v>
      </c>
      <c r="F442" s="38">
        <v>52.307748318451978</v>
      </c>
      <c r="G442" s="38">
        <v>39.75</v>
      </c>
      <c r="H442" s="38">
        <v>3.243863146110368</v>
      </c>
      <c r="I442" s="38">
        <v>5.7249997724562895</v>
      </c>
      <c r="J442" s="10">
        <v>0</v>
      </c>
      <c r="K442" s="39">
        <v>1</v>
      </c>
      <c r="L442" s="39">
        <v>0</v>
      </c>
      <c r="M442" s="39">
        <v>0</v>
      </c>
      <c r="N442" s="39">
        <v>0</v>
      </c>
      <c r="O442" s="39">
        <v>0</v>
      </c>
      <c r="P442" s="39">
        <v>0</v>
      </c>
      <c r="Q442" s="39">
        <v>0</v>
      </c>
      <c r="R442" s="39">
        <v>0</v>
      </c>
      <c r="S442" s="39">
        <v>0</v>
      </c>
      <c r="T442" s="39">
        <v>0</v>
      </c>
      <c r="U442" s="29" cm="1">
        <f t="array" aca="1" ref="U442" ca="1">+fair_value_gap(OFFSET(T441,0,0,-1*$J$5,-1*$AA$1),OFFSET(E441,0,0,-1*$J$5,1),F442:T442,0)</f>
        <v>19.16099736731427</v>
      </c>
      <c r="V442" s="9" t="str" cm="1">
        <f t="array" aca="1" ref="V442" ca="1">z_score_diff(OFFSET(U442,0,0,$J$5*-1,1),OFFSET(E442,0,0,$J$5*-1,1))</f>
        <v/>
      </c>
      <c r="W442" s="9" t="str">
        <f t="shared" ca="1" si="426"/>
        <v/>
      </c>
      <c r="X442" s="17">
        <f t="shared" ca="1" si="421"/>
        <v>-0.11470751468353574</v>
      </c>
      <c r="Y442" s="13">
        <f t="shared" ref="Y442:Z442" ca="1" si="478">+Y441</f>
        <v>0</v>
      </c>
      <c r="Z442" s="13">
        <f t="shared" ca="1" si="478"/>
        <v>0</v>
      </c>
      <c r="AA442" t="str">
        <f t="shared" ca="1" si="428"/>
        <v/>
      </c>
      <c r="AB442" t="str">
        <f t="shared" ca="1" si="429"/>
        <v/>
      </c>
      <c r="AC442" s="24" t="str">
        <f t="shared" ca="1" si="430"/>
        <v/>
      </c>
      <c r="AD442" s="24" t="str">
        <f t="shared" ca="1" si="431"/>
        <v/>
      </c>
    </row>
    <row r="443" spans="3:30" x14ac:dyDescent="0.25">
      <c r="C443" s="6">
        <v>537</v>
      </c>
      <c r="D443" s="36">
        <v>42768</v>
      </c>
      <c r="E443" s="38">
        <v>19.297000000000001</v>
      </c>
      <c r="F443" s="38">
        <v>52.095347066787618</v>
      </c>
      <c r="G443" s="38">
        <v>39.700000000000003</v>
      </c>
      <c r="H443" s="38">
        <v>3.3031403994219732</v>
      </c>
      <c r="I443" s="38">
        <v>5.734682062479771</v>
      </c>
      <c r="J443" s="10">
        <v>0</v>
      </c>
      <c r="K443" s="39">
        <v>1</v>
      </c>
      <c r="L443" s="39">
        <v>0</v>
      </c>
      <c r="M443" s="39">
        <v>0</v>
      </c>
      <c r="N443" s="39">
        <v>0</v>
      </c>
      <c r="O443" s="39">
        <v>0</v>
      </c>
      <c r="P443" s="39">
        <v>0</v>
      </c>
      <c r="Q443" s="39">
        <v>0</v>
      </c>
      <c r="R443" s="39">
        <v>0</v>
      </c>
      <c r="S443" s="39">
        <v>0</v>
      </c>
      <c r="T443" s="39">
        <v>0</v>
      </c>
      <c r="U443" s="29" cm="1">
        <f t="array" aca="1" ref="U443" ca="1">+fair_value_gap(OFFSET(T442,0,0,-1*$J$5,-1*$AA$1),OFFSET(E442,0,0,-1*$J$5,1),F443:T443,0)</f>
        <v>19.212559273220634</v>
      </c>
      <c r="V443" s="9" t="str" cm="1">
        <f t="array" aca="1" ref="V443" ca="1">z_score_diff(OFFSET(U443,0,0,$J$5*-1,1),OFFSET(E443,0,0,$J$5*-1,1))</f>
        <v/>
      </c>
      <c r="W443" s="9" t="str">
        <f t="shared" ca="1" si="426"/>
        <v/>
      </c>
      <c r="X443" s="17">
        <f t="shared" ca="1" si="421"/>
        <v>-0.12046190694406408</v>
      </c>
      <c r="Y443" s="13">
        <f t="shared" ref="Y443:Z443" ca="1" si="479">+Y442</f>
        <v>0</v>
      </c>
      <c r="Z443" s="13">
        <f t="shared" ca="1" si="479"/>
        <v>0</v>
      </c>
      <c r="AA443" t="str">
        <f t="shared" ca="1" si="428"/>
        <v/>
      </c>
      <c r="AB443" t="str">
        <f t="shared" ca="1" si="429"/>
        <v/>
      </c>
      <c r="AC443" s="24" t="str">
        <f t="shared" ca="1" si="430"/>
        <v/>
      </c>
      <c r="AD443" s="24" t="str">
        <f t="shared" ca="1" si="431"/>
        <v/>
      </c>
    </row>
    <row r="444" spans="3:30" x14ac:dyDescent="0.25">
      <c r="C444" s="6">
        <v>538</v>
      </c>
      <c r="D444" s="36">
        <v>42769</v>
      </c>
      <c r="E444" s="38">
        <v>19.327999999999999</v>
      </c>
      <c r="F444" s="38">
        <v>52.271513435462197</v>
      </c>
      <c r="G444" s="38">
        <v>39.520000000000003</v>
      </c>
      <c r="H444" s="38">
        <v>3.1999810748915669</v>
      </c>
      <c r="I444" s="38">
        <v>5.7230255789217965</v>
      </c>
      <c r="J444" s="10">
        <v>0</v>
      </c>
      <c r="K444" s="39">
        <v>1</v>
      </c>
      <c r="L444" s="39">
        <v>0</v>
      </c>
      <c r="M444" s="39">
        <v>0</v>
      </c>
      <c r="N444" s="39">
        <v>0</v>
      </c>
      <c r="O444" s="39">
        <v>0</v>
      </c>
      <c r="P444" s="39">
        <v>0</v>
      </c>
      <c r="Q444" s="39">
        <v>0</v>
      </c>
      <c r="R444" s="39">
        <v>0</v>
      </c>
      <c r="S444" s="39">
        <v>0</v>
      </c>
      <c r="T444" s="39">
        <v>0</v>
      </c>
      <c r="U444" s="29" cm="1">
        <f t="array" aca="1" ref="U444" ca="1">+fair_value_gap(OFFSET(T443,0,0,-1*$J$5,-1*$AA$1),OFFSET(E443,0,0,-1*$J$5,1),F444:T444,0)</f>
        <v>19.103493071756215</v>
      </c>
      <c r="V444" s="9" t="str" cm="1">
        <f t="array" aca="1" ref="V444" ca="1">z_score_diff(OFFSET(U444,0,0,$J$5*-1,1),OFFSET(E444,0,0,$J$5*-1,1))</f>
        <v/>
      </c>
      <c r="W444" s="9" t="str">
        <f t="shared" ca="1" si="426"/>
        <v/>
      </c>
      <c r="X444" s="17">
        <f t="shared" ca="1" si="421"/>
        <v>-0.12230093503484987</v>
      </c>
      <c r="Y444" s="13">
        <f t="shared" ref="Y444:Z444" ca="1" si="480">+Y443</f>
        <v>0</v>
      </c>
      <c r="Z444" s="13">
        <f t="shared" ca="1" si="480"/>
        <v>0</v>
      </c>
      <c r="AA444" t="str">
        <f t="shared" ca="1" si="428"/>
        <v/>
      </c>
      <c r="AB444" t="str">
        <f t="shared" ca="1" si="429"/>
        <v/>
      </c>
      <c r="AC444" s="24" t="str">
        <f t="shared" ca="1" si="430"/>
        <v/>
      </c>
      <c r="AD444" s="24" t="str">
        <f t="shared" ca="1" si="431"/>
        <v/>
      </c>
    </row>
    <row r="445" spans="3:30" x14ac:dyDescent="0.25">
      <c r="C445" s="6">
        <v>539</v>
      </c>
      <c r="D445" s="36">
        <v>42772</v>
      </c>
      <c r="E445" s="38">
        <v>19.22</v>
      </c>
      <c r="F445" s="38">
        <v>51.680883090817865</v>
      </c>
      <c r="G445" s="38">
        <v>39.479999999999997</v>
      </c>
      <c r="H445" s="38">
        <v>3.2313095835423984</v>
      </c>
      <c r="I445" s="38">
        <v>5.7382657483008712</v>
      </c>
      <c r="J445" s="10">
        <v>0</v>
      </c>
      <c r="K445" s="39">
        <v>1</v>
      </c>
      <c r="L445" s="39">
        <v>0</v>
      </c>
      <c r="M445" s="39">
        <v>0</v>
      </c>
      <c r="N445" s="39">
        <v>0</v>
      </c>
      <c r="O445" s="39">
        <v>0</v>
      </c>
      <c r="P445" s="39">
        <v>0</v>
      </c>
      <c r="Q445" s="39">
        <v>0</v>
      </c>
      <c r="R445" s="39">
        <v>0</v>
      </c>
      <c r="S445" s="39">
        <v>0</v>
      </c>
      <c r="T445" s="39">
        <v>0</v>
      </c>
      <c r="U445" s="29" cm="1">
        <f t="array" aca="1" ref="U445" ca="1">+fair_value_gap(OFFSET(T444,0,0,-1*$J$5,-1*$AA$1),OFFSET(E444,0,0,-1*$J$5,1),F445:T445,0)</f>
        <v>19.132927747460556</v>
      </c>
      <c r="V445" s="9" t="str" cm="1">
        <f t="array" aca="1" ref="V445" ca="1">z_score_diff(OFFSET(U445,0,0,$J$5*-1,1),OFFSET(E445,0,0,$J$5*-1,1))</f>
        <v/>
      </c>
      <c r="W445" s="9" t="str">
        <f t="shared" ca="1" si="426"/>
        <v/>
      </c>
      <c r="X445" s="17">
        <f t="shared" ca="1" si="421"/>
        <v>-0.12562457440579713</v>
      </c>
      <c r="Y445" s="13">
        <f t="shared" ref="Y445:Z445" ca="1" si="481">+Y444</f>
        <v>0</v>
      </c>
      <c r="Z445" s="13">
        <f t="shared" ca="1" si="481"/>
        <v>0</v>
      </c>
      <c r="AA445" t="str">
        <f t="shared" ca="1" si="428"/>
        <v/>
      </c>
      <c r="AB445" t="str">
        <f t="shared" ca="1" si="429"/>
        <v/>
      </c>
      <c r="AC445" s="24" t="str">
        <f t="shared" ca="1" si="430"/>
        <v/>
      </c>
      <c r="AD445" s="24" t="str">
        <f t="shared" ca="1" si="431"/>
        <v/>
      </c>
    </row>
    <row r="446" spans="3:30" x14ac:dyDescent="0.25">
      <c r="C446" s="6">
        <v>540</v>
      </c>
      <c r="D446" s="36">
        <v>42773</v>
      </c>
      <c r="E446" s="38">
        <v>19.158999999999999</v>
      </c>
      <c r="F446" s="38">
        <v>51.355023501762631</v>
      </c>
      <c r="G446" s="38">
        <v>39.35</v>
      </c>
      <c r="H446" s="38">
        <v>3.3122796709753231</v>
      </c>
      <c r="I446" s="38">
        <v>5.7744565217391299</v>
      </c>
      <c r="J446" s="10">
        <v>0</v>
      </c>
      <c r="K446" s="39">
        <v>1</v>
      </c>
      <c r="L446" s="39">
        <v>0</v>
      </c>
      <c r="M446" s="39">
        <v>0</v>
      </c>
      <c r="N446" s="39">
        <v>0</v>
      </c>
      <c r="O446" s="39">
        <v>0</v>
      </c>
      <c r="P446" s="39">
        <v>0</v>
      </c>
      <c r="Q446" s="39">
        <v>0</v>
      </c>
      <c r="R446" s="39">
        <v>0</v>
      </c>
      <c r="S446" s="39">
        <v>0</v>
      </c>
      <c r="T446" s="39">
        <v>0</v>
      </c>
      <c r="U446" s="29" cm="1">
        <f t="array" aca="1" ref="U446" ca="1">+fair_value_gap(OFFSET(T445,0,0,-1*$J$5,-1*$AA$1),OFFSET(E445,0,0,-1*$J$5,1),F446:T446,0)</f>
        <v>19.155816928733675</v>
      </c>
      <c r="V446" s="9" t="str" cm="1">
        <f t="array" aca="1" ref="V446" ca="1">z_score_diff(OFFSET(U446,0,0,$J$5*-1,1),OFFSET(E446,0,0,$J$5*-1,1))</f>
        <v/>
      </c>
      <c r="W446" s="9" t="str">
        <f t="shared" ca="1" si="426"/>
        <v/>
      </c>
      <c r="X446" s="17">
        <f t="shared" ca="1" si="421"/>
        <v>-0.13371781996873386</v>
      </c>
      <c r="Y446" s="13">
        <f t="shared" ref="Y446:Z446" ca="1" si="482">+Y445</f>
        <v>0</v>
      </c>
      <c r="Z446" s="13">
        <f t="shared" ca="1" si="482"/>
        <v>0</v>
      </c>
      <c r="AA446" t="str">
        <f t="shared" ca="1" si="428"/>
        <v/>
      </c>
      <c r="AB446" t="str">
        <f t="shared" ca="1" si="429"/>
        <v/>
      </c>
      <c r="AC446" s="24" t="str">
        <f t="shared" ca="1" si="430"/>
        <v/>
      </c>
      <c r="AD446" s="24" t="str">
        <f t="shared" ca="1" si="431"/>
        <v/>
      </c>
    </row>
    <row r="447" spans="3:30" x14ac:dyDescent="0.25">
      <c r="C447" s="6">
        <v>541</v>
      </c>
      <c r="D447" s="36">
        <v>42774</v>
      </c>
      <c r="E447" s="38">
        <v>19.146000000000001</v>
      </c>
      <c r="F447" s="38">
        <v>51.539485155783964</v>
      </c>
      <c r="G447" s="38">
        <v>39.57</v>
      </c>
      <c r="H447" s="38">
        <v>3.3230853943926948</v>
      </c>
      <c r="I447" s="38">
        <v>5.7724957555178271</v>
      </c>
      <c r="J447" s="10">
        <v>0</v>
      </c>
      <c r="K447" s="39">
        <v>1</v>
      </c>
      <c r="L447" s="39">
        <v>0</v>
      </c>
      <c r="M447" s="39">
        <v>0</v>
      </c>
      <c r="N447" s="39">
        <v>0</v>
      </c>
      <c r="O447" s="39">
        <v>0</v>
      </c>
      <c r="P447" s="39">
        <v>0</v>
      </c>
      <c r="Q447" s="39">
        <v>0</v>
      </c>
      <c r="R447" s="39">
        <v>0</v>
      </c>
      <c r="S447" s="39">
        <v>0</v>
      </c>
      <c r="T447" s="39">
        <v>0</v>
      </c>
      <c r="U447" s="29" cm="1">
        <f t="array" aca="1" ref="U447" ca="1">+fair_value_gap(OFFSET(T446,0,0,-1*$J$5,-1*$AA$1),OFFSET(E446,0,0,-1*$J$5,1),F447:T447,0)</f>
        <v>19.246485184105143</v>
      </c>
      <c r="V447" s="9" t="str" cm="1">
        <f t="array" aca="1" ref="V447" ca="1">z_score_diff(OFFSET(U447,0,0,$J$5*-1,1),OFFSET(E447,0,0,$J$5*-1,1))</f>
        <v/>
      </c>
      <c r="W447" s="9" t="str">
        <f t="shared" ca="1" si="426"/>
        <v/>
      </c>
      <c r="X447" s="17">
        <f t="shared" ca="1" si="421"/>
        <v>-0.13530879912517577</v>
      </c>
      <c r="Y447" s="13">
        <f t="shared" ref="Y447:Z447" ca="1" si="483">+Y446</f>
        <v>0</v>
      </c>
      <c r="Z447" s="13">
        <f t="shared" ca="1" si="483"/>
        <v>0</v>
      </c>
      <c r="AA447" t="str">
        <f t="shared" ca="1" si="428"/>
        <v/>
      </c>
      <c r="AB447" t="str">
        <f t="shared" ca="1" si="429"/>
        <v/>
      </c>
      <c r="AC447" s="24" t="str">
        <f t="shared" ca="1" si="430"/>
        <v/>
      </c>
      <c r="AD447" s="24" t="str">
        <f t="shared" ca="1" si="431"/>
        <v/>
      </c>
    </row>
    <row r="448" spans="3:30" x14ac:dyDescent="0.25">
      <c r="C448" s="6">
        <v>542</v>
      </c>
      <c r="D448" s="36">
        <v>42775</v>
      </c>
      <c r="E448" s="38">
        <v>19.152999999999999</v>
      </c>
      <c r="F448" s="38">
        <v>52.108537372971639</v>
      </c>
      <c r="G448" s="38">
        <v>40</v>
      </c>
      <c r="H448" s="38">
        <v>3.3414231592272778</v>
      </c>
      <c r="I448" s="38">
        <v>5.7867708346749938</v>
      </c>
      <c r="J448" s="10">
        <v>0</v>
      </c>
      <c r="K448" s="39">
        <v>1</v>
      </c>
      <c r="L448" s="39">
        <v>0</v>
      </c>
      <c r="M448" s="39">
        <v>0</v>
      </c>
      <c r="N448" s="39">
        <v>0</v>
      </c>
      <c r="O448" s="39">
        <v>0</v>
      </c>
      <c r="P448" s="39">
        <v>0</v>
      </c>
      <c r="Q448" s="39">
        <v>0</v>
      </c>
      <c r="R448" s="39">
        <v>0</v>
      </c>
      <c r="S448" s="39">
        <v>0</v>
      </c>
      <c r="T448" s="39">
        <v>0</v>
      </c>
      <c r="U448" s="29" cm="1">
        <f t="array" aca="1" ref="U448" ca="1">+fair_value_gap(OFFSET(T447,0,0,-1*$J$5,-1*$AA$1),OFFSET(E447,0,0,-1*$J$5,1),F448:T448,0)</f>
        <v>19.428375628318975</v>
      </c>
      <c r="V448" s="9" t="str" cm="1">
        <f t="array" aca="1" ref="V448" ca="1">z_score_diff(OFFSET(U448,0,0,$J$5*-1,1),OFFSET(E448,0,0,$J$5*-1,1))</f>
        <v/>
      </c>
      <c r="W448" s="9" t="str">
        <f t="shared" ca="1" si="426"/>
        <v/>
      </c>
      <c r="X448" s="17">
        <f t="shared" ca="1" si="421"/>
        <v>-0.13382232558890619</v>
      </c>
      <c r="Y448" s="13">
        <f t="shared" ref="Y448:Z448" ca="1" si="484">+Y447</f>
        <v>0</v>
      </c>
      <c r="Z448" s="13">
        <f t="shared" ca="1" si="484"/>
        <v>0</v>
      </c>
      <c r="AA448" t="str">
        <f t="shared" ca="1" si="428"/>
        <v/>
      </c>
      <c r="AB448" t="str">
        <f t="shared" ca="1" si="429"/>
        <v/>
      </c>
      <c r="AC448" s="24" t="str">
        <f t="shared" ca="1" si="430"/>
        <v/>
      </c>
      <c r="AD448" s="24" t="str">
        <f t="shared" ca="1" si="431"/>
        <v/>
      </c>
    </row>
    <row r="449" spans="3:30" x14ac:dyDescent="0.25">
      <c r="C449" s="6">
        <v>543</v>
      </c>
      <c r="D449" s="36">
        <v>42776</v>
      </c>
      <c r="E449" s="38">
        <v>19.178000000000001</v>
      </c>
      <c r="F449" s="38">
        <v>52.906735512424518</v>
      </c>
      <c r="G449" s="38">
        <v>39.86</v>
      </c>
      <c r="H449" s="38">
        <v>3.3027522935779818</v>
      </c>
      <c r="I449" s="38">
        <v>5.7996404038541334</v>
      </c>
      <c r="J449" s="10">
        <v>0</v>
      </c>
      <c r="K449" s="39">
        <v>1</v>
      </c>
      <c r="L449" s="39">
        <v>0</v>
      </c>
      <c r="M449" s="39">
        <v>0</v>
      </c>
      <c r="N449" s="39">
        <v>0</v>
      </c>
      <c r="O449" s="39">
        <v>0</v>
      </c>
      <c r="P449" s="39">
        <v>0</v>
      </c>
      <c r="Q449" s="39">
        <v>0</v>
      </c>
      <c r="R449" s="39">
        <v>0</v>
      </c>
      <c r="S449" s="39">
        <v>0</v>
      </c>
      <c r="T449" s="39">
        <v>0</v>
      </c>
      <c r="U449" s="29" cm="1">
        <f t="array" aca="1" ref="U449" ca="1">+fair_value_gap(OFFSET(T448,0,0,-1*$J$5,-1*$AA$1),OFFSET(E448,0,0,-1*$J$5,1),F449:T449,0)</f>
        <v>19.356906741974711</v>
      </c>
      <c r="V449" s="9" t="str" cm="1">
        <f t="array" aca="1" ref="V449" ca="1">z_score_diff(OFFSET(U449,0,0,$J$5*-1,1),OFFSET(E449,0,0,$J$5*-1,1))</f>
        <v/>
      </c>
      <c r="W449" s="9" t="str">
        <f t="shared" ca="1" si="426"/>
        <v/>
      </c>
      <c r="X449" s="17">
        <f t="shared" ca="1" si="421"/>
        <v>-0.14767984735791384</v>
      </c>
      <c r="Y449" s="13">
        <f t="shared" ref="Y449:Z449" ca="1" si="485">+Y448</f>
        <v>0</v>
      </c>
      <c r="Z449" s="13">
        <f t="shared" ca="1" si="485"/>
        <v>0</v>
      </c>
      <c r="AA449" t="str">
        <f t="shared" ca="1" si="428"/>
        <v/>
      </c>
      <c r="AB449" t="str">
        <f t="shared" ca="1" si="429"/>
        <v/>
      </c>
      <c r="AC449" s="24" t="str">
        <f t="shared" ca="1" si="430"/>
        <v/>
      </c>
      <c r="AD449" s="24" t="str">
        <f t="shared" ca="1" si="431"/>
        <v/>
      </c>
    </row>
    <row r="450" spans="3:30" x14ac:dyDescent="0.25">
      <c r="C450" s="6">
        <v>544</v>
      </c>
      <c r="D450" s="36">
        <v>42779</v>
      </c>
      <c r="E450" s="38">
        <v>18.914000000000001</v>
      </c>
      <c r="F450" s="38">
        <v>52.120874535163779</v>
      </c>
      <c r="G450" s="38">
        <v>39.520000000000003</v>
      </c>
      <c r="H450" s="38">
        <v>3.261602746963471</v>
      </c>
      <c r="I450" s="38">
        <v>5.819994688907868</v>
      </c>
      <c r="J450" s="10">
        <v>0</v>
      </c>
      <c r="K450" s="39">
        <v>1</v>
      </c>
      <c r="L450" s="39">
        <v>0</v>
      </c>
      <c r="M450" s="39">
        <v>0</v>
      </c>
      <c r="N450" s="39">
        <v>0</v>
      </c>
      <c r="O450" s="39">
        <v>0</v>
      </c>
      <c r="P450" s="39">
        <v>0</v>
      </c>
      <c r="Q450" s="39">
        <v>0</v>
      </c>
      <c r="R450" s="39">
        <v>0</v>
      </c>
      <c r="S450" s="39">
        <v>0</v>
      </c>
      <c r="T450" s="39">
        <v>0</v>
      </c>
      <c r="U450" s="29" cm="1">
        <f t="array" aca="1" ref="U450" ca="1">+fair_value_gap(OFFSET(T449,0,0,-1*$J$5,-1*$AA$1),OFFSET(E449,0,0,-1*$J$5,1),F450:T450,0)</f>
        <v>19.157173051107318</v>
      </c>
      <c r="V450" s="9" t="str" cm="1">
        <f t="array" aca="1" ref="V450" ca="1">z_score_diff(OFFSET(U450,0,0,$J$5*-1,1),OFFSET(E450,0,0,$J$5*-1,1))</f>
        <v/>
      </c>
      <c r="W450" s="9" t="str">
        <f t="shared" ca="1" si="426"/>
        <v/>
      </c>
      <c r="X450" s="17">
        <f t="shared" ca="1" si="421"/>
        <v>-0.14604153107799953</v>
      </c>
      <c r="Y450" s="13">
        <f t="shared" ref="Y450:Z450" ca="1" si="486">+Y449</f>
        <v>0</v>
      </c>
      <c r="Z450" s="13">
        <f t="shared" ca="1" si="486"/>
        <v>0</v>
      </c>
      <c r="AA450" t="str">
        <f t="shared" ca="1" si="428"/>
        <v/>
      </c>
      <c r="AB450" t="str">
        <f t="shared" ca="1" si="429"/>
        <v/>
      </c>
      <c r="AC450" s="24" t="str">
        <f t="shared" ca="1" si="430"/>
        <v/>
      </c>
      <c r="AD450" s="24" t="str">
        <f t="shared" ca="1" si="431"/>
        <v/>
      </c>
    </row>
    <row r="451" spans="3:30" x14ac:dyDescent="0.25">
      <c r="C451" s="6">
        <v>545</v>
      </c>
      <c r="D451" s="36">
        <v>42780</v>
      </c>
      <c r="E451" s="38">
        <v>18.788</v>
      </c>
      <c r="F451" s="38">
        <v>52.41912305977857</v>
      </c>
      <c r="G451" s="38">
        <v>39.15</v>
      </c>
      <c r="H451" s="38">
        <v>3.2384152254652729</v>
      </c>
      <c r="I451" s="38">
        <v>5.8315579067210326</v>
      </c>
      <c r="J451" s="10">
        <v>0</v>
      </c>
      <c r="K451" s="39">
        <v>1</v>
      </c>
      <c r="L451" s="39">
        <v>0</v>
      </c>
      <c r="M451" s="39">
        <v>0</v>
      </c>
      <c r="N451" s="39">
        <v>0</v>
      </c>
      <c r="O451" s="39">
        <v>0</v>
      </c>
      <c r="P451" s="39">
        <v>0</v>
      </c>
      <c r="Q451" s="39">
        <v>0</v>
      </c>
      <c r="R451" s="39">
        <v>0</v>
      </c>
      <c r="S451" s="39">
        <v>0</v>
      </c>
      <c r="T451" s="39">
        <v>0</v>
      </c>
      <c r="U451" s="29" cm="1">
        <f t="array" aca="1" ref="U451" ca="1">+fair_value_gap(OFFSET(T450,0,0,-1*$J$5,-1*$AA$1),OFFSET(E450,0,0,-1*$J$5,1),F451:T451,0)</f>
        <v>19.016453478844717</v>
      </c>
      <c r="V451" s="9" t="str" cm="1">
        <f t="array" aca="1" ref="V451" ca="1">z_score_diff(OFFSET(U451,0,0,$J$5*-1,1),OFFSET(E451,0,0,$J$5*-1,1))</f>
        <v/>
      </c>
      <c r="W451" s="9" t="str">
        <f t="shared" ca="1" si="426"/>
        <v/>
      </c>
      <c r="X451" s="17">
        <f t="shared" ca="1" si="421"/>
        <v>-0.13210292949886387</v>
      </c>
      <c r="Y451" s="13">
        <f t="shared" ref="Y451:Z451" ca="1" si="487">+Y450</f>
        <v>0</v>
      </c>
      <c r="Z451" s="13">
        <f t="shared" ca="1" si="487"/>
        <v>0</v>
      </c>
      <c r="AA451" t="str">
        <f t="shared" ca="1" si="428"/>
        <v/>
      </c>
      <c r="AB451" t="str">
        <f t="shared" ca="1" si="429"/>
        <v/>
      </c>
      <c r="AC451" s="24" t="str">
        <f t="shared" ca="1" si="430"/>
        <v/>
      </c>
      <c r="AD451" s="24" t="str">
        <f t="shared" ca="1" si="431"/>
        <v/>
      </c>
    </row>
    <row r="452" spans="3:30" x14ac:dyDescent="0.25">
      <c r="C452" s="6">
        <v>546</v>
      </c>
      <c r="D452" s="36">
        <v>42781</v>
      </c>
      <c r="E452" s="38">
        <v>18.809999999999999</v>
      </c>
      <c r="F452" s="38">
        <v>52.055321138729788</v>
      </c>
      <c r="G452" s="38">
        <v>39</v>
      </c>
      <c r="H452" s="38">
        <v>3.2223842501464723</v>
      </c>
      <c r="I452" s="38">
        <v>5.8126747729914854</v>
      </c>
      <c r="J452" s="10">
        <v>0</v>
      </c>
      <c r="K452" s="39">
        <v>1</v>
      </c>
      <c r="L452" s="39">
        <v>0</v>
      </c>
      <c r="M452" s="39">
        <v>0</v>
      </c>
      <c r="N452" s="39">
        <v>0</v>
      </c>
      <c r="O452" s="39">
        <v>0</v>
      </c>
      <c r="P452" s="39">
        <v>0</v>
      </c>
      <c r="Q452" s="39">
        <v>0</v>
      </c>
      <c r="R452" s="39">
        <v>0</v>
      </c>
      <c r="S452" s="39">
        <v>0</v>
      </c>
      <c r="T452" s="39">
        <v>0</v>
      </c>
      <c r="U452" s="29" cm="1">
        <f t="array" aca="1" ref="U452" ca="1">+fair_value_gap(OFFSET(T451,0,0,-1*$J$5,-1*$AA$1),OFFSET(E451,0,0,-1*$J$5,1),F452:T452,0)</f>
        <v>18.932569772035578</v>
      </c>
      <c r="V452" s="9" t="str" cm="1">
        <f t="array" aca="1" ref="V452" ca="1">z_score_diff(OFFSET(U452,0,0,$J$5*-1,1),OFFSET(E452,0,0,$J$5*-1,1))</f>
        <v/>
      </c>
      <c r="W452" s="9" t="str">
        <f t="shared" ca="1" si="426"/>
        <v/>
      </c>
      <c r="X452" s="17">
        <f t="shared" ca="1" si="421"/>
        <v>-0.10524238216684419</v>
      </c>
      <c r="Y452" s="13">
        <f t="shared" ref="Y452:Z452" ca="1" si="488">+Y451</f>
        <v>0</v>
      </c>
      <c r="Z452" s="13">
        <f t="shared" ca="1" si="488"/>
        <v>0</v>
      </c>
      <c r="AA452" t="str">
        <f t="shared" ca="1" si="428"/>
        <v/>
      </c>
      <c r="AB452" t="str">
        <f t="shared" ca="1" si="429"/>
        <v/>
      </c>
      <c r="AC452" s="24" t="str">
        <f t="shared" ca="1" si="430"/>
        <v/>
      </c>
      <c r="AD452" s="24" t="str">
        <f t="shared" ca="1" si="431"/>
        <v/>
      </c>
    </row>
    <row r="453" spans="3:30" x14ac:dyDescent="0.25">
      <c r="C453" s="6">
        <v>547</v>
      </c>
      <c r="D453" s="36">
        <v>42782</v>
      </c>
      <c r="E453" s="38">
        <v>18.911000000000001</v>
      </c>
      <c r="F453" s="38">
        <v>51.732881570195396</v>
      </c>
      <c r="G453" s="38">
        <v>39.19</v>
      </c>
      <c r="H453" s="38">
        <v>3.1613007544493401</v>
      </c>
      <c r="I453" s="38">
        <v>5.7787218092084709</v>
      </c>
      <c r="J453" s="10">
        <v>0</v>
      </c>
      <c r="K453" s="39">
        <v>1</v>
      </c>
      <c r="L453" s="39">
        <v>0</v>
      </c>
      <c r="M453" s="39">
        <v>0</v>
      </c>
      <c r="N453" s="39">
        <v>0</v>
      </c>
      <c r="O453" s="39">
        <v>0</v>
      </c>
      <c r="P453" s="39">
        <v>0</v>
      </c>
      <c r="Q453" s="39">
        <v>0</v>
      </c>
      <c r="R453" s="39">
        <v>0</v>
      </c>
      <c r="S453" s="39">
        <v>0</v>
      </c>
      <c r="T453" s="39">
        <v>0</v>
      </c>
      <c r="U453" s="29" cm="1">
        <f t="array" aca="1" ref="U453" ca="1">+fair_value_gap(OFFSET(T452,0,0,-1*$J$5,-1*$AA$1),OFFSET(E452,0,0,-1*$J$5,1),F453:T453,0)</f>
        <v>18.936897075604843</v>
      </c>
      <c r="V453" s="9" t="str" cm="1">
        <f t="array" aca="1" ref="V453" ca="1">z_score_diff(OFFSET(U453,0,0,$J$5*-1,1),OFFSET(E453,0,0,$J$5*-1,1))</f>
        <v/>
      </c>
      <c r="W453" s="9" t="str">
        <f t="shared" ca="1" si="426"/>
        <v/>
      </c>
      <c r="X453" s="17">
        <f t="shared" ca="1" si="421"/>
        <v>-8.8170585490750533E-2</v>
      </c>
      <c r="Y453" s="13">
        <f t="shared" ref="Y453:Z453" ca="1" si="489">+Y452</f>
        <v>0</v>
      </c>
      <c r="Z453" s="13">
        <f t="shared" ca="1" si="489"/>
        <v>0</v>
      </c>
      <c r="AA453" t="str">
        <f t="shared" ca="1" si="428"/>
        <v/>
      </c>
      <c r="AB453" t="str">
        <f t="shared" ca="1" si="429"/>
        <v/>
      </c>
      <c r="AC453" s="24" t="str">
        <f t="shared" ca="1" si="430"/>
        <v/>
      </c>
      <c r="AD453" s="24" t="str">
        <f t="shared" ca="1" si="431"/>
        <v/>
      </c>
    </row>
    <row r="454" spans="3:30" x14ac:dyDescent="0.25">
      <c r="C454" s="6">
        <v>548</v>
      </c>
      <c r="D454" s="36">
        <v>42783</v>
      </c>
      <c r="E454" s="38">
        <v>18.731999999999999</v>
      </c>
      <c r="F454" s="38">
        <v>52.040028232616066</v>
      </c>
      <c r="G454" s="38">
        <v>38.96</v>
      </c>
      <c r="H454" s="38">
        <v>3.15492093758892</v>
      </c>
      <c r="I454" s="38">
        <v>5.8109671149148774</v>
      </c>
      <c r="J454" s="10">
        <v>0</v>
      </c>
      <c r="K454" s="39">
        <v>1</v>
      </c>
      <c r="L454" s="39">
        <v>0</v>
      </c>
      <c r="M454" s="39">
        <v>0</v>
      </c>
      <c r="N454" s="39">
        <v>0</v>
      </c>
      <c r="O454" s="39">
        <v>0</v>
      </c>
      <c r="P454" s="39">
        <v>0</v>
      </c>
      <c r="Q454" s="39">
        <v>0</v>
      </c>
      <c r="R454" s="39">
        <v>0</v>
      </c>
      <c r="S454" s="39">
        <v>0</v>
      </c>
      <c r="T454" s="39">
        <v>0</v>
      </c>
      <c r="U454" s="29" cm="1">
        <f t="array" aca="1" ref="U454" ca="1">+fair_value_gap(OFFSET(T453,0,0,-1*$J$5,-1*$AA$1),OFFSET(E453,0,0,-1*$J$5,1),F454:T454,0)</f>
        <v>18.834892436900272</v>
      </c>
      <c r="V454" s="9" t="str" cm="1">
        <f t="array" aca="1" ref="V454" ca="1">z_score_diff(OFFSET(U454,0,0,$J$5*-1,1),OFFSET(E454,0,0,$J$5*-1,1))</f>
        <v/>
      </c>
      <c r="W454" s="9" t="str">
        <f t="shared" ca="1" si="426"/>
        <v/>
      </c>
      <c r="X454" s="17">
        <f t="shared" ca="1" si="421"/>
        <v>-0.11314932919496268</v>
      </c>
      <c r="Y454" s="13">
        <f t="shared" ref="Y454:Z454" ca="1" si="490">+Y453</f>
        <v>0</v>
      </c>
      <c r="Z454" s="13">
        <f t="shared" ca="1" si="490"/>
        <v>0</v>
      </c>
      <c r="AA454" t="str">
        <f t="shared" ca="1" si="428"/>
        <v/>
      </c>
      <c r="AB454" t="str">
        <f t="shared" ca="1" si="429"/>
        <v/>
      </c>
      <c r="AC454" s="24" t="str">
        <f t="shared" ca="1" si="430"/>
        <v/>
      </c>
      <c r="AD454" s="24" t="str">
        <f t="shared" ca="1" si="431"/>
        <v/>
      </c>
    </row>
    <row r="455" spans="3:30" x14ac:dyDescent="0.25">
      <c r="C455" s="6">
        <v>549</v>
      </c>
      <c r="D455" s="36">
        <v>42786</v>
      </c>
      <c r="E455" s="38">
        <v>19.004999999999999</v>
      </c>
      <c r="F455" s="38">
        <v>52.119713651096347</v>
      </c>
      <c r="G455" s="38">
        <v>39.54</v>
      </c>
      <c r="H455" s="38">
        <v>3.1552707342402773</v>
      </c>
      <c r="I455" s="38">
        <v>5.8116113963020037</v>
      </c>
      <c r="J455" s="10">
        <v>0</v>
      </c>
      <c r="K455" s="39">
        <v>1</v>
      </c>
      <c r="L455" s="39">
        <v>0</v>
      </c>
      <c r="M455" s="39">
        <v>0</v>
      </c>
      <c r="N455" s="39">
        <v>0</v>
      </c>
      <c r="O455" s="39">
        <v>0</v>
      </c>
      <c r="P455" s="39">
        <v>0</v>
      </c>
      <c r="Q455" s="39">
        <v>0</v>
      </c>
      <c r="R455" s="39">
        <v>0</v>
      </c>
      <c r="S455" s="39">
        <v>0</v>
      </c>
      <c r="T455" s="39">
        <v>0</v>
      </c>
      <c r="U455" s="29" cm="1">
        <f t="array" aca="1" ref="U455" ca="1">+fair_value_gap(OFFSET(T454,0,0,-1*$J$5,-1*$AA$1),OFFSET(E454,0,0,-1*$J$5,1),F455:T455,0)</f>
        <v>19.032880143647095</v>
      </c>
      <c r="V455" s="9" t="str" cm="1">
        <f t="array" aca="1" ref="V455" ca="1">z_score_diff(OFFSET(U455,0,0,$J$5*-1,1),OFFSET(E455,0,0,$J$5*-1,1))</f>
        <v/>
      </c>
      <c r="W455" s="9" t="str">
        <f t="shared" ca="1" si="426"/>
        <v/>
      </c>
      <c r="X455" s="17">
        <f t="shared" ref="X455:X518" ca="1" si="491">+LN(OFFSET(E455,$X$3,0,1,1)/E455)</f>
        <v>-0.11803958000542784</v>
      </c>
      <c r="Y455" s="13">
        <f t="shared" ref="Y455:Z455" ca="1" si="492">+Y454</f>
        <v>0</v>
      </c>
      <c r="Z455" s="13">
        <f t="shared" ca="1" si="492"/>
        <v>0</v>
      </c>
      <c r="AA455" t="str">
        <f t="shared" ca="1" si="428"/>
        <v/>
      </c>
      <c r="AB455" t="str">
        <f t="shared" ca="1" si="429"/>
        <v/>
      </c>
      <c r="AC455" s="24" t="str">
        <f t="shared" ca="1" si="430"/>
        <v/>
      </c>
      <c r="AD455" s="24" t="str">
        <f t="shared" ca="1" si="431"/>
        <v/>
      </c>
    </row>
    <row r="456" spans="3:30" x14ac:dyDescent="0.25">
      <c r="C456" s="6">
        <v>550</v>
      </c>
      <c r="D456" s="36">
        <v>42787</v>
      </c>
      <c r="E456" s="38">
        <v>18.928999999999998</v>
      </c>
      <c r="F456" s="38">
        <v>52.383329939667121</v>
      </c>
      <c r="G456" s="38">
        <v>39.299999999999997</v>
      </c>
      <c r="H456" s="38">
        <v>3.0236171275079422</v>
      </c>
      <c r="I456" s="38">
        <v>5.8482631402290766</v>
      </c>
      <c r="J456" s="10">
        <v>0</v>
      </c>
      <c r="K456" s="39">
        <v>1</v>
      </c>
      <c r="L456" s="39">
        <v>0</v>
      </c>
      <c r="M456" s="39">
        <v>0</v>
      </c>
      <c r="N456" s="39">
        <v>0</v>
      </c>
      <c r="O456" s="39">
        <v>0</v>
      </c>
      <c r="P456" s="39">
        <v>0</v>
      </c>
      <c r="Q456" s="39">
        <v>0</v>
      </c>
      <c r="R456" s="39">
        <v>0</v>
      </c>
      <c r="S456" s="39">
        <v>0</v>
      </c>
      <c r="T456" s="39">
        <v>0</v>
      </c>
      <c r="U456" s="29" cm="1">
        <f t="array" aca="1" ref="U456" ca="1">+fair_value_gap(OFFSET(T455,0,0,-1*$J$5,-1*$AA$1),OFFSET(E455,0,0,-1*$J$5,1),F456:T456,0)</f>
        <v>18.867962413102017</v>
      </c>
      <c r="V456" s="9" t="str" cm="1">
        <f t="array" aca="1" ref="V456" ca="1">z_score_diff(OFFSET(U456,0,0,$J$5*-1,1),OFFSET(E456,0,0,$J$5*-1,1))</f>
        <v/>
      </c>
      <c r="W456" s="9" t="str">
        <f t="shared" ca="1" si="426"/>
        <v/>
      </c>
      <c r="X456" s="17">
        <f t="shared" ca="1" si="491"/>
        <v>-0.1115488764779875</v>
      </c>
      <c r="Y456" s="13">
        <f t="shared" ref="Y456:Z456" ca="1" si="493">+Y455</f>
        <v>0</v>
      </c>
      <c r="Z456" s="13">
        <f t="shared" ca="1" si="493"/>
        <v>0</v>
      </c>
      <c r="AA456" t="str">
        <f t="shared" ca="1" si="428"/>
        <v/>
      </c>
      <c r="AB456" t="str">
        <f t="shared" ca="1" si="429"/>
        <v/>
      </c>
      <c r="AC456" s="24" t="str">
        <f t="shared" ca="1" si="430"/>
        <v/>
      </c>
      <c r="AD456" s="24" t="str">
        <f t="shared" ca="1" si="431"/>
        <v/>
      </c>
    </row>
    <row r="457" spans="3:30" x14ac:dyDescent="0.25">
      <c r="C457" s="6">
        <v>551</v>
      </c>
      <c r="D457" s="36">
        <v>42788</v>
      </c>
      <c r="E457" s="38">
        <v>18.931000000000001</v>
      </c>
      <c r="F457" s="38">
        <v>51.752847241022515</v>
      </c>
      <c r="G457" s="38">
        <v>39.1</v>
      </c>
      <c r="H457" s="38">
        <v>3.0039273568776954</v>
      </c>
      <c r="I457" s="38">
        <v>5.8316984798644151</v>
      </c>
      <c r="J457" s="10">
        <v>0</v>
      </c>
      <c r="K457" s="39">
        <v>1</v>
      </c>
      <c r="L457" s="39">
        <v>0</v>
      </c>
      <c r="M457" s="39">
        <v>0</v>
      </c>
      <c r="N457" s="39">
        <v>0</v>
      </c>
      <c r="O457" s="39">
        <v>0</v>
      </c>
      <c r="P457" s="39">
        <v>0</v>
      </c>
      <c r="Q457" s="39">
        <v>0</v>
      </c>
      <c r="R457" s="39">
        <v>0</v>
      </c>
      <c r="S457" s="39">
        <v>0</v>
      </c>
      <c r="T457" s="39">
        <v>0</v>
      </c>
      <c r="U457" s="29" cm="1">
        <f t="array" aca="1" ref="U457" ca="1">+fair_value_gap(OFFSET(T456,0,0,-1*$J$5,-1*$AA$1),OFFSET(E456,0,0,-1*$J$5,1),F457:T457,0)</f>
        <v>18.759359454205118</v>
      </c>
      <c r="V457" s="9" t="str" cm="1">
        <f t="array" aca="1" ref="V457" ca="1">z_score_diff(OFFSET(U457,0,0,$J$5*-1,1),OFFSET(E457,0,0,$J$5*-1,1))</f>
        <v/>
      </c>
      <c r="W457" s="9" t="str">
        <f t="shared" ca="1" si="426"/>
        <v/>
      </c>
      <c r="X457" s="17">
        <f t="shared" ca="1" si="491"/>
        <v>-0.11012006210278255</v>
      </c>
      <c r="Y457" s="13">
        <f t="shared" ref="Y457:Z457" ca="1" si="494">+Y456</f>
        <v>0</v>
      </c>
      <c r="Z457" s="13">
        <f t="shared" ca="1" si="494"/>
        <v>0</v>
      </c>
      <c r="AA457" t="str">
        <f t="shared" ca="1" si="428"/>
        <v/>
      </c>
      <c r="AB457" t="str">
        <f t="shared" ca="1" si="429"/>
        <v/>
      </c>
      <c r="AC457" s="24" t="str">
        <f t="shared" ca="1" si="430"/>
        <v/>
      </c>
      <c r="AD457" s="24" t="str">
        <f t="shared" ca="1" si="431"/>
        <v/>
      </c>
    </row>
    <row r="458" spans="3:30" x14ac:dyDescent="0.25">
      <c r="C458" s="6">
        <v>552</v>
      </c>
      <c r="D458" s="36">
        <v>42789</v>
      </c>
      <c r="E458" s="38">
        <v>19.074000000000002</v>
      </c>
      <c r="F458" s="38">
        <v>52.340697091761541</v>
      </c>
      <c r="G458" s="38">
        <v>39.549999999999997</v>
      </c>
      <c r="H458" s="38">
        <v>3.0018793005556392</v>
      </c>
      <c r="I458" s="38">
        <v>5.8259243444908888</v>
      </c>
      <c r="J458" s="10">
        <v>0</v>
      </c>
      <c r="K458" s="39">
        <v>1</v>
      </c>
      <c r="L458" s="39">
        <v>0</v>
      </c>
      <c r="M458" s="39">
        <v>0</v>
      </c>
      <c r="N458" s="39">
        <v>0</v>
      </c>
      <c r="O458" s="39">
        <v>0</v>
      </c>
      <c r="P458" s="39">
        <v>0</v>
      </c>
      <c r="Q458" s="39">
        <v>0</v>
      </c>
      <c r="R458" s="39">
        <v>0</v>
      </c>
      <c r="S458" s="39">
        <v>0</v>
      </c>
      <c r="T458" s="39">
        <v>0</v>
      </c>
      <c r="U458" s="29" cm="1">
        <f t="array" aca="1" ref="U458" ca="1">+fair_value_gap(OFFSET(T457,0,0,-1*$J$5,-1*$AA$1),OFFSET(E457,0,0,-1*$J$5,1),F458:T458,0)</f>
        <v>18.955779769610611</v>
      </c>
      <c r="V458" s="9" t="str" cm="1">
        <f t="array" aca="1" ref="V458" ca="1">z_score_diff(OFFSET(U458,0,0,$J$5*-1,1),OFFSET(E458,0,0,$J$5*-1,1))</f>
        <v/>
      </c>
      <c r="W458" s="9" t="str">
        <f t="shared" ca="1" si="426"/>
        <v/>
      </c>
      <c r="X458" s="17">
        <f t="shared" ca="1" si="491"/>
        <v>-0.12130843099046749</v>
      </c>
      <c r="Y458" s="13">
        <f t="shared" ref="Y458:Z458" ca="1" si="495">+Y457</f>
        <v>0</v>
      </c>
      <c r="Z458" s="13">
        <f t="shared" ca="1" si="495"/>
        <v>0</v>
      </c>
      <c r="AA458" t="str">
        <f t="shared" ca="1" si="428"/>
        <v/>
      </c>
      <c r="AB458" t="str">
        <f t="shared" ca="1" si="429"/>
        <v/>
      </c>
      <c r="AC458" s="24" t="str">
        <f t="shared" ca="1" si="430"/>
        <v/>
      </c>
      <c r="AD458" s="24" t="str">
        <f t="shared" ca="1" si="431"/>
        <v/>
      </c>
    </row>
    <row r="459" spans="3:30" x14ac:dyDescent="0.25">
      <c r="C459" s="6">
        <v>553</v>
      </c>
      <c r="D459" s="36">
        <v>42790</v>
      </c>
      <c r="E459" s="38">
        <v>18.803999999999998</v>
      </c>
      <c r="F459" s="38">
        <v>52.234156830595509</v>
      </c>
      <c r="G459" s="38">
        <v>39.4</v>
      </c>
      <c r="H459" s="38">
        <v>3.0378628003858603</v>
      </c>
      <c r="I459" s="38">
        <v>5.8399012880278311</v>
      </c>
      <c r="J459" s="10">
        <v>0</v>
      </c>
      <c r="K459" s="39">
        <v>1</v>
      </c>
      <c r="L459" s="39">
        <v>0</v>
      </c>
      <c r="M459" s="39">
        <v>0</v>
      </c>
      <c r="N459" s="39">
        <v>0</v>
      </c>
      <c r="O459" s="39">
        <v>0</v>
      </c>
      <c r="P459" s="39">
        <v>0</v>
      </c>
      <c r="Q459" s="39">
        <v>0</v>
      </c>
      <c r="R459" s="39">
        <v>0</v>
      </c>
      <c r="S459" s="39">
        <v>0</v>
      </c>
      <c r="T459" s="39">
        <v>0</v>
      </c>
      <c r="U459" s="29" cm="1">
        <f t="array" aca="1" ref="U459" ca="1">+fair_value_gap(OFFSET(T458,0,0,-1*$J$5,-1*$AA$1),OFFSET(E458,0,0,-1*$J$5,1),F459:T459,0)</f>
        <v>18.934493342890551</v>
      </c>
      <c r="V459" s="9" t="str" cm="1">
        <f t="array" aca="1" ref="V459" ca="1">z_score_diff(OFFSET(U459,0,0,$J$5*-1,1),OFFSET(E459,0,0,$J$5*-1,1))</f>
        <v/>
      </c>
      <c r="W459" s="9" t="str">
        <f t="shared" ref="W459:W522" ca="1" si="496">+IF(ISERROR(AVERAGE(OFFSET(V459,0,0,$W$5*-1,1))),"",AVERAGE(OFFSET(V459,0,0,$W$5*-1,1)))</f>
        <v/>
      </c>
      <c r="X459" s="17">
        <f t="shared" ca="1" si="491"/>
        <v>-0.12569153892992244</v>
      </c>
      <c r="Y459" s="13">
        <f t="shared" ref="Y459:Z459" ca="1" si="497">+Y458</f>
        <v>0</v>
      </c>
      <c r="Z459" s="13">
        <f t="shared" ca="1" si="497"/>
        <v>0</v>
      </c>
      <c r="AA459" t="str">
        <f t="shared" ref="AA459:AA522" ca="1" si="498">+IF(W459="","",IF(W459&lt;Y459,1,0))</f>
        <v/>
      </c>
      <c r="AB459" t="str">
        <f t="shared" ref="AB459:AB522" ca="1" si="499">+IF(W459="","",IF(W459&gt;Z459,1,0))</f>
        <v/>
      </c>
      <c r="AC459" s="24" t="str">
        <f t="shared" ref="AC459:AC522" ca="1" si="500">+IF(ISERROR(AA459*X459),"",AA459*X459)</f>
        <v/>
      </c>
      <c r="AD459" s="24" t="str">
        <f t="shared" ref="AD459:AD522" ca="1" si="501">+IF(ISERROR(AB459*X459),"",AB459*X459)</f>
        <v/>
      </c>
    </row>
    <row r="460" spans="3:30" x14ac:dyDescent="0.25">
      <c r="C460" s="6">
        <v>554</v>
      </c>
      <c r="D460" s="36">
        <v>42793</v>
      </c>
      <c r="E460" s="38">
        <v>18.399000000000001</v>
      </c>
      <c r="F460" s="38">
        <v>52.180674544217496</v>
      </c>
      <c r="G460" s="38">
        <v>38.92</v>
      </c>
      <c r="H460" s="38">
        <v>2.9094174222543123</v>
      </c>
      <c r="I460" s="38">
        <v>5.822537571103922</v>
      </c>
      <c r="J460" s="10">
        <v>0</v>
      </c>
      <c r="K460" s="39">
        <v>1</v>
      </c>
      <c r="L460" s="39">
        <v>0</v>
      </c>
      <c r="M460" s="39">
        <v>0</v>
      </c>
      <c r="N460" s="39">
        <v>0</v>
      </c>
      <c r="O460" s="39">
        <v>0</v>
      </c>
      <c r="P460" s="39">
        <v>0</v>
      </c>
      <c r="Q460" s="39">
        <v>0</v>
      </c>
      <c r="R460" s="39">
        <v>0</v>
      </c>
      <c r="S460" s="39">
        <v>0</v>
      </c>
      <c r="T460" s="39">
        <v>0</v>
      </c>
      <c r="U460" s="29" cm="1">
        <f t="array" aca="1" ref="U460" ca="1">+fair_value_gap(OFFSET(T459,0,0,-1*$J$5,-1*$AA$1),OFFSET(E459,0,0,-1*$J$5,1),F460:T460,0)</f>
        <v>18.665974184521538</v>
      </c>
      <c r="V460" s="9" t="str" cm="1">
        <f t="array" aca="1" ref="V460" ca="1">z_score_diff(OFFSET(U460,0,0,$J$5*-1,1),OFFSET(E460,0,0,$J$5*-1,1))</f>
        <v/>
      </c>
      <c r="W460" s="9" t="str">
        <f t="shared" ca="1" si="496"/>
        <v/>
      </c>
      <c r="X460" s="17">
        <f t="shared" ca="1" si="491"/>
        <v>-0.10978477942092064</v>
      </c>
      <c r="Y460" s="13">
        <f t="shared" ref="Y460:Z460" ca="1" si="502">+Y459</f>
        <v>0</v>
      </c>
      <c r="Z460" s="13">
        <f t="shared" ca="1" si="502"/>
        <v>0</v>
      </c>
      <c r="AA460" t="str">
        <f t="shared" ca="1" si="498"/>
        <v/>
      </c>
      <c r="AB460" t="str">
        <f t="shared" ca="1" si="499"/>
        <v/>
      </c>
      <c r="AC460" s="24" t="str">
        <f t="shared" ca="1" si="500"/>
        <v/>
      </c>
      <c r="AD460" s="24" t="str">
        <f t="shared" ca="1" si="501"/>
        <v/>
      </c>
    </row>
    <row r="461" spans="3:30" x14ac:dyDescent="0.25">
      <c r="C461" s="6">
        <v>555</v>
      </c>
      <c r="D461" s="36">
        <v>42794</v>
      </c>
      <c r="E461" s="38">
        <v>17.84</v>
      </c>
      <c r="F461" s="38">
        <v>52.454043683616469</v>
      </c>
      <c r="G461" s="38">
        <v>36.54</v>
      </c>
      <c r="H461" s="38">
        <v>2.9861304656604255</v>
      </c>
      <c r="I461" s="38">
        <v>5.8241118229470006</v>
      </c>
      <c r="J461" s="10">
        <v>0</v>
      </c>
      <c r="K461" s="39">
        <v>1</v>
      </c>
      <c r="L461" s="39">
        <v>0</v>
      </c>
      <c r="M461" s="39">
        <v>0</v>
      </c>
      <c r="N461" s="39">
        <v>0</v>
      </c>
      <c r="O461" s="39">
        <v>0</v>
      </c>
      <c r="P461" s="39">
        <v>0</v>
      </c>
      <c r="Q461" s="39">
        <v>0</v>
      </c>
      <c r="R461" s="39">
        <v>0</v>
      </c>
      <c r="S461" s="39">
        <v>0</v>
      </c>
      <c r="T461" s="39">
        <v>0</v>
      </c>
      <c r="U461" s="29" cm="1">
        <f t="array" aca="1" ref="U461" ca="1">+fair_value_gap(OFFSET(T460,0,0,-1*$J$5,-1*$AA$1),OFFSET(E460,0,0,-1*$J$5,1),F461:T461,0)</f>
        <v>17.882585278537277</v>
      </c>
      <c r="V461" s="9" t="str" cm="1">
        <f t="array" aca="1" ref="V461" ca="1">z_score_diff(OFFSET(U461,0,0,$J$5*-1,1),OFFSET(E461,0,0,$J$5*-1,1))</f>
        <v/>
      </c>
      <c r="W461" s="9" t="str">
        <f t="shared" ca="1" si="496"/>
        <v/>
      </c>
      <c r="X461" s="17">
        <f t="shared" ca="1" si="491"/>
        <v>-7.614523050237737E-2</v>
      </c>
      <c r="Y461" s="13">
        <f t="shared" ref="Y461:Z461" ca="1" si="503">+Y460</f>
        <v>0</v>
      </c>
      <c r="Z461" s="13">
        <f t="shared" ca="1" si="503"/>
        <v>0</v>
      </c>
      <c r="AA461" t="str">
        <f t="shared" ca="1" si="498"/>
        <v/>
      </c>
      <c r="AB461" t="str">
        <f t="shared" ca="1" si="499"/>
        <v/>
      </c>
      <c r="AC461" s="24" t="str">
        <f t="shared" ca="1" si="500"/>
        <v/>
      </c>
      <c r="AD461" s="24" t="str">
        <f t="shared" ca="1" si="501"/>
        <v/>
      </c>
    </row>
    <row r="462" spans="3:30" x14ac:dyDescent="0.25">
      <c r="C462" s="6">
        <v>556</v>
      </c>
      <c r="D462" s="36">
        <v>42795</v>
      </c>
      <c r="E462" s="38">
        <v>17.983000000000001</v>
      </c>
      <c r="F462" s="38">
        <v>52.438745559622355</v>
      </c>
      <c r="G462" s="38">
        <v>36.9</v>
      </c>
      <c r="H462" s="38">
        <v>3.0689957078672987</v>
      </c>
      <c r="I462" s="38">
        <v>5.8461486985116018</v>
      </c>
      <c r="J462" s="10">
        <v>0</v>
      </c>
      <c r="K462" s="39">
        <v>0</v>
      </c>
      <c r="L462" s="39">
        <v>1</v>
      </c>
      <c r="M462" s="39">
        <v>0</v>
      </c>
      <c r="N462" s="39">
        <v>0</v>
      </c>
      <c r="O462" s="39">
        <v>0</v>
      </c>
      <c r="P462" s="39">
        <v>0</v>
      </c>
      <c r="Q462" s="39">
        <v>0</v>
      </c>
      <c r="R462" s="39">
        <v>0</v>
      </c>
      <c r="S462" s="39">
        <v>0</v>
      </c>
      <c r="T462" s="39">
        <v>0</v>
      </c>
      <c r="U462" s="29" cm="1">
        <f t="array" aca="1" ref="U462" ca="1">+fair_value_gap(OFFSET(T461,0,0,-1*$J$5,-1*$AA$1),OFFSET(E461,0,0,-1*$J$5,1),F462:T462,0)</f>
        <v>18.445995753021904</v>
      </c>
      <c r="V462" s="9" t="str" cm="1">
        <f t="array" aca="1" ref="V462" ca="1">z_score_diff(OFFSET(U462,0,0,$J$5*-1,1),OFFSET(E462,0,0,$J$5*-1,1))</f>
        <v/>
      </c>
      <c r="W462" s="9" t="str">
        <f t="shared" ca="1" si="496"/>
        <v/>
      </c>
      <c r="X462" s="17">
        <f t="shared" ca="1" si="491"/>
        <v>-7.300070146256625E-2</v>
      </c>
      <c r="Y462" s="13">
        <f t="shared" ref="Y462:Z462" ca="1" si="504">+Y461</f>
        <v>0</v>
      </c>
      <c r="Z462" s="13">
        <f t="shared" ca="1" si="504"/>
        <v>0</v>
      </c>
      <c r="AA462" t="str">
        <f t="shared" ca="1" si="498"/>
        <v/>
      </c>
      <c r="AB462" t="str">
        <f t="shared" ca="1" si="499"/>
        <v/>
      </c>
      <c r="AC462" s="24" t="str">
        <f t="shared" ca="1" si="500"/>
        <v/>
      </c>
      <c r="AD462" s="24" t="str">
        <f t="shared" ca="1" si="501"/>
        <v/>
      </c>
    </row>
    <row r="463" spans="3:30" x14ac:dyDescent="0.25">
      <c r="C463" s="6">
        <v>557</v>
      </c>
      <c r="D463" s="36">
        <v>42796</v>
      </c>
      <c r="E463" s="38">
        <v>17.734000000000002</v>
      </c>
      <c r="F463" s="38">
        <v>51.949481484660019</v>
      </c>
      <c r="G463" s="38">
        <v>37.22</v>
      </c>
      <c r="H463" s="38">
        <v>3.0970062583780078</v>
      </c>
      <c r="I463" s="38">
        <v>5.8675208931318288</v>
      </c>
      <c r="J463" s="10">
        <v>0</v>
      </c>
      <c r="K463" s="39">
        <v>0</v>
      </c>
      <c r="L463" s="39">
        <v>1</v>
      </c>
      <c r="M463" s="39">
        <v>0</v>
      </c>
      <c r="N463" s="39">
        <v>0</v>
      </c>
      <c r="O463" s="39">
        <v>0</v>
      </c>
      <c r="P463" s="39">
        <v>0</v>
      </c>
      <c r="Q463" s="39">
        <v>0</v>
      </c>
      <c r="R463" s="39">
        <v>0</v>
      </c>
      <c r="S463" s="39">
        <v>0</v>
      </c>
      <c r="T463" s="39">
        <v>0</v>
      </c>
      <c r="U463" s="29" cm="1">
        <f t="array" aca="1" ref="U463" ca="1">+fair_value_gap(OFFSET(T462,0,0,-1*$J$5,-1*$AA$1),OFFSET(E462,0,0,-1*$J$5,1),F463:T463,0)</f>
        <v>18.435102091700841</v>
      </c>
      <c r="V463" s="9" t="str" cm="1">
        <f t="array" aca="1" ref="V463" ca="1">z_score_diff(OFFSET(U463,0,0,$J$5*-1,1),OFFSET(E463,0,0,$J$5*-1,1))</f>
        <v/>
      </c>
      <c r="W463" s="9" t="str">
        <f t="shared" ca="1" si="496"/>
        <v/>
      </c>
      <c r="X463" s="17">
        <f t="shared" ca="1" si="491"/>
        <v>-6.1393215293021726E-2</v>
      </c>
      <c r="Y463" s="13">
        <f t="shared" ref="Y463:Z463" ca="1" si="505">+Y462</f>
        <v>0</v>
      </c>
      <c r="Z463" s="13">
        <f t="shared" ca="1" si="505"/>
        <v>0</v>
      </c>
      <c r="AA463" t="str">
        <f t="shared" ca="1" si="498"/>
        <v/>
      </c>
      <c r="AB463" t="str">
        <f t="shared" ca="1" si="499"/>
        <v/>
      </c>
      <c r="AC463" s="24" t="str">
        <f t="shared" ca="1" si="500"/>
        <v/>
      </c>
      <c r="AD463" s="24" t="str">
        <f t="shared" ca="1" si="501"/>
        <v/>
      </c>
    </row>
    <row r="464" spans="3:30" x14ac:dyDescent="0.25">
      <c r="C464" s="6">
        <v>558</v>
      </c>
      <c r="D464" s="36">
        <v>42797</v>
      </c>
      <c r="E464" s="38">
        <v>17.763000000000002</v>
      </c>
      <c r="F464" s="38">
        <v>51.93785923685973</v>
      </c>
      <c r="G464" s="38">
        <v>37.01</v>
      </c>
      <c r="H464" s="38">
        <v>3.0664112093441984</v>
      </c>
      <c r="I464" s="38">
        <v>5.8078068373306255</v>
      </c>
      <c r="J464" s="10">
        <v>0</v>
      </c>
      <c r="K464" s="39">
        <v>0</v>
      </c>
      <c r="L464" s="39">
        <v>1</v>
      </c>
      <c r="M464" s="39">
        <v>0</v>
      </c>
      <c r="N464" s="39">
        <v>0</v>
      </c>
      <c r="O464" s="39">
        <v>0</v>
      </c>
      <c r="P464" s="39">
        <v>0</v>
      </c>
      <c r="Q464" s="39">
        <v>0</v>
      </c>
      <c r="R464" s="39">
        <v>0</v>
      </c>
      <c r="S464" s="39">
        <v>0</v>
      </c>
      <c r="T464" s="39">
        <v>0</v>
      </c>
      <c r="U464" s="29" cm="1">
        <f t="array" aca="1" ref="U464" ca="1">+fair_value_gap(OFFSET(T463,0,0,-1*$J$5,-1*$AA$1),OFFSET(E463,0,0,-1*$J$5,1),F464:T464,0)</f>
        <v>18.178451662834846</v>
      </c>
      <c r="V464" s="9" t="str" cm="1">
        <f t="array" aca="1" ref="V464" ca="1">z_score_diff(OFFSET(U464,0,0,$J$5*-1,1),OFFSET(E464,0,0,$J$5*-1,1))</f>
        <v/>
      </c>
      <c r="W464" s="9" t="str">
        <f t="shared" ca="1" si="496"/>
        <v/>
      </c>
      <c r="X464" s="17">
        <f t="shared" ca="1" si="491"/>
        <v>-3.430347508847046E-2</v>
      </c>
      <c r="Y464" s="13">
        <f t="shared" ref="Y464:Z464" ca="1" si="506">+Y463</f>
        <v>0</v>
      </c>
      <c r="Z464" s="13">
        <f t="shared" ca="1" si="506"/>
        <v>0</v>
      </c>
      <c r="AA464" t="str">
        <f t="shared" ca="1" si="498"/>
        <v/>
      </c>
      <c r="AB464" t="str">
        <f t="shared" ca="1" si="499"/>
        <v/>
      </c>
      <c r="AC464" s="24" t="str">
        <f t="shared" ca="1" si="500"/>
        <v/>
      </c>
      <c r="AD464" s="24" t="str">
        <f t="shared" ca="1" si="501"/>
        <v/>
      </c>
    </row>
    <row r="465" spans="3:30" x14ac:dyDescent="0.25">
      <c r="C465" s="6">
        <v>559</v>
      </c>
      <c r="D465" s="36">
        <v>42800</v>
      </c>
      <c r="E465" s="38">
        <v>17.763999999999999</v>
      </c>
      <c r="F465" s="38">
        <v>52.226457328473565</v>
      </c>
      <c r="G465" s="38">
        <v>36.86</v>
      </c>
      <c r="H465" s="38">
        <v>3.0842979678284288</v>
      </c>
      <c r="I465" s="38">
        <v>5.8276462053592111</v>
      </c>
      <c r="J465" s="10">
        <v>0</v>
      </c>
      <c r="K465" s="39">
        <v>0</v>
      </c>
      <c r="L465" s="39">
        <v>1</v>
      </c>
      <c r="M465" s="39">
        <v>0</v>
      </c>
      <c r="N465" s="39">
        <v>0</v>
      </c>
      <c r="O465" s="39">
        <v>0</v>
      </c>
      <c r="P465" s="39">
        <v>0</v>
      </c>
      <c r="Q465" s="39">
        <v>0</v>
      </c>
      <c r="R465" s="39">
        <v>0</v>
      </c>
      <c r="S465" s="39">
        <v>0</v>
      </c>
      <c r="T465" s="39">
        <v>0</v>
      </c>
      <c r="U465" s="29" cm="1">
        <f t="array" aca="1" ref="U465" ca="1">+fair_value_gap(OFFSET(T464,0,0,-1*$J$5,-1*$AA$1),OFFSET(E464,0,0,-1*$J$5,1),F465:T465,0)</f>
        <v>18.080490395957995</v>
      </c>
      <c r="V465" s="9" t="str" cm="1">
        <f t="array" aca="1" ref="V465" ca="1">z_score_diff(OFFSET(U465,0,0,$J$5*-1,1),OFFSET(E465,0,0,$J$5*-1,1))</f>
        <v/>
      </c>
      <c r="W465" s="9" t="str">
        <f t="shared" ca="1" si="496"/>
        <v/>
      </c>
      <c r="X465" s="17">
        <f t="shared" ca="1" si="491"/>
        <v>-4.3784138354506993E-2</v>
      </c>
      <c r="Y465" s="13">
        <f t="shared" ref="Y465:Z465" ca="1" si="507">+Y464</f>
        <v>0</v>
      </c>
      <c r="Z465" s="13">
        <f t="shared" ca="1" si="507"/>
        <v>0</v>
      </c>
      <c r="AA465" t="str">
        <f t="shared" ca="1" si="498"/>
        <v/>
      </c>
      <c r="AB465" t="str">
        <f t="shared" ca="1" si="499"/>
        <v/>
      </c>
      <c r="AC465" s="24" t="str">
        <f t="shared" ca="1" si="500"/>
        <v/>
      </c>
      <c r="AD465" s="24" t="str">
        <f t="shared" ca="1" si="501"/>
        <v/>
      </c>
    </row>
    <row r="466" spans="3:30" x14ac:dyDescent="0.25">
      <c r="C466" s="6">
        <v>560</v>
      </c>
      <c r="D466" s="36">
        <v>42801</v>
      </c>
      <c r="E466" s="38">
        <v>17.635999999999999</v>
      </c>
      <c r="F466" s="38">
        <v>52.19926275268071</v>
      </c>
      <c r="G466" s="38">
        <v>37.01</v>
      </c>
      <c r="H466" s="38">
        <v>3.0636680698427248</v>
      </c>
      <c r="I466" s="38">
        <v>5.8360000482467411</v>
      </c>
      <c r="J466" s="10">
        <v>0</v>
      </c>
      <c r="K466" s="39">
        <v>0</v>
      </c>
      <c r="L466" s="39">
        <v>1</v>
      </c>
      <c r="M466" s="39">
        <v>0</v>
      </c>
      <c r="N466" s="39">
        <v>0</v>
      </c>
      <c r="O466" s="39">
        <v>0</v>
      </c>
      <c r="P466" s="39">
        <v>0</v>
      </c>
      <c r="Q466" s="39">
        <v>0</v>
      </c>
      <c r="R466" s="39">
        <v>0</v>
      </c>
      <c r="S466" s="39">
        <v>0</v>
      </c>
      <c r="T466" s="39">
        <v>0</v>
      </c>
      <c r="U466" s="29" cm="1">
        <f t="array" aca="1" ref="U466" ca="1">+fair_value_gap(OFFSET(T465,0,0,-1*$J$5,-1*$AA$1),OFFSET(E465,0,0,-1*$J$5,1),F466:T466,0)</f>
        <v>18.067012920445148</v>
      </c>
      <c r="V466" s="9" t="str" cm="1">
        <f t="array" aca="1" ref="V466" ca="1">z_score_diff(OFFSET(U466,0,0,$J$5*-1,1),OFFSET(E466,0,0,$J$5*-1,1))</f>
        <v/>
      </c>
      <c r="W466" s="9" t="str">
        <f t="shared" ca="1" si="496"/>
        <v/>
      </c>
      <c r="X466" s="17">
        <f t="shared" ca="1" si="491"/>
        <v>-4.8087303952991919E-2</v>
      </c>
      <c r="Y466" s="13">
        <f t="shared" ref="Y466:Z466" ca="1" si="508">+Y465</f>
        <v>0</v>
      </c>
      <c r="Z466" s="13">
        <f t="shared" ca="1" si="508"/>
        <v>0</v>
      </c>
      <c r="AA466" t="str">
        <f t="shared" ca="1" si="498"/>
        <v/>
      </c>
      <c r="AB466" t="str">
        <f t="shared" ca="1" si="499"/>
        <v/>
      </c>
      <c r="AC466" s="24" t="str">
        <f t="shared" ca="1" si="500"/>
        <v/>
      </c>
      <c r="AD466" s="24" t="str">
        <f t="shared" ca="1" si="501"/>
        <v/>
      </c>
    </row>
    <row r="467" spans="3:30" x14ac:dyDescent="0.25">
      <c r="C467" s="6">
        <v>561</v>
      </c>
      <c r="D467" s="36">
        <v>42802</v>
      </c>
      <c r="E467" s="38">
        <v>17.445</v>
      </c>
      <c r="F467" s="38">
        <v>50.153732902558993</v>
      </c>
      <c r="G467" s="38">
        <v>36.4</v>
      </c>
      <c r="H467" s="38">
        <v>3.083952664393824</v>
      </c>
      <c r="I467" s="38">
        <v>5.8463117115844341</v>
      </c>
      <c r="J467" s="10">
        <v>0</v>
      </c>
      <c r="K467" s="39">
        <v>0</v>
      </c>
      <c r="L467" s="39">
        <v>1</v>
      </c>
      <c r="M467" s="39">
        <v>0</v>
      </c>
      <c r="N467" s="39">
        <v>0</v>
      </c>
      <c r="O467" s="39">
        <v>0</v>
      </c>
      <c r="P467" s="39">
        <v>0</v>
      </c>
      <c r="Q467" s="39">
        <v>0</v>
      </c>
      <c r="R467" s="39">
        <v>0</v>
      </c>
      <c r="S467" s="39">
        <v>0</v>
      </c>
      <c r="T467" s="39">
        <v>0</v>
      </c>
      <c r="U467" s="29" cm="1">
        <f t="array" aca="1" ref="U467" ca="1">+fair_value_gap(OFFSET(T466,0,0,-1*$J$5,-1*$AA$1),OFFSET(E466,0,0,-1*$J$5,1),F467:T467,0)</f>
        <v>17.737491280810158</v>
      </c>
      <c r="V467" s="9" t="str" cm="1">
        <f t="array" aca="1" ref="V467" ca="1">z_score_diff(OFFSET(U467,0,0,$J$5*-1,1),OFFSET(E467,0,0,$J$5*-1,1))</f>
        <v/>
      </c>
      <c r="W467" s="9" t="str">
        <f t="shared" ca="1" si="496"/>
        <v/>
      </c>
      <c r="X467" s="17">
        <f t="shared" ca="1" si="491"/>
        <v>-3.2094545333432659E-2</v>
      </c>
      <c r="Y467" s="13">
        <f t="shared" ref="Y467:Z467" ca="1" si="509">+Y466</f>
        <v>0</v>
      </c>
      <c r="Z467" s="13">
        <f t="shared" ca="1" si="509"/>
        <v>0</v>
      </c>
      <c r="AA467" t="str">
        <f t="shared" ca="1" si="498"/>
        <v/>
      </c>
      <c r="AB467" t="str">
        <f t="shared" ca="1" si="499"/>
        <v/>
      </c>
      <c r="AC467" s="24" t="str">
        <f t="shared" ca="1" si="500"/>
        <v/>
      </c>
      <c r="AD467" s="24" t="str">
        <f t="shared" ca="1" si="501"/>
        <v/>
      </c>
    </row>
    <row r="468" spans="3:30" x14ac:dyDescent="0.25">
      <c r="C468" s="6">
        <v>562</v>
      </c>
      <c r="D468" s="36">
        <v>42803</v>
      </c>
      <c r="E468" s="38">
        <v>17.228999999999999</v>
      </c>
      <c r="F468" s="38">
        <v>49.213400717313334</v>
      </c>
      <c r="G468" s="38">
        <v>36.200000000000003</v>
      </c>
      <c r="H468" s="38">
        <v>3.1132362095029196</v>
      </c>
      <c r="I468" s="38">
        <v>5.8263182855618458</v>
      </c>
      <c r="J468" s="10">
        <v>0</v>
      </c>
      <c r="K468" s="39">
        <v>0</v>
      </c>
      <c r="L468" s="39">
        <v>1</v>
      </c>
      <c r="M468" s="39">
        <v>0</v>
      </c>
      <c r="N468" s="39">
        <v>0</v>
      </c>
      <c r="O468" s="39">
        <v>0</v>
      </c>
      <c r="P468" s="39">
        <v>0</v>
      </c>
      <c r="Q468" s="39">
        <v>0</v>
      </c>
      <c r="R468" s="39">
        <v>0</v>
      </c>
      <c r="S468" s="39">
        <v>0</v>
      </c>
      <c r="T468" s="39">
        <v>0</v>
      </c>
      <c r="U468" s="29" cm="1">
        <f t="array" aca="1" ref="U468" ca="1">+fair_value_gap(OFFSET(T467,0,0,-1*$J$5,-1*$AA$1),OFFSET(E467,0,0,-1*$J$5,1),F468:T468,0)</f>
        <v>17.610533249691663</v>
      </c>
      <c r="V468" s="9" t="str" cm="1">
        <f t="array" aca="1" ref="V468" ca="1">z_score_diff(OFFSET(U468,0,0,$J$5*-1,1),OFFSET(E468,0,0,$J$5*-1,1))</f>
        <v/>
      </c>
      <c r="W468" s="9" t="str">
        <f t="shared" ca="1" si="496"/>
        <v/>
      </c>
      <c r="X468" s="17">
        <f t="shared" ca="1" si="491"/>
        <v>-3.0466986296004514E-2</v>
      </c>
      <c r="Y468" s="13">
        <f t="shared" ref="Y468:Z468" ca="1" si="510">+Y467</f>
        <v>0</v>
      </c>
      <c r="Z468" s="13">
        <f t="shared" ca="1" si="510"/>
        <v>0</v>
      </c>
      <c r="AA468" t="str">
        <f t="shared" ca="1" si="498"/>
        <v/>
      </c>
      <c r="AB468" t="str">
        <f t="shared" ca="1" si="499"/>
        <v/>
      </c>
      <c r="AC468" s="24" t="str">
        <f t="shared" ca="1" si="500"/>
        <v/>
      </c>
      <c r="AD468" s="24" t="str">
        <f t="shared" ca="1" si="501"/>
        <v/>
      </c>
    </row>
    <row r="469" spans="3:30" x14ac:dyDescent="0.25">
      <c r="C469" s="6">
        <v>563</v>
      </c>
      <c r="D469" s="36">
        <v>42804</v>
      </c>
      <c r="E469" s="38">
        <v>17.238</v>
      </c>
      <c r="F469" s="38">
        <v>47.954480399856145</v>
      </c>
      <c r="G469" s="38">
        <v>35.979999999999997</v>
      </c>
      <c r="H469" s="38">
        <v>3.0917658111252191</v>
      </c>
      <c r="I469" s="38">
        <v>5.7706845554829753</v>
      </c>
      <c r="J469" s="10">
        <v>0</v>
      </c>
      <c r="K469" s="39">
        <v>0</v>
      </c>
      <c r="L469" s="39">
        <v>1</v>
      </c>
      <c r="M469" s="39">
        <v>0</v>
      </c>
      <c r="N469" s="39">
        <v>0</v>
      </c>
      <c r="O469" s="39">
        <v>0</v>
      </c>
      <c r="P469" s="39">
        <v>0</v>
      </c>
      <c r="Q469" s="39">
        <v>0</v>
      </c>
      <c r="R469" s="39">
        <v>0</v>
      </c>
      <c r="S469" s="39">
        <v>0</v>
      </c>
      <c r="T469" s="39">
        <v>0</v>
      </c>
      <c r="U469" s="29" cm="1">
        <f t="array" aca="1" ref="U469" ca="1">+fair_value_gap(OFFSET(T468,0,0,-1*$J$5,-1*$AA$1),OFFSET(E468,0,0,-1*$J$5,1),F469:T469,0)</f>
        <v>17.409470483474863</v>
      </c>
      <c r="V469" s="9" t="str" cm="1">
        <f t="array" aca="1" ref="V469" ca="1">z_score_diff(OFFSET(U469,0,0,$J$5*-1,1),OFFSET(E469,0,0,$J$5*-1,1))</f>
        <v/>
      </c>
      <c r="W469" s="9" t="str">
        <f t="shared" ca="1" si="496"/>
        <v/>
      </c>
      <c r="X469" s="17">
        <f t="shared" ca="1" si="491"/>
        <v>-5.1788040015936905E-2</v>
      </c>
      <c r="Y469" s="13">
        <f t="shared" ref="Y469:Z469" ca="1" si="511">+Y468</f>
        <v>0</v>
      </c>
      <c r="Z469" s="13">
        <f t="shared" ca="1" si="511"/>
        <v>0</v>
      </c>
      <c r="AA469" t="str">
        <f t="shared" ca="1" si="498"/>
        <v/>
      </c>
      <c r="AB469" t="str">
        <f t="shared" ca="1" si="499"/>
        <v/>
      </c>
      <c r="AC469" s="24" t="str">
        <f t="shared" ca="1" si="500"/>
        <v/>
      </c>
      <c r="AD469" s="24" t="str">
        <f t="shared" ca="1" si="501"/>
        <v/>
      </c>
    </row>
    <row r="470" spans="3:30" x14ac:dyDescent="0.25">
      <c r="C470" s="6">
        <v>564</v>
      </c>
      <c r="D470" s="36">
        <v>42807</v>
      </c>
      <c r="E470" s="38">
        <v>16.975999999999999</v>
      </c>
      <c r="F470" s="38">
        <v>48.149913416647195</v>
      </c>
      <c r="G470" s="38">
        <v>35.619999999999997</v>
      </c>
      <c r="H470" s="38">
        <v>3.1081675429282289</v>
      </c>
      <c r="I470" s="38">
        <v>5.787558864718342</v>
      </c>
      <c r="J470" s="10">
        <v>0</v>
      </c>
      <c r="K470" s="39">
        <v>0</v>
      </c>
      <c r="L470" s="39">
        <v>1</v>
      </c>
      <c r="M470" s="39">
        <v>0</v>
      </c>
      <c r="N470" s="39">
        <v>0</v>
      </c>
      <c r="O470" s="39">
        <v>0</v>
      </c>
      <c r="P470" s="39">
        <v>0</v>
      </c>
      <c r="Q470" s="39">
        <v>0</v>
      </c>
      <c r="R470" s="39">
        <v>0</v>
      </c>
      <c r="S470" s="39">
        <v>0</v>
      </c>
      <c r="T470" s="39">
        <v>0</v>
      </c>
      <c r="U470" s="29" cm="1">
        <f t="array" aca="1" ref="U470" ca="1">+fair_value_gap(OFFSET(T469,0,0,-1*$J$5,-1*$AA$1),OFFSET(E469,0,0,-1*$J$5,1),F470:T470,0)</f>
        <v>17.294801729862208</v>
      </c>
      <c r="V470" s="9" t="str" cm="1">
        <f t="array" aca="1" ref="V470" ca="1">z_score_diff(OFFSET(U470,0,0,$J$5*-1,1),OFFSET(E470,0,0,$J$5*-1,1))</f>
        <v/>
      </c>
      <c r="W470" s="9" t="str">
        <f t="shared" ca="1" si="496"/>
        <v/>
      </c>
      <c r="X470" s="17">
        <f t="shared" ca="1" si="491"/>
        <v>-2.3905045799701118E-2</v>
      </c>
      <c r="Y470" s="13">
        <f t="shared" ref="Y470:Z470" ca="1" si="512">+Y469</f>
        <v>0</v>
      </c>
      <c r="Z470" s="13">
        <f t="shared" ca="1" si="512"/>
        <v>0</v>
      </c>
      <c r="AA470" t="str">
        <f t="shared" ca="1" si="498"/>
        <v/>
      </c>
      <c r="AB470" t="str">
        <f t="shared" ca="1" si="499"/>
        <v/>
      </c>
      <c r="AC470" s="24" t="str">
        <f t="shared" ca="1" si="500"/>
        <v/>
      </c>
      <c r="AD470" s="24" t="str">
        <f t="shared" ca="1" si="501"/>
        <v/>
      </c>
    </row>
    <row r="471" spans="3:30" x14ac:dyDescent="0.25">
      <c r="C471" s="6">
        <v>565</v>
      </c>
      <c r="D471" s="36">
        <v>42808</v>
      </c>
      <c r="E471" s="38">
        <v>16.989999999999998</v>
      </c>
      <c r="F471" s="38">
        <v>47.970650205152843</v>
      </c>
      <c r="G471" s="38">
        <v>35.61</v>
      </c>
      <c r="H471" s="38">
        <v>3.040328244556981</v>
      </c>
      <c r="I471" s="38">
        <v>5.8126640298672978</v>
      </c>
      <c r="J471" s="10">
        <v>0</v>
      </c>
      <c r="K471" s="39">
        <v>0</v>
      </c>
      <c r="L471" s="39">
        <v>1</v>
      </c>
      <c r="M471" s="39">
        <v>0</v>
      </c>
      <c r="N471" s="39">
        <v>0</v>
      </c>
      <c r="O471" s="39">
        <v>0</v>
      </c>
      <c r="P471" s="39">
        <v>0</v>
      </c>
      <c r="Q471" s="39">
        <v>0</v>
      </c>
      <c r="R471" s="39">
        <v>0</v>
      </c>
      <c r="S471" s="39">
        <v>0</v>
      </c>
      <c r="T471" s="39">
        <v>0</v>
      </c>
      <c r="U471" s="29" cm="1">
        <f t="array" aca="1" ref="U471" ca="1">+fair_value_gap(OFFSET(T470,0,0,-1*$J$5,-1*$AA$1),OFFSET(E470,0,0,-1*$J$5,1),F471:T471,0)</f>
        <v>17.196092161846416</v>
      </c>
      <c r="V471" s="9" t="str" cm="1">
        <f t="array" aca="1" ref="V471" ca="1">z_score_diff(OFFSET(U471,0,0,$J$5*-1,1),OFFSET(E471,0,0,$J$5*-1,1))</f>
        <v/>
      </c>
      <c r="W471" s="9" t="str">
        <f t="shared" ca="1" si="496"/>
        <v/>
      </c>
      <c r="X471" s="17">
        <f t="shared" ca="1" si="491"/>
        <v>-3.1145109791769179E-2</v>
      </c>
      <c r="Y471" s="13">
        <f t="shared" ref="Y471:Z471" ca="1" si="513">+Y470</f>
        <v>0</v>
      </c>
      <c r="Z471" s="13">
        <f t="shared" ca="1" si="513"/>
        <v>0</v>
      </c>
      <c r="AA471" t="str">
        <f t="shared" ca="1" si="498"/>
        <v/>
      </c>
      <c r="AB471" t="str">
        <f t="shared" ca="1" si="499"/>
        <v/>
      </c>
      <c r="AC471" s="24" t="str">
        <f t="shared" ca="1" si="500"/>
        <v/>
      </c>
      <c r="AD471" s="24" t="str">
        <f t="shared" ca="1" si="501"/>
        <v/>
      </c>
    </row>
    <row r="472" spans="3:30" x14ac:dyDescent="0.25">
      <c r="C472" s="6">
        <v>566</v>
      </c>
      <c r="D472" s="36">
        <v>42809</v>
      </c>
      <c r="E472" s="38">
        <v>17.187000000000001</v>
      </c>
      <c r="F472" s="38">
        <v>47.979181914288034</v>
      </c>
      <c r="G472" s="38">
        <v>35.86</v>
      </c>
      <c r="H472" s="38">
        <v>3.0271382533238675</v>
      </c>
      <c r="I472" s="38">
        <v>5.7472682201651448</v>
      </c>
      <c r="J472" s="10">
        <v>0</v>
      </c>
      <c r="K472" s="39">
        <v>0</v>
      </c>
      <c r="L472" s="39">
        <v>1</v>
      </c>
      <c r="M472" s="39">
        <v>0</v>
      </c>
      <c r="N472" s="39">
        <v>0</v>
      </c>
      <c r="O472" s="39">
        <v>0</v>
      </c>
      <c r="P472" s="39">
        <v>0</v>
      </c>
      <c r="Q472" s="39">
        <v>0</v>
      </c>
      <c r="R472" s="39">
        <v>0</v>
      </c>
      <c r="S472" s="39">
        <v>0</v>
      </c>
      <c r="T472" s="39">
        <v>0</v>
      </c>
      <c r="U472" s="29" cm="1">
        <f t="array" aca="1" ref="U472" ca="1">+fair_value_gap(OFFSET(T471,0,0,-1*$J$5,-1*$AA$1),OFFSET(E471,0,0,-1*$J$5,1),F472:T472,0)</f>
        <v>17.220341151391345</v>
      </c>
      <c r="V472" s="9" t="str" cm="1">
        <f t="array" aca="1" ref="V472" ca="1">z_score_diff(OFFSET(U472,0,0,$J$5*-1,1),OFFSET(E472,0,0,$J$5*-1,1))</f>
        <v/>
      </c>
      <c r="W472" s="9" t="str">
        <f t="shared" ca="1" si="496"/>
        <v/>
      </c>
      <c r="X472" s="17">
        <f t="shared" ca="1" si="491"/>
        <v>-7.1502063807812877E-2</v>
      </c>
      <c r="Y472" s="13">
        <f t="shared" ref="Y472:Z472" ca="1" si="514">+Y471</f>
        <v>0</v>
      </c>
      <c r="Z472" s="13">
        <f t="shared" ca="1" si="514"/>
        <v>0</v>
      </c>
      <c r="AA472" t="str">
        <f t="shared" ca="1" si="498"/>
        <v/>
      </c>
      <c r="AB472" t="str">
        <f t="shared" ca="1" si="499"/>
        <v/>
      </c>
      <c r="AC472" s="24" t="str">
        <f t="shared" ca="1" si="500"/>
        <v/>
      </c>
      <c r="AD472" s="24" t="str">
        <f t="shared" ca="1" si="501"/>
        <v/>
      </c>
    </row>
    <row r="473" spans="3:30" x14ac:dyDescent="0.25">
      <c r="C473" s="6">
        <v>567</v>
      </c>
      <c r="D473" s="36">
        <v>42810</v>
      </c>
      <c r="E473" s="38">
        <v>17.106999999999999</v>
      </c>
      <c r="F473" s="38">
        <v>47.658540893030931</v>
      </c>
      <c r="G473" s="38">
        <v>35.729999999999997</v>
      </c>
      <c r="H473" s="38">
        <v>2.9860556662682223</v>
      </c>
      <c r="I473" s="38">
        <v>5.726307969764366</v>
      </c>
      <c r="J473" s="10">
        <v>0</v>
      </c>
      <c r="K473" s="39">
        <v>0</v>
      </c>
      <c r="L473" s="39">
        <v>1</v>
      </c>
      <c r="M473" s="39">
        <v>0</v>
      </c>
      <c r="N473" s="39">
        <v>0</v>
      </c>
      <c r="O473" s="39">
        <v>0</v>
      </c>
      <c r="P473" s="39">
        <v>0</v>
      </c>
      <c r="Q473" s="39">
        <v>0</v>
      </c>
      <c r="R473" s="39">
        <v>0</v>
      </c>
      <c r="S473" s="39">
        <v>0</v>
      </c>
      <c r="T473" s="39">
        <v>0</v>
      </c>
      <c r="U473" s="29" cm="1">
        <f t="array" aca="1" ref="U473" ca="1">+fair_value_gap(OFFSET(T472,0,0,-1*$J$5,-1*$AA$1),OFFSET(E472,0,0,-1*$J$5,1),F473:T473,0)</f>
        <v>17.107971385676727</v>
      </c>
      <c r="V473" s="9" t="str" cm="1">
        <f t="array" aca="1" ref="V473" ca="1">z_score_diff(OFFSET(U473,0,0,$J$5*-1,1),OFFSET(E473,0,0,$J$5*-1,1))</f>
        <v/>
      </c>
      <c r="W473" s="9" t="str">
        <f t="shared" ca="1" si="496"/>
        <v/>
      </c>
      <c r="X473" s="17">
        <f t="shared" ca="1" si="491"/>
        <v>-6.5712218750808418E-2</v>
      </c>
      <c r="Y473" s="13">
        <f t="shared" ref="Y473:Z473" ca="1" si="515">+Y472</f>
        <v>0</v>
      </c>
      <c r="Z473" s="13">
        <f t="shared" ca="1" si="515"/>
        <v>0</v>
      </c>
      <c r="AA473" t="str">
        <f t="shared" ca="1" si="498"/>
        <v/>
      </c>
      <c r="AB473" t="str">
        <f t="shared" ca="1" si="499"/>
        <v/>
      </c>
      <c r="AC473" s="24" t="str">
        <f t="shared" ca="1" si="500"/>
        <v/>
      </c>
      <c r="AD473" s="24" t="str">
        <f t="shared" ca="1" si="501"/>
        <v/>
      </c>
    </row>
    <row r="474" spans="3:30" x14ac:dyDescent="0.25">
      <c r="C474" s="6">
        <v>568</v>
      </c>
      <c r="D474" s="36">
        <v>42811</v>
      </c>
      <c r="E474" s="38">
        <v>17.103000000000002</v>
      </c>
      <c r="F474" s="38">
        <v>47.755779462095106</v>
      </c>
      <c r="G474" s="38">
        <v>35.81</v>
      </c>
      <c r="H474" s="38">
        <v>3.017355037851519</v>
      </c>
      <c r="I474" s="38">
        <v>5.7390877496480357</v>
      </c>
      <c r="J474" s="10">
        <v>0</v>
      </c>
      <c r="K474" s="39">
        <v>0</v>
      </c>
      <c r="L474" s="39">
        <v>1</v>
      </c>
      <c r="M474" s="39">
        <v>0</v>
      </c>
      <c r="N474" s="39">
        <v>0</v>
      </c>
      <c r="O474" s="39">
        <v>0</v>
      </c>
      <c r="P474" s="39">
        <v>0</v>
      </c>
      <c r="Q474" s="39">
        <v>0</v>
      </c>
      <c r="R474" s="39">
        <v>0</v>
      </c>
      <c r="S474" s="39">
        <v>0</v>
      </c>
      <c r="T474" s="39">
        <v>0</v>
      </c>
      <c r="U474" s="29" cm="1">
        <f t="array" aca="1" ref="U474" ca="1">+fair_value_gap(OFFSET(T473,0,0,-1*$J$5,-1*$AA$1),OFFSET(E473,0,0,-1*$J$5,1),F474:T474,0)</f>
        <v>17.135631673994055</v>
      </c>
      <c r="V474" s="9" t="str" cm="1">
        <f t="array" aca="1" ref="V474" ca="1">z_score_diff(OFFSET(U474,0,0,$J$5*-1,1),OFFSET(E474,0,0,$J$5*-1,1))</f>
        <v/>
      </c>
      <c r="W474" s="9" t="str">
        <f t="shared" ca="1" si="496"/>
        <v/>
      </c>
      <c r="X474" s="17">
        <f t="shared" ca="1" si="491"/>
        <v>-5.3995761377110416E-2</v>
      </c>
      <c r="Y474" s="13">
        <f t="shared" ref="Y474:Z474" ca="1" si="516">+Y473</f>
        <v>0</v>
      </c>
      <c r="Z474" s="13">
        <f t="shared" ca="1" si="516"/>
        <v>0</v>
      </c>
      <c r="AA474" t="str">
        <f t="shared" ca="1" si="498"/>
        <v/>
      </c>
      <c r="AB474" t="str">
        <f t="shared" ca="1" si="499"/>
        <v/>
      </c>
      <c r="AC474" s="24" t="str">
        <f t="shared" ca="1" si="500"/>
        <v/>
      </c>
      <c r="AD474" s="24" t="str">
        <f t="shared" ca="1" si="501"/>
        <v/>
      </c>
    </row>
    <row r="475" spans="3:30" x14ac:dyDescent="0.25">
      <c r="C475" s="6">
        <v>569</v>
      </c>
      <c r="D475" s="36">
        <v>42814</v>
      </c>
      <c r="E475" s="38">
        <v>16.951000000000001</v>
      </c>
      <c r="F475" s="38">
        <v>47.747221664628917</v>
      </c>
      <c r="G475" s="38">
        <v>35.590000000000003</v>
      </c>
      <c r="H475" s="38">
        <v>3.0648369495793721</v>
      </c>
      <c r="I475" s="38">
        <v>5.7391558240113874</v>
      </c>
      <c r="J475" s="10">
        <v>0</v>
      </c>
      <c r="K475" s="39">
        <v>0</v>
      </c>
      <c r="L475" s="39">
        <v>1</v>
      </c>
      <c r="M475" s="39">
        <v>0</v>
      </c>
      <c r="N475" s="39">
        <v>0</v>
      </c>
      <c r="O475" s="39">
        <v>0</v>
      </c>
      <c r="P475" s="39">
        <v>0</v>
      </c>
      <c r="Q475" s="39">
        <v>0</v>
      </c>
      <c r="R475" s="39">
        <v>0</v>
      </c>
      <c r="S475" s="39">
        <v>0</v>
      </c>
      <c r="T475" s="39">
        <v>0</v>
      </c>
      <c r="U475" s="29" cm="1">
        <f t="array" aca="1" ref="U475" ca="1">+fair_value_gap(OFFSET(T474,0,0,-1*$J$5,-1*$AA$1),OFFSET(E474,0,0,-1*$J$5,1),F475:T475,0)</f>
        <v>17.03826351427757</v>
      </c>
      <c r="V475" s="9" t="str" cm="1">
        <f t="array" aca="1" ref="V475" ca="1">z_score_diff(OFFSET(U475,0,0,$J$5*-1,1),OFFSET(E475,0,0,$J$5*-1,1))</f>
        <v/>
      </c>
      <c r="W475" s="9" t="str">
        <f t="shared" ca="1" si="496"/>
        <v/>
      </c>
      <c r="X475" s="17">
        <f t="shared" ca="1" si="491"/>
        <v>-4.9831943137970708E-2</v>
      </c>
      <c r="Y475" s="13">
        <f t="shared" ref="Y475:Z475" ca="1" si="517">+Y474</f>
        <v>0</v>
      </c>
      <c r="Z475" s="13">
        <f t="shared" ca="1" si="517"/>
        <v>0</v>
      </c>
      <c r="AA475" t="str">
        <f t="shared" ca="1" si="498"/>
        <v/>
      </c>
      <c r="AB475" t="str">
        <f t="shared" ca="1" si="499"/>
        <v/>
      </c>
      <c r="AC475" s="24" t="str">
        <f t="shared" ca="1" si="500"/>
        <v/>
      </c>
      <c r="AD475" s="24" t="str">
        <f t="shared" ca="1" si="501"/>
        <v/>
      </c>
    </row>
    <row r="476" spans="3:30" x14ac:dyDescent="0.25">
      <c r="C476" s="6">
        <v>570</v>
      </c>
      <c r="D476" s="36">
        <v>42815</v>
      </c>
      <c r="E476" s="38">
        <v>16.760999999999999</v>
      </c>
      <c r="F476" s="38">
        <v>47.150129349912376</v>
      </c>
      <c r="G476" s="38">
        <v>35.14</v>
      </c>
      <c r="H476" s="38">
        <v>3.0822650929396356</v>
      </c>
      <c r="I476" s="38">
        <v>5.7055466258358765</v>
      </c>
      <c r="J476" s="10">
        <v>0</v>
      </c>
      <c r="K476" s="39">
        <v>0</v>
      </c>
      <c r="L476" s="39">
        <v>1</v>
      </c>
      <c r="M476" s="39">
        <v>0</v>
      </c>
      <c r="N476" s="39">
        <v>0</v>
      </c>
      <c r="O476" s="39">
        <v>0</v>
      </c>
      <c r="P476" s="39">
        <v>0</v>
      </c>
      <c r="Q476" s="39">
        <v>0</v>
      </c>
      <c r="R476" s="39">
        <v>0</v>
      </c>
      <c r="S476" s="39">
        <v>0</v>
      </c>
      <c r="T476" s="39">
        <v>0</v>
      </c>
      <c r="U476" s="29" cm="1">
        <f t="array" aca="1" ref="U476" ca="1">+fair_value_gap(OFFSET(T475,0,0,-1*$J$5,-1*$AA$1),OFFSET(E475,0,0,-1*$J$5,1),F476:T476,0)</f>
        <v>16.854920889123594</v>
      </c>
      <c r="V476" s="9" t="str" cm="1">
        <f t="array" aca="1" ref="V476" ca="1">z_score_diff(OFFSET(U476,0,0,$J$5*-1,1),OFFSET(E476,0,0,$J$5*-1,1))</f>
        <v/>
      </c>
      <c r="W476" s="9" t="str">
        <f t="shared" ca="1" si="496"/>
        <v/>
      </c>
      <c r="X476" s="17">
        <f t="shared" ca="1" si="491"/>
        <v>-5.8538618139609332E-2</v>
      </c>
      <c r="Y476" s="13">
        <f t="shared" ref="Y476:Z476" ca="1" si="518">+Y475</f>
        <v>0</v>
      </c>
      <c r="Z476" s="13">
        <f t="shared" ca="1" si="518"/>
        <v>0</v>
      </c>
      <c r="AA476" t="str">
        <f t="shared" ca="1" si="498"/>
        <v/>
      </c>
      <c r="AB476" t="str">
        <f t="shared" ca="1" si="499"/>
        <v/>
      </c>
      <c r="AC476" s="24" t="str">
        <f t="shared" ca="1" si="500"/>
        <v/>
      </c>
      <c r="AD476" s="24" t="str">
        <f t="shared" ca="1" si="501"/>
        <v/>
      </c>
    </row>
    <row r="477" spans="3:30" x14ac:dyDescent="0.25">
      <c r="C477" s="6">
        <v>571</v>
      </c>
      <c r="D477" s="36">
        <v>42816</v>
      </c>
      <c r="E477" s="38">
        <v>16.722999999999999</v>
      </c>
      <c r="F477" s="38">
        <v>47.103331287073324</v>
      </c>
      <c r="G477" s="38">
        <v>34.83</v>
      </c>
      <c r="H477" s="38">
        <v>3.0512279376241827</v>
      </c>
      <c r="I477" s="38">
        <v>5.7119713475167</v>
      </c>
      <c r="J477" s="10">
        <v>0</v>
      </c>
      <c r="K477" s="39">
        <v>0</v>
      </c>
      <c r="L477" s="39">
        <v>1</v>
      </c>
      <c r="M477" s="39">
        <v>0</v>
      </c>
      <c r="N477" s="39">
        <v>0</v>
      </c>
      <c r="O477" s="39">
        <v>0</v>
      </c>
      <c r="P477" s="39">
        <v>0</v>
      </c>
      <c r="Q477" s="39">
        <v>0</v>
      </c>
      <c r="R477" s="39">
        <v>0</v>
      </c>
      <c r="S477" s="39">
        <v>0</v>
      </c>
      <c r="T477" s="39">
        <v>0</v>
      </c>
      <c r="U477" s="29" cm="1">
        <f t="array" aca="1" ref="U477" ca="1">+fair_value_gap(OFFSET(T476,0,0,-1*$J$5,-1*$AA$1),OFFSET(E476,0,0,-1*$J$5,1),F477:T477,0)</f>
        <v>16.71541957768968</v>
      </c>
      <c r="V477" s="9" t="str" cm="1">
        <f t="array" aca="1" ref="V477" ca="1">z_score_diff(OFFSET(U477,0,0,$J$5*-1,1),OFFSET(E477,0,0,$J$5*-1,1))</f>
        <v/>
      </c>
      <c r="W477" s="9" t="str">
        <f t="shared" ca="1" si="496"/>
        <v/>
      </c>
      <c r="X477" s="17">
        <f t="shared" ca="1" si="491"/>
        <v>-5.6205619284935074E-2</v>
      </c>
      <c r="Y477" s="13">
        <f t="shared" ref="Y477:Z477" ca="1" si="519">+Y476</f>
        <v>0</v>
      </c>
      <c r="Z477" s="13">
        <f t="shared" ca="1" si="519"/>
        <v>0</v>
      </c>
      <c r="AA477" t="str">
        <f t="shared" ca="1" si="498"/>
        <v/>
      </c>
      <c r="AB477" t="str">
        <f t="shared" ca="1" si="499"/>
        <v/>
      </c>
      <c r="AC477" s="24" t="str">
        <f t="shared" ca="1" si="500"/>
        <v/>
      </c>
      <c r="AD477" s="24" t="str">
        <f t="shared" ca="1" si="501"/>
        <v/>
      </c>
    </row>
    <row r="478" spans="3:30" x14ac:dyDescent="0.25">
      <c r="C478" s="6">
        <v>572</v>
      </c>
      <c r="D478" s="36">
        <v>42817</v>
      </c>
      <c r="E478" s="38">
        <v>16.754000000000001</v>
      </c>
      <c r="F478" s="38">
        <v>46.870183051981883</v>
      </c>
      <c r="G478" s="38">
        <v>34.69</v>
      </c>
      <c r="H478" s="38">
        <v>3.0964876463329123</v>
      </c>
      <c r="I478" s="38">
        <v>5.72009024829193</v>
      </c>
      <c r="J478" s="10">
        <v>0</v>
      </c>
      <c r="K478" s="39">
        <v>0</v>
      </c>
      <c r="L478" s="39">
        <v>1</v>
      </c>
      <c r="M478" s="39">
        <v>0</v>
      </c>
      <c r="N478" s="39">
        <v>0</v>
      </c>
      <c r="O478" s="39">
        <v>0</v>
      </c>
      <c r="P478" s="39">
        <v>0</v>
      </c>
      <c r="Q478" s="39">
        <v>0</v>
      </c>
      <c r="R478" s="39">
        <v>0</v>
      </c>
      <c r="S478" s="39">
        <v>0</v>
      </c>
      <c r="T478" s="39">
        <v>0</v>
      </c>
      <c r="U478" s="29" cm="1">
        <f t="array" aca="1" ref="U478" ca="1">+fair_value_gap(OFFSET(T477,0,0,-1*$J$5,-1*$AA$1),OFFSET(E477,0,0,-1*$J$5,1),F478:T478,0)</f>
        <v>16.687070210079405</v>
      </c>
      <c r="V478" s="9" t="str" cm="1">
        <f t="array" aca="1" ref="V478" ca="1">z_score_diff(OFFSET(U478,0,0,$J$5*-1,1),OFFSET(E478,0,0,$J$5*-1,1))</f>
        <v/>
      </c>
      <c r="W478" s="9" t="str">
        <f t="shared" ca="1" si="496"/>
        <v/>
      </c>
      <c r="X478" s="17">
        <f t="shared" ca="1" si="491"/>
        <v>-6.7080446320267828E-2</v>
      </c>
      <c r="Y478" s="13">
        <f t="shared" ref="Y478:Z478" ca="1" si="520">+Y477</f>
        <v>0</v>
      </c>
      <c r="Z478" s="13">
        <f t="shared" ca="1" si="520"/>
        <v>0</v>
      </c>
      <c r="AA478" t="str">
        <f t="shared" ca="1" si="498"/>
        <v/>
      </c>
      <c r="AB478" t="str">
        <f t="shared" ca="1" si="499"/>
        <v/>
      </c>
      <c r="AC478" s="24" t="str">
        <f t="shared" ca="1" si="500"/>
        <v/>
      </c>
      <c r="AD478" s="24" t="str">
        <f t="shared" ca="1" si="501"/>
        <v/>
      </c>
    </row>
    <row r="479" spans="3:30" x14ac:dyDescent="0.25">
      <c r="C479" s="6">
        <v>573</v>
      </c>
      <c r="D479" s="36">
        <v>42818</v>
      </c>
      <c r="E479" s="38">
        <v>16.545000000000002</v>
      </c>
      <c r="F479" s="38">
        <v>47.017046744589457</v>
      </c>
      <c r="G479" s="38">
        <v>34.75</v>
      </c>
      <c r="H479" s="38">
        <v>3.1096458963390825</v>
      </c>
      <c r="I479" s="38">
        <v>5.712521228964027</v>
      </c>
      <c r="J479" s="10">
        <v>0</v>
      </c>
      <c r="K479" s="39">
        <v>0</v>
      </c>
      <c r="L479" s="39">
        <v>1</v>
      </c>
      <c r="M479" s="39">
        <v>0</v>
      </c>
      <c r="N479" s="39">
        <v>0</v>
      </c>
      <c r="O479" s="39">
        <v>0</v>
      </c>
      <c r="P479" s="39">
        <v>0</v>
      </c>
      <c r="Q479" s="39">
        <v>0</v>
      </c>
      <c r="R479" s="39">
        <v>0</v>
      </c>
      <c r="S479" s="39">
        <v>0</v>
      </c>
      <c r="T479" s="39">
        <v>0</v>
      </c>
      <c r="U479" s="29" cm="1">
        <f t="array" aca="1" ref="U479" ca="1">+fair_value_gap(OFFSET(T478,0,0,-1*$J$5,-1*$AA$1),OFFSET(E478,0,0,-1*$J$5,1),F479:T479,0)</f>
        <v>16.728147252864879</v>
      </c>
      <c r="V479" s="9" t="str" cm="1">
        <f t="array" aca="1" ref="V479" ca="1">z_score_diff(OFFSET(U479,0,0,$J$5*-1,1),OFFSET(E479,0,0,$J$5*-1,1))</f>
        <v/>
      </c>
      <c r="W479" s="9" t="str">
        <f t="shared" ca="1" si="496"/>
        <v/>
      </c>
      <c r="X479" s="17">
        <f t="shared" ca="1" si="491"/>
        <v>-6.0545295860373938E-2</v>
      </c>
      <c r="Y479" s="13">
        <f t="shared" ref="Y479:Z479" ca="1" si="521">+Y478</f>
        <v>0</v>
      </c>
      <c r="Z479" s="13">
        <f t="shared" ca="1" si="521"/>
        <v>0</v>
      </c>
      <c r="AA479" t="str">
        <f t="shared" ca="1" si="498"/>
        <v/>
      </c>
      <c r="AB479" t="str">
        <f t="shared" ca="1" si="499"/>
        <v/>
      </c>
      <c r="AC479" s="24" t="str">
        <f t="shared" ca="1" si="500"/>
        <v/>
      </c>
      <c r="AD479" s="24" t="str">
        <f t="shared" ca="1" si="501"/>
        <v/>
      </c>
    </row>
    <row r="480" spans="3:30" x14ac:dyDescent="0.25">
      <c r="C480" s="6">
        <v>574</v>
      </c>
      <c r="D480" s="36">
        <v>42821</v>
      </c>
      <c r="E480" s="38">
        <v>16.344000000000001</v>
      </c>
      <c r="F480" s="38">
        <v>46.900706671025041</v>
      </c>
      <c r="G480" s="38">
        <v>34.26</v>
      </c>
      <c r="H480" s="38">
        <v>3.0827688212337221</v>
      </c>
      <c r="I480" s="38">
        <v>5.6797351744464297</v>
      </c>
      <c r="J480" s="10">
        <v>0</v>
      </c>
      <c r="K480" s="39">
        <v>0</v>
      </c>
      <c r="L480" s="39">
        <v>1</v>
      </c>
      <c r="M480" s="39">
        <v>0</v>
      </c>
      <c r="N480" s="39">
        <v>0</v>
      </c>
      <c r="O480" s="39">
        <v>0</v>
      </c>
      <c r="P480" s="39">
        <v>0</v>
      </c>
      <c r="Q480" s="39">
        <v>0</v>
      </c>
      <c r="R480" s="39">
        <v>0</v>
      </c>
      <c r="S480" s="39">
        <v>0</v>
      </c>
      <c r="T480" s="39">
        <v>0</v>
      </c>
      <c r="U480" s="29" cm="1">
        <f t="array" aca="1" ref="U480" ca="1">+fair_value_gap(OFFSET(T479,0,0,-1*$J$5,-1*$AA$1),OFFSET(E479,0,0,-1*$J$5,1),F480:T480,0)</f>
        <v>16.517488229107094</v>
      </c>
      <c r="V480" s="9" t="str" cm="1">
        <f t="array" aca="1" ref="V480" ca="1">z_score_diff(OFFSET(U480,0,0,$J$5*-1,1),OFFSET(E480,0,0,$J$5*-1,1))</f>
        <v/>
      </c>
      <c r="W480" s="9" t="str">
        <f t="shared" ca="1" si="496"/>
        <v/>
      </c>
      <c r="X480" s="17">
        <f t="shared" ca="1" si="491"/>
        <v>-4.4988661892855816E-2</v>
      </c>
      <c r="Y480" s="13">
        <f t="shared" ref="Y480:Z480" ca="1" si="522">+Y479</f>
        <v>0</v>
      </c>
      <c r="Z480" s="13">
        <f t="shared" ca="1" si="522"/>
        <v>0</v>
      </c>
      <c r="AA480" t="str">
        <f t="shared" ca="1" si="498"/>
        <v/>
      </c>
      <c r="AB480" t="str">
        <f t="shared" ca="1" si="499"/>
        <v/>
      </c>
      <c r="AC480" s="24" t="str">
        <f t="shared" ca="1" si="500"/>
        <v/>
      </c>
      <c r="AD480" s="24" t="str">
        <f t="shared" ca="1" si="501"/>
        <v/>
      </c>
    </row>
    <row r="481" spans="3:30" x14ac:dyDescent="0.25">
      <c r="C481" s="6">
        <v>575</v>
      </c>
      <c r="D481" s="36">
        <v>42822</v>
      </c>
      <c r="E481" s="38">
        <v>16.463000000000001</v>
      </c>
      <c r="F481" s="38">
        <v>47.398483030744124</v>
      </c>
      <c r="G481" s="38">
        <v>34.46</v>
      </c>
      <c r="H481" s="38">
        <v>3.1235990540268292</v>
      </c>
      <c r="I481" s="38">
        <v>5.7081458599153851</v>
      </c>
      <c r="J481" s="10">
        <v>0</v>
      </c>
      <c r="K481" s="39">
        <v>0</v>
      </c>
      <c r="L481" s="39">
        <v>1</v>
      </c>
      <c r="M481" s="39">
        <v>0</v>
      </c>
      <c r="N481" s="39">
        <v>0</v>
      </c>
      <c r="O481" s="39">
        <v>0</v>
      </c>
      <c r="P481" s="39">
        <v>0</v>
      </c>
      <c r="Q481" s="39">
        <v>0</v>
      </c>
      <c r="R481" s="39">
        <v>0</v>
      </c>
      <c r="S481" s="39">
        <v>0</v>
      </c>
      <c r="T481" s="39">
        <v>0</v>
      </c>
      <c r="U481" s="29" cm="1">
        <f t="array" aca="1" ref="U481" ca="1">+fair_value_gap(OFFSET(T480,0,0,-1*$J$5,-1*$AA$1),OFFSET(E480,0,0,-1*$J$5,1),F481:T481,0)</f>
        <v>16.630011640114574</v>
      </c>
      <c r="V481" s="9" t="str" cm="1">
        <f t="array" aca="1" ref="V481" ca="1">z_score_diff(OFFSET(U481,0,0,$J$5*-1,1),OFFSET(E481,0,0,$J$5*-1,1))</f>
        <v/>
      </c>
      <c r="W481" s="9" t="str">
        <f t="shared" ca="1" si="496"/>
        <v/>
      </c>
      <c r="X481" s="17">
        <f t="shared" ca="1" si="491"/>
        <v>-5.5127398223282602E-2</v>
      </c>
      <c r="Y481" s="13">
        <f t="shared" ref="Y481:Z481" ca="1" si="523">+Y480</f>
        <v>0</v>
      </c>
      <c r="Z481" s="13">
        <f t="shared" ca="1" si="523"/>
        <v>0</v>
      </c>
      <c r="AA481" t="str">
        <f t="shared" ca="1" si="498"/>
        <v/>
      </c>
      <c r="AB481" t="str">
        <f t="shared" ca="1" si="499"/>
        <v/>
      </c>
      <c r="AC481" s="24" t="str">
        <f t="shared" ca="1" si="500"/>
        <v/>
      </c>
      <c r="AD481" s="24" t="str">
        <f t="shared" ca="1" si="501"/>
        <v/>
      </c>
    </row>
    <row r="482" spans="3:30" x14ac:dyDescent="0.25">
      <c r="C482" s="6">
        <v>576</v>
      </c>
      <c r="D482" s="36">
        <v>42823</v>
      </c>
      <c r="E482" s="38">
        <v>16.931000000000001</v>
      </c>
      <c r="F482" s="38">
        <v>48.350646983779846</v>
      </c>
      <c r="G482" s="38">
        <v>35.200000000000003</v>
      </c>
      <c r="H482" s="38">
        <v>3.1638418079096047</v>
      </c>
      <c r="I482" s="38">
        <v>5.7317295425551311</v>
      </c>
      <c r="J482" s="10">
        <v>0</v>
      </c>
      <c r="K482" s="39">
        <v>0</v>
      </c>
      <c r="L482" s="39">
        <v>1</v>
      </c>
      <c r="M482" s="39">
        <v>0</v>
      </c>
      <c r="N482" s="39">
        <v>0</v>
      </c>
      <c r="O482" s="39">
        <v>0</v>
      </c>
      <c r="P482" s="39">
        <v>0</v>
      </c>
      <c r="Q482" s="39">
        <v>0</v>
      </c>
      <c r="R482" s="39">
        <v>0</v>
      </c>
      <c r="S482" s="39">
        <v>0</v>
      </c>
      <c r="T482" s="39">
        <v>0</v>
      </c>
      <c r="U482" s="29" cm="1">
        <f t="array" aca="1" ref="U482" ca="1">+fair_value_gap(OFFSET(T481,0,0,-1*$J$5,-1*$AA$1),OFFSET(E481,0,0,-1*$J$5,1),F482:T482,0)</f>
        <v>16.954403195909237</v>
      </c>
      <c r="V482" s="9" t="str" cm="1">
        <f t="array" aca="1" ref="V482" ca="1">z_score_diff(OFFSET(U482,0,0,$J$5*-1,1),OFFSET(E482,0,0,$J$5*-1,1))</f>
        <v/>
      </c>
      <c r="W482" s="9" t="str">
        <f t="shared" ca="1" si="496"/>
        <v/>
      </c>
      <c r="X482" s="17">
        <f t="shared" ca="1" si="491"/>
        <v>-8.4507011813269153E-2</v>
      </c>
      <c r="Y482" s="13">
        <f t="shared" ref="Y482:Z482" ca="1" si="524">+Y481</f>
        <v>0</v>
      </c>
      <c r="Z482" s="13">
        <f t="shared" ca="1" si="524"/>
        <v>0</v>
      </c>
      <c r="AA482" t="str">
        <f t="shared" ca="1" si="498"/>
        <v/>
      </c>
      <c r="AB482" t="str">
        <f t="shared" ca="1" si="499"/>
        <v/>
      </c>
      <c r="AC482" s="24" t="str">
        <f t="shared" ca="1" si="500"/>
        <v/>
      </c>
      <c r="AD482" s="24" t="str">
        <f t="shared" ca="1" si="501"/>
        <v/>
      </c>
    </row>
    <row r="483" spans="3:30" x14ac:dyDescent="0.25">
      <c r="C483" s="6">
        <v>577</v>
      </c>
      <c r="D483" s="36">
        <v>42824</v>
      </c>
      <c r="E483" s="38">
        <v>17.315000000000001</v>
      </c>
      <c r="F483" s="38">
        <v>49.324429829798568</v>
      </c>
      <c r="G483" s="38">
        <v>35.49</v>
      </c>
      <c r="H483" s="38">
        <v>2.6609473597193003</v>
      </c>
      <c r="I483" s="38">
        <v>5.7774797696356233</v>
      </c>
      <c r="J483" s="10">
        <v>0</v>
      </c>
      <c r="K483" s="39">
        <v>0</v>
      </c>
      <c r="L483" s="39">
        <v>1</v>
      </c>
      <c r="M483" s="39">
        <v>0</v>
      </c>
      <c r="N483" s="39">
        <v>0</v>
      </c>
      <c r="O483" s="39">
        <v>0</v>
      </c>
      <c r="P483" s="39">
        <v>0</v>
      </c>
      <c r="Q483" s="39">
        <v>0</v>
      </c>
      <c r="R483" s="39">
        <v>0</v>
      </c>
      <c r="S483" s="39">
        <v>0</v>
      </c>
      <c r="T483" s="39">
        <v>0</v>
      </c>
      <c r="U483" s="29" cm="1">
        <f t="array" aca="1" ref="U483" ca="1">+fair_value_gap(OFFSET(T482,0,0,-1*$J$5,-1*$AA$1),OFFSET(E482,0,0,-1*$J$5,1),F483:T483,0)</f>
        <v>16.7820819256041</v>
      </c>
      <c r="V483" s="9" t="str" cm="1">
        <f t="array" aca="1" ref="V483" ca="1">z_score_diff(OFFSET(U483,0,0,$J$5*-1,1),OFFSET(E483,0,0,$J$5*-1,1))</f>
        <v/>
      </c>
      <c r="W483" s="9" t="str">
        <f t="shared" ca="1" si="496"/>
        <v/>
      </c>
      <c r="X483" s="17">
        <f t="shared" ca="1" si="491"/>
        <v>-9.8103566561315469E-2</v>
      </c>
      <c r="Y483" s="13">
        <f t="shared" ref="Y483:Z483" ca="1" si="525">+Y482</f>
        <v>0</v>
      </c>
      <c r="Z483" s="13">
        <f t="shared" ca="1" si="525"/>
        <v>0</v>
      </c>
      <c r="AA483" t="str">
        <f t="shared" ca="1" si="498"/>
        <v/>
      </c>
      <c r="AB483" t="str">
        <f t="shared" ca="1" si="499"/>
        <v/>
      </c>
      <c r="AC483" s="24" t="str">
        <f t="shared" ca="1" si="500"/>
        <v/>
      </c>
      <c r="AD483" s="24" t="str">
        <f t="shared" ca="1" si="501"/>
        <v/>
      </c>
    </row>
    <row r="484" spans="3:30" x14ac:dyDescent="0.25">
      <c r="C484" s="6">
        <v>578</v>
      </c>
      <c r="D484" s="36">
        <v>42825</v>
      </c>
      <c r="E484" s="38">
        <v>16.728000000000002</v>
      </c>
      <c r="F484" s="38">
        <v>49.791652278011831</v>
      </c>
      <c r="G484" s="38">
        <v>31.51</v>
      </c>
      <c r="H484" s="38">
        <v>2.6502751110804152</v>
      </c>
      <c r="I484" s="38">
        <v>5.7922968897483713</v>
      </c>
      <c r="J484" s="10">
        <v>0</v>
      </c>
      <c r="K484" s="39">
        <v>0</v>
      </c>
      <c r="L484" s="39">
        <v>1</v>
      </c>
      <c r="M484" s="39">
        <v>0</v>
      </c>
      <c r="N484" s="39">
        <v>0</v>
      </c>
      <c r="O484" s="39">
        <v>0</v>
      </c>
      <c r="P484" s="39">
        <v>0</v>
      </c>
      <c r="Q484" s="39">
        <v>0</v>
      </c>
      <c r="R484" s="39">
        <v>0</v>
      </c>
      <c r="S484" s="39">
        <v>0</v>
      </c>
      <c r="T484" s="39">
        <v>0</v>
      </c>
      <c r="U484" s="29" cm="1">
        <f t="array" aca="1" ref="U484" ca="1">+fair_value_gap(OFFSET(T483,0,0,-1*$J$5,-1*$AA$1),OFFSET(E483,0,0,-1*$J$5,1),F484:T484,0)</f>
        <v>15.465535920589566</v>
      </c>
      <c r="V484" s="9" t="str" cm="1">
        <f t="array" aca="1" ref="V484" ca="1">z_score_diff(OFFSET(U484,0,0,$J$5*-1,1),OFFSET(E484,0,0,$J$5*-1,1))</f>
        <v/>
      </c>
      <c r="W484" s="9" t="str">
        <f t="shared" ca="1" si="496"/>
        <v/>
      </c>
      <c r="X484" s="17">
        <f t="shared" ca="1" si="491"/>
        <v>-7.0005374056644171E-2</v>
      </c>
      <c r="Y484" s="13">
        <f t="shared" ref="Y484:Z484" ca="1" si="526">+Y483</f>
        <v>0</v>
      </c>
      <c r="Z484" s="13">
        <f t="shared" ca="1" si="526"/>
        <v>0</v>
      </c>
      <c r="AA484" t="str">
        <f t="shared" ca="1" si="498"/>
        <v/>
      </c>
      <c r="AB484" t="str">
        <f t="shared" ca="1" si="499"/>
        <v/>
      </c>
      <c r="AC484" s="24" t="str">
        <f t="shared" ca="1" si="500"/>
        <v/>
      </c>
      <c r="AD484" s="24" t="str">
        <f t="shared" ca="1" si="501"/>
        <v/>
      </c>
    </row>
    <row r="485" spans="3:30" x14ac:dyDescent="0.25">
      <c r="C485" s="6">
        <v>579</v>
      </c>
      <c r="D485" s="36">
        <v>42828</v>
      </c>
      <c r="E485" s="38">
        <v>16.888999999999999</v>
      </c>
      <c r="F485" s="38">
        <v>49.543583186801371</v>
      </c>
      <c r="G485" s="38">
        <v>31.73</v>
      </c>
      <c r="H485" s="38">
        <v>2.6518225880133941</v>
      </c>
      <c r="I485" s="38">
        <v>5.7816166650274701</v>
      </c>
      <c r="J485" s="10">
        <v>0</v>
      </c>
      <c r="K485" s="39">
        <v>0</v>
      </c>
      <c r="L485" s="39">
        <v>0</v>
      </c>
      <c r="M485" s="39">
        <v>1</v>
      </c>
      <c r="N485" s="39">
        <v>0</v>
      </c>
      <c r="O485" s="39">
        <v>0</v>
      </c>
      <c r="P485" s="39">
        <v>0</v>
      </c>
      <c r="Q485" s="39">
        <v>0</v>
      </c>
      <c r="R485" s="39">
        <v>0</v>
      </c>
      <c r="S485" s="39">
        <v>0</v>
      </c>
      <c r="T485" s="39">
        <v>0</v>
      </c>
      <c r="U485" s="29" cm="1">
        <f t="array" aca="1" ref="U485" ca="1">+fair_value_gap(OFFSET(T484,0,0,-1*$J$5,-1*$AA$1),OFFSET(E484,0,0,-1*$J$5,1),F485:T485,0)</f>
        <v>16.389811836996991</v>
      </c>
      <c r="V485" s="9" t="str" cm="1">
        <f t="array" aca="1" ref="V485" ca="1">z_score_diff(OFFSET(U485,0,0,$J$5*-1,1),OFFSET(E485,0,0,$J$5*-1,1))</f>
        <v/>
      </c>
      <c r="W485" s="9" t="str">
        <f t="shared" ca="1" si="496"/>
        <v/>
      </c>
      <c r="X485" s="17">
        <f t="shared" ca="1" si="491"/>
        <v>-6.810933916046738E-2</v>
      </c>
      <c r="Y485" s="13">
        <f t="shared" ref="Y485:Z485" ca="1" si="527">+Y484</f>
        <v>0</v>
      </c>
      <c r="Z485" s="13">
        <f t="shared" ca="1" si="527"/>
        <v>0</v>
      </c>
      <c r="AA485" t="str">
        <f t="shared" ca="1" si="498"/>
        <v/>
      </c>
      <c r="AB485" t="str">
        <f t="shared" ca="1" si="499"/>
        <v/>
      </c>
      <c r="AC485" s="24" t="str">
        <f t="shared" ca="1" si="500"/>
        <v/>
      </c>
      <c r="AD485" s="24" t="str">
        <f t="shared" ca="1" si="501"/>
        <v/>
      </c>
    </row>
    <row r="486" spans="3:30" x14ac:dyDescent="0.25">
      <c r="C486" s="6">
        <v>580</v>
      </c>
      <c r="D486" s="36">
        <v>42829</v>
      </c>
      <c r="E486" s="38">
        <v>16.931000000000001</v>
      </c>
      <c r="F486" s="38">
        <v>50.271938850507134</v>
      </c>
      <c r="G486" s="38">
        <v>31.65</v>
      </c>
      <c r="H486" s="38">
        <v>2.7000955460826108</v>
      </c>
      <c r="I486" s="38">
        <v>5.7787005732764962</v>
      </c>
      <c r="J486" s="10">
        <v>0</v>
      </c>
      <c r="K486" s="39">
        <v>0</v>
      </c>
      <c r="L486" s="39">
        <v>0</v>
      </c>
      <c r="M486" s="39">
        <v>1</v>
      </c>
      <c r="N486" s="39">
        <v>0</v>
      </c>
      <c r="O486" s="39">
        <v>0</v>
      </c>
      <c r="P486" s="39">
        <v>0</v>
      </c>
      <c r="Q486" s="39">
        <v>0</v>
      </c>
      <c r="R486" s="39">
        <v>0</v>
      </c>
      <c r="S486" s="39">
        <v>0</v>
      </c>
      <c r="T486" s="39">
        <v>0</v>
      </c>
      <c r="U486" s="29" cm="1">
        <f t="array" aca="1" ref="U486" ca="1">+fair_value_gap(OFFSET(T485,0,0,-1*$J$5,-1*$AA$1),OFFSET(E485,0,0,-1*$J$5,1),F486:T486,0)</f>
        <v>16.567677537863574</v>
      </c>
      <c r="V486" s="9" t="str" cm="1">
        <f t="array" aca="1" ref="V486" ca="1">z_score_diff(OFFSET(U486,0,0,$J$5*-1,1),OFFSET(E486,0,0,$J$5*-1,1))</f>
        <v/>
      </c>
      <c r="W486" s="9" t="str">
        <f t="shared" ca="1" si="496"/>
        <v/>
      </c>
      <c r="X486" s="17">
        <f t="shared" ca="1" si="491"/>
        <v>-6.2449864611151276E-2</v>
      </c>
      <c r="Y486" s="13">
        <f t="shared" ref="Y486:Z486" ca="1" si="528">+Y485</f>
        <v>0</v>
      </c>
      <c r="Z486" s="13">
        <f t="shared" ca="1" si="528"/>
        <v>0</v>
      </c>
      <c r="AA486" t="str">
        <f t="shared" ca="1" si="498"/>
        <v/>
      </c>
      <c r="AB486" t="str">
        <f t="shared" ca="1" si="499"/>
        <v/>
      </c>
      <c r="AC486" s="24" t="str">
        <f t="shared" ca="1" si="500"/>
        <v/>
      </c>
      <c r="AD486" s="24" t="str">
        <f t="shared" ca="1" si="501"/>
        <v/>
      </c>
    </row>
    <row r="487" spans="3:30" x14ac:dyDescent="0.25">
      <c r="C487" s="6">
        <v>581</v>
      </c>
      <c r="D487" s="36">
        <v>42830</v>
      </c>
      <c r="E487" s="38">
        <v>16.957000000000001</v>
      </c>
      <c r="F487" s="38">
        <v>50.422192753844428</v>
      </c>
      <c r="G487" s="38">
        <v>31.87</v>
      </c>
      <c r="H487" s="38">
        <v>2.6972148704545997</v>
      </c>
      <c r="I487" s="38">
        <v>5.7843441988269459</v>
      </c>
      <c r="J487" s="10">
        <v>0</v>
      </c>
      <c r="K487" s="39">
        <v>0</v>
      </c>
      <c r="L487" s="39">
        <v>0</v>
      </c>
      <c r="M487" s="39">
        <v>1</v>
      </c>
      <c r="N487" s="39">
        <v>0</v>
      </c>
      <c r="O487" s="39">
        <v>0</v>
      </c>
      <c r="P487" s="39">
        <v>0</v>
      </c>
      <c r="Q487" s="39">
        <v>0</v>
      </c>
      <c r="R487" s="39">
        <v>0</v>
      </c>
      <c r="S487" s="39">
        <v>0</v>
      </c>
      <c r="T487" s="39">
        <v>0</v>
      </c>
      <c r="U487" s="29" cm="1">
        <f t="array" aca="1" ref="U487" ca="1">+fair_value_gap(OFFSET(T486,0,0,-1*$J$5,-1*$AA$1),OFFSET(E486,0,0,-1*$J$5,1),F487:T487,0)</f>
        <v>16.747879139683636</v>
      </c>
      <c r="V487" s="9" t="str" cm="1">
        <f t="array" aca="1" ref="V487" ca="1">z_score_diff(OFFSET(U487,0,0,$J$5*-1,1),OFFSET(E487,0,0,$J$5*-1,1))</f>
        <v/>
      </c>
      <c r="W487" s="9" t="str">
        <f t="shared" ca="1" si="496"/>
        <v/>
      </c>
      <c r="X487" s="17">
        <f t="shared" ca="1" si="491"/>
        <v>-7.0734081034278543E-2</v>
      </c>
      <c r="Y487" s="13">
        <f t="shared" ref="Y487:Z487" ca="1" si="529">+Y486</f>
        <v>0</v>
      </c>
      <c r="Z487" s="13">
        <f t="shared" ca="1" si="529"/>
        <v>0</v>
      </c>
      <c r="AA487" t="str">
        <f t="shared" ca="1" si="498"/>
        <v/>
      </c>
      <c r="AB487" t="str">
        <f t="shared" ca="1" si="499"/>
        <v/>
      </c>
      <c r="AC487" s="24" t="str">
        <f t="shared" ca="1" si="500"/>
        <v/>
      </c>
      <c r="AD487" s="24" t="str">
        <f t="shared" ca="1" si="501"/>
        <v/>
      </c>
    </row>
    <row r="488" spans="3:30" x14ac:dyDescent="0.25">
      <c r="C488" s="6">
        <v>582</v>
      </c>
      <c r="D488" s="36">
        <v>42831</v>
      </c>
      <c r="E488" s="38">
        <v>16.895</v>
      </c>
      <c r="F488" s="38">
        <v>50.913841728527686</v>
      </c>
      <c r="G488" s="38">
        <v>31.89</v>
      </c>
      <c r="H488" s="38">
        <v>2.7004790102481842</v>
      </c>
      <c r="I488" s="38">
        <v>5.7952961359471438</v>
      </c>
      <c r="J488" s="10">
        <v>0</v>
      </c>
      <c r="K488" s="39">
        <v>0</v>
      </c>
      <c r="L488" s="39">
        <v>0</v>
      </c>
      <c r="M488" s="39">
        <v>1</v>
      </c>
      <c r="N488" s="39">
        <v>0</v>
      </c>
      <c r="O488" s="39">
        <v>0</v>
      </c>
      <c r="P488" s="39">
        <v>0</v>
      </c>
      <c r="Q488" s="39">
        <v>0</v>
      </c>
      <c r="R488" s="39">
        <v>0</v>
      </c>
      <c r="S488" s="39">
        <v>0</v>
      </c>
      <c r="T488" s="39">
        <v>0</v>
      </c>
      <c r="U488" s="29" cm="1">
        <f t="array" aca="1" ref="U488" ca="1">+fair_value_gap(OFFSET(T487,0,0,-1*$J$5,-1*$AA$1),OFFSET(E487,0,0,-1*$J$5,1),F488:T488,0)</f>
        <v>16.850131667493553</v>
      </c>
      <c r="V488" s="9" t="str" cm="1">
        <f t="array" aca="1" ref="V488" ca="1">z_score_diff(OFFSET(U488,0,0,$J$5*-1,1),OFFSET(E488,0,0,$J$5*-1,1))</f>
        <v/>
      </c>
      <c r="W488" s="9" t="str">
        <f t="shared" ca="1" si="496"/>
        <v/>
      </c>
      <c r="X488" s="17">
        <f t="shared" ca="1" si="491"/>
        <v>-6.013273334315055E-2</v>
      </c>
      <c r="Y488" s="13">
        <f t="shared" ref="Y488:Z488" ca="1" si="530">+Y487</f>
        <v>0</v>
      </c>
      <c r="Z488" s="13">
        <f t="shared" ca="1" si="530"/>
        <v>0</v>
      </c>
      <c r="AA488" t="str">
        <f t="shared" ca="1" si="498"/>
        <v/>
      </c>
      <c r="AB488" t="str">
        <f t="shared" ca="1" si="499"/>
        <v/>
      </c>
      <c r="AC488" s="24" t="str">
        <f t="shared" ca="1" si="500"/>
        <v/>
      </c>
      <c r="AD488" s="24" t="str">
        <f t="shared" ca="1" si="501"/>
        <v/>
      </c>
    </row>
    <row r="489" spans="3:30" x14ac:dyDescent="0.25">
      <c r="C489" s="6">
        <v>583</v>
      </c>
      <c r="D489" s="36">
        <v>42832</v>
      </c>
      <c r="E489" s="38">
        <v>16.582999999999998</v>
      </c>
      <c r="F489" s="38">
        <v>51.442243170574812</v>
      </c>
      <c r="G489" s="38">
        <v>31.57</v>
      </c>
      <c r="H489" s="38">
        <v>2.6868807471064895</v>
      </c>
      <c r="I489" s="38">
        <v>5.8217292109196759</v>
      </c>
      <c r="J489" s="10">
        <v>0</v>
      </c>
      <c r="K489" s="39">
        <v>0</v>
      </c>
      <c r="L489" s="39">
        <v>0</v>
      </c>
      <c r="M489" s="39">
        <v>1</v>
      </c>
      <c r="N489" s="39">
        <v>0</v>
      </c>
      <c r="O489" s="39">
        <v>0</v>
      </c>
      <c r="P489" s="39">
        <v>0</v>
      </c>
      <c r="Q489" s="39">
        <v>0</v>
      </c>
      <c r="R489" s="39">
        <v>0</v>
      </c>
      <c r="S489" s="39">
        <v>0</v>
      </c>
      <c r="T489" s="39">
        <v>0</v>
      </c>
      <c r="U489" s="29" cm="1">
        <f t="array" aca="1" ref="U489" ca="1">+fair_value_gap(OFFSET(T488,0,0,-1*$J$5,-1*$AA$1),OFFSET(E488,0,0,-1*$J$5,1),F489:T489,0)</f>
        <v>16.812216537045924</v>
      </c>
      <c r="V489" s="9" t="str" cm="1">
        <f t="array" aca="1" ref="V489" ca="1">z_score_diff(OFFSET(U489,0,0,$J$5*-1,1),OFFSET(E489,0,0,$J$5*-1,1))</f>
        <v/>
      </c>
      <c r="W489" s="9" t="str">
        <f t="shared" ca="1" si="496"/>
        <v/>
      </c>
      <c r="X489" s="17">
        <f t="shared" ca="1" si="491"/>
        <v>-3.4477712567384272E-2</v>
      </c>
      <c r="Y489" s="13">
        <f t="shared" ref="Y489:Z489" ca="1" si="531">+Y488</f>
        <v>0</v>
      </c>
      <c r="Z489" s="13">
        <f t="shared" ca="1" si="531"/>
        <v>0</v>
      </c>
      <c r="AA489" t="str">
        <f t="shared" ca="1" si="498"/>
        <v/>
      </c>
      <c r="AB489" t="str">
        <f t="shared" ca="1" si="499"/>
        <v/>
      </c>
      <c r="AC489" s="24" t="str">
        <f t="shared" ca="1" si="500"/>
        <v/>
      </c>
      <c r="AD489" s="24" t="str">
        <f t="shared" ca="1" si="501"/>
        <v/>
      </c>
    </row>
    <row r="490" spans="3:30" x14ac:dyDescent="0.25">
      <c r="C490" s="6">
        <v>584</v>
      </c>
      <c r="D490" s="36">
        <v>42835</v>
      </c>
      <c r="E490" s="38">
        <v>16.486000000000001</v>
      </c>
      <c r="F490" s="38">
        <v>52.181105443766064</v>
      </c>
      <c r="G490" s="38">
        <v>31.17</v>
      </c>
      <c r="H490" s="38">
        <v>2.6904725998310588</v>
      </c>
      <c r="I490" s="38">
        <v>5.819488532646961</v>
      </c>
      <c r="J490" s="10">
        <v>0</v>
      </c>
      <c r="K490" s="39">
        <v>0</v>
      </c>
      <c r="L490" s="39">
        <v>0</v>
      </c>
      <c r="M490" s="39">
        <v>1</v>
      </c>
      <c r="N490" s="39">
        <v>0</v>
      </c>
      <c r="O490" s="39">
        <v>0</v>
      </c>
      <c r="P490" s="39">
        <v>0</v>
      </c>
      <c r="Q490" s="39">
        <v>0</v>
      </c>
      <c r="R490" s="39">
        <v>0</v>
      </c>
      <c r="S490" s="39">
        <v>0</v>
      </c>
      <c r="T490" s="39">
        <v>0</v>
      </c>
      <c r="U490" s="29" cm="1">
        <f t="array" aca="1" ref="U490" ca="1">+fair_value_gap(OFFSET(T489,0,0,-1*$J$5,-1*$AA$1),OFFSET(E489,0,0,-1*$J$5,1),F490:T490,0)</f>
        <v>16.706376208958595</v>
      </c>
      <c r="V490" s="9" t="str" cm="1">
        <f t="array" aca="1" ref="V490" ca="1">z_score_diff(OFFSET(U490,0,0,$J$5*-1,1),OFFSET(E490,0,0,$J$5*-1,1))</f>
        <v/>
      </c>
      <c r="W490" s="9" t="str">
        <f t="shared" ca="1" si="496"/>
        <v/>
      </c>
      <c r="X490" s="17">
        <f t="shared" ca="1" si="491"/>
        <v>-3.2112709724290492E-2</v>
      </c>
      <c r="Y490" s="13">
        <f t="shared" ref="Y490:Z490" ca="1" si="532">+Y489</f>
        <v>0</v>
      </c>
      <c r="Z490" s="13">
        <f t="shared" ca="1" si="532"/>
        <v>0</v>
      </c>
      <c r="AA490" t="str">
        <f t="shared" ca="1" si="498"/>
        <v/>
      </c>
      <c r="AB490" t="str">
        <f t="shared" ca="1" si="499"/>
        <v/>
      </c>
      <c r="AC490" s="24" t="str">
        <f t="shared" ca="1" si="500"/>
        <v/>
      </c>
      <c r="AD490" s="24" t="str">
        <f t="shared" ca="1" si="501"/>
        <v/>
      </c>
    </row>
    <row r="491" spans="3:30" x14ac:dyDescent="0.25">
      <c r="C491" s="6">
        <v>585</v>
      </c>
      <c r="D491" s="36">
        <v>42836</v>
      </c>
      <c r="E491" s="38">
        <v>16.532</v>
      </c>
      <c r="F491" s="38">
        <v>52.469167197615683</v>
      </c>
      <c r="G491" s="38">
        <v>31.01</v>
      </c>
      <c r="H491" s="38">
        <v>2.6955872820065157</v>
      </c>
      <c r="I491" s="38">
        <v>5.8165502586006808</v>
      </c>
      <c r="J491" s="10">
        <v>0</v>
      </c>
      <c r="K491" s="39">
        <v>0</v>
      </c>
      <c r="L491" s="39">
        <v>0</v>
      </c>
      <c r="M491" s="39">
        <v>1</v>
      </c>
      <c r="N491" s="39">
        <v>0</v>
      </c>
      <c r="O491" s="39">
        <v>0</v>
      </c>
      <c r="P491" s="39">
        <v>0</v>
      </c>
      <c r="Q491" s="39">
        <v>0</v>
      </c>
      <c r="R491" s="39">
        <v>0</v>
      </c>
      <c r="S491" s="39">
        <v>0</v>
      </c>
      <c r="T491" s="39">
        <v>0</v>
      </c>
      <c r="U491" s="29" cm="1">
        <f t="array" aca="1" ref="U491" ca="1">+fair_value_gap(OFFSET(T490,0,0,-1*$J$5,-1*$AA$1),OFFSET(E490,0,0,-1*$J$5,1),F491:T491,0)</f>
        <v>16.630684929677741</v>
      </c>
      <c r="V491" s="9" t="str" cm="1">
        <f t="array" aca="1" ref="V491" ca="1">z_score_diff(OFFSET(U491,0,0,$J$5*-1,1),OFFSET(E491,0,0,$J$5*-1,1))</f>
        <v/>
      </c>
      <c r="W491" s="9" t="str">
        <f t="shared" ca="1" si="496"/>
        <v/>
      </c>
      <c r="X491" s="17">
        <f t="shared" ca="1" si="491"/>
        <v>-4.3833318912639779E-2</v>
      </c>
      <c r="Y491" s="13">
        <f t="shared" ref="Y491:Z491" ca="1" si="533">+Y490</f>
        <v>0</v>
      </c>
      <c r="Z491" s="13">
        <f t="shared" ca="1" si="533"/>
        <v>0</v>
      </c>
      <c r="AA491" t="str">
        <f t="shared" ca="1" si="498"/>
        <v/>
      </c>
      <c r="AB491" t="str">
        <f t="shared" ca="1" si="499"/>
        <v/>
      </c>
      <c r="AC491" s="24" t="str">
        <f t="shared" ca="1" si="500"/>
        <v/>
      </c>
      <c r="AD491" s="24" t="str">
        <f t="shared" ca="1" si="501"/>
        <v/>
      </c>
    </row>
    <row r="492" spans="3:30" x14ac:dyDescent="0.25">
      <c r="C492" s="6">
        <v>586</v>
      </c>
      <c r="D492" s="36">
        <v>42837</v>
      </c>
      <c r="E492" s="38">
        <v>16.716999999999999</v>
      </c>
      <c r="F492" s="38">
        <v>52.106822200280142</v>
      </c>
      <c r="G492" s="38">
        <v>31.72</v>
      </c>
      <c r="H492" s="38">
        <v>2.6884658660359597</v>
      </c>
      <c r="I492" s="38">
        <v>5.7774001699235349</v>
      </c>
      <c r="J492" s="10">
        <v>0</v>
      </c>
      <c r="K492" s="39">
        <v>0</v>
      </c>
      <c r="L492" s="39">
        <v>0</v>
      </c>
      <c r="M492" s="39">
        <v>1</v>
      </c>
      <c r="N492" s="39">
        <v>0</v>
      </c>
      <c r="O492" s="39">
        <v>0</v>
      </c>
      <c r="P492" s="39">
        <v>0</v>
      </c>
      <c r="Q492" s="39">
        <v>0</v>
      </c>
      <c r="R492" s="39">
        <v>0</v>
      </c>
      <c r="S492" s="39">
        <v>0</v>
      </c>
      <c r="T492" s="39">
        <v>0</v>
      </c>
      <c r="U492" s="29" cm="1">
        <f t="array" aca="1" ref="U492" ca="1">+fair_value_gap(OFFSET(T491,0,0,-1*$J$5,-1*$AA$1),OFFSET(E491,0,0,-1*$J$5,1),F492:T492,0)</f>
        <v>16.824630299876642</v>
      </c>
      <c r="V492" s="9" t="str" cm="1">
        <f t="array" aca="1" ref="V492" ca="1">z_score_diff(OFFSET(U492,0,0,$J$5*-1,1),OFFSET(E492,0,0,$J$5*-1,1))</f>
        <v/>
      </c>
      <c r="W492" s="9" t="str">
        <f t="shared" ca="1" si="496"/>
        <v/>
      </c>
      <c r="X492" s="17">
        <f t="shared" ca="1" si="491"/>
        <v>-6.0347995607702085E-2</v>
      </c>
      <c r="Y492" s="13">
        <f t="shared" ref="Y492:Z492" ca="1" si="534">+Y491</f>
        <v>0</v>
      </c>
      <c r="Z492" s="13">
        <f t="shared" ca="1" si="534"/>
        <v>0</v>
      </c>
      <c r="AA492" t="str">
        <f t="shared" ca="1" si="498"/>
        <v/>
      </c>
      <c r="AB492" t="str">
        <f t="shared" ca="1" si="499"/>
        <v/>
      </c>
      <c r="AC492" s="24" t="str">
        <f t="shared" ca="1" si="500"/>
        <v/>
      </c>
      <c r="AD492" s="24" t="str">
        <f t="shared" ca="1" si="501"/>
        <v/>
      </c>
    </row>
    <row r="493" spans="3:30" x14ac:dyDescent="0.25">
      <c r="C493" s="6">
        <v>587</v>
      </c>
      <c r="D493" s="36">
        <v>42838</v>
      </c>
      <c r="E493" s="38">
        <v>16.678000000000001</v>
      </c>
      <c r="F493" s="38">
        <v>52.487476048664504</v>
      </c>
      <c r="G493" s="38">
        <v>31.69</v>
      </c>
      <c r="H493" s="38">
        <v>2.7259505505921466</v>
      </c>
      <c r="I493" s="38">
        <v>5.8083431447237812</v>
      </c>
      <c r="J493" s="10">
        <v>0</v>
      </c>
      <c r="K493" s="39">
        <v>0</v>
      </c>
      <c r="L493" s="39">
        <v>0</v>
      </c>
      <c r="M493" s="39">
        <v>1</v>
      </c>
      <c r="N493" s="39">
        <v>0</v>
      </c>
      <c r="O493" s="39">
        <v>0</v>
      </c>
      <c r="P493" s="39">
        <v>0</v>
      </c>
      <c r="Q493" s="39">
        <v>0</v>
      </c>
      <c r="R493" s="39">
        <v>0</v>
      </c>
      <c r="S493" s="39">
        <v>0</v>
      </c>
      <c r="T493" s="39">
        <v>0</v>
      </c>
      <c r="U493" s="29" cm="1">
        <f t="array" aca="1" ref="U493" ca="1">+fair_value_gap(OFFSET(T492,0,0,-1*$J$5,-1*$AA$1),OFFSET(E492,0,0,-1*$J$5,1),F493:T493,0)</f>
        <v>16.839803289431416</v>
      </c>
      <c r="V493" s="9" t="str" cm="1">
        <f t="array" aca="1" ref="V493" ca="1">z_score_diff(OFFSET(U493,0,0,$J$5*-1,1),OFFSET(E493,0,0,$J$5*-1,1))</f>
        <v/>
      </c>
      <c r="W493" s="9" t="str">
        <f t="shared" ca="1" si="496"/>
        <v/>
      </c>
      <c r="X493" s="17">
        <f t="shared" ca="1" si="491"/>
        <v>-5.3258099123614074E-2</v>
      </c>
      <c r="Y493" s="13">
        <f t="shared" ref="Y493:Z493" ca="1" si="535">+Y492</f>
        <v>0</v>
      </c>
      <c r="Z493" s="13">
        <f t="shared" ca="1" si="535"/>
        <v>0</v>
      </c>
      <c r="AA493" t="str">
        <f t="shared" ca="1" si="498"/>
        <v/>
      </c>
      <c r="AB493" t="str">
        <f t="shared" ca="1" si="499"/>
        <v/>
      </c>
      <c r="AC493" s="24" t="str">
        <f t="shared" ca="1" si="500"/>
        <v/>
      </c>
      <c r="AD493" s="24" t="str">
        <f t="shared" ca="1" si="501"/>
        <v/>
      </c>
    </row>
    <row r="494" spans="3:30" x14ac:dyDescent="0.25">
      <c r="C494" s="6">
        <v>588</v>
      </c>
      <c r="D494" s="36">
        <v>42843</v>
      </c>
      <c r="E494" s="38">
        <v>17.164000000000001</v>
      </c>
      <c r="F494" s="38">
        <v>51.363743959961873</v>
      </c>
      <c r="G494" s="38">
        <v>31.51</v>
      </c>
      <c r="H494" s="38">
        <v>2.69979536757522</v>
      </c>
      <c r="I494" s="38">
        <v>5.7487179627786507</v>
      </c>
      <c r="J494" s="10">
        <v>0</v>
      </c>
      <c r="K494" s="39">
        <v>0</v>
      </c>
      <c r="L494" s="39">
        <v>0</v>
      </c>
      <c r="M494" s="39">
        <v>1</v>
      </c>
      <c r="N494" s="39">
        <v>0</v>
      </c>
      <c r="O494" s="39">
        <v>0</v>
      </c>
      <c r="P494" s="39">
        <v>0</v>
      </c>
      <c r="Q494" s="39">
        <v>0</v>
      </c>
      <c r="R494" s="39">
        <v>0</v>
      </c>
      <c r="S494" s="39">
        <v>0</v>
      </c>
      <c r="T494" s="39">
        <v>0</v>
      </c>
      <c r="U494" s="29" cm="1">
        <f t="array" aca="1" ref="U494" ca="1">+fair_value_gap(OFFSET(T493,0,0,-1*$J$5,-1*$AA$1),OFFSET(E493,0,0,-1*$J$5,1),F494:T494,0)</f>
        <v>16.661222364609273</v>
      </c>
      <c r="V494" s="9" t="str" cm="1">
        <f t="array" aca="1" ref="V494" ca="1">z_score_diff(OFFSET(U494,0,0,$J$5*-1,1),OFFSET(E494,0,0,$J$5*-1,1))</f>
        <v/>
      </c>
      <c r="W494" s="9" t="str">
        <f t="shared" ca="1" si="496"/>
        <v/>
      </c>
      <c r="X494" s="17">
        <f t="shared" ca="1" si="491"/>
        <v>-7.028794684270348E-2</v>
      </c>
      <c r="Y494" s="13">
        <f t="shared" ref="Y494:Z494" ca="1" si="536">+Y493</f>
        <v>0</v>
      </c>
      <c r="Z494" s="13">
        <f t="shared" ca="1" si="536"/>
        <v>0</v>
      </c>
      <c r="AA494" t="str">
        <f t="shared" ca="1" si="498"/>
        <v/>
      </c>
      <c r="AB494" t="str">
        <f t="shared" ca="1" si="499"/>
        <v/>
      </c>
      <c r="AC494" s="24" t="str">
        <f t="shared" ca="1" si="500"/>
        <v/>
      </c>
      <c r="AD494" s="24" t="str">
        <f t="shared" ca="1" si="501"/>
        <v/>
      </c>
    </row>
    <row r="495" spans="3:30" x14ac:dyDescent="0.25">
      <c r="C495" s="6">
        <v>589</v>
      </c>
      <c r="D495" s="36">
        <v>42844</v>
      </c>
      <c r="E495" s="38">
        <v>17.003</v>
      </c>
      <c r="F495" s="38">
        <v>49.799848375530601</v>
      </c>
      <c r="G495" s="38">
        <v>32.03</v>
      </c>
      <c r="H495" s="38">
        <v>2.7074490098629154</v>
      </c>
      <c r="I495" s="38">
        <v>5.7591661386668038</v>
      </c>
      <c r="J495" s="10">
        <v>0</v>
      </c>
      <c r="K495" s="39">
        <v>0</v>
      </c>
      <c r="L495" s="39">
        <v>0</v>
      </c>
      <c r="M495" s="39">
        <v>1</v>
      </c>
      <c r="N495" s="39">
        <v>0</v>
      </c>
      <c r="O495" s="39">
        <v>0</v>
      </c>
      <c r="P495" s="39">
        <v>0</v>
      </c>
      <c r="Q495" s="39">
        <v>0</v>
      </c>
      <c r="R495" s="39">
        <v>0</v>
      </c>
      <c r="S495" s="39">
        <v>0</v>
      </c>
      <c r="T495" s="39">
        <v>0</v>
      </c>
      <c r="U495" s="29" cm="1">
        <f t="array" aca="1" ref="U495" ca="1">+fair_value_gap(OFFSET(T494,0,0,-1*$J$5,-1*$AA$1),OFFSET(E494,0,0,-1*$J$5,1),F495:T495,0)</f>
        <v>16.812254760592023</v>
      </c>
      <c r="V495" s="9" t="str" cm="1">
        <f t="array" aca="1" ref="V495" ca="1">z_score_diff(OFFSET(U495,0,0,$J$5*-1,1),OFFSET(E495,0,0,$J$5*-1,1))</f>
        <v/>
      </c>
      <c r="W495" s="9" t="str">
        <f t="shared" ca="1" si="496"/>
        <v/>
      </c>
      <c r="X495" s="17">
        <f t="shared" ca="1" si="491"/>
        <v>-9.3905532483608348E-2</v>
      </c>
      <c r="Y495" s="13">
        <f t="shared" ref="Y495:Z495" ca="1" si="537">+Y494</f>
        <v>0</v>
      </c>
      <c r="Z495" s="13">
        <f t="shared" ca="1" si="537"/>
        <v>0</v>
      </c>
      <c r="AA495" t="str">
        <f t="shared" ca="1" si="498"/>
        <v/>
      </c>
      <c r="AB495" t="str">
        <f t="shared" ca="1" si="499"/>
        <v/>
      </c>
      <c r="AC495" s="24" t="str">
        <f t="shared" ca="1" si="500"/>
        <v/>
      </c>
      <c r="AD495" s="24" t="str">
        <f t="shared" ca="1" si="501"/>
        <v/>
      </c>
    </row>
    <row r="496" spans="3:30" x14ac:dyDescent="0.25">
      <c r="C496" s="6">
        <v>590</v>
      </c>
      <c r="D496" s="36">
        <v>42845</v>
      </c>
      <c r="E496" s="38">
        <v>16.808</v>
      </c>
      <c r="F496" s="38">
        <v>49.695749645422516</v>
      </c>
      <c r="G496" s="38">
        <v>31.91</v>
      </c>
      <c r="H496" s="38">
        <v>2.7204099373198516</v>
      </c>
      <c r="I496" s="38">
        <v>5.7555931738115929</v>
      </c>
      <c r="J496" s="10">
        <v>0</v>
      </c>
      <c r="K496" s="39">
        <v>0</v>
      </c>
      <c r="L496" s="39">
        <v>0</v>
      </c>
      <c r="M496" s="39">
        <v>1</v>
      </c>
      <c r="N496" s="39">
        <v>0</v>
      </c>
      <c r="O496" s="39">
        <v>0</v>
      </c>
      <c r="P496" s="39">
        <v>0</v>
      </c>
      <c r="Q496" s="39">
        <v>0</v>
      </c>
      <c r="R496" s="39">
        <v>0</v>
      </c>
      <c r="S496" s="39">
        <v>0</v>
      </c>
      <c r="T496" s="39">
        <v>0</v>
      </c>
      <c r="U496" s="29" cm="1">
        <f t="array" aca="1" ref="U496" ca="1">+fair_value_gap(OFFSET(T495,0,0,-1*$J$5,-1*$AA$1),OFFSET(E495,0,0,-1*$J$5,1),F496:T496,0)</f>
        <v>16.807209203812821</v>
      </c>
      <c r="V496" s="9" t="str" cm="1">
        <f t="array" aca="1" ref="V496" ca="1">z_score_diff(OFFSET(U496,0,0,$J$5*-1,1),OFFSET(E496,0,0,$J$5*-1,1))</f>
        <v/>
      </c>
      <c r="W496" s="9" t="str">
        <f t="shared" ca="1" si="496"/>
        <v/>
      </c>
      <c r="X496" s="17">
        <f t="shared" ca="1" si="491"/>
        <v>-8.7552391296423546E-2</v>
      </c>
      <c r="Y496" s="13">
        <f t="shared" ref="Y496:Z496" ca="1" si="538">+Y495</f>
        <v>0</v>
      </c>
      <c r="Z496" s="13">
        <f t="shared" ca="1" si="538"/>
        <v>0</v>
      </c>
      <c r="AA496" t="str">
        <f t="shared" ca="1" si="498"/>
        <v/>
      </c>
      <c r="AB496" t="str">
        <f t="shared" ca="1" si="499"/>
        <v/>
      </c>
      <c r="AC496" s="24" t="str">
        <f t="shared" ca="1" si="500"/>
        <v/>
      </c>
      <c r="AD496" s="24" t="str">
        <f t="shared" ca="1" si="501"/>
        <v/>
      </c>
    </row>
    <row r="497" spans="3:30" x14ac:dyDescent="0.25">
      <c r="C497" s="6">
        <v>591</v>
      </c>
      <c r="D497" s="36">
        <v>42846</v>
      </c>
      <c r="E497" s="38">
        <v>16.893999999999998</v>
      </c>
      <c r="F497" s="38">
        <v>49.023596605833646</v>
      </c>
      <c r="G497" s="38">
        <v>31.87</v>
      </c>
      <c r="H497" s="38">
        <v>2.7108348365590591</v>
      </c>
      <c r="I497" s="38">
        <v>5.7508098219077519</v>
      </c>
      <c r="J497" s="10">
        <v>0</v>
      </c>
      <c r="K497" s="39">
        <v>0</v>
      </c>
      <c r="L497" s="39">
        <v>0</v>
      </c>
      <c r="M497" s="39">
        <v>1</v>
      </c>
      <c r="N497" s="39">
        <v>0</v>
      </c>
      <c r="O497" s="39">
        <v>0</v>
      </c>
      <c r="P497" s="39">
        <v>0</v>
      </c>
      <c r="Q497" s="39">
        <v>0</v>
      </c>
      <c r="R497" s="39">
        <v>0</v>
      </c>
      <c r="S497" s="39">
        <v>0</v>
      </c>
      <c r="T497" s="39">
        <v>0</v>
      </c>
      <c r="U497" s="29" cm="1">
        <f t="array" aca="1" ref="U497" ca="1">+fair_value_gap(OFFSET(T496,0,0,-1*$J$5,-1*$AA$1),OFFSET(E496,0,0,-1*$J$5,1),F497:T497,0)</f>
        <v>16.745166508115556</v>
      </c>
      <c r="V497" s="9" t="str" cm="1">
        <f t="array" aca="1" ref="V497" ca="1">z_score_diff(OFFSET(U497,0,0,$J$5*-1,1),OFFSET(E497,0,0,$J$5*-1,1))</f>
        <v/>
      </c>
      <c r="W497" s="9" t="str">
        <f t="shared" ca="1" si="496"/>
        <v/>
      </c>
      <c r="X497" s="17">
        <f t="shared" ca="1" si="491"/>
        <v>-9.5582502899598049E-2</v>
      </c>
      <c r="Y497" s="13">
        <f t="shared" ref="Y497:Z497" ca="1" si="539">+Y496</f>
        <v>0</v>
      </c>
      <c r="Z497" s="13">
        <f t="shared" ca="1" si="539"/>
        <v>0</v>
      </c>
      <c r="AA497" t="str">
        <f t="shared" ca="1" si="498"/>
        <v/>
      </c>
      <c r="AB497" t="str">
        <f t="shared" ca="1" si="499"/>
        <v/>
      </c>
      <c r="AC497" s="24" t="str">
        <f t="shared" ca="1" si="500"/>
        <v/>
      </c>
      <c r="AD497" s="24" t="str">
        <f t="shared" ca="1" si="501"/>
        <v/>
      </c>
    </row>
    <row r="498" spans="3:30" x14ac:dyDescent="0.25">
      <c r="C498" s="6">
        <v>592</v>
      </c>
      <c r="D498" s="36">
        <v>42849</v>
      </c>
      <c r="E498" s="38">
        <v>16.712</v>
      </c>
      <c r="F498" s="38">
        <v>48.041789590494496</v>
      </c>
      <c r="G498" s="38">
        <v>31.13</v>
      </c>
      <c r="H498" s="38">
        <v>2.666883193042286</v>
      </c>
      <c r="I498" s="38">
        <v>5.6747954276847024</v>
      </c>
      <c r="J498" s="10">
        <v>0</v>
      </c>
      <c r="K498" s="39">
        <v>0</v>
      </c>
      <c r="L498" s="39">
        <v>0</v>
      </c>
      <c r="M498" s="39">
        <v>1</v>
      </c>
      <c r="N498" s="39">
        <v>0</v>
      </c>
      <c r="O498" s="39">
        <v>0</v>
      </c>
      <c r="P498" s="39">
        <v>0</v>
      </c>
      <c r="Q498" s="39">
        <v>0</v>
      </c>
      <c r="R498" s="39">
        <v>0</v>
      </c>
      <c r="S498" s="39">
        <v>0</v>
      </c>
      <c r="T498" s="39">
        <v>0</v>
      </c>
      <c r="U498" s="29" cm="1">
        <f t="array" aca="1" ref="U498" ca="1">+fair_value_gap(OFFSET(T497,0,0,-1*$J$5,-1*$AA$1),OFFSET(E497,0,0,-1*$J$5,1),F498:T498,0)</f>
        <v>16.415432623056478</v>
      </c>
      <c r="V498" s="9" t="str" cm="1">
        <f t="array" aca="1" ref="V498" ca="1">z_score_diff(OFFSET(U498,0,0,$J$5*-1,1),OFFSET(E498,0,0,$J$5*-1,1))</f>
        <v/>
      </c>
      <c r="W498" s="9" t="str">
        <f t="shared" ca="1" si="496"/>
        <v/>
      </c>
      <c r="X498" s="17">
        <f t="shared" ca="1" si="491"/>
        <v>-8.0526509065048948E-2</v>
      </c>
      <c r="Y498" s="13">
        <f t="shared" ref="Y498:Z498" ca="1" si="540">+Y497</f>
        <v>0</v>
      </c>
      <c r="Z498" s="13">
        <f t="shared" ca="1" si="540"/>
        <v>0</v>
      </c>
      <c r="AA498" t="str">
        <f t="shared" ca="1" si="498"/>
        <v/>
      </c>
      <c r="AB498" t="str">
        <f t="shared" ca="1" si="499"/>
        <v/>
      </c>
      <c r="AC498" s="24" t="str">
        <f t="shared" ca="1" si="500"/>
        <v/>
      </c>
      <c r="AD498" s="24" t="str">
        <f t="shared" ca="1" si="501"/>
        <v/>
      </c>
    </row>
    <row r="499" spans="3:30" x14ac:dyDescent="0.25">
      <c r="C499" s="6">
        <v>593</v>
      </c>
      <c r="D499" s="36">
        <v>42850</v>
      </c>
      <c r="E499" s="38">
        <v>16.367999999999999</v>
      </c>
      <c r="F499" s="38">
        <v>47.880120238682757</v>
      </c>
      <c r="G499" s="38">
        <v>30.83</v>
      </c>
      <c r="H499" s="38">
        <v>2.6551213603122616</v>
      </c>
      <c r="I499" s="38">
        <v>5.6440396608192387</v>
      </c>
      <c r="J499" s="10">
        <v>0</v>
      </c>
      <c r="K499" s="39">
        <v>0</v>
      </c>
      <c r="L499" s="39">
        <v>0</v>
      </c>
      <c r="M499" s="39">
        <v>1</v>
      </c>
      <c r="N499" s="39">
        <v>0</v>
      </c>
      <c r="O499" s="39">
        <v>0</v>
      </c>
      <c r="P499" s="39">
        <v>0</v>
      </c>
      <c r="Q499" s="39">
        <v>0</v>
      </c>
      <c r="R499" s="39">
        <v>0</v>
      </c>
      <c r="S499" s="39">
        <v>0</v>
      </c>
      <c r="T499" s="39">
        <v>0</v>
      </c>
      <c r="U499" s="29" cm="1">
        <f t="array" aca="1" ref="U499" ca="1">+fair_value_gap(OFFSET(T498,0,0,-1*$J$5,-1*$AA$1),OFFSET(E498,0,0,-1*$J$5,1),F499:T499,0)</f>
        <v>16.317865352489484</v>
      </c>
      <c r="V499" s="9" t="str" cm="1">
        <f t="array" aca="1" ref="V499" ca="1">z_score_diff(OFFSET(U499,0,0,$J$5*-1,1),OFFSET(E499,0,0,$J$5*-1,1))</f>
        <v/>
      </c>
      <c r="W499" s="9" t="str">
        <f t="shared" ca="1" si="496"/>
        <v/>
      </c>
      <c r="X499" s="17">
        <f t="shared" ca="1" si="491"/>
        <v>-6.7017969099700439E-2</v>
      </c>
      <c r="Y499" s="13">
        <f t="shared" ref="Y499:Z499" ca="1" si="541">+Y498</f>
        <v>0</v>
      </c>
      <c r="Z499" s="13">
        <f t="shared" ca="1" si="541"/>
        <v>0</v>
      </c>
      <c r="AA499" t="str">
        <f t="shared" ca="1" si="498"/>
        <v/>
      </c>
      <c r="AB499" t="str">
        <f t="shared" ca="1" si="499"/>
        <v/>
      </c>
      <c r="AC499" s="24" t="str">
        <f t="shared" ca="1" si="500"/>
        <v/>
      </c>
      <c r="AD499" s="24" t="str">
        <f t="shared" ca="1" si="501"/>
        <v/>
      </c>
    </row>
    <row r="500" spans="3:30" x14ac:dyDescent="0.25">
      <c r="C500" s="6">
        <v>594</v>
      </c>
      <c r="D500" s="36">
        <v>42851</v>
      </c>
      <c r="E500" s="38">
        <v>16.574999999999999</v>
      </c>
      <c r="F500" s="38">
        <v>47.914794175804424</v>
      </c>
      <c r="G500" s="38">
        <v>30.91</v>
      </c>
      <c r="H500" s="38">
        <v>2.6847024986518067</v>
      </c>
      <c r="I500" s="38">
        <v>5.6534244112888725</v>
      </c>
      <c r="J500" s="10">
        <v>0</v>
      </c>
      <c r="K500" s="39">
        <v>0</v>
      </c>
      <c r="L500" s="39">
        <v>0</v>
      </c>
      <c r="M500" s="39">
        <v>1</v>
      </c>
      <c r="N500" s="39">
        <v>0</v>
      </c>
      <c r="O500" s="39">
        <v>0</v>
      </c>
      <c r="P500" s="39">
        <v>0</v>
      </c>
      <c r="Q500" s="39">
        <v>0</v>
      </c>
      <c r="R500" s="39">
        <v>0</v>
      </c>
      <c r="S500" s="39">
        <v>0</v>
      </c>
      <c r="T500" s="39">
        <v>0</v>
      </c>
      <c r="U500" s="29" cm="1">
        <f t="array" aca="1" ref="U500" ca="1">+fair_value_gap(OFFSET(T499,0,0,-1*$J$5,-1*$AA$1),OFFSET(E499,0,0,-1*$J$5,1),F500:T500,0)</f>
        <v>16.363825839290946</v>
      </c>
      <c r="V500" s="9" t="str" cm="1">
        <f t="array" aca="1" ref="V500" ca="1">z_score_diff(OFFSET(U500,0,0,$J$5*-1,1),OFFSET(E500,0,0,$J$5*-1,1))</f>
        <v/>
      </c>
      <c r="W500" s="9" t="str">
        <f t="shared" ca="1" si="496"/>
        <v/>
      </c>
      <c r="X500" s="17">
        <f t="shared" ca="1" si="491"/>
        <v>-7.997735033224973E-2</v>
      </c>
      <c r="Y500" s="13">
        <f t="shared" ref="Y500:Z500" ca="1" si="542">+Y499</f>
        <v>0</v>
      </c>
      <c r="Z500" s="13">
        <f t="shared" ca="1" si="542"/>
        <v>0</v>
      </c>
      <c r="AA500" t="str">
        <f t="shared" ca="1" si="498"/>
        <v/>
      </c>
      <c r="AB500" t="str">
        <f t="shared" ca="1" si="499"/>
        <v/>
      </c>
      <c r="AC500" s="24" t="str">
        <f t="shared" ca="1" si="500"/>
        <v/>
      </c>
      <c r="AD500" s="24" t="str">
        <f t="shared" ca="1" si="501"/>
        <v/>
      </c>
    </row>
    <row r="501" spans="3:30" x14ac:dyDescent="0.25">
      <c r="C501" s="6">
        <v>595</v>
      </c>
      <c r="D501" s="36">
        <v>42852</v>
      </c>
      <c r="E501" s="38">
        <v>16.469000000000001</v>
      </c>
      <c r="F501" s="38">
        <v>47.513582069774927</v>
      </c>
      <c r="G501" s="38">
        <v>31.12</v>
      </c>
      <c r="H501" s="38">
        <v>2.6159061879432146</v>
      </c>
      <c r="I501" s="38">
        <v>5.6699000420960779</v>
      </c>
      <c r="J501" s="10">
        <v>0</v>
      </c>
      <c r="K501" s="39">
        <v>0</v>
      </c>
      <c r="L501" s="39">
        <v>0</v>
      </c>
      <c r="M501" s="39">
        <v>1</v>
      </c>
      <c r="N501" s="39">
        <v>0</v>
      </c>
      <c r="O501" s="39">
        <v>0</v>
      </c>
      <c r="P501" s="39">
        <v>0</v>
      </c>
      <c r="Q501" s="39">
        <v>0</v>
      </c>
      <c r="R501" s="39">
        <v>0</v>
      </c>
      <c r="S501" s="39">
        <v>0</v>
      </c>
      <c r="T501" s="39">
        <v>0</v>
      </c>
      <c r="U501" s="29" cm="1">
        <f t="array" aca="1" ref="U501" ca="1">+fair_value_gap(OFFSET(T500,0,0,-1*$J$5,-1*$AA$1),OFFSET(E500,0,0,-1*$J$5,1),F501:T501,0)</f>
        <v>16.390867468926174</v>
      </c>
      <c r="V501" s="9" t="str" cm="1">
        <f t="array" aca="1" ref="V501" ca="1">z_score_diff(OFFSET(U501,0,0,$J$5*-1,1),OFFSET(E501,0,0,$J$5*-1,1))</f>
        <v/>
      </c>
      <c r="W501" s="9" t="str">
        <f t="shared" ca="1" si="496"/>
        <v/>
      </c>
      <c r="X501" s="17">
        <f t="shared" ca="1" si="491"/>
        <v>-6.0962434652359961E-2</v>
      </c>
      <c r="Y501" s="13">
        <f t="shared" ref="Y501:Z501" ca="1" si="543">+Y500</f>
        <v>0</v>
      </c>
      <c r="Z501" s="13">
        <f t="shared" ca="1" si="543"/>
        <v>0</v>
      </c>
      <c r="AA501" t="str">
        <f t="shared" ca="1" si="498"/>
        <v/>
      </c>
      <c r="AB501" t="str">
        <f t="shared" ca="1" si="499"/>
        <v/>
      </c>
      <c r="AC501" s="24" t="str">
        <f t="shared" ca="1" si="500"/>
        <v/>
      </c>
      <c r="AD501" s="24" t="str">
        <f t="shared" ca="1" si="501"/>
        <v/>
      </c>
    </row>
    <row r="502" spans="3:30" x14ac:dyDescent="0.25">
      <c r="C502" s="6">
        <v>596</v>
      </c>
      <c r="D502" s="36">
        <v>42853</v>
      </c>
      <c r="E502" s="38">
        <v>16.001000000000001</v>
      </c>
      <c r="F502" s="38">
        <v>47.701760998255821</v>
      </c>
      <c r="G502" s="38">
        <v>30.11</v>
      </c>
      <c r="H502" s="38">
        <v>2.6131173995838801</v>
      </c>
      <c r="I502" s="38">
        <v>5.6580063488408285</v>
      </c>
      <c r="J502" s="10">
        <v>0</v>
      </c>
      <c r="K502" s="39">
        <v>0</v>
      </c>
      <c r="L502" s="39">
        <v>0</v>
      </c>
      <c r="M502" s="39">
        <v>1</v>
      </c>
      <c r="N502" s="39">
        <v>0</v>
      </c>
      <c r="O502" s="39">
        <v>0</v>
      </c>
      <c r="P502" s="39">
        <v>0</v>
      </c>
      <c r="Q502" s="39">
        <v>0</v>
      </c>
      <c r="R502" s="39">
        <v>0</v>
      </c>
      <c r="S502" s="39">
        <v>0</v>
      </c>
      <c r="T502" s="39">
        <v>0</v>
      </c>
      <c r="U502" s="29" cm="1">
        <f t="array" aca="1" ref="U502" ca="1">+fair_value_gap(OFFSET(T501,0,0,-1*$J$5,-1*$AA$1),OFFSET(E501,0,0,-1*$J$5,1),F502:T502,0)</f>
        <v>16.064517545465336</v>
      </c>
      <c r="V502" s="9" t="str" cm="1">
        <f t="array" aca="1" ref="V502" ca="1">z_score_diff(OFFSET(U502,0,0,$J$5*-1,1),OFFSET(E502,0,0,$J$5*-1,1))</f>
        <v/>
      </c>
      <c r="W502" s="9" t="str">
        <f t="shared" ca="1" si="496"/>
        <v/>
      </c>
      <c r="X502" s="17">
        <f t="shared" ca="1" si="491"/>
        <v>-4.6499183820545319E-2</v>
      </c>
      <c r="Y502" s="13">
        <f t="shared" ref="Y502:Z502" ca="1" si="544">+Y501</f>
        <v>0</v>
      </c>
      <c r="Z502" s="13">
        <f t="shared" ca="1" si="544"/>
        <v>0</v>
      </c>
      <c r="AA502" t="str">
        <f t="shared" ca="1" si="498"/>
        <v/>
      </c>
      <c r="AB502" t="str">
        <f t="shared" ca="1" si="499"/>
        <v/>
      </c>
      <c r="AC502" s="24" t="str">
        <f t="shared" ca="1" si="500"/>
        <v/>
      </c>
      <c r="AD502" s="24" t="str">
        <f t="shared" ca="1" si="501"/>
        <v/>
      </c>
    </row>
    <row r="503" spans="3:30" x14ac:dyDescent="0.25">
      <c r="C503" s="6">
        <v>597</v>
      </c>
      <c r="D503" s="36">
        <v>42856</v>
      </c>
      <c r="E503" s="38">
        <v>16.018999999999998</v>
      </c>
      <c r="F503" s="38">
        <v>47.26176688511147</v>
      </c>
      <c r="G503" s="38">
        <v>30.11</v>
      </c>
      <c r="H503" s="38">
        <v>2.5806938919381643</v>
      </c>
      <c r="I503" s="38">
        <v>5.6559458467913073</v>
      </c>
      <c r="J503" s="10">
        <v>0</v>
      </c>
      <c r="K503" s="39">
        <v>0</v>
      </c>
      <c r="L503" s="39">
        <v>0</v>
      </c>
      <c r="M503" s="39">
        <v>0</v>
      </c>
      <c r="N503" s="39">
        <v>1</v>
      </c>
      <c r="O503" s="39">
        <v>0</v>
      </c>
      <c r="P503" s="39">
        <v>0</v>
      </c>
      <c r="Q503" s="39">
        <v>0</v>
      </c>
      <c r="R503" s="39">
        <v>0</v>
      </c>
      <c r="S503" s="39">
        <v>0</v>
      </c>
      <c r="T503" s="39">
        <v>0</v>
      </c>
      <c r="U503" s="29" cm="1">
        <f t="array" aca="1" ref="U503" ca="1">+fair_value_gap(OFFSET(T502,0,0,-1*$J$5,-1*$AA$1),OFFSET(E502,0,0,-1*$J$5,1),F503:T503,0)</f>
        <v>15.708174568491927</v>
      </c>
      <c r="V503" s="9" t="str" cm="1">
        <f t="array" aca="1" ref="V503" ca="1">z_score_diff(OFFSET(U503,0,0,$J$5*-1,1),OFFSET(E503,0,0,$J$5*-1,1))</f>
        <v/>
      </c>
      <c r="W503" s="9" t="str">
        <f t="shared" ca="1" si="496"/>
        <v/>
      </c>
      <c r="X503" s="17">
        <f t="shared" ca="1" si="491"/>
        <v>-5.5313046269826499E-2</v>
      </c>
      <c r="Y503" s="13">
        <f t="shared" ref="Y503:Z503" ca="1" si="545">+Y502</f>
        <v>0</v>
      </c>
      <c r="Z503" s="13">
        <f t="shared" ca="1" si="545"/>
        <v>0</v>
      </c>
      <c r="AA503" t="str">
        <f t="shared" ca="1" si="498"/>
        <v/>
      </c>
      <c r="AB503" t="str">
        <f t="shared" ca="1" si="499"/>
        <v/>
      </c>
      <c r="AC503" s="24" t="str">
        <f t="shared" ca="1" si="500"/>
        <v/>
      </c>
      <c r="AD503" s="24" t="str">
        <f t="shared" ca="1" si="501"/>
        <v/>
      </c>
    </row>
    <row r="504" spans="3:30" x14ac:dyDescent="0.25">
      <c r="C504" s="6">
        <v>598</v>
      </c>
      <c r="D504" s="36">
        <v>42857</v>
      </c>
      <c r="E504" s="38">
        <v>16.204000000000001</v>
      </c>
      <c r="F504" s="38">
        <v>46.11890121695432</v>
      </c>
      <c r="G504" s="38">
        <v>30.06</v>
      </c>
      <c r="H504" s="38">
        <v>2.5655488310656489</v>
      </c>
      <c r="I504" s="38">
        <v>5.6404411560303842</v>
      </c>
      <c r="J504" s="10">
        <v>0</v>
      </c>
      <c r="K504" s="39">
        <v>0</v>
      </c>
      <c r="L504" s="39">
        <v>0</v>
      </c>
      <c r="M504" s="39">
        <v>0</v>
      </c>
      <c r="N504" s="39">
        <v>1</v>
      </c>
      <c r="O504" s="39">
        <v>0</v>
      </c>
      <c r="P504" s="39">
        <v>0</v>
      </c>
      <c r="Q504" s="39">
        <v>0</v>
      </c>
      <c r="R504" s="39">
        <v>0</v>
      </c>
      <c r="S504" s="39">
        <v>0</v>
      </c>
      <c r="T504" s="39">
        <v>0</v>
      </c>
      <c r="U504" s="29" cm="1">
        <f t="array" aca="1" ref="U504" ca="1">+fair_value_gap(OFFSET(T503,0,0,-1*$J$5,-1*$AA$1),OFFSET(E503,0,0,-1*$J$5,1),F504:T504,0)</f>
        <v>15.639158261787397</v>
      </c>
      <c r="V504" s="9" t="str" cm="1">
        <f t="array" aca="1" ref="V504" ca="1">z_score_diff(OFFSET(U504,0,0,$J$5*-1,1),OFFSET(E504,0,0,$J$5*-1,1))</f>
        <v/>
      </c>
      <c r="W504" s="9" t="str">
        <f t="shared" ca="1" si="496"/>
        <v/>
      </c>
      <c r="X504" s="17">
        <f t="shared" ca="1" si="491"/>
        <v>-6.9173619209912079E-2</v>
      </c>
      <c r="Y504" s="13">
        <f t="shared" ref="Y504:Z504" ca="1" si="546">+Y503</f>
        <v>0</v>
      </c>
      <c r="Z504" s="13">
        <f t="shared" ca="1" si="546"/>
        <v>0</v>
      </c>
      <c r="AA504" t="str">
        <f t="shared" ca="1" si="498"/>
        <v/>
      </c>
      <c r="AB504" t="str">
        <f t="shared" ca="1" si="499"/>
        <v/>
      </c>
      <c r="AC504" s="24" t="str">
        <f t="shared" ca="1" si="500"/>
        <v/>
      </c>
      <c r="AD504" s="24" t="str">
        <f t="shared" ca="1" si="501"/>
        <v/>
      </c>
    </row>
    <row r="505" spans="3:30" x14ac:dyDescent="0.25">
      <c r="C505" s="6">
        <v>599</v>
      </c>
      <c r="D505" s="36">
        <v>42858</v>
      </c>
      <c r="E505" s="38">
        <v>16.126999999999999</v>
      </c>
      <c r="F505" s="38">
        <v>46.55049152636991</v>
      </c>
      <c r="G505" s="38">
        <v>30.11</v>
      </c>
      <c r="H505" s="38">
        <v>2.5895399154707901</v>
      </c>
      <c r="I505" s="38">
        <v>5.6634930696492596</v>
      </c>
      <c r="J505" s="10">
        <v>0</v>
      </c>
      <c r="K505" s="39">
        <v>0</v>
      </c>
      <c r="L505" s="39">
        <v>0</v>
      </c>
      <c r="M505" s="39">
        <v>0</v>
      </c>
      <c r="N505" s="39">
        <v>1</v>
      </c>
      <c r="O505" s="39">
        <v>0</v>
      </c>
      <c r="P505" s="39">
        <v>0</v>
      </c>
      <c r="Q505" s="39">
        <v>0</v>
      </c>
      <c r="R505" s="39">
        <v>0</v>
      </c>
      <c r="S505" s="39">
        <v>0</v>
      </c>
      <c r="T505" s="39">
        <v>0</v>
      </c>
      <c r="U505" s="29" cm="1">
        <f t="array" aca="1" ref="U505" ca="1">+fair_value_gap(OFFSET(T504,0,0,-1*$J$5,-1*$AA$1),OFFSET(E504,0,0,-1*$J$5,1),F505:T505,0)</f>
        <v>15.777264157999184</v>
      </c>
      <c r="V505" s="9" t="str" cm="1">
        <f t="array" aca="1" ref="V505" ca="1">z_score_diff(OFFSET(U505,0,0,$J$5*-1,1),OFFSET(E505,0,0,$J$5*-1,1))</f>
        <v/>
      </c>
      <c r="W505" s="9" t="str">
        <f t="shared" ca="1" si="496"/>
        <v/>
      </c>
      <c r="X505" s="17">
        <f t="shared" ca="1" si="491"/>
        <v>-6.4542655000314489E-2</v>
      </c>
      <c r="Y505" s="13">
        <f t="shared" ref="Y505:Z505" ca="1" si="547">+Y504</f>
        <v>0</v>
      </c>
      <c r="Z505" s="13">
        <f t="shared" ca="1" si="547"/>
        <v>0</v>
      </c>
      <c r="AA505" t="str">
        <f t="shared" ca="1" si="498"/>
        <v/>
      </c>
      <c r="AB505" t="str">
        <f t="shared" ca="1" si="499"/>
        <v/>
      </c>
      <c r="AC505" s="24" t="str">
        <f t="shared" ca="1" si="500"/>
        <v/>
      </c>
      <c r="AD505" s="24" t="str">
        <f t="shared" ca="1" si="501"/>
        <v/>
      </c>
    </row>
    <row r="506" spans="3:30" x14ac:dyDescent="0.25">
      <c r="C506" s="6">
        <v>600</v>
      </c>
      <c r="D506" s="36">
        <v>42859</v>
      </c>
      <c r="E506" s="38">
        <v>15.808</v>
      </c>
      <c r="F506" s="38">
        <v>44.408057732260666</v>
      </c>
      <c r="G506" s="38">
        <v>29.61</v>
      </c>
      <c r="H506" s="38">
        <v>2.5560970906204719</v>
      </c>
      <c r="I506" s="38">
        <v>5.6157354872521026</v>
      </c>
      <c r="J506" s="10">
        <v>0</v>
      </c>
      <c r="K506" s="39">
        <v>0</v>
      </c>
      <c r="L506" s="39">
        <v>0</v>
      </c>
      <c r="M506" s="39">
        <v>0</v>
      </c>
      <c r="N506" s="39">
        <v>1</v>
      </c>
      <c r="O506" s="39">
        <v>0</v>
      </c>
      <c r="P506" s="39">
        <v>0</v>
      </c>
      <c r="Q506" s="39">
        <v>0</v>
      </c>
      <c r="R506" s="39">
        <v>0</v>
      </c>
      <c r="S506" s="39">
        <v>0</v>
      </c>
      <c r="T506" s="39">
        <v>0</v>
      </c>
      <c r="U506" s="29" cm="1">
        <f t="array" aca="1" ref="U506" ca="1">+fair_value_gap(OFFSET(T505,0,0,-1*$J$5,-1*$AA$1),OFFSET(E505,0,0,-1*$J$5,1),F506:T506,0)</f>
        <v>15.489584713503778</v>
      </c>
      <c r="V506" s="9" cm="1">
        <f t="array" aca="1" ref="V506" ca="1">z_score_diff(OFFSET(U506,0,0,$J$5*-1,1),OFFSET(E506,0,0,$J$5*-1,1))</f>
        <v>-0.41587985581898246</v>
      </c>
      <c r="W506" s="9">
        <f t="shared" ca="1" si="496"/>
        <v>-0.41587985581898246</v>
      </c>
      <c r="X506" s="17">
        <f t="shared" ca="1" si="491"/>
        <v>-5.1066918989594548E-2</v>
      </c>
      <c r="Y506" s="13">
        <f t="shared" ref="Y506:Z506" ca="1" si="548">+Y505</f>
        <v>0</v>
      </c>
      <c r="Z506" s="13">
        <f t="shared" ca="1" si="548"/>
        <v>0</v>
      </c>
      <c r="AA506">
        <f t="shared" ca="1" si="498"/>
        <v>1</v>
      </c>
      <c r="AB506">
        <f t="shared" ca="1" si="499"/>
        <v>0</v>
      </c>
      <c r="AC506" s="24">
        <f t="shared" ca="1" si="500"/>
        <v>-5.1066918989594548E-2</v>
      </c>
      <c r="AD506" s="24">
        <f t="shared" ca="1" si="501"/>
        <v>0</v>
      </c>
    </row>
    <row r="507" spans="3:30" x14ac:dyDescent="0.25">
      <c r="C507" s="6">
        <v>601</v>
      </c>
      <c r="D507" s="36">
        <v>42860</v>
      </c>
      <c r="E507" s="38">
        <v>15.808999999999999</v>
      </c>
      <c r="F507" s="38">
        <v>45.199533205609733</v>
      </c>
      <c r="G507" s="38">
        <v>29.76</v>
      </c>
      <c r="H507" s="38">
        <v>2.5737880150807753</v>
      </c>
      <c r="I507" s="38">
        <v>5.6075949479937917</v>
      </c>
      <c r="J507" s="10">
        <v>0</v>
      </c>
      <c r="K507" s="39">
        <v>0</v>
      </c>
      <c r="L507" s="39">
        <v>0</v>
      </c>
      <c r="M507" s="39">
        <v>0</v>
      </c>
      <c r="N507" s="39">
        <v>1</v>
      </c>
      <c r="O507" s="39">
        <v>0</v>
      </c>
      <c r="P507" s="39">
        <v>0</v>
      </c>
      <c r="Q507" s="39">
        <v>0</v>
      </c>
      <c r="R507" s="39">
        <v>0</v>
      </c>
      <c r="S507" s="39">
        <v>0</v>
      </c>
      <c r="T507" s="39">
        <v>0</v>
      </c>
      <c r="U507" s="29" cm="1">
        <f t="array" aca="1" ref="U507" ca="1">+fair_value_gap(OFFSET(T506,0,0,-1*$J$5,-1*$AA$1),OFFSET(E506,0,0,-1*$J$5,1),F507:T507,0)</f>
        <v>15.63713533970942</v>
      </c>
      <c r="V507" s="9" cm="1">
        <f t="array" aca="1" ref="V507" ca="1">z_score_diff(OFFSET(U507,0,0,$J$5*-1,1),OFFSET(E507,0,0,$J$5*-1,1))</f>
        <v>-0.31283058749278747</v>
      </c>
      <c r="W507" s="9">
        <f t="shared" ca="1" si="496"/>
        <v>-0.36435522165588496</v>
      </c>
      <c r="X507" s="17">
        <f t="shared" ca="1" si="491"/>
        <v>-5.2995972601284448E-2</v>
      </c>
      <c r="Y507" s="13">
        <f t="shared" ref="Y507:Z507" ca="1" si="549">+Y506</f>
        <v>0</v>
      </c>
      <c r="Z507" s="13">
        <f t="shared" ca="1" si="549"/>
        <v>0</v>
      </c>
      <c r="AA507">
        <f t="shared" ca="1" si="498"/>
        <v>1</v>
      </c>
      <c r="AB507">
        <f t="shared" ca="1" si="499"/>
        <v>0</v>
      </c>
      <c r="AC507" s="24">
        <f t="shared" ca="1" si="500"/>
        <v>-5.2995972601284448E-2</v>
      </c>
      <c r="AD507" s="24">
        <f t="shared" ca="1" si="501"/>
        <v>0</v>
      </c>
    </row>
    <row r="508" spans="3:30" x14ac:dyDescent="0.25">
      <c r="C508" s="6">
        <v>602</v>
      </c>
      <c r="D508" s="36">
        <v>42863</v>
      </c>
      <c r="E508" s="38">
        <v>15.667</v>
      </c>
      <c r="F508" s="38">
        <v>45.799471371964771</v>
      </c>
      <c r="G508" s="38">
        <v>29.49</v>
      </c>
      <c r="H508" s="38">
        <v>2.5659550980295371</v>
      </c>
      <c r="I508" s="38">
        <v>5.6452807158467255</v>
      </c>
      <c r="J508" s="10">
        <v>0</v>
      </c>
      <c r="K508" s="39">
        <v>0</v>
      </c>
      <c r="L508" s="39">
        <v>0</v>
      </c>
      <c r="M508" s="39">
        <v>0</v>
      </c>
      <c r="N508" s="39">
        <v>1</v>
      </c>
      <c r="O508" s="39">
        <v>0</v>
      </c>
      <c r="P508" s="39">
        <v>0</v>
      </c>
      <c r="Q508" s="39">
        <v>0</v>
      </c>
      <c r="R508" s="39">
        <v>0</v>
      </c>
      <c r="S508" s="39">
        <v>0</v>
      </c>
      <c r="T508" s="39">
        <v>0</v>
      </c>
      <c r="U508" s="29" cm="1">
        <f t="array" aca="1" ref="U508" ca="1">+fair_value_gap(OFFSET(T507,0,0,-1*$J$5,-1*$AA$1),OFFSET(E507,0,0,-1*$J$5,1),F508:T508,0)</f>
        <v>15.599340025116593</v>
      </c>
      <c r="V508" s="9" cm="1">
        <f t="array" aca="1" ref="V508" ca="1">z_score_diff(OFFSET(U508,0,0,$J$5*-1,1),OFFSET(E508,0,0,$J$5*-1,1))</f>
        <v>-0.2441019853829135</v>
      </c>
      <c r="W508" s="9">
        <f t="shared" ca="1" si="496"/>
        <v>-0.32427080956489446</v>
      </c>
      <c r="X508" s="17">
        <f t="shared" ca="1" si="491"/>
        <v>-3.7855716800325519E-2</v>
      </c>
      <c r="Y508" s="13">
        <f t="shared" ref="Y508:Z508" ca="1" si="550">+Y507</f>
        <v>0</v>
      </c>
      <c r="Z508" s="13">
        <f t="shared" ca="1" si="550"/>
        <v>0</v>
      </c>
      <c r="AA508">
        <f t="shared" ca="1" si="498"/>
        <v>1</v>
      </c>
      <c r="AB508">
        <f t="shared" ca="1" si="499"/>
        <v>0</v>
      </c>
      <c r="AC508" s="24">
        <f t="shared" ca="1" si="500"/>
        <v>-3.7855716800325519E-2</v>
      </c>
      <c r="AD508" s="24">
        <f t="shared" ca="1" si="501"/>
        <v>0</v>
      </c>
    </row>
    <row r="509" spans="3:30" x14ac:dyDescent="0.25">
      <c r="C509" s="6">
        <v>603</v>
      </c>
      <c r="D509" s="36">
        <v>42864</v>
      </c>
      <c r="E509" s="38">
        <v>15.573</v>
      </c>
      <c r="F509" s="38">
        <v>45.609869759484553</v>
      </c>
      <c r="G509" s="38">
        <v>29.48</v>
      </c>
      <c r="H509" s="38">
        <v>2.5932726343485584</v>
      </c>
      <c r="I509" s="38">
        <v>5.6696853910505496</v>
      </c>
      <c r="J509" s="10">
        <v>0</v>
      </c>
      <c r="K509" s="39">
        <v>0</v>
      </c>
      <c r="L509" s="39">
        <v>0</v>
      </c>
      <c r="M509" s="39">
        <v>0</v>
      </c>
      <c r="N509" s="39">
        <v>1</v>
      </c>
      <c r="O509" s="39">
        <v>0</v>
      </c>
      <c r="P509" s="39">
        <v>0</v>
      </c>
      <c r="Q509" s="39">
        <v>0</v>
      </c>
      <c r="R509" s="39">
        <v>0</v>
      </c>
      <c r="S509" s="39">
        <v>0</v>
      </c>
      <c r="T509" s="39">
        <v>0</v>
      </c>
      <c r="U509" s="29" cm="1">
        <f t="array" aca="1" ref="U509" ca="1">+fair_value_gap(OFFSET(T508,0,0,-1*$J$5,-1*$AA$1),OFFSET(E508,0,0,-1*$J$5,1),F509:T509,0)</f>
        <v>15.605614341585914</v>
      </c>
      <c r="V509" s="9" cm="1">
        <f t="array" aca="1" ref="V509" ca="1">z_score_diff(OFFSET(U509,0,0,$J$5*-1,1),OFFSET(E509,0,0,$J$5*-1,1))</f>
        <v>-0.17679571991730225</v>
      </c>
      <c r="W509" s="9">
        <f t="shared" ca="1" si="496"/>
        <v>-0.28740203715299639</v>
      </c>
      <c r="X509" s="17">
        <f t="shared" ca="1" si="491"/>
        <v>-3.4227101708620179E-2</v>
      </c>
      <c r="Y509" s="13">
        <f t="shared" ref="Y509:Z509" ca="1" si="551">+Y508</f>
        <v>0</v>
      </c>
      <c r="Z509" s="13">
        <f t="shared" ca="1" si="551"/>
        <v>0</v>
      </c>
      <c r="AA509">
        <f t="shared" ca="1" si="498"/>
        <v>1</v>
      </c>
      <c r="AB509">
        <f t="shared" ca="1" si="499"/>
        <v>0</v>
      </c>
      <c r="AC509" s="24">
        <f t="shared" ca="1" si="500"/>
        <v>-3.4227101708620179E-2</v>
      </c>
      <c r="AD509" s="24">
        <f t="shared" ca="1" si="501"/>
        <v>0</v>
      </c>
    </row>
    <row r="510" spans="3:30" x14ac:dyDescent="0.25">
      <c r="C510" s="6">
        <v>604</v>
      </c>
      <c r="D510" s="36">
        <v>42865</v>
      </c>
      <c r="E510" s="38">
        <v>15.625</v>
      </c>
      <c r="F510" s="38">
        <v>46.615735494720433</v>
      </c>
      <c r="G510" s="38">
        <v>29.59</v>
      </c>
      <c r="H510" s="38">
        <v>2.6055011439665683</v>
      </c>
      <c r="I510" s="38">
        <v>5.6747237519216469</v>
      </c>
      <c r="J510" s="10">
        <v>0</v>
      </c>
      <c r="K510" s="39">
        <v>0</v>
      </c>
      <c r="L510" s="39">
        <v>0</v>
      </c>
      <c r="M510" s="39">
        <v>0</v>
      </c>
      <c r="N510" s="39">
        <v>1</v>
      </c>
      <c r="O510" s="39">
        <v>0</v>
      </c>
      <c r="P510" s="39">
        <v>0</v>
      </c>
      <c r="Q510" s="39">
        <v>0</v>
      </c>
      <c r="R510" s="39">
        <v>0</v>
      </c>
      <c r="S510" s="39">
        <v>0</v>
      </c>
      <c r="T510" s="39">
        <v>0</v>
      </c>
      <c r="U510" s="29" cm="1">
        <f t="array" aca="1" ref="U510" ca="1">+fair_value_gap(OFFSET(T509,0,0,-1*$J$5,-1*$AA$1),OFFSET(E509,0,0,-1*$J$5,1),F510:T510,0)</f>
        <v>15.719532355277449</v>
      </c>
      <c r="V510" s="9" cm="1">
        <f t="array" aca="1" ref="V510" ca="1">z_score_diff(OFFSET(U510,0,0,$J$5*-1,1),OFFSET(E510,0,0,$J$5*-1,1))</f>
        <v>-0.1325117760062553</v>
      </c>
      <c r="W510" s="9">
        <f t="shared" ca="1" si="496"/>
        <v>-0.25642398492364815</v>
      </c>
      <c r="X510" s="17">
        <f t="shared" ca="1" si="491"/>
        <v>-4.0955336743267609E-2</v>
      </c>
      <c r="Y510" s="13">
        <f t="shared" ref="Y510:Z510" ca="1" si="552">+Y509</f>
        <v>0</v>
      </c>
      <c r="Z510" s="13">
        <f t="shared" ca="1" si="552"/>
        <v>0</v>
      </c>
      <c r="AA510">
        <f t="shared" ca="1" si="498"/>
        <v>1</v>
      </c>
      <c r="AB510">
        <f t="shared" ca="1" si="499"/>
        <v>0</v>
      </c>
      <c r="AC510" s="24">
        <f t="shared" ca="1" si="500"/>
        <v>-4.0955336743267609E-2</v>
      </c>
      <c r="AD510" s="24">
        <f t="shared" ca="1" si="501"/>
        <v>0</v>
      </c>
    </row>
    <row r="511" spans="3:30" x14ac:dyDescent="0.25">
      <c r="C511" s="6">
        <v>605</v>
      </c>
      <c r="D511" s="36">
        <v>42866</v>
      </c>
      <c r="E511" s="38">
        <v>15.58</v>
      </c>
      <c r="F511" s="38">
        <v>46.909512191600861</v>
      </c>
      <c r="G511" s="38">
        <v>29.12</v>
      </c>
      <c r="H511" s="38">
        <v>2.6220242821464148</v>
      </c>
      <c r="I511" s="38">
        <v>5.6753381743637128</v>
      </c>
      <c r="J511" s="10">
        <v>0</v>
      </c>
      <c r="K511" s="39">
        <v>0</v>
      </c>
      <c r="L511" s="39">
        <v>0</v>
      </c>
      <c r="M511" s="39">
        <v>0</v>
      </c>
      <c r="N511" s="39">
        <v>1</v>
      </c>
      <c r="O511" s="39">
        <v>0</v>
      </c>
      <c r="P511" s="39">
        <v>0</v>
      </c>
      <c r="Q511" s="39">
        <v>0</v>
      </c>
      <c r="R511" s="39">
        <v>0</v>
      </c>
      <c r="S511" s="39">
        <v>0</v>
      </c>
      <c r="T511" s="39">
        <v>0</v>
      </c>
      <c r="U511" s="29" cm="1">
        <f t="array" aca="1" ref="U511" ca="1">+fair_value_gap(OFFSET(T510,0,0,-1*$J$5,-1*$AA$1),OFFSET(E510,0,0,-1*$J$5,1),F511:T511,0)</f>
        <v>15.584625210112607</v>
      </c>
      <c r="V511" s="9" cm="1">
        <f t="array" aca="1" ref="V511" ca="1">z_score_diff(OFFSET(U511,0,0,$J$5*-1,1),OFFSET(E511,0,0,$J$5*-1,1))</f>
        <v>-0.19661468995254128</v>
      </c>
      <c r="W511" s="9">
        <f t="shared" ca="1" si="496"/>
        <v>-0.24645576909513034</v>
      </c>
      <c r="X511" s="17">
        <f t="shared" ca="1" si="491"/>
        <v>-4.3486538270808811E-2</v>
      </c>
      <c r="Y511" s="13">
        <f t="shared" ref="Y511:Z511" ca="1" si="553">+Y510</f>
        <v>0</v>
      </c>
      <c r="Z511" s="13">
        <f t="shared" ca="1" si="553"/>
        <v>0</v>
      </c>
      <c r="AA511">
        <f t="shared" ca="1" si="498"/>
        <v>1</v>
      </c>
      <c r="AB511">
        <f t="shared" ca="1" si="499"/>
        <v>0</v>
      </c>
      <c r="AC511" s="24">
        <f t="shared" ca="1" si="500"/>
        <v>-4.3486538270808811E-2</v>
      </c>
      <c r="AD511" s="24">
        <f t="shared" ca="1" si="501"/>
        <v>0</v>
      </c>
    </row>
    <row r="512" spans="3:30" x14ac:dyDescent="0.25">
      <c r="C512" s="6">
        <v>606</v>
      </c>
      <c r="D512" s="36">
        <v>42867</v>
      </c>
      <c r="E512" s="38">
        <v>15.558999999999999</v>
      </c>
      <c r="F512" s="38">
        <v>46.478157957545157</v>
      </c>
      <c r="G512" s="38">
        <v>29.31</v>
      </c>
      <c r="H512" s="38">
        <v>2.6110316535995448</v>
      </c>
      <c r="I512" s="38">
        <v>5.6437763234161977</v>
      </c>
      <c r="J512" s="10">
        <v>0</v>
      </c>
      <c r="K512" s="39">
        <v>0</v>
      </c>
      <c r="L512" s="39">
        <v>0</v>
      </c>
      <c r="M512" s="39">
        <v>0</v>
      </c>
      <c r="N512" s="39">
        <v>1</v>
      </c>
      <c r="O512" s="39">
        <v>0</v>
      </c>
      <c r="P512" s="39">
        <v>0</v>
      </c>
      <c r="Q512" s="39">
        <v>0</v>
      </c>
      <c r="R512" s="39">
        <v>0</v>
      </c>
      <c r="S512" s="39">
        <v>0</v>
      </c>
      <c r="T512" s="39">
        <v>0</v>
      </c>
      <c r="U512" s="29" cm="1">
        <f t="array" aca="1" ref="U512" ca="1">+fair_value_gap(OFFSET(T511,0,0,-1*$J$5,-1*$AA$1),OFFSET(E511,0,0,-1*$J$5,1),F512:T512,0)</f>
        <v>15.627034232371955</v>
      </c>
      <c r="V512" s="9" cm="1">
        <f t="array" aca="1" ref="V512" ca="1">z_score_diff(OFFSET(U512,0,0,$J$5*-1,1),OFFSET(E512,0,0,$J$5*-1,1))</f>
        <v>-0.15244876227432524</v>
      </c>
      <c r="W512" s="9">
        <f t="shared" ca="1" si="496"/>
        <v>-0.23302619669215816</v>
      </c>
      <c r="X512" s="17">
        <f t="shared" ca="1" si="491"/>
        <v>-4.0128638529148192E-2</v>
      </c>
      <c r="Y512" s="13">
        <f t="shared" ref="Y512:Z512" ca="1" si="554">+Y511</f>
        <v>0</v>
      </c>
      <c r="Z512" s="13">
        <f t="shared" ca="1" si="554"/>
        <v>0</v>
      </c>
      <c r="AA512">
        <f t="shared" ca="1" si="498"/>
        <v>1</v>
      </c>
      <c r="AB512">
        <f t="shared" ca="1" si="499"/>
        <v>0</v>
      </c>
      <c r="AC512" s="24">
        <f t="shared" ca="1" si="500"/>
        <v>-4.0128638529148192E-2</v>
      </c>
      <c r="AD512" s="24">
        <f t="shared" ca="1" si="501"/>
        <v>0</v>
      </c>
    </row>
    <row r="513" spans="3:30" x14ac:dyDescent="0.25">
      <c r="C513" s="6">
        <v>607</v>
      </c>
      <c r="D513" s="36">
        <v>42870</v>
      </c>
      <c r="E513" s="38">
        <v>15.696999999999999</v>
      </c>
      <c r="F513" s="38">
        <v>46.691453267017422</v>
      </c>
      <c r="G513" s="38">
        <v>29.28</v>
      </c>
      <c r="H513" s="38">
        <v>2.5882140697746077</v>
      </c>
      <c r="I513" s="38">
        <v>5.6176212901595175</v>
      </c>
      <c r="J513" s="10">
        <v>0</v>
      </c>
      <c r="K513" s="39">
        <v>0</v>
      </c>
      <c r="L513" s="39">
        <v>0</v>
      </c>
      <c r="M513" s="39">
        <v>0</v>
      </c>
      <c r="N513" s="39">
        <v>1</v>
      </c>
      <c r="O513" s="39">
        <v>0</v>
      </c>
      <c r="P513" s="39">
        <v>0</v>
      </c>
      <c r="Q513" s="39">
        <v>0</v>
      </c>
      <c r="R513" s="39">
        <v>0</v>
      </c>
      <c r="S513" s="39">
        <v>0</v>
      </c>
      <c r="T513" s="39">
        <v>0</v>
      </c>
      <c r="U513" s="29" cm="1">
        <f t="array" aca="1" ref="U513" ca="1">+fair_value_gap(OFFSET(T512,0,0,-1*$J$5,-1*$AA$1),OFFSET(E512,0,0,-1*$J$5,1),F513:T513,0)</f>
        <v>15.627683304727505</v>
      </c>
      <c r="V513" s="9" cm="1">
        <f t="array" aca="1" ref="V513" ca="1">z_score_diff(OFFSET(U513,0,0,$J$5*-1,1),OFFSET(E513,0,0,$J$5*-1,1))</f>
        <v>-0.24435425373830677</v>
      </c>
      <c r="W513" s="9">
        <f t="shared" ca="1" si="496"/>
        <v>-0.23444220382292674</v>
      </c>
      <c r="X513" s="17">
        <f t="shared" ca="1" si="491"/>
        <v>-4.4686345615030904E-2</v>
      </c>
      <c r="Y513" s="13">
        <f t="shared" ref="Y513:Z513" ca="1" si="555">+Y512</f>
        <v>0</v>
      </c>
      <c r="Z513" s="13">
        <f t="shared" ca="1" si="555"/>
        <v>0</v>
      </c>
      <c r="AA513">
        <f t="shared" ca="1" si="498"/>
        <v>1</v>
      </c>
      <c r="AB513">
        <f t="shared" ca="1" si="499"/>
        <v>0</v>
      </c>
      <c r="AC513" s="24">
        <f t="shared" ca="1" si="500"/>
        <v>-4.4686345615030904E-2</v>
      </c>
      <c r="AD513" s="24">
        <f t="shared" ca="1" si="501"/>
        <v>0</v>
      </c>
    </row>
    <row r="514" spans="3:30" x14ac:dyDescent="0.25">
      <c r="C514" s="6">
        <v>608</v>
      </c>
      <c r="D514" s="36">
        <v>42871</v>
      </c>
      <c r="E514" s="38">
        <v>15.597</v>
      </c>
      <c r="F514" s="38">
        <v>46.43132729705431</v>
      </c>
      <c r="G514" s="38">
        <v>29.39</v>
      </c>
      <c r="H514" s="38">
        <v>2.5388122358537988</v>
      </c>
      <c r="I514" s="38">
        <v>5.5660958394982201</v>
      </c>
      <c r="J514" s="10">
        <v>0</v>
      </c>
      <c r="K514" s="39">
        <v>0</v>
      </c>
      <c r="L514" s="39">
        <v>0</v>
      </c>
      <c r="M514" s="39">
        <v>0</v>
      </c>
      <c r="N514" s="39">
        <v>1</v>
      </c>
      <c r="O514" s="39">
        <v>0</v>
      </c>
      <c r="P514" s="39">
        <v>0</v>
      </c>
      <c r="Q514" s="39">
        <v>0</v>
      </c>
      <c r="R514" s="39">
        <v>0</v>
      </c>
      <c r="S514" s="39">
        <v>0</v>
      </c>
      <c r="T514" s="39">
        <v>0</v>
      </c>
      <c r="U514" s="29" cm="1">
        <f t="array" aca="1" ref="U514" ca="1">+fair_value_gap(OFFSET(T513,0,0,-1*$J$5,-1*$AA$1),OFFSET(E513,0,0,-1*$J$5,1),F514:T514,0)</f>
        <v>15.63979289427877</v>
      </c>
      <c r="V514" s="9" cm="1">
        <f t="array" aca="1" ref="V514" ca="1">z_score_diff(OFFSET(U514,0,0,$J$5*-1,1),OFFSET(E514,0,0,$J$5*-1,1))</f>
        <v>-0.16813209336971024</v>
      </c>
      <c r="W514" s="9">
        <f t="shared" ca="1" si="496"/>
        <v>-0.22707441377256934</v>
      </c>
      <c r="X514" s="17">
        <f t="shared" ca="1" si="491"/>
        <v>-3.4903572390528409E-2</v>
      </c>
      <c r="Y514" s="13">
        <f t="shared" ref="Y514:Z514" ca="1" si="556">+Y513</f>
        <v>0</v>
      </c>
      <c r="Z514" s="13">
        <f t="shared" ca="1" si="556"/>
        <v>0</v>
      </c>
      <c r="AA514">
        <f t="shared" ca="1" si="498"/>
        <v>1</v>
      </c>
      <c r="AB514">
        <f t="shared" ca="1" si="499"/>
        <v>0</v>
      </c>
      <c r="AC514" s="24">
        <f t="shared" ca="1" si="500"/>
        <v>-3.4903572390528409E-2</v>
      </c>
      <c r="AD514" s="24">
        <f t="shared" ca="1" si="501"/>
        <v>0</v>
      </c>
    </row>
    <row r="515" spans="3:30" x14ac:dyDescent="0.25">
      <c r="C515" s="6">
        <v>609</v>
      </c>
      <c r="D515" s="36">
        <v>42872</v>
      </c>
      <c r="E515" s="38">
        <v>15.776999999999999</v>
      </c>
      <c r="F515" s="38">
        <v>46.482610758659469</v>
      </c>
      <c r="G515" s="38">
        <v>29.61</v>
      </c>
      <c r="H515" s="38">
        <v>2.522714092402861</v>
      </c>
      <c r="I515" s="38">
        <v>5.5269493699804926</v>
      </c>
      <c r="J515" s="10">
        <v>0</v>
      </c>
      <c r="K515" s="39">
        <v>0</v>
      </c>
      <c r="L515" s="39">
        <v>0</v>
      </c>
      <c r="M515" s="39">
        <v>0</v>
      </c>
      <c r="N515" s="39">
        <v>1</v>
      </c>
      <c r="O515" s="39">
        <v>0</v>
      </c>
      <c r="P515" s="39">
        <v>0</v>
      </c>
      <c r="Q515" s="39">
        <v>0</v>
      </c>
      <c r="R515" s="39">
        <v>0</v>
      </c>
      <c r="S515" s="39">
        <v>0</v>
      </c>
      <c r="T515" s="39">
        <v>0</v>
      </c>
      <c r="U515" s="29" cm="1">
        <f t="array" aca="1" ref="U515" ca="1">+fair_value_gap(OFFSET(T514,0,0,-1*$J$5,-1*$AA$1),OFFSET(E514,0,0,-1*$J$5,1),F515:T515,0)</f>
        <v>15.717752915842485</v>
      </c>
      <c r="V515" s="9" cm="1">
        <f t="array" aca="1" ref="V515" ca="1">z_score_diff(OFFSET(U515,0,0,$J$5*-1,1),OFFSET(E515,0,0,$J$5*-1,1))</f>
        <v>-0.23521594941556279</v>
      </c>
      <c r="W515" s="9">
        <f t="shared" ca="1" si="496"/>
        <v>-0.22788856733686869</v>
      </c>
      <c r="X515" s="17">
        <f t="shared" ca="1" si="491"/>
        <v>-4.0816712583685757E-2</v>
      </c>
      <c r="Y515" s="13">
        <f t="shared" ref="Y515:Z515" ca="1" si="557">+Y514</f>
        <v>0</v>
      </c>
      <c r="Z515" s="13">
        <f t="shared" ca="1" si="557"/>
        <v>0</v>
      </c>
      <c r="AA515">
        <f t="shared" ca="1" si="498"/>
        <v>1</v>
      </c>
      <c r="AB515">
        <f t="shared" ca="1" si="499"/>
        <v>0</v>
      </c>
      <c r="AC515" s="24">
        <f t="shared" ca="1" si="500"/>
        <v>-4.0816712583685757E-2</v>
      </c>
      <c r="AD515" s="24">
        <f t="shared" ca="1" si="501"/>
        <v>0</v>
      </c>
    </row>
    <row r="516" spans="3:30" x14ac:dyDescent="0.25">
      <c r="C516" s="6">
        <v>610</v>
      </c>
      <c r="D516" s="36">
        <v>42873</v>
      </c>
      <c r="E516" s="38">
        <v>15.906000000000001</v>
      </c>
      <c r="F516" s="38">
        <v>46.872474543397452</v>
      </c>
      <c r="G516" s="38">
        <v>29.91</v>
      </c>
      <c r="H516" s="38">
        <v>2.5392569118573141</v>
      </c>
      <c r="I516" s="38">
        <v>5.555452513246089</v>
      </c>
      <c r="J516" s="10">
        <v>0</v>
      </c>
      <c r="K516" s="39">
        <v>0</v>
      </c>
      <c r="L516" s="39">
        <v>0</v>
      </c>
      <c r="M516" s="39">
        <v>0</v>
      </c>
      <c r="N516" s="39">
        <v>1</v>
      </c>
      <c r="O516" s="39">
        <v>0</v>
      </c>
      <c r="P516" s="39">
        <v>0</v>
      </c>
      <c r="Q516" s="39">
        <v>0</v>
      </c>
      <c r="R516" s="39">
        <v>0</v>
      </c>
      <c r="S516" s="39">
        <v>0</v>
      </c>
      <c r="T516" s="39">
        <v>0</v>
      </c>
      <c r="U516" s="29" cm="1">
        <f t="array" aca="1" ref="U516" ca="1">+fair_value_gap(OFFSET(T515,0,0,-1*$J$5,-1*$AA$1),OFFSET(E515,0,0,-1*$J$5,1),F516:T516,0)</f>
        <v>15.866227687274732</v>
      </c>
      <c r="V516" s="9" cm="1">
        <f t="array" aca="1" ref="V516" ca="1">z_score_diff(OFFSET(U516,0,0,$J$5*-1,1),OFFSET(E516,0,0,$J$5*-1,1))</f>
        <v>-0.21813121743221464</v>
      </c>
      <c r="W516" s="9">
        <f t="shared" ca="1" si="496"/>
        <v>-0.22700153552735466</v>
      </c>
      <c r="X516" s="17">
        <f t="shared" ca="1" si="491"/>
        <v>-5.6714728582986242E-2</v>
      </c>
      <c r="Y516" s="13">
        <f t="shared" ref="Y516:Z516" ca="1" si="558">+Y515</f>
        <v>0</v>
      </c>
      <c r="Z516" s="13">
        <f t="shared" ca="1" si="558"/>
        <v>0</v>
      </c>
      <c r="AA516">
        <f t="shared" ca="1" si="498"/>
        <v>1</v>
      </c>
      <c r="AB516">
        <f t="shared" ca="1" si="499"/>
        <v>0</v>
      </c>
      <c r="AC516" s="24">
        <f t="shared" ca="1" si="500"/>
        <v>-5.6714728582986242E-2</v>
      </c>
      <c r="AD516" s="24">
        <f t="shared" ca="1" si="501"/>
        <v>0</v>
      </c>
    </row>
    <row r="517" spans="3:30" x14ac:dyDescent="0.25">
      <c r="C517" s="6">
        <v>611</v>
      </c>
      <c r="D517" s="36">
        <v>42874</v>
      </c>
      <c r="E517" s="38">
        <v>15.798999999999999</v>
      </c>
      <c r="F517" s="38">
        <v>47.247994651236461</v>
      </c>
      <c r="G517" s="38">
        <v>30.18</v>
      </c>
      <c r="H517" s="38">
        <v>2.5229851561310377</v>
      </c>
      <c r="I517" s="38">
        <v>5.5045357724815211</v>
      </c>
      <c r="J517" s="10">
        <v>0</v>
      </c>
      <c r="K517" s="39">
        <v>0</v>
      </c>
      <c r="L517" s="39">
        <v>0</v>
      </c>
      <c r="M517" s="39">
        <v>0</v>
      </c>
      <c r="N517" s="39">
        <v>1</v>
      </c>
      <c r="O517" s="39">
        <v>0</v>
      </c>
      <c r="P517" s="39">
        <v>0</v>
      </c>
      <c r="Q517" s="39">
        <v>0</v>
      </c>
      <c r="R517" s="39">
        <v>0</v>
      </c>
      <c r="S517" s="39">
        <v>0</v>
      </c>
      <c r="T517" s="39">
        <v>0</v>
      </c>
      <c r="U517" s="29" cm="1">
        <f t="array" aca="1" ref="U517" ca="1">+fair_value_gap(OFFSET(T516,0,0,-1*$J$5,-1*$AA$1),OFFSET(E516,0,0,-1*$J$5,1),F517:T517,0)</f>
        <v>15.977630051166308</v>
      </c>
      <c r="V517" s="9" cm="1">
        <f t="array" aca="1" ref="V517" ca="1">z_score_diff(OFFSET(U517,0,0,$J$5*-1,1),OFFSET(E517,0,0,$J$5*-1,1))</f>
        <v>-6.6705372998468127E-2</v>
      </c>
      <c r="W517" s="9">
        <f t="shared" ca="1" si="496"/>
        <v>-0.21364352198328077</v>
      </c>
      <c r="X517" s="17">
        <f t="shared" ca="1" si="491"/>
        <v>-5.3430955880453386E-2</v>
      </c>
      <c r="Y517" s="13">
        <f t="shared" ref="Y517:Z517" ca="1" si="559">+Y516</f>
        <v>0</v>
      </c>
      <c r="Z517" s="13">
        <f t="shared" ca="1" si="559"/>
        <v>0</v>
      </c>
      <c r="AA517">
        <f t="shared" ca="1" si="498"/>
        <v>1</v>
      </c>
      <c r="AB517">
        <f t="shared" ca="1" si="499"/>
        <v>0</v>
      </c>
      <c r="AC517" s="24">
        <f t="shared" ca="1" si="500"/>
        <v>-5.3430955880453386E-2</v>
      </c>
      <c r="AD517" s="24">
        <f t="shared" ca="1" si="501"/>
        <v>0</v>
      </c>
    </row>
    <row r="518" spans="3:30" x14ac:dyDescent="0.25">
      <c r="C518" s="6">
        <v>612</v>
      </c>
      <c r="D518" s="36">
        <v>42877</v>
      </c>
      <c r="E518" s="38">
        <v>15.909000000000001</v>
      </c>
      <c r="F518" s="38">
        <v>47.467208717006969</v>
      </c>
      <c r="G518" s="38">
        <v>30.39</v>
      </c>
      <c r="H518" s="38">
        <v>2.5308283861061791</v>
      </c>
      <c r="I518" s="38">
        <v>5.4873872970037469</v>
      </c>
      <c r="J518" s="10">
        <v>0</v>
      </c>
      <c r="K518" s="39">
        <v>0</v>
      </c>
      <c r="L518" s="39">
        <v>0</v>
      </c>
      <c r="M518" s="39">
        <v>0</v>
      </c>
      <c r="N518" s="39">
        <v>1</v>
      </c>
      <c r="O518" s="39">
        <v>0</v>
      </c>
      <c r="P518" s="39">
        <v>0</v>
      </c>
      <c r="Q518" s="39">
        <v>0</v>
      </c>
      <c r="R518" s="39">
        <v>0</v>
      </c>
      <c r="S518" s="39">
        <v>0</v>
      </c>
      <c r="T518" s="39">
        <v>0</v>
      </c>
      <c r="U518" s="29" cm="1">
        <f t="array" aca="1" ref="U518" ca="1">+fair_value_gap(OFFSET(T517,0,0,-1*$J$5,-1*$AA$1),OFFSET(E517,0,0,-1*$J$5,1),F518:T518,0)</f>
        <v>16.067173203043538</v>
      </c>
      <c r="V518" s="9" cm="1">
        <f t="array" aca="1" ref="V518" ca="1">z_score_diff(OFFSET(U518,0,0,$J$5*-1,1),OFFSET(E518,0,0,$J$5*-1,1))</f>
        <v>-7.2056801499807421E-2</v>
      </c>
      <c r="W518" s="9">
        <f t="shared" ca="1" si="496"/>
        <v>-0.20275223579224436</v>
      </c>
      <c r="X518" s="17">
        <f t="shared" ca="1" si="491"/>
        <v>-4.4537481020068256E-2</v>
      </c>
      <c r="Y518" s="13">
        <f t="shared" ref="Y518:Z518" ca="1" si="560">+Y517</f>
        <v>0</v>
      </c>
      <c r="Z518" s="13">
        <f t="shared" ca="1" si="560"/>
        <v>0</v>
      </c>
      <c r="AA518">
        <f t="shared" ca="1" si="498"/>
        <v>1</v>
      </c>
      <c r="AB518">
        <f t="shared" ca="1" si="499"/>
        <v>0</v>
      </c>
      <c r="AC518" s="24">
        <f t="shared" ca="1" si="500"/>
        <v>-4.4537481020068256E-2</v>
      </c>
      <c r="AD518" s="24">
        <f t="shared" ca="1" si="501"/>
        <v>0</v>
      </c>
    </row>
    <row r="519" spans="3:30" x14ac:dyDescent="0.25">
      <c r="C519" s="6">
        <v>613</v>
      </c>
      <c r="D519" s="36">
        <v>42878</v>
      </c>
      <c r="E519" s="38">
        <v>16.021000000000001</v>
      </c>
      <c r="F519" s="38">
        <v>47.890378013197903</v>
      </c>
      <c r="G519" s="38">
        <v>30.76</v>
      </c>
      <c r="H519" s="38">
        <v>2.5268660287710389</v>
      </c>
      <c r="I519" s="38">
        <v>5.5130028862191587</v>
      </c>
      <c r="J519" s="10">
        <v>0</v>
      </c>
      <c r="K519" s="39">
        <v>0</v>
      </c>
      <c r="L519" s="39">
        <v>0</v>
      </c>
      <c r="M519" s="39">
        <v>0</v>
      </c>
      <c r="N519" s="39">
        <v>1</v>
      </c>
      <c r="O519" s="39">
        <v>0</v>
      </c>
      <c r="P519" s="39">
        <v>0</v>
      </c>
      <c r="Q519" s="39">
        <v>0</v>
      </c>
      <c r="R519" s="39">
        <v>0</v>
      </c>
      <c r="S519" s="39">
        <v>0</v>
      </c>
      <c r="T519" s="39">
        <v>0</v>
      </c>
      <c r="U519" s="29" cm="1">
        <f t="array" aca="1" ref="U519" ca="1">+fair_value_gap(OFFSET(T518,0,0,-1*$J$5,-1*$AA$1),OFFSET(E518,0,0,-1*$J$5,1),F519:T519,0)</f>
        <v>16.206856620049358</v>
      </c>
      <c r="V519" s="9" cm="1">
        <f t="array" aca="1" ref="V519" ca="1">z_score_diff(OFFSET(U519,0,0,$J$5*-1,1),OFFSET(E519,0,0,$J$5*-1,1))</f>
        <v>-4.5756076545736712E-2</v>
      </c>
      <c r="W519" s="9">
        <f t="shared" ca="1" si="496"/>
        <v>-0.19153822441749382</v>
      </c>
      <c r="X519" s="17">
        <f t="shared" ref="X519:X582" ca="1" si="561">+LN(OFFSET(E519,$X$3,0,1,1)/E519)</f>
        <v>-6.0332079878462064E-2</v>
      </c>
      <c r="Y519" s="13">
        <f t="shared" ref="Y519:Z519" ca="1" si="562">+Y518</f>
        <v>0</v>
      </c>
      <c r="Z519" s="13">
        <f t="shared" ca="1" si="562"/>
        <v>0</v>
      </c>
      <c r="AA519">
        <f t="shared" ca="1" si="498"/>
        <v>1</v>
      </c>
      <c r="AB519">
        <f t="shared" ca="1" si="499"/>
        <v>0</v>
      </c>
      <c r="AC519" s="24">
        <f t="shared" ca="1" si="500"/>
        <v>-6.0332079878462064E-2</v>
      </c>
      <c r="AD519" s="24">
        <f t="shared" ca="1" si="501"/>
        <v>0</v>
      </c>
    </row>
    <row r="520" spans="3:30" x14ac:dyDescent="0.25">
      <c r="C520" s="6">
        <v>614</v>
      </c>
      <c r="D520" s="36">
        <v>42879</v>
      </c>
      <c r="E520" s="38">
        <v>15.965</v>
      </c>
      <c r="F520" s="38">
        <v>47.421442670909869</v>
      </c>
      <c r="G520" s="38">
        <v>30.99</v>
      </c>
      <c r="H520" s="38">
        <v>2.5121917759142409</v>
      </c>
      <c r="I520" s="38">
        <v>5.0243835518284818</v>
      </c>
      <c r="J520" s="10">
        <v>0</v>
      </c>
      <c r="K520" s="39">
        <v>0</v>
      </c>
      <c r="L520" s="39">
        <v>0</v>
      </c>
      <c r="M520" s="39">
        <v>0</v>
      </c>
      <c r="N520" s="39">
        <v>1</v>
      </c>
      <c r="O520" s="39">
        <v>0</v>
      </c>
      <c r="P520" s="39">
        <v>0</v>
      </c>
      <c r="Q520" s="39">
        <v>0</v>
      </c>
      <c r="R520" s="39">
        <v>0</v>
      </c>
      <c r="S520" s="39">
        <v>0</v>
      </c>
      <c r="T520" s="39">
        <v>0</v>
      </c>
      <c r="U520" s="29" cm="1">
        <f t="array" aca="1" ref="U520" ca="1">+fair_value_gap(OFFSET(T519,0,0,-1*$J$5,-1*$AA$1),OFFSET(E519,0,0,-1*$J$5,1),F520:T520,0)</f>
        <v>16.158531815763556</v>
      </c>
      <c r="V520" s="9" cm="1">
        <f t="array" aca="1" ref="V520" ca="1">z_score_diff(OFFSET(U520,0,0,$J$5*-1,1),OFFSET(E520,0,0,$J$5*-1,1))</f>
        <v>-3.9820362180860047E-2</v>
      </c>
      <c r="W520" s="9">
        <f t="shared" ca="1" si="496"/>
        <v>-0.18142370026838489</v>
      </c>
      <c r="X520" s="17">
        <f t="shared" ca="1" si="561"/>
        <v>-6.0749903700838249E-2</v>
      </c>
      <c r="Y520" s="13">
        <f t="shared" ref="Y520:Z520" ca="1" si="563">+Y519</f>
        <v>0</v>
      </c>
      <c r="Z520" s="13">
        <f t="shared" ca="1" si="563"/>
        <v>0</v>
      </c>
      <c r="AA520">
        <f t="shared" ca="1" si="498"/>
        <v>1</v>
      </c>
      <c r="AB520">
        <f t="shared" ca="1" si="499"/>
        <v>0</v>
      </c>
      <c r="AC520" s="24">
        <f t="shared" ca="1" si="500"/>
        <v>-6.0749903700838249E-2</v>
      </c>
      <c r="AD520" s="24">
        <f t="shared" ca="1" si="501"/>
        <v>0</v>
      </c>
    </row>
    <row r="521" spans="3:30" x14ac:dyDescent="0.25">
      <c r="C521" s="6">
        <v>615</v>
      </c>
      <c r="D521" s="36">
        <v>42880</v>
      </c>
      <c r="E521" s="38">
        <v>15.823</v>
      </c>
      <c r="F521" s="38">
        <v>45.699002318623066</v>
      </c>
      <c r="G521" s="38">
        <v>30.88</v>
      </c>
      <c r="H521" s="38">
        <v>2.5189115153614243</v>
      </c>
      <c r="I521" s="38">
        <v>5.0072112588347757</v>
      </c>
      <c r="J521" s="10">
        <v>0</v>
      </c>
      <c r="K521" s="39">
        <v>0</v>
      </c>
      <c r="L521" s="39">
        <v>0</v>
      </c>
      <c r="M521" s="39">
        <v>0</v>
      </c>
      <c r="N521" s="39">
        <v>1</v>
      </c>
      <c r="O521" s="39">
        <v>0</v>
      </c>
      <c r="P521" s="39">
        <v>0</v>
      </c>
      <c r="Q521" s="39">
        <v>0</v>
      </c>
      <c r="R521" s="39">
        <v>0</v>
      </c>
      <c r="S521" s="39">
        <v>0</v>
      </c>
      <c r="T521" s="39">
        <v>0</v>
      </c>
      <c r="U521" s="29" cm="1">
        <f t="array" aca="1" ref="U521" ca="1">+fair_value_gap(OFFSET(T520,0,0,-1*$J$5,-1*$AA$1),OFFSET(E520,0,0,-1*$J$5,1),F521:T521,0)</f>
        <v>15.993670809602982</v>
      </c>
      <c r="V521" s="9" cm="1">
        <f t="array" aca="1" ref="V521" ca="1">z_score_diff(OFFSET(U521,0,0,$J$5*-1,1),OFFSET(E521,0,0,$J$5*-1,1))</f>
        <v>-5.8489612528800916E-2</v>
      </c>
      <c r="W521" s="9">
        <f t="shared" ca="1" si="496"/>
        <v>-0.1737403197846609</v>
      </c>
      <c r="X521" s="17">
        <f t="shared" ca="1" si="561"/>
        <v>-4.624017288663574E-2</v>
      </c>
      <c r="Y521" s="13">
        <f t="shared" ref="Y521:Z521" ca="1" si="564">+Y520</f>
        <v>0</v>
      </c>
      <c r="Z521" s="13">
        <f t="shared" ca="1" si="564"/>
        <v>0</v>
      </c>
      <c r="AA521">
        <f t="shared" ca="1" si="498"/>
        <v>1</v>
      </c>
      <c r="AB521">
        <f t="shared" ca="1" si="499"/>
        <v>0</v>
      </c>
      <c r="AC521" s="24">
        <f t="shared" ca="1" si="500"/>
        <v>-4.624017288663574E-2</v>
      </c>
      <c r="AD521" s="24">
        <f t="shared" ca="1" si="501"/>
        <v>0</v>
      </c>
    </row>
    <row r="522" spans="3:30" x14ac:dyDescent="0.25">
      <c r="C522" s="6">
        <v>616</v>
      </c>
      <c r="D522" s="36">
        <v>42881</v>
      </c>
      <c r="E522" s="38">
        <v>15.738</v>
      </c>
      <c r="F522" s="38">
        <v>46.475749686626166</v>
      </c>
      <c r="G522" s="38">
        <v>30.73</v>
      </c>
      <c r="H522" s="38">
        <v>2.5332877516852061</v>
      </c>
      <c r="I522" s="38">
        <v>5.0183641447743259</v>
      </c>
      <c r="J522" s="10">
        <v>0</v>
      </c>
      <c r="K522" s="39">
        <v>0</v>
      </c>
      <c r="L522" s="39">
        <v>0</v>
      </c>
      <c r="M522" s="39">
        <v>0</v>
      </c>
      <c r="N522" s="39">
        <v>1</v>
      </c>
      <c r="O522" s="39">
        <v>0</v>
      </c>
      <c r="P522" s="39">
        <v>0</v>
      </c>
      <c r="Q522" s="39">
        <v>0</v>
      </c>
      <c r="R522" s="39">
        <v>0</v>
      </c>
      <c r="S522" s="39">
        <v>0</v>
      </c>
      <c r="T522" s="39">
        <v>0</v>
      </c>
      <c r="U522" s="29" cm="1">
        <f t="array" aca="1" ref="U522" ca="1">+fair_value_gap(OFFSET(T521,0,0,-1*$J$5,-1*$AA$1),OFFSET(E521,0,0,-1*$J$5,1),F522:T522,0)</f>
        <v>15.993466860447008</v>
      </c>
      <c r="V522" s="9" cm="1">
        <f t="array" aca="1" ref="V522" ca="1">z_score_diff(OFFSET(U522,0,0,$J$5*-1,1),OFFSET(E522,0,0,$J$5*-1,1))</f>
        <v>3.1123766195872982E-4</v>
      </c>
      <c r="W522" s="9">
        <f t="shared" ca="1" si="496"/>
        <v>-0.1635019928760362</v>
      </c>
      <c r="X522" s="17">
        <f t="shared" ca="1" si="561"/>
        <v>-5.1366870276096238E-2</v>
      </c>
      <c r="Y522" s="13">
        <f t="shared" ref="Y522:Z522" ca="1" si="565">+Y521</f>
        <v>0</v>
      </c>
      <c r="Z522" s="13">
        <f t="shared" ca="1" si="565"/>
        <v>0</v>
      </c>
      <c r="AA522">
        <f t="shared" ca="1" si="498"/>
        <v>1</v>
      </c>
      <c r="AB522">
        <f t="shared" ca="1" si="499"/>
        <v>0</v>
      </c>
      <c r="AC522" s="24">
        <f t="shared" ca="1" si="500"/>
        <v>-5.1366870276096238E-2</v>
      </c>
      <c r="AD522" s="24">
        <f t="shared" ca="1" si="501"/>
        <v>0</v>
      </c>
    </row>
    <row r="523" spans="3:30" x14ac:dyDescent="0.25">
      <c r="C523" s="6">
        <v>617</v>
      </c>
      <c r="D523" s="36">
        <v>42884</v>
      </c>
      <c r="E523" s="38">
        <v>15.813000000000001</v>
      </c>
      <c r="F523" s="38">
        <v>46.708987813863061</v>
      </c>
      <c r="G523" s="38">
        <v>30.96</v>
      </c>
      <c r="H523" s="38">
        <v>2.5378637860888187</v>
      </c>
      <c r="I523" s="38">
        <v>5.0274291264216213</v>
      </c>
      <c r="J523" s="10">
        <v>0</v>
      </c>
      <c r="K523" s="39">
        <v>0</v>
      </c>
      <c r="L523" s="39">
        <v>0</v>
      </c>
      <c r="M523" s="39">
        <v>0</v>
      </c>
      <c r="N523" s="39">
        <v>1</v>
      </c>
      <c r="O523" s="39">
        <v>0</v>
      </c>
      <c r="P523" s="39">
        <v>0</v>
      </c>
      <c r="Q523" s="39">
        <v>0</v>
      </c>
      <c r="R523" s="39">
        <v>0</v>
      </c>
      <c r="S523" s="39">
        <v>0</v>
      </c>
      <c r="T523" s="39">
        <v>0</v>
      </c>
      <c r="U523" s="29" cm="1">
        <f t="array" aca="1" ref="U523" ca="1">+fair_value_gap(OFFSET(T522,0,0,-1*$J$5,-1*$AA$1),OFFSET(E522,0,0,-1*$J$5,1),F523:T523,0)</f>
        <v>16.074558707799603</v>
      </c>
      <c r="V523" s="9" cm="1">
        <f t="array" aca="1" ref="V523" ca="1">z_score_diff(OFFSET(U523,0,0,$J$5*-1,1),OFFSET(E523,0,0,$J$5*-1,1))</f>
        <v>7.7741419792939359E-3</v>
      </c>
      <c r="W523" s="9">
        <f t="shared" ref="W523:W586" ca="1" si="566">+IF(ISERROR(AVERAGE(OFFSET(V523,0,0,$W$5*-1,1))),"",AVERAGE(OFFSET(V523,0,0,$W$5*-1,1)))</f>
        <v>-0.15398665205074008</v>
      </c>
      <c r="X523" s="17">
        <f t="shared" ca="1" si="561"/>
        <v>-6.168839490996577E-2</v>
      </c>
      <c r="Y523" s="13">
        <f t="shared" ref="Y523:Z523" ca="1" si="567">+Y522</f>
        <v>0</v>
      </c>
      <c r="Z523" s="13">
        <f t="shared" ca="1" si="567"/>
        <v>0</v>
      </c>
      <c r="AA523">
        <f t="shared" ref="AA523:AA586" ca="1" si="568">+IF(W523="","",IF(W523&lt;Y523,1,0))</f>
        <v>1</v>
      </c>
      <c r="AB523">
        <f t="shared" ref="AB523:AB586" ca="1" si="569">+IF(W523="","",IF(W523&gt;Z523,1,0))</f>
        <v>0</v>
      </c>
      <c r="AC523" s="24">
        <f t="shared" ref="AC523:AC586" ca="1" si="570">+IF(ISERROR(AA523*X523),"",AA523*X523)</f>
        <v>-6.168839490996577E-2</v>
      </c>
      <c r="AD523" s="24">
        <f t="shared" ref="AD523:AD586" ca="1" si="571">+IF(ISERROR(AB523*X523),"",AB523*X523)</f>
        <v>0</v>
      </c>
    </row>
    <row r="524" spans="3:30" x14ac:dyDescent="0.25">
      <c r="C524" s="6">
        <v>618</v>
      </c>
      <c r="D524" s="36">
        <v>42885</v>
      </c>
      <c r="E524" s="38">
        <v>15.999000000000001</v>
      </c>
      <c r="F524" s="38">
        <v>46.513706167249588</v>
      </c>
      <c r="G524" s="38">
        <v>31.33</v>
      </c>
      <c r="H524" s="38">
        <v>2.5276331190905075</v>
      </c>
      <c r="I524" s="38">
        <v>4.9764145984173602</v>
      </c>
      <c r="J524" s="10">
        <v>0</v>
      </c>
      <c r="K524" s="39">
        <v>0</v>
      </c>
      <c r="L524" s="39">
        <v>0</v>
      </c>
      <c r="M524" s="39">
        <v>0</v>
      </c>
      <c r="N524" s="39">
        <v>1</v>
      </c>
      <c r="O524" s="39">
        <v>0</v>
      </c>
      <c r="P524" s="39">
        <v>0</v>
      </c>
      <c r="Q524" s="39">
        <v>0</v>
      </c>
      <c r="R524" s="39">
        <v>0</v>
      </c>
      <c r="S524" s="39">
        <v>0</v>
      </c>
      <c r="T524" s="39">
        <v>0</v>
      </c>
      <c r="U524" s="29" cm="1">
        <f t="array" aca="1" ref="U524" ca="1">+fair_value_gap(OFFSET(T523,0,0,-1*$J$5,-1*$AA$1),OFFSET(E523,0,0,-1*$J$5,1),F524:T524,0)</f>
        <v>16.153226629651208</v>
      </c>
      <c r="V524" s="9" cm="1">
        <f t="array" aca="1" ref="V524" ca="1">z_score_diff(OFFSET(U524,0,0,$J$5*-1,1),OFFSET(E524,0,0,$J$5*-1,1))</f>
        <v>-6.1873169724438015E-2</v>
      </c>
      <c r="W524" s="9">
        <f t="shared" ca="1" si="566"/>
        <v>-0.14913857403356628</v>
      </c>
      <c r="X524" s="17">
        <f t="shared" ca="1" si="561"/>
        <v>-7.6683562292109778E-2</v>
      </c>
      <c r="Y524" s="13">
        <f t="shared" ref="Y524:Z524" ca="1" si="572">+Y523</f>
        <v>0</v>
      </c>
      <c r="Z524" s="13">
        <f t="shared" ca="1" si="572"/>
        <v>0</v>
      </c>
      <c r="AA524">
        <f t="shared" ca="1" si="568"/>
        <v>1</v>
      </c>
      <c r="AB524">
        <f t="shared" ca="1" si="569"/>
        <v>0</v>
      </c>
      <c r="AC524" s="24">
        <f t="shared" ca="1" si="570"/>
        <v>-7.6683562292109778E-2</v>
      </c>
      <c r="AD524" s="24">
        <f t="shared" ca="1" si="571"/>
        <v>0</v>
      </c>
    </row>
    <row r="525" spans="3:30" x14ac:dyDescent="0.25">
      <c r="C525" s="6">
        <v>619</v>
      </c>
      <c r="D525" s="36">
        <v>42886</v>
      </c>
      <c r="E525" s="38">
        <v>15.478999999999999</v>
      </c>
      <c r="F525" s="38">
        <v>45.283426823760806</v>
      </c>
      <c r="G525" s="38">
        <v>31.76</v>
      </c>
      <c r="H525" s="38">
        <v>2.5004402797563725</v>
      </c>
      <c r="I525" s="38">
        <v>4.9476982523073278</v>
      </c>
      <c r="J525" s="10">
        <v>0</v>
      </c>
      <c r="K525" s="39">
        <v>0</v>
      </c>
      <c r="L525" s="39">
        <v>0</v>
      </c>
      <c r="M525" s="39">
        <v>0</v>
      </c>
      <c r="N525" s="39">
        <v>1</v>
      </c>
      <c r="O525" s="39">
        <v>0</v>
      </c>
      <c r="P525" s="39">
        <v>0</v>
      </c>
      <c r="Q525" s="39">
        <v>0</v>
      </c>
      <c r="R525" s="39">
        <v>0</v>
      </c>
      <c r="S525" s="39">
        <v>0</v>
      </c>
      <c r="T525" s="39">
        <v>0</v>
      </c>
      <c r="U525" s="29" cm="1">
        <f t="array" aca="1" ref="U525" ca="1">+fair_value_gap(OFFSET(T524,0,0,-1*$J$5,-1*$AA$1),OFFSET(E524,0,0,-1*$J$5,1),F525:T525,0)</f>
        <v>16.179684367836167</v>
      </c>
      <c r="V525" s="9" cm="1">
        <f t="array" aca="1" ref="V525" ca="1">z_score_diff(OFFSET(U525,0,0,$J$5*-1,1),OFFSET(E525,0,0,$J$5*-1,1))</f>
        <v>0.31202827600241578</v>
      </c>
      <c r="W525" s="9">
        <f t="shared" ca="1" si="566"/>
        <v>-0.12608023153176717</v>
      </c>
      <c r="X525" s="17">
        <f t="shared" ca="1" si="561"/>
        <v>-4.34391726169625E-2</v>
      </c>
      <c r="Y525" s="13">
        <f t="shared" ref="Y525:Z525" ca="1" si="573">+Y524</f>
        <v>0</v>
      </c>
      <c r="Z525" s="13">
        <f t="shared" ca="1" si="573"/>
        <v>0</v>
      </c>
      <c r="AA525">
        <f t="shared" ca="1" si="568"/>
        <v>1</v>
      </c>
      <c r="AB525">
        <f t="shared" ca="1" si="569"/>
        <v>0</v>
      </c>
      <c r="AC525" s="24">
        <f t="shared" ca="1" si="570"/>
        <v>-4.34391726169625E-2</v>
      </c>
      <c r="AD525" s="24">
        <f t="shared" ca="1" si="571"/>
        <v>0</v>
      </c>
    </row>
    <row r="526" spans="3:30" x14ac:dyDescent="0.25">
      <c r="C526" s="6">
        <v>620</v>
      </c>
      <c r="D526" s="36">
        <v>42887</v>
      </c>
      <c r="E526" s="38">
        <v>15.398999999999999</v>
      </c>
      <c r="F526" s="38">
        <v>45.299994494792337</v>
      </c>
      <c r="G526" s="38">
        <v>31.41</v>
      </c>
      <c r="H526" s="38">
        <v>2.5018110385530568</v>
      </c>
      <c r="I526" s="38">
        <v>4.9153639859800711</v>
      </c>
      <c r="J526" s="10">
        <v>0</v>
      </c>
      <c r="K526" s="39">
        <v>0</v>
      </c>
      <c r="L526" s="39">
        <v>0</v>
      </c>
      <c r="M526" s="39">
        <v>0</v>
      </c>
      <c r="N526" s="39">
        <v>0</v>
      </c>
      <c r="O526" s="39">
        <v>1</v>
      </c>
      <c r="P526" s="39">
        <v>0</v>
      </c>
      <c r="Q526" s="39">
        <v>0</v>
      </c>
      <c r="R526" s="39">
        <v>0</v>
      </c>
      <c r="S526" s="39">
        <v>0</v>
      </c>
      <c r="T526" s="39">
        <v>0</v>
      </c>
      <c r="U526" s="29" cm="1">
        <f t="array" aca="1" ref="U526" ca="1">+fair_value_gap(OFFSET(T525,0,0,-1*$J$5,-1*$AA$1),OFFSET(E525,0,0,-1*$J$5,1),F526:T526,0)</f>
        <v>15.926522269192066</v>
      </c>
      <c r="V526" s="9" cm="1">
        <f t="array" aca="1" ref="V526" ca="1">z_score_diff(OFFSET(U526,0,0,$J$5*-1,1),OFFSET(E526,0,0,$J$5*-1,1))</f>
        <v>0.18762098496322333</v>
      </c>
      <c r="W526" s="9">
        <f t="shared" ca="1" si="566"/>
        <v>-0.11114207836533906</v>
      </c>
      <c r="X526" s="17">
        <f t="shared" ca="1" si="561"/>
        <v>-2.7653352059693839E-2</v>
      </c>
      <c r="Y526" s="13">
        <f t="shared" ref="Y526:Z526" ca="1" si="574">+Y525</f>
        <v>0</v>
      </c>
      <c r="Z526" s="13">
        <f t="shared" ca="1" si="574"/>
        <v>0</v>
      </c>
      <c r="AA526">
        <f t="shared" ca="1" si="568"/>
        <v>1</v>
      </c>
      <c r="AB526">
        <f t="shared" ca="1" si="569"/>
        <v>0</v>
      </c>
      <c r="AC526" s="24">
        <f t="shared" ca="1" si="570"/>
        <v>-2.7653352059693839E-2</v>
      </c>
      <c r="AD526" s="24">
        <f t="shared" ca="1" si="571"/>
        <v>0</v>
      </c>
    </row>
    <row r="527" spans="3:30" x14ac:dyDescent="0.25">
      <c r="C527" s="6">
        <v>621</v>
      </c>
      <c r="D527" s="36">
        <v>42888</v>
      </c>
      <c r="E527" s="38">
        <v>15.353999999999999</v>
      </c>
      <c r="F527" s="38">
        <v>44.567586640848525</v>
      </c>
      <c r="G527" s="38">
        <v>31.77</v>
      </c>
      <c r="H527" s="38">
        <v>2.4943247593454614</v>
      </c>
      <c r="I527" s="38">
        <v>4.8887027077763836</v>
      </c>
      <c r="J527" s="10">
        <v>0</v>
      </c>
      <c r="K527" s="39">
        <v>0</v>
      </c>
      <c r="L527" s="39">
        <v>0</v>
      </c>
      <c r="M527" s="39">
        <v>0</v>
      </c>
      <c r="N527" s="39">
        <v>0</v>
      </c>
      <c r="O527" s="39">
        <v>1</v>
      </c>
      <c r="P527" s="39">
        <v>0</v>
      </c>
      <c r="Q527" s="39">
        <v>0</v>
      </c>
      <c r="R527" s="39">
        <v>0</v>
      </c>
      <c r="S527" s="39">
        <v>0</v>
      </c>
      <c r="T527" s="39">
        <v>0</v>
      </c>
      <c r="U527" s="29" cm="1">
        <f t="array" aca="1" ref="U527" ca="1">+fair_value_gap(OFFSET(T526,0,0,-1*$J$5,-1*$AA$1),OFFSET(E526,0,0,-1*$J$5,1),F527:T527,0)</f>
        <v>15.937682000394327</v>
      </c>
      <c r="V527" s="9" cm="1">
        <f t="array" aca="1" ref="V527" ca="1">z_score_diff(OFFSET(U527,0,0,$J$5*-1,1),OFFSET(E527,0,0,$J$5*-1,1))</f>
        <v>0.22535837864536978</v>
      </c>
      <c r="W527" s="9">
        <f t="shared" ca="1" si="566"/>
        <v>-9.5846603046670475E-2</v>
      </c>
      <c r="X527" s="17">
        <f t="shared" ca="1" si="561"/>
        <v>-1.5225389269628537E-2</v>
      </c>
      <c r="Y527" s="13">
        <f t="shared" ref="Y527:Z527" ca="1" si="575">+Y526</f>
        <v>0</v>
      </c>
      <c r="Z527" s="13">
        <f t="shared" ca="1" si="575"/>
        <v>0</v>
      </c>
      <c r="AA527">
        <f t="shared" ca="1" si="568"/>
        <v>1</v>
      </c>
      <c r="AB527">
        <f t="shared" ca="1" si="569"/>
        <v>0</v>
      </c>
      <c r="AC527" s="24">
        <f t="shared" ca="1" si="570"/>
        <v>-1.5225389269628537E-2</v>
      </c>
      <c r="AD527" s="24">
        <f t="shared" ca="1" si="571"/>
        <v>0</v>
      </c>
    </row>
    <row r="528" spans="3:30" x14ac:dyDescent="0.25">
      <c r="C528" s="6">
        <v>622</v>
      </c>
      <c r="D528" s="36">
        <v>42891</v>
      </c>
      <c r="E528" s="38">
        <v>15.419</v>
      </c>
      <c r="F528" s="38">
        <v>44.464337963801533</v>
      </c>
      <c r="G528" s="38">
        <v>32.18</v>
      </c>
      <c r="H528" s="38">
        <v>2.4905602541416449</v>
      </c>
      <c r="I528" s="38">
        <v>4.9724122556464305</v>
      </c>
      <c r="J528" s="10">
        <v>0</v>
      </c>
      <c r="K528" s="39">
        <v>0</v>
      </c>
      <c r="L528" s="39">
        <v>0</v>
      </c>
      <c r="M528" s="39">
        <v>0</v>
      </c>
      <c r="N528" s="39">
        <v>0</v>
      </c>
      <c r="O528" s="39">
        <v>1</v>
      </c>
      <c r="P528" s="39">
        <v>0</v>
      </c>
      <c r="Q528" s="39">
        <v>0</v>
      </c>
      <c r="R528" s="39">
        <v>0</v>
      </c>
      <c r="S528" s="39">
        <v>0</v>
      </c>
      <c r="T528" s="39">
        <v>0</v>
      </c>
      <c r="U528" s="29" cm="1">
        <f t="array" aca="1" ref="U528" ca="1">+fair_value_gap(OFFSET(T527,0,0,-1*$J$5,-1*$AA$1),OFFSET(E527,0,0,-1*$J$5,1),F528:T528,0)</f>
        <v>16.033890403284374</v>
      </c>
      <c r="V528" s="9" cm="1">
        <f t="array" aca="1" ref="V528" ca="1">z_score_diff(OFFSET(U528,0,0,$J$5*-1,1),OFFSET(E528,0,0,$J$5*-1,1))</f>
        <v>0.2476820556090038</v>
      </c>
      <c r="W528" s="9">
        <f t="shared" ca="1" si="566"/>
        <v>-8.0910574409467251E-2</v>
      </c>
      <c r="X528" s="17">
        <f t="shared" ca="1" si="561"/>
        <v>-7.4862830512638758E-3</v>
      </c>
      <c r="Y528" s="13">
        <f t="shared" ref="Y528:Z528" ca="1" si="576">+Y527</f>
        <v>0</v>
      </c>
      <c r="Z528" s="13">
        <f t="shared" ca="1" si="576"/>
        <v>0</v>
      </c>
      <c r="AA528">
        <f t="shared" ca="1" si="568"/>
        <v>1</v>
      </c>
      <c r="AB528">
        <f t="shared" ca="1" si="569"/>
        <v>0</v>
      </c>
      <c r="AC528" s="24">
        <f t="shared" ca="1" si="570"/>
        <v>-7.4862830512638758E-3</v>
      </c>
      <c r="AD528" s="24">
        <f t="shared" ca="1" si="571"/>
        <v>0</v>
      </c>
    </row>
    <row r="529" spans="3:30" x14ac:dyDescent="0.25">
      <c r="C529" s="6">
        <v>623</v>
      </c>
      <c r="D529" s="36">
        <v>42892</v>
      </c>
      <c r="E529" s="38">
        <v>15.307</v>
      </c>
      <c r="F529" s="38">
        <v>44.638704669112883</v>
      </c>
      <c r="G529" s="38">
        <v>32.58</v>
      </c>
      <c r="H529" s="38">
        <v>2.49924587972151</v>
      </c>
      <c r="I529" s="38">
        <v>4.9550266137087329</v>
      </c>
      <c r="J529" s="10">
        <v>0</v>
      </c>
      <c r="K529" s="39">
        <v>0</v>
      </c>
      <c r="L529" s="39">
        <v>0</v>
      </c>
      <c r="M529" s="39">
        <v>0</v>
      </c>
      <c r="N529" s="39">
        <v>0</v>
      </c>
      <c r="O529" s="39">
        <v>1</v>
      </c>
      <c r="P529" s="39">
        <v>0</v>
      </c>
      <c r="Q529" s="39">
        <v>0</v>
      </c>
      <c r="R529" s="39">
        <v>0</v>
      </c>
      <c r="S529" s="39">
        <v>0</v>
      </c>
      <c r="T529" s="39">
        <v>0</v>
      </c>
      <c r="U529" s="29" cm="1">
        <f t="array" aca="1" ref="U529" ca="1">+fair_value_gap(OFFSET(T528,0,0,-1*$J$5,-1*$AA$1),OFFSET(E528,0,0,-1*$J$5,1),F529:T529,0)</f>
        <v>16.120527838365362</v>
      </c>
      <c r="V529" s="9" cm="1">
        <f t="array" aca="1" ref="V529" ca="1">z_score_diff(OFFSET(U529,0,0,$J$5*-1,1),OFFSET(E529,0,0,$J$5*-1,1))</f>
        <v>0.38237264205443167</v>
      </c>
      <c r="W529" s="9">
        <f t="shared" ca="1" si="566"/>
        <v>-6.1607107056804798E-2</v>
      </c>
      <c r="X529" s="17">
        <f t="shared" ca="1" si="561"/>
        <v>-1.143245040468102E-2</v>
      </c>
      <c r="Y529" s="13">
        <f t="shared" ref="Y529:Z529" ca="1" si="577">+Y528</f>
        <v>0</v>
      </c>
      <c r="Z529" s="13">
        <f t="shared" ca="1" si="577"/>
        <v>0</v>
      </c>
      <c r="AA529">
        <f t="shared" ca="1" si="568"/>
        <v>1</v>
      </c>
      <c r="AB529">
        <f t="shared" ca="1" si="569"/>
        <v>0</v>
      </c>
      <c r="AC529" s="24">
        <f t="shared" ca="1" si="570"/>
        <v>-1.143245040468102E-2</v>
      </c>
      <c r="AD529" s="24">
        <f t="shared" ca="1" si="571"/>
        <v>0</v>
      </c>
    </row>
    <row r="530" spans="3:30" x14ac:dyDescent="0.25">
      <c r="C530" s="6">
        <v>624</v>
      </c>
      <c r="D530" s="36">
        <v>42893</v>
      </c>
      <c r="E530" s="38">
        <v>15.301</v>
      </c>
      <c r="F530" s="38">
        <v>43.425305949040563</v>
      </c>
      <c r="G530" s="38">
        <v>32.299999999999997</v>
      </c>
      <c r="H530" s="38">
        <v>2.5073151790945634</v>
      </c>
      <c r="I530" s="38">
        <v>4.9275708033594547</v>
      </c>
      <c r="J530" s="10">
        <v>0</v>
      </c>
      <c r="K530" s="39">
        <v>0</v>
      </c>
      <c r="L530" s="39">
        <v>0</v>
      </c>
      <c r="M530" s="39">
        <v>0</v>
      </c>
      <c r="N530" s="39">
        <v>0</v>
      </c>
      <c r="O530" s="39">
        <v>1</v>
      </c>
      <c r="P530" s="39">
        <v>0</v>
      </c>
      <c r="Q530" s="39">
        <v>0</v>
      </c>
      <c r="R530" s="39">
        <v>0</v>
      </c>
      <c r="S530" s="39">
        <v>0</v>
      </c>
      <c r="T530" s="39">
        <v>0</v>
      </c>
      <c r="U530" s="29" cm="1">
        <f t="array" aca="1" ref="U530" ca="1">+fair_value_gap(OFFSET(T529,0,0,-1*$J$5,-1*$AA$1),OFFSET(E529,0,0,-1*$J$5,1),F530:T530,0)</f>
        <v>15.929381205396115</v>
      </c>
      <c r="V530" s="9" cm="1">
        <f t="array" aca="1" ref="V530" ca="1">z_score_diff(OFFSET(U530,0,0,$J$5*-1,1),OFFSET(E530,0,0,$J$5*-1,1))</f>
        <v>0.2489630521194528</v>
      </c>
      <c r="W530" s="9">
        <f t="shared" ca="1" si="566"/>
        <v>-4.918430068975449E-2</v>
      </c>
      <c r="X530" s="17">
        <f t="shared" ca="1" si="561"/>
        <v>-7.7418048396257723E-3</v>
      </c>
      <c r="Y530" s="13">
        <f t="shared" ref="Y530:Z530" ca="1" si="578">+Y529</f>
        <v>0</v>
      </c>
      <c r="Z530" s="13">
        <f t="shared" ca="1" si="578"/>
        <v>0</v>
      </c>
      <c r="AA530">
        <f t="shared" ca="1" si="568"/>
        <v>1</v>
      </c>
      <c r="AB530">
        <f t="shared" ca="1" si="569"/>
        <v>0</v>
      </c>
      <c r="AC530" s="24">
        <f t="shared" ca="1" si="570"/>
        <v>-7.7418048396257723E-3</v>
      </c>
      <c r="AD530" s="24">
        <f t="shared" ca="1" si="571"/>
        <v>0</v>
      </c>
    </row>
    <row r="531" spans="3:30" x14ac:dyDescent="0.25">
      <c r="C531" s="6">
        <v>625</v>
      </c>
      <c r="D531" s="36">
        <v>42894</v>
      </c>
      <c r="E531" s="38">
        <v>15.494999999999999</v>
      </c>
      <c r="F531" s="38">
        <v>43.890461710530914</v>
      </c>
      <c r="G531" s="38">
        <v>32.380000000000003</v>
      </c>
      <c r="H531" s="38">
        <v>2.5252525252525255</v>
      </c>
      <c r="I531" s="38">
        <v>4.9980776624375238</v>
      </c>
      <c r="J531" s="10">
        <v>0</v>
      </c>
      <c r="K531" s="39">
        <v>0</v>
      </c>
      <c r="L531" s="39">
        <v>0</v>
      </c>
      <c r="M531" s="39">
        <v>0</v>
      </c>
      <c r="N531" s="39">
        <v>0</v>
      </c>
      <c r="O531" s="39">
        <v>1</v>
      </c>
      <c r="P531" s="39">
        <v>0</v>
      </c>
      <c r="Q531" s="39">
        <v>0</v>
      </c>
      <c r="R531" s="39">
        <v>0</v>
      </c>
      <c r="S531" s="39">
        <v>0</v>
      </c>
      <c r="T531" s="39">
        <v>0</v>
      </c>
      <c r="U531" s="29" cm="1">
        <f t="array" aca="1" ref="U531" ca="1">+fair_value_gap(OFFSET(T530,0,0,-1*$J$5,-1*$AA$1),OFFSET(E530,0,0,-1*$J$5,1),F531:T531,0)</f>
        <v>15.968572366191843</v>
      </c>
      <c r="V531" s="9" cm="1">
        <f t="array" aca="1" ref="V531" ca="1">z_score_diff(OFFSET(U531,0,0,$J$5*-1,1),OFFSET(E531,0,0,$J$5*-1,1))</f>
        <v>0.14243346857843531</v>
      </c>
      <c r="W531" s="9">
        <f t="shared" ca="1" si="566"/>
        <v>-4.1814386487131802E-2</v>
      </c>
      <c r="X531" s="17">
        <f t="shared" ca="1" si="561"/>
        <v>-2.0538619272227616E-2</v>
      </c>
      <c r="Y531" s="13">
        <f t="shared" ref="Y531:Z531" ca="1" si="579">+Y530</f>
        <v>0</v>
      </c>
      <c r="Z531" s="13">
        <f t="shared" ca="1" si="579"/>
        <v>0</v>
      </c>
      <c r="AA531">
        <f t="shared" ca="1" si="568"/>
        <v>1</v>
      </c>
      <c r="AB531">
        <f t="shared" ca="1" si="569"/>
        <v>0</v>
      </c>
      <c r="AC531" s="24">
        <f t="shared" ca="1" si="570"/>
        <v>-2.0538619272227616E-2</v>
      </c>
      <c r="AD531" s="24">
        <f t="shared" ca="1" si="571"/>
        <v>0</v>
      </c>
    </row>
    <row r="532" spans="3:30" x14ac:dyDescent="0.25">
      <c r="C532" s="6">
        <v>626</v>
      </c>
      <c r="D532" s="36">
        <v>42895</v>
      </c>
      <c r="E532" s="38">
        <v>15.273999999999999</v>
      </c>
      <c r="F532" s="38">
        <v>44.080091819662961</v>
      </c>
      <c r="G532" s="38">
        <v>32.869999999999997</v>
      </c>
      <c r="H532" s="38">
        <v>2.5362467924838845</v>
      </c>
      <c r="I532" s="38">
        <v>4.9639348682718767</v>
      </c>
      <c r="J532" s="10">
        <v>0</v>
      </c>
      <c r="K532" s="39">
        <v>0</v>
      </c>
      <c r="L532" s="39">
        <v>0</v>
      </c>
      <c r="M532" s="39">
        <v>0</v>
      </c>
      <c r="N532" s="39">
        <v>0</v>
      </c>
      <c r="O532" s="39">
        <v>1</v>
      </c>
      <c r="P532" s="39">
        <v>0</v>
      </c>
      <c r="Q532" s="39">
        <v>0</v>
      </c>
      <c r="R532" s="39">
        <v>0</v>
      </c>
      <c r="S532" s="39">
        <v>0</v>
      </c>
      <c r="T532" s="39">
        <v>0</v>
      </c>
      <c r="U532" s="29" cm="1">
        <f t="array" aca="1" ref="U532" ca="1">+fair_value_gap(OFFSET(T531,0,0,-1*$J$5,-1*$AA$1),OFFSET(E531,0,0,-1*$J$5,1),F532:T532,0)</f>
        <v>16.012551103382179</v>
      </c>
      <c r="V532" s="9" cm="1">
        <f t="array" aca="1" ref="V532" ca="1">z_score_diff(OFFSET(U532,0,0,$J$5*-1,1),OFFSET(E532,0,0,$J$5*-1,1))</f>
        <v>0.32069359943347497</v>
      </c>
      <c r="W532" s="9">
        <f t="shared" ca="1" si="566"/>
        <v>-2.8388164786368589E-2</v>
      </c>
      <c r="X532" s="17">
        <f t="shared" ca="1" si="561"/>
        <v>-1.7302155193417854E-2</v>
      </c>
      <c r="Y532" s="13">
        <f t="shared" ref="Y532:Z532" ca="1" si="580">+Y531</f>
        <v>0</v>
      </c>
      <c r="Z532" s="13">
        <f t="shared" ca="1" si="580"/>
        <v>0</v>
      </c>
      <c r="AA532">
        <f t="shared" ca="1" si="568"/>
        <v>1</v>
      </c>
      <c r="AB532">
        <f t="shared" ca="1" si="569"/>
        <v>0</v>
      </c>
      <c r="AC532" s="24">
        <f t="shared" ca="1" si="570"/>
        <v>-1.7302155193417854E-2</v>
      </c>
      <c r="AD532" s="24">
        <f t="shared" ca="1" si="571"/>
        <v>0</v>
      </c>
    </row>
    <row r="533" spans="3:30" x14ac:dyDescent="0.25">
      <c r="C533" s="6">
        <v>627</v>
      </c>
      <c r="D533" s="36">
        <v>42898</v>
      </c>
      <c r="E533" s="38">
        <v>15.157</v>
      </c>
      <c r="F533" s="38">
        <v>44.050282212151473</v>
      </c>
      <c r="G533" s="38">
        <v>32.42</v>
      </c>
      <c r="H533" s="38">
        <v>2.5370234007832324</v>
      </c>
      <c r="I533" s="38">
        <v>4.9148815968292885</v>
      </c>
      <c r="J533" s="10">
        <v>0</v>
      </c>
      <c r="K533" s="39">
        <v>0</v>
      </c>
      <c r="L533" s="39">
        <v>0</v>
      </c>
      <c r="M533" s="39">
        <v>0</v>
      </c>
      <c r="N533" s="39">
        <v>0</v>
      </c>
      <c r="O533" s="39">
        <v>1</v>
      </c>
      <c r="P533" s="39">
        <v>0</v>
      </c>
      <c r="Q533" s="39">
        <v>0</v>
      </c>
      <c r="R533" s="39">
        <v>0</v>
      </c>
      <c r="S533" s="39">
        <v>0</v>
      </c>
      <c r="T533" s="39">
        <v>0</v>
      </c>
      <c r="U533" s="29" cm="1">
        <f t="array" aca="1" ref="U533" ca="1">+fair_value_gap(OFFSET(T532,0,0,-1*$J$5,-1*$AA$1),OFFSET(E532,0,0,-1*$J$5,1),F533:T533,0)</f>
        <v>15.786521118915108</v>
      </c>
      <c r="V533" s="9" cm="1">
        <f t="array" aca="1" ref="V533" ca="1">z_score_diff(OFFSET(U533,0,0,$J$5*-1,1),OFFSET(E533,0,0,$J$5*-1,1))</f>
        <v>0.23563388835648225</v>
      </c>
      <c r="W533" s="9">
        <f t="shared" ca="1" si="566"/>
        <v>-1.8958805745552487E-2</v>
      </c>
      <c r="X533" s="17">
        <f t="shared" ca="1" si="561"/>
        <v>-2.0260606402124189E-2</v>
      </c>
      <c r="Y533" s="13">
        <f t="shared" ref="Y533:Z533" ca="1" si="581">+Y532</f>
        <v>0</v>
      </c>
      <c r="Z533" s="13">
        <f t="shared" ca="1" si="581"/>
        <v>0</v>
      </c>
      <c r="AA533">
        <f t="shared" ca="1" si="568"/>
        <v>1</v>
      </c>
      <c r="AB533">
        <f t="shared" ca="1" si="569"/>
        <v>0</v>
      </c>
      <c r="AC533" s="24">
        <f t="shared" ca="1" si="570"/>
        <v>-2.0260606402124189E-2</v>
      </c>
      <c r="AD533" s="24">
        <f t="shared" ca="1" si="571"/>
        <v>0</v>
      </c>
    </row>
    <row r="534" spans="3:30" x14ac:dyDescent="0.25">
      <c r="C534" s="6">
        <v>628</v>
      </c>
      <c r="D534" s="36">
        <v>42899</v>
      </c>
      <c r="E534" s="38">
        <v>15.121</v>
      </c>
      <c r="F534" s="38">
        <v>44.274862542504735</v>
      </c>
      <c r="G534" s="38">
        <v>32.28</v>
      </c>
      <c r="H534" s="38">
        <v>2.5183786571560938</v>
      </c>
      <c r="I534" s="38">
        <v>4.9038890200089158</v>
      </c>
      <c r="J534" s="10">
        <v>0</v>
      </c>
      <c r="K534" s="39">
        <v>0</v>
      </c>
      <c r="L534" s="39">
        <v>0</v>
      </c>
      <c r="M534" s="39">
        <v>0</v>
      </c>
      <c r="N534" s="39">
        <v>0</v>
      </c>
      <c r="O534" s="39">
        <v>1</v>
      </c>
      <c r="P534" s="39">
        <v>0</v>
      </c>
      <c r="Q534" s="39">
        <v>0</v>
      </c>
      <c r="R534" s="39">
        <v>0</v>
      </c>
      <c r="S534" s="39">
        <v>0</v>
      </c>
      <c r="T534" s="39">
        <v>0</v>
      </c>
      <c r="U534" s="29" cm="1">
        <f t="array" aca="1" ref="U534" ca="1">+fair_value_gap(OFFSET(T533,0,0,-1*$J$5,-1*$AA$1),OFFSET(E533,0,0,-1*$J$5,1),F534:T534,0)</f>
        <v>15.641107416836366</v>
      </c>
      <c r="V534" s="9" cm="1">
        <f t="array" aca="1" ref="V534" ca="1">z_score_diff(OFFSET(U534,0,0,$J$5*-1,1),OFFSET(E534,0,0,$J$5*-1,1))</f>
        <v>0.15486901417584198</v>
      </c>
      <c r="W534" s="9">
        <f t="shared" ca="1" si="566"/>
        <v>-1.2964742989642335E-2</v>
      </c>
      <c r="X534" s="17">
        <f t="shared" ca="1" si="561"/>
        <v>-1.244401351702226E-2</v>
      </c>
      <c r="Y534" s="13">
        <f t="shared" ref="Y534:Z534" ca="1" si="582">+Y533</f>
        <v>0</v>
      </c>
      <c r="Z534" s="13">
        <f t="shared" ca="1" si="582"/>
        <v>0</v>
      </c>
      <c r="AA534">
        <f t="shared" ca="1" si="568"/>
        <v>1</v>
      </c>
      <c r="AB534">
        <f t="shared" ca="1" si="569"/>
        <v>0</v>
      </c>
      <c r="AC534" s="24">
        <f t="shared" ca="1" si="570"/>
        <v>-1.244401351702226E-2</v>
      </c>
      <c r="AD534" s="24">
        <f t="shared" ca="1" si="571"/>
        <v>0</v>
      </c>
    </row>
    <row r="535" spans="3:30" x14ac:dyDescent="0.25">
      <c r="C535" s="6">
        <v>629</v>
      </c>
      <c r="D535" s="36">
        <v>42900</v>
      </c>
      <c r="E535" s="38">
        <v>15.119</v>
      </c>
      <c r="F535" s="38">
        <v>43.172846009569312</v>
      </c>
      <c r="G535" s="38">
        <v>32.39</v>
      </c>
      <c r="H535" s="38">
        <v>2.4958482608122123</v>
      </c>
      <c r="I535" s="38">
        <v>4.8746353851355071</v>
      </c>
      <c r="J535" s="10">
        <v>0</v>
      </c>
      <c r="K535" s="39">
        <v>0</v>
      </c>
      <c r="L535" s="39">
        <v>0</v>
      </c>
      <c r="M535" s="39">
        <v>0</v>
      </c>
      <c r="N535" s="39">
        <v>0</v>
      </c>
      <c r="O535" s="39">
        <v>1</v>
      </c>
      <c r="P535" s="39">
        <v>0</v>
      </c>
      <c r="Q535" s="39">
        <v>0</v>
      </c>
      <c r="R535" s="39">
        <v>0</v>
      </c>
      <c r="S535" s="39">
        <v>0</v>
      </c>
      <c r="T535" s="39">
        <v>0</v>
      </c>
      <c r="U535" s="29" cm="1">
        <f t="array" aca="1" ref="U535" ca="1">+fair_value_gap(OFFSET(T534,0,0,-1*$J$5,-1*$AA$1),OFFSET(E534,0,0,-1*$J$5,1),F535:T535,0)</f>
        <v>15.480399427961274</v>
      </c>
      <c r="V535" s="9" cm="1">
        <f t="array" aca="1" ref="V535" ca="1">z_score_diff(OFFSET(U535,0,0,$J$5*-1,1),OFFSET(E535,0,0,$J$5*-1,1))</f>
        <v>4.2437215145311402E-2</v>
      </c>
      <c r="W535" s="9">
        <f t="shared" ca="1" si="566"/>
        <v>-1.1118011051810543E-2</v>
      </c>
      <c r="X535" s="17">
        <f t="shared" ca="1" si="561"/>
        <v>3.301640611471241E-3</v>
      </c>
      <c r="Y535" s="13">
        <f t="shared" ref="Y535:Z535" ca="1" si="583">+Y534</f>
        <v>0</v>
      </c>
      <c r="Z535" s="13">
        <f t="shared" ca="1" si="583"/>
        <v>0</v>
      </c>
      <c r="AA535">
        <f t="shared" ca="1" si="568"/>
        <v>1</v>
      </c>
      <c r="AB535">
        <f t="shared" ca="1" si="569"/>
        <v>0</v>
      </c>
      <c r="AC535" s="24">
        <f t="shared" ca="1" si="570"/>
        <v>3.301640611471241E-3</v>
      </c>
      <c r="AD535" s="24">
        <f t="shared" ca="1" si="571"/>
        <v>0</v>
      </c>
    </row>
    <row r="536" spans="3:30" x14ac:dyDescent="0.25">
      <c r="C536" s="6">
        <v>630</v>
      </c>
      <c r="D536" s="36">
        <v>42901</v>
      </c>
      <c r="E536" s="38">
        <v>15.021000000000001</v>
      </c>
      <c r="F536" s="38">
        <v>43.588729174908785</v>
      </c>
      <c r="G536" s="38">
        <v>32.25</v>
      </c>
      <c r="H536" s="38">
        <v>2.5407710229021054</v>
      </c>
      <c r="I536" s="38">
        <v>4.8353773792254602</v>
      </c>
      <c r="J536" s="10">
        <v>0</v>
      </c>
      <c r="K536" s="39">
        <v>0</v>
      </c>
      <c r="L536" s="39">
        <v>0</v>
      </c>
      <c r="M536" s="39">
        <v>0</v>
      </c>
      <c r="N536" s="39">
        <v>0</v>
      </c>
      <c r="O536" s="39">
        <v>1</v>
      </c>
      <c r="P536" s="39">
        <v>0</v>
      </c>
      <c r="Q536" s="39">
        <v>0</v>
      </c>
      <c r="R536" s="39">
        <v>0</v>
      </c>
      <c r="S536" s="39">
        <v>0</v>
      </c>
      <c r="T536" s="39">
        <v>0</v>
      </c>
      <c r="U536" s="29" cm="1">
        <f t="array" aca="1" ref="U536" ca="1">+fair_value_gap(OFFSET(T535,0,0,-1*$J$5,-1*$AA$1),OFFSET(E535,0,0,-1*$J$5,1),F536:T536,0)</f>
        <v>15.398232134969327</v>
      </c>
      <c r="V536" s="9" cm="1">
        <f t="array" aca="1" ref="V536" ca="1">z_score_diff(OFFSET(U536,0,0,$J$5*-1,1),OFFSET(E536,0,0,$J$5*-1,1))</f>
        <v>5.0944257482544497E-2</v>
      </c>
      <c r="W536" s="9">
        <f t="shared" ca="1" si="566"/>
        <v>4.4427927249070112E-3</v>
      </c>
      <c r="X536" s="17">
        <f t="shared" ca="1" si="561"/>
        <v>7.2963974535162597E-3</v>
      </c>
      <c r="Y536" s="13">
        <f t="shared" ref="Y536:Z536" ca="1" si="584">+Y535</f>
        <v>0</v>
      </c>
      <c r="Z536" s="13">
        <f t="shared" ca="1" si="584"/>
        <v>0</v>
      </c>
      <c r="AA536">
        <f t="shared" ca="1" si="568"/>
        <v>0</v>
      </c>
      <c r="AB536">
        <f t="shared" ca="1" si="569"/>
        <v>1</v>
      </c>
      <c r="AC536" s="24">
        <f t="shared" ca="1" si="570"/>
        <v>0</v>
      </c>
      <c r="AD536" s="24">
        <f t="shared" ca="1" si="571"/>
        <v>7.2963974535162597E-3</v>
      </c>
    </row>
    <row r="537" spans="3:30" x14ac:dyDescent="0.25">
      <c r="C537" s="6">
        <v>631</v>
      </c>
      <c r="D537" s="36">
        <v>42902</v>
      </c>
      <c r="E537" s="38">
        <v>14.993</v>
      </c>
      <c r="F537" s="38">
        <v>43.682916303007119</v>
      </c>
      <c r="G537" s="38">
        <v>32</v>
      </c>
      <c r="H537" s="38">
        <v>2.5176766991472639</v>
      </c>
      <c r="I537" s="38">
        <v>4.6396684650488522</v>
      </c>
      <c r="J537" s="10">
        <v>0</v>
      </c>
      <c r="K537" s="39">
        <v>0</v>
      </c>
      <c r="L537" s="39">
        <v>0</v>
      </c>
      <c r="M537" s="39">
        <v>0</v>
      </c>
      <c r="N537" s="39">
        <v>0</v>
      </c>
      <c r="O537" s="39">
        <v>1</v>
      </c>
      <c r="P537" s="39">
        <v>0</v>
      </c>
      <c r="Q537" s="39">
        <v>0</v>
      </c>
      <c r="R537" s="39">
        <v>0</v>
      </c>
      <c r="S537" s="39">
        <v>0</v>
      </c>
      <c r="T537" s="39">
        <v>0</v>
      </c>
      <c r="U537" s="29" cm="1">
        <f t="array" aca="1" ref="U537" ca="1">+fair_value_gap(OFFSET(T536,0,0,-1*$J$5,-1*$AA$1),OFFSET(E536,0,0,-1*$J$5,1),F537:T537,0)</f>
        <v>15.134873149469488</v>
      </c>
      <c r="V537" s="9" cm="1">
        <f t="array" aca="1" ref="V537" ca="1">z_score_diff(OFFSET(U537,0,0,$J$5*-1,1),OFFSET(E537,0,0,$J$5*-1,1))</f>
        <v>-0.11241462918261469</v>
      </c>
      <c r="W537" s="9">
        <f t="shared" ca="1" si="566"/>
        <v>1.112332466857942E-2</v>
      </c>
      <c r="X537" s="17">
        <f t="shared" ca="1" si="561"/>
        <v>7.045090949566615E-3</v>
      </c>
      <c r="Y537" s="13">
        <f t="shared" ref="Y537:Z537" ca="1" si="585">+Y536</f>
        <v>0</v>
      </c>
      <c r="Z537" s="13">
        <f t="shared" ca="1" si="585"/>
        <v>0</v>
      </c>
      <c r="AA537">
        <f t="shared" ca="1" si="568"/>
        <v>0</v>
      </c>
      <c r="AB537">
        <f t="shared" ca="1" si="569"/>
        <v>1</v>
      </c>
      <c r="AC537" s="24">
        <f t="shared" ca="1" si="570"/>
        <v>0</v>
      </c>
      <c r="AD537" s="24">
        <f t="shared" ca="1" si="571"/>
        <v>7.045090949566615E-3</v>
      </c>
    </row>
    <row r="538" spans="3:30" x14ac:dyDescent="0.25">
      <c r="C538" s="6">
        <v>632</v>
      </c>
      <c r="D538" s="36">
        <v>42905</v>
      </c>
      <c r="E538" s="38">
        <v>15.085000000000001</v>
      </c>
      <c r="F538" s="38">
        <v>43.463127974082091</v>
      </c>
      <c r="G538" s="38">
        <v>32.700000000000003</v>
      </c>
      <c r="H538" s="38">
        <v>2.4715534047142333</v>
      </c>
      <c r="I538" s="38">
        <v>4.6847011547392832</v>
      </c>
      <c r="J538" s="10">
        <v>0</v>
      </c>
      <c r="K538" s="39">
        <v>0</v>
      </c>
      <c r="L538" s="39">
        <v>0</v>
      </c>
      <c r="M538" s="39">
        <v>0</v>
      </c>
      <c r="N538" s="39">
        <v>0</v>
      </c>
      <c r="O538" s="39">
        <v>1</v>
      </c>
      <c r="P538" s="39">
        <v>0</v>
      </c>
      <c r="Q538" s="39">
        <v>0</v>
      </c>
      <c r="R538" s="39">
        <v>0</v>
      </c>
      <c r="S538" s="39">
        <v>0</v>
      </c>
      <c r="T538" s="39">
        <v>0</v>
      </c>
      <c r="U538" s="29" cm="1">
        <f t="array" aca="1" ref="U538" ca="1">+fair_value_gap(OFFSET(T537,0,0,-1*$J$5,-1*$AA$1),OFFSET(E537,0,0,-1*$J$5,1),F538:T538,0)</f>
        <v>15.261281613440691</v>
      </c>
      <c r="V538" s="9" cm="1">
        <f t="array" aca="1" ref="V538" ca="1">z_score_diff(OFFSET(U538,0,0,$J$5*-1,1),OFFSET(E538,0,0,$J$5*-1,1))</f>
        <v>-8.4764522195532654E-2</v>
      </c>
      <c r="W538" s="9">
        <f t="shared" ca="1" si="566"/>
        <v>1.6434573441492104E-2</v>
      </c>
      <c r="X538" s="17">
        <f t="shared" ca="1" si="561"/>
        <v>8.6466331920100475E-3</v>
      </c>
      <c r="Y538" s="13">
        <f t="shared" ref="Y538:Z538" ca="1" si="586">+Y537</f>
        <v>0</v>
      </c>
      <c r="Z538" s="13">
        <f t="shared" ca="1" si="586"/>
        <v>0</v>
      </c>
      <c r="AA538">
        <f t="shared" ca="1" si="568"/>
        <v>0</v>
      </c>
      <c r="AB538">
        <f t="shared" ca="1" si="569"/>
        <v>1</v>
      </c>
      <c r="AC538" s="24">
        <f t="shared" ca="1" si="570"/>
        <v>0</v>
      </c>
      <c r="AD538" s="24">
        <f t="shared" ca="1" si="571"/>
        <v>8.6466331920100475E-3</v>
      </c>
    </row>
    <row r="539" spans="3:30" x14ac:dyDescent="0.25">
      <c r="C539" s="6">
        <v>633</v>
      </c>
      <c r="D539" s="36">
        <v>42906</v>
      </c>
      <c r="E539" s="38">
        <v>15.048999999999999</v>
      </c>
      <c r="F539" s="38">
        <v>42.90341889370093</v>
      </c>
      <c r="G539" s="38">
        <v>32.85</v>
      </c>
      <c r="H539" s="38">
        <v>2.4884687158902858</v>
      </c>
      <c r="I539" s="38">
        <v>4.6829336995176227</v>
      </c>
      <c r="J539" s="10">
        <v>0</v>
      </c>
      <c r="K539" s="39">
        <v>0</v>
      </c>
      <c r="L539" s="39">
        <v>0</v>
      </c>
      <c r="M539" s="39">
        <v>0</v>
      </c>
      <c r="N539" s="39">
        <v>0</v>
      </c>
      <c r="O539" s="39">
        <v>1</v>
      </c>
      <c r="P539" s="39">
        <v>0</v>
      </c>
      <c r="Q539" s="39">
        <v>0</v>
      </c>
      <c r="R539" s="39">
        <v>0</v>
      </c>
      <c r="S539" s="39">
        <v>0</v>
      </c>
      <c r="T539" s="39">
        <v>0</v>
      </c>
      <c r="U539" s="29" cm="1">
        <f t="array" aca="1" ref="U539" ca="1">+fair_value_gap(OFFSET(T538,0,0,-1*$J$5,-1*$AA$1),OFFSET(E538,0,0,-1*$J$5,1),F539:T539,0)</f>
        <v>15.217783322909405</v>
      </c>
      <c r="V539" s="9" cm="1">
        <f t="array" aca="1" ref="V539" ca="1">z_score_diff(OFFSET(U539,0,0,$J$5*-1,1),OFFSET(E539,0,0,$J$5*-1,1))</f>
        <v>-8.9555749621511582E-2</v>
      </c>
      <c r="W539" s="9">
        <f t="shared" ca="1" si="566"/>
        <v>1.9342572451351788E-2</v>
      </c>
      <c r="X539" s="17">
        <f t="shared" ca="1" si="561"/>
        <v>7.3067856716603193E-4</v>
      </c>
      <c r="Y539" s="13">
        <f t="shared" ref="Y539:Z539" ca="1" si="587">+Y538</f>
        <v>0</v>
      </c>
      <c r="Z539" s="13">
        <f t="shared" ca="1" si="587"/>
        <v>0</v>
      </c>
      <c r="AA539">
        <f t="shared" ca="1" si="568"/>
        <v>0</v>
      </c>
      <c r="AB539">
        <f t="shared" ca="1" si="569"/>
        <v>1</v>
      </c>
      <c r="AC539" s="24">
        <f t="shared" ca="1" si="570"/>
        <v>0</v>
      </c>
      <c r="AD539" s="24">
        <f t="shared" ca="1" si="571"/>
        <v>7.3067856716603193E-4</v>
      </c>
    </row>
    <row r="540" spans="3:30" x14ac:dyDescent="0.25">
      <c r="C540" s="6">
        <v>634</v>
      </c>
      <c r="D540" s="36">
        <v>42907</v>
      </c>
      <c r="E540" s="38">
        <v>14.997999999999999</v>
      </c>
      <c r="F540" s="38">
        <v>41.90786061950979</v>
      </c>
      <c r="G540" s="38">
        <v>32.770000000000003</v>
      </c>
      <c r="H540" s="38">
        <v>2.4902535267623285</v>
      </c>
      <c r="I540" s="38">
        <v>4.6681285279688467</v>
      </c>
      <c r="J540" s="10">
        <v>0</v>
      </c>
      <c r="K540" s="39">
        <v>0</v>
      </c>
      <c r="L540" s="39">
        <v>0</v>
      </c>
      <c r="M540" s="39">
        <v>0</v>
      </c>
      <c r="N540" s="39">
        <v>0</v>
      </c>
      <c r="O540" s="39">
        <v>1</v>
      </c>
      <c r="P540" s="39">
        <v>0</v>
      </c>
      <c r="Q540" s="39">
        <v>0</v>
      </c>
      <c r="R540" s="39">
        <v>0</v>
      </c>
      <c r="S540" s="39">
        <v>0</v>
      </c>
      <c r="T540" s="39">
        <v>0</v>
      </c>
      <c r="U540" s="29" cm="1">
        <f t="array" aca="1" ref="U540" ca="1">+fair_value_gap(OFFSET(T539,0,0,-1*$J$5,-1*$AA$1),OFFSET(E539,0,0,-1*$J$5,1),F540:T540,0)</f>
        <v>15.0853207263006</v>
      </c>
      <c r="V540" s="9" cm="1">
        <f t="array" aca="1" ref="V540" ca="1">z_score_diff(OFFSET(U540,0,0,$J$5*-1,1),OFFSET(E540,0,0,$J$5*-1,1))</f>
        <v>-0.14185055373176914</v>
      </c>
      <c r="W540" s="9">
        <f t="shared" ca="1" si="566"/>
        <v>1.9031279860501328E-2</v>
      </c>
      <c r="X540" s="17">
        <f t="shared" ca="1" si="561"/>
        <v>6.5129491870514183E-3</v>
      </c>
      <c r="Y540" s="13">
        <f t="shared" ref="Y540:Z540" ca="1" si="588">+Y539</f>
        <v>0</v>
      </c>
      <c r="Z540" s="13">
        <f t="shared" ca="1" si="588"/>
        <v>0</v>
      </c>
      <c r="AA540">
        <f t="shared" ca="1" si="568"/>
        <v>0</v>
      </c>
      <c r="AB540">
        <f t="shared" ca="1" si="569"/>
        <v>1</v>
      </c>
      <c r="AC540" s="24">
        <f t="shared" ca="1" si="570"/>
        <v>0</v>
      </c>
      <c r="AD540" s="24">
        <f t="shared" ca="1" si="571"/>
        <v>6.5129491870514183E-3</v>
      </c>
    </row>
    <row r="541" spans="3:30" x14ac:dyDescent="0.25">
      <c r="C541" s="6">
        <v>635</v>
      </c>
      <c r="D541" s="36">
        <v>42908</v>
      </c>
      <c r="E541" s="38">
        <v>14.917</v>
      </c>
      <c r="F541" s="38">
        <v>42.073296110592665</v>
      </c>
      <c r="G541" s="38">
        <v>32.57</v>
      </c>
      <c r="H541" s="38">
        <v>2.490303282736416</v>
      </c>
      <c r="I541" s="38">
        <v>4.6572362027180683</v>
      </c>
      <c r="J541" s="10">
        <v>0</v>
      </c>
      <c r="K541" s="39">
        <v>0</v>
      </c>
      <c r="L541" s="39">
        <v>0</v>
      </c>
      <c r="M541" s="39">
        <v>0</v>
      </c>
      <c r="N541" s="39">
        <v>0</v>
      </c>
      <c r="O541" s="39">
        <v>1</v>
      </c>
      <c r="P541" s="39">
        <v>0</v>
      </c>
      <c r="Q541" s="39">
        <v>0</v>
      </c>
      <c r="R541" s="39">
        <v>0</v>
      </c>
      <c r="S541" s="39">
        <v>0</v>
      </c>
      <c r="T541" s="39">
        <v>0</v>
      </c>
      <c r="U541" s="29" cm="1">
        <f t="array" aca="1" ref="U541" ca="1">+fair_value_gap(OFFSET(T540,0,0,-1*$J$5,-1*$AA$1),OFFSET(E540,0,0,-1*$J$5,1),F541:T541,0)</f>
        <v>15.027504379893129</v>
      </c>
      <c r="V541" s="9" cm="1">
        <f t="array" aca="1" ref="V541" ca="1">z_score_diff(OFFSET(U541,0,0,$J$5*-1,1),OFFSET(E541,0,0,$J$5*-1,1))</f>
        <v>-0.12366292653437716</v>
      </c>
      <c r="W541" s="9">
        <f t="shared" ca="1" si="566"/>
        <v>2.146300530777346E-2</v>
      </c>
      <c r="X541" s="17">
        <f t="shared" ca="1" si="561"/>
        <v>1.6818291188647395E-2</v>
      </c>
      <c r="Y541" s="13">
        <f t="shared" ref="Y541:Z541" ca="1" si="589">+Y540</f>
        <v>0</v>
      </c>
      <c r="Z541" s="13">
        <f t="shared" ca="1" si="589"/>
        <v>0</v>
      </c>
      <c r="AA541">
        <f t="shared" ca="1" si="568"/>
        <v>0</v>
      </c>
      <c r="AB541">
        <f t="shared" ca="1" si="569"/>
        <v>1</v>
      </c>
      <c r="AC541" s="24">
        <f t="shared" ca="1" si="570"/>
        <v>0</v>
      </c>
      <c r="AD541" s="24">
        <f t="shared" ca="1" si="571"/>
        <v>1.6818291188647395E-2</v>
      </c>
    </row>
    <row r="542" spans="3:30" x14ac:dyDescent="0.25">
      <c r="C542" s="6">
        <v>636</v>
      </c>
      <c r="D542" s="36">
        <v>42909</v>
      </c>
      <c r="E542" s="38">
        <v>14.946999999999999</v>
      </c>
      <c r="F542" s="38">
        <v>42.091050463728322</v>
      </c>
      <c r="G542" s="38">
        <v>32.56</v>
      </c>
      <c r="H542" s="38">
        <v>2.492889966095996</v>
      </c>
      <c r="I542" s="38">
        <v>4.6407856762587913</v>
      </c>
      <c r="J542" s="10">
        <v>0</v>
      </c>
      <c r="K542" s="39">
        <v>0</v>
      </c>
      <c r="L542" s="39">
        <v>0</v>
      </c>
      <c r="M542" s="39">
        <v>0</v>
      </c>
      <c r="N542" s="39">
        <v>0</v>
      </c>
      <c r="O542" s="39">
        <v>1</v>
      </c>
      <c r="P542" s="39">
        <v>0</v>
      </c>
      <c r="Q542" s="39">
        <v>0</v>
      </c>
      <c r="R542" s="39">
        <v>0</v>
      </c>
      <c r="S542" s="39">
        <v>0</v>
      </c>
      <c r="T542" s="39">
        <v>0</v>
      </c>
      <c r="U542" s="29" cm="1">
        <f t="array" aca="1" ref="U542" ca="1">+fair_value_gap(OFFSET(T541,0,0,-1*$J$5,-1*$AA$1),OFFSET(E541,0,0,-1*$J$5,1),F542:T542,0)</f>
        <v>15.007603828450293</v>
      </c>
      <c r="V542" s="9" cm="1">
        <f t="array" aca="1" ref="V542" ca="1">z_score_diff(OFFSET(U542,0,0,$J$5*-1,1),OFFSET(E542,0,0,$J$5*-1,1))</f>
        <v>-0.15190861201869654</v>
      </c>
      <c r="W542" s="9">
        <f t="shared" ca="1" si="566"/>
        <v>2.1481010316294426E-2</v>
      </c>
      <c r="X542" s="17">
        <f t="shared" ca="1" si="561"/>
        <v>1.8887867245332059E-2</v>
      </c>
      <c r="Y542" s="13">
        <f t="shared" ref="Y542:Z542" ca="1" si="590">+Y541</f>
        <v>0</v>
      </c>
      <c r="Z542" s="13">
        <f t="shared" ca="1" si="590"/>
        <v>0</v>
      </c>
      <c r="AA542">
        <f t="shared" ca="1" si="568"/>
        <v>0</v>
      </c>
      <c r="AB542">
        <f t="shared" ca="1" si="569"/>
        <v>1</v>
      </c>
      <c r="AC542" s="24">
        <f t="shared" ca="1" si="570"/>
        <v>0</v>
      </c>
      <c r="AD542" s="24">
        <f t="shared" ca="1" si="571"/>
        <v>1.8887867245332059E-2</v>
      </c>
    </row>
    <row r="543" spans="3:30" x14ac:dyDescent="0.25">
      <c r="C543" s="6">
        <v>637</v>
      </c>
      <c r="D543" s="36">
        <v>42912</v>
      </c>
      <c r="E543" s="38">
        <v>15.010999999999999</v>
      </c>
      <c r="F543" s="38">
        <v>42.375666062927337</v>
      </c>
      <c r="G543" s="38">
        <v>32.54</v>
      </c>
      <c r="H543" s="38">
        <v>2.5095927957862671</v>
      </c>
      <c r="I543" s="38">
        <v>4.7054864920992516</v>
      </c>
      <c r="J543" s="10">
        <v>0</v>
      </c>
      <c r="K543" s="39">
        <v>0</v>
      </c>
      <c r="L543" s="39">
        <v>0</v>
      </c>
      <c r="M543" s="39">
        <v>0</v>
      </c>
      <c r="N543" s="39">
        <v>0</v>
      </c>
      <c r="O543" s="39">
        <v>1</v>
      </c>
      <c r="P543" s="39">
        <v>0</v>
      </c>
      <c r="Q543" s="39">
        <v>0</v>
      </c>
      <c r="R543" s="39">
        <v>0</v>
      </c>
      <c r="S543" s="39">
        <v>0</v>
      </c>
      <c r="T543" s="39">
        <v>0</v>
      </c>
      <c r="U543" s="29" cm="1">
        <f t="array" aca="1" ref="U543" ca="1">+fair_value_gap(OFFSET(T542,0,0,-1*$J$5,-1*$AA$1),OFFSET(E542,0,0,-1*$J$5,1),F543:T543,0)</f>
        <v>15.0662549025628</v>
      </c>
      <c r="V543" s="9" cm="1">
        <f t="array" aca="1" ref="V543" ca="1">z_score_diff(OFFSET(U543,0,0,$J$5*-1,1),OFFSET(E543,0,0,$J$5*-1,1))</f>
        <v>-0.14843038729298463</v>
      </c>
      <c r="W543" s="9">
        <f t="shared" ca="1" si="566"/>
        <v>2.4678472531138498E-2</v>
      </c>
      <c r="X543" s="17">
        <f t="shared" ca="1" si="561"/>
        <v>2.4934682172748905E-2</v>
      </c>
      <c r="Y543" s="13">
        <f t="shared" ref="Y543:Z543" ca="1" si="591">+Y542</f>
        <v>0</v>
      </c>
      <c r="Z543" s="13">
        <f t="shared" ca="1" si="591"/>
        <v>0</v>
      </c>
      <c r="AA543">
        <f t="shared" ca="1" si="568"/>
        <v>0</v>
      </c>
      <c r="AB543">
        <f t="shared" ca="1" si="569"/>
        <v>1</v>
      </c>
      <c r="AC543" s="24">
        <f t="shared" ca="1" si="570"/>
        <v>0</v>
      </c>
      <c r="AD543" s="24">
        <f t="shared" ca="1" si="571"/>
        <v>2.4934682172748905E-2</v>
      </c>
    </row>
    <row r="544" spans="3:30" x14ac:dyDescent="0.25">
      <c r="C544" s="6">
        <v>638</v>
      </c>
      <c r="D544" s="36">
        <v>42913</v>
      </c>
      <c r="E544" s="38">
        <v>15.061999999999999</v>
      </c>
      <c r="F544" s="38">
        <v>42.547342779269876</v>
      </c>
      <c r="G544" s="38">
        <v>32.67</v>
      </c>
      <c r="H544" s="38">
        <v>2.4731399368445985</v>
      </c>
      <c r="I544" s="38">
        <v>4.7111543711300454</v>
      </c>
      <c r="J544" s="10">
        <v>0</v>
      </c>
      <c r="K544" s="39">
        <v>0</v>
      </c>
      <c r="L544" s="39">
        <v>0</v>
      </c>
      <c r="M544" s="39">
        <v>0</v>
      </c>
      <c r="N544" s="39">
        <v>0</v>
      </c>
      <c r="O544" s="39">
        <v>1</v>
      </c>
      <c r="P544" s="39">
        <v>0</v>
      </c>
      <c r="Q544" s="39">
        <v>0</v>
      </c>
      <c r="R544" s="39">
        <v>0</v>
      </c>
      <c r="S544" s="39">
        <v>0</v>
      </c>
      <c r="T544" s="39">
        <v>0</v>
      </c>
      <c r="U544" s="29" cm="1">
        <f t="array" aca="1" ref="U544" ca="1">+fair_value_gap(OFFSET(T543,0,0,-1*$J$5,-1*$AA$1),OFFSET(E543,0,0,-1*$J$5,1),F544:T544,0)</f>
        <v>15.096377756135192</v>
      </c>
      <c r="V544" s="9" cm="1">
        <f t="array" aca="1" ref="V544" ca="1">z_score_diff(OFFSET(U544,0,0,$J$5*-1,1),OFFSET(E544,0,0,$J$5*-1,1))</f>
        <v>-0.15743146873614999</v>
      </c>
      <c r="W544" s="9">
        <f t="shared" ca="1" si="566"/>
        <v>2.5035160018923839E-2</v>
      </c>
      <c r="X544" s="17">
        <f t="shared" ca="1" si="561"/>
        <v>1.4173413704425684E-2</v>
      </c>
      <c r="Y544" s="13">
        <f t="shared" ref="Y544:Z544" ca="1" si="592">+Y543</f>
        <v>0</v>
      </c>
      <c r="Z544" s="13">
        <f t="shared" ca="1" si="592"/>
        <v>0</v>
      </c>
      <c r="AA544">
        <f t="shared" ca="1" si="568"/>
        <v>0</v>
      </c>
      <c r="AB544">
        <f t="shared" ca="1" si="569"/>
        <v>1</v>
      </c>
      <c r="AC544" s="24">
        <f t="shared" ca="1" si="570"/>
        <v>0</v>
      </c>
      <c r="AD544" s="24">
        <f t="shared" ca="1" si="571"/>
        <v>1.4173413704425684E-2</v>
      </c>
    </row>
    <row r="545" spans="3:30" x14ac:dyDescent="0.25">
      <c r="C545" s="6">
        <v>639</v>
      </c>
      <c r="D545" s="36">
        <v>42914</v>
      </c>
      <c r="E545" s="38">
        <v>15.146000000000001</v>
      </c>
      <c r="F545" s="38">
        <v>42.816537467700257</v>
      </c>
      <c r="G545" s="38">
        <v>32.770000000000003</v>
      </c>
      <c r="H545" s="38">
        <v>2.4625322997416021</v>
      </c>
      <c r="I545" s="38">
        <v>4.6942291128337637</v>
      </c>
      <c r="J545" s="10">
        <v>0</v>
      </c>
      <c r="K545" s="39">
        <v>0</v>
      </c>
      <c r="L545" s="39">
        <v>0</v>
      </c>
      <c r="M545" s="39">
        <v>0</v>
      </c>
      <c r="N545" s="39">
        <v>0</v>
      </c>
      <c r="O545" s="39">
        <v>1</v>
      </c>
      <c r="P545" s="39">
        <v>0</v>
      </c>
      <c r="Q545" s="39">
        <v>0</v>
      </c>
      <c r="R545" s="39">
        <v>0</v>
      </c>
      <c r="S545" s="39">
        <v>0</v>
      </c>
      <c r="T545" s="39">
        <v>0</v>
      </c>
      <c r="U545" s="29" cm="1">
        <f t="array" aca="1" ref="U545" ca="1">+fair_value_gap(OFFSET(T544,0,0,-1*$J$5,-1*$AA$1),OFFSET(E544,0,0,-1*$J$5,1),F545:T545,0)</f>
        <v>15.118656379672945</v>
      </c>
      <c r="V545" s="9" cm="1">
        <f t="array" aca="1" ref="V545" ca="1">z_score_diff(OFFSET(U545,0,0,$J$5*-1,1),OFFSET(E545,0,0,$J$5*-1,1))</f>
        <v>-0.19278743140062082</v>
      </c>
      <c r="W545" s="9">
        <f t="shared" ca="1" si="566"/>
        <v>2.6449443952755235E-2</v>
      </c>
      <c r="X545" s="17">
        <f t="shared" ca="1" si="561"/>
        <v>2.3555064190380972E-2</v>
      </c>
      <c r="Y545" s="13">
        <f t="shared" ref="Y545:Z545" ca="1" si="593">+Y544</f>
        <v>0</v>
      </c>
      <c r="Z545" s="13">
        <f t="shared" ca="1" si="593"/>
        <v>0</v>
      </c>
      <c r="AA545">
        <f t="shared" ca="1" si="568"/>
        <v>0</v>
      </c>
      <c r="AB545">
        <f t="shared" ca="1" si="569"/>
        <v>1</v>
      </c>
      <c r="AC545" s="24">
        <f t="shared" ca="1" si="570"/>
        <v>0</v>
      </c>
      <c r="AD545" s="24">
        <f t="shared" ca="1" si="571"/>
        <v>2.3555064190380972E-2</v>
      </c>
    </row>
    <row r="546" spans="3:30" x14ac:dyDescent="0.25">
      <c r="C546" s="6">
        <v>640</v>
      </c>
      <c r="D546" s="36">
        <v>42915</v>
      </c>
      <c r="E546" s="38">
        <v>15.029</v>
      </c>
      <c r="F546" s="38">
        <v>42.789223454833596</v>
      </c>
      <c r="G546" s="38">
        <v>32.74</v>
      </c>
      <c r="H546" s="38">
        <v>2.4559900629631213</v>
      </c>
      <c r="I546" s="38">
        <v>4.6429948173212825</v>
      </c>
      <c r="J546" s="10">
        <v>0</v>
      </c>
      <c r="K546" s="39">
        <v>0</v>
      </c>
      <c r="L546" s="39">
        <v>0</v>
      </c>
      <c r="M546" s="39">
        <v>0</v>
      </c>
      <c r="N546" s="39">
        <v>0</v>
      </c>
      <c r="O546" s="39">
        <v>1</v>
      </c>
      <c r="P546" s="39">
        <v>0</v>
      </c>
      <c r="Q546" s="39">
        <v>0</v>
      </c>
      <c r="R546" s="39">
        <v>0</v>
      </c>
      <c r="S546" s="39">
        <v>0</v>
      </c>
      <c r="T546" s="39">
        <v>0</v>
      </c>
      <c r="U546" s="29" cm="1">
        <f t="array" aca="1" ref="U546" ca="1">+fair_value_gap(OFFSET(T545,0,0,-1*$J$5,-1*$AA$1),OFFSET(E545,0,0,-1*$J$5,1),F546:T546,0)</f>
        <v>15.071092227345684</v>
      </c>
      <c r="V546" s="9" cm="1">
        <f t="array" aca="1" ref="V546" ca="1">z_score_diff(OFFSET(U546,0,0,$J$5*-1,1),OFFSET(E546,0,0,$J$5*-1,1))</f>
        <v>-0.14399335192391782</v>
      </c>
      <c r="W546" s="9">
        <f t="shared" ca="1" si="566"/>
        <v>2.8920706136365135E-2</v>
      </c>
      <c r="X546" s="17">
        <f t="shared" ca="1" si="561"/>
        <v>3.9914003740147308E-2</v>
      </c>
      <c r="Y546" s="13">
        <f t="shared" ref="Y546:Z546" ca="1" si="594">+Y545</f>
        <v>0</v>
      </c>
      <c r="Z546" s="13">
        <f t="shared" ca="1" si="594"/>
        <v>0</v>
      </c>
      <c r="AA546">
        <f t="shared" ca="1" si="568"/>
        <v>0</v>
      </c>
      <c r="AB546">
        <f t="shared" ca="1" si="569"/>
        <v>1</v>
      </c>
      <c r="AC546" s="24">
        <f t="shared" ca="1" si="570"/>
        <v>0</v>
      </c>
      <c r="AD546" s="24">
        <f t="shared" ca="1" si="571"/>
        <v>3.9914003740147308E-2</v>
      </c>
    </row>
    <row r="547" spans="3:30" x14ac:dyDescent="0.25">
      <c r="C547" s="6">
        <v>641</v>
      </c>
      <c r="D547" s="36">
        <v>42916</v>
      </c>
      <c r="E547" s="38">
        <v>14.977</v>
      </c>
      <c r="F547" s="38">
        <v>43.742760307177477</v>
      </c>
      <c r="G547" s="38">
        <v>31.71</v>
      </c>
      <c r="H547" s="38">
        <v>2.4625681067398859</v>
      </c>
      <c r="I547" s="38">
        <v>4.6419837830880777</v>
      </c>
      <c r="J547" s="10">
        <v>0</v>
      </c>
      <c r="K547" s="39">
        <v>0</v>
      </c>
      <c r="L547" s="39">
        <v>0</v>
      </c>
      <c r="M547" s="39">
        <v>0</v>
      </c>
      <c r="N547" s="39">
        <v>0</v>
      </c>
      <c r="O547" s="39">
        <v>1</v>
      </c>
      <c r="P547" s="39">
        <v>0</v>
      </c>
      <c r="Q547" s="39">
        <v>0</v>
      </c>
      <c r="R547" s="39">
        <v>0</v>
      </c>
      <c r="S547" s="39">
        <v>0</v>
      </c>
      <c r="T547" s="39">
        <v>0</v>
      </c>
      <c r="U547" s="29" cm="1">
        <f t="array" aca="1" ref="U547" ca="1">+fair_value_gap(OFFSET(T546,0,0,-1*$J$5,-1*$AA$1),OFFSET(E546,0,0,-1*$J$5,1),F547:T547,0)</f>
        <v>14.845449369724872</v>
      </c>
      <c r="V547" s="9" cm="1">
        <f t="array" aca="1" ref="V547" ca="1">z_score_diff(OFFSET(U547,0,0,$J$5*-1,1),OFFSET(E547,0,0,$J$5*-1,1))</f>
        <v>-0.25847952836290311</v>
      </c>
      <c r="W547" s="9">
        <f t="shared" ca="1" si="566"/>
        <v>2.2528234290883974E-2</v>
      </c>
      <c r="X547" s="17">
        <f t="shared" ca="1" si="561"/>
        <v>4.803634374337136E-2</v>
      </c>
      <c r="Y547" s="13">
        <f t="shared" ref="Y547:Z547" ca="1" si="595">+Y546</f>
        <v>0</v>
      </c>
      <c r="Z547" s="13">
        <f t="shared" ca="1" si="595"/>
        <v>0</v>
      </c>
      <c r="AA547">
        <f t="shared" ca="1" si="568"/>
        <v>0</v>
      </c>
      <c r="AB547">
        <f t="shared" ca="1" si="569"/>
        <v>1</v>
      </c>
      <c r="AC547" s="24">
        <f t="shared" ca="1" si="570"/>
        <v>0</v>
      </c>
      <c r="AD547" s="24">
        <f t="shared" ca="1" si="571"/>
        <v>4.803634374337136E-2</v>
      </c>
    </row>
    <row r="548" spans="3:30" x14ac:dyDescent="0.25">
      <c r="C548" s="6">
        <v>642</v>
      </c>
      <c r="D548" s="36">
        <v>42919</v>
      </c>
      <c r="E548" s="38">
        <v>15.215999999999999</v>
      </c>
      <c r="F548" s="38">
        <v>44.91986358437741</v>
      </c>
      <c r="G548" s="38">
        <v>32.07</v>
      </c>
      <c r="H548" s="38">
        <v>2.4564472251979046</v>
      </c>
      <c r="I548" s="38">
        <v>4.7352160345282641</v>
      </c>
      <c r="J548" s="10">
        <v>0</v>
      </c>
      <c r="K548" s="39">
        <v>0</v>
      </c>
      <c r="L548" s="39">
        <v>0</v>
      </c>
      <c r="M548" s="39">
        <v>0</v>
      </c>
      <c r="N548" s="39">
        <v>0</v>
      </c>
      <c r="O548" s="39">
        <v>0</v>
      </c>
      <c r="P548" s="39">
        <v>1</v>
      </c>
      <c r="Q548" s="39">
        <v>0</v>
      </c>
      <c r="R548" s="39">
        <v>0</v>
      </c>
      <c r="S548" s="39">
        <v>0</v>
      </c>
      <c r="T548" s="39">
        <v>0</v>
      </c>
      <c r="U548" s="29" cm="1">
        <f t="array" aca="1" ref="U548" ca="1">+fair_value_gap(OFFSET(T547,0,0,-1*$J$5,-1*$AA$1),OFFSET(E547,0,0,-1*$J$5,1),F548:T548,0)</f>
        <v>15.672078721006695</v>
      </c>
      <c r="V548" s="9" cm="1">
        <f t="array" aca="1" ref="V548" ca="1">z_score_diff(OFFSET(U548,0,0,$J$5*-1,1),OFFSET(E548,0,0,$J$5*-1,1))</f>
        <v>0.1478683735370957</v>
      </c>
      <c r="W548" s="9">
        <f t="shared" ca="1" si="566"/>
        <v>2.9859073458780763E-2</v>
      </c>
      <c r="X548" s="17">
        <f t="shared" ca="1" si="561"/>
        <v>2.396140741626604E-2</v>
      </c>
      <c r="Y548" s="13">
        <f t="shared" ref="Y548:Z548" ca="1" si="596">+Y547</f>
        <v>0</v>
      </c>
      <c r="Z548" s="13">
        <f t="shared" ca="1" si="596"/>
        <v>0</v>
      </c>
      <c r="AA548">
        <f t="shared" ca="1" si="568"/>
        <v>0</v>
      </c>
      <c r="AB548">
        <f t="shared" ca="1" si="569"/>
        <v>1</v>
      </c>
      <c r="AC548" s="24">
        <f t="shared" ca="1" si="570"/>
        <v>0</v>
      </c>
      <c r="AD548" s="24">
        <f t="shared" ca="1" si="571"/>
        <v>2.396140741626604E-2</v>
      </c>
    </row>
    <row r="549" spans="3:30" x14ac:dyDescent="0.25">
      <c r="C549" s="6">
        <v>643</v>
      </c>
      <c r="D549" s="36">
        <v>42920</v>
      </c>
      <c r="E549" s="38">
        <v>15.083</v>
      </c>
      <c r="F549" s="38">
        <v>44.853080896197895</v>
      </c>
      <c r="G549" s="38">
        <v>32.159999999999997</v>
      </c>
      <c r="H549" s="38">
        <v>2.4598801153932524</v>
      </c>
      <c r="I549" s="38">
        <v>4.7418335089567965</v>
      </c>
      <c r="J549" s="10">
        <v>0</v>
      </c>
      <c r="K549" s="39">
        <v>0</v>
      </c>
      <c r="L549" s="39">
        <v>0</v>
      </c>
      <c r="M549" s="39">
        <v>0</v>
      </c>
      <c r="N549" s="39">
        <v>0</v>
      </c>
      <c r="O549" s="39">
        <v>0</v>
      </c>
      <c r="P549" s="39">
        <v>1</v>
      </c>
      <c r="Q549" s="39">
        <v>0</v>
      </c>
      <c r="R549" s="39">
        <v>0</v>
      </c>
      <c r="S549" s="39">
        <v>0</v>
      </c>
      <c r="T549" s="39">
        <v>0</v>
      </c>
      <c r="U549" s="29" cm="1">
        <f t="array" aca="1" ref="U549" ca="1">+fair_value_gap(OFFSET(T548,0,0,-1*$J$5,-1*$AA$1),OFFSET(E548,0,0,-1*$J$5,1),F549:T549,0)</f>
        <v>15.654510190277984</v>
      </c>
      <c r="V549" s="9" cm="1">
        <f t="array" aca="1" ref="V549" ca="1">z_score_diff(OFFSET(U549,0,0,$J$5*-1,1),OFFSET(E549,0,0,$J$5*-1,1))</f>
        <v>0.22351417034136711</v>
      </c>
      <c r="W549" s="9">
        <f t="shared" ca="1" si="566"/>
        <v>3.8834748355017532E-2</v>
      </c>
      <c r="X549" s="17">
        <f t="shared" ca="1" si="561"/>
        <v>1.8719143680140229E-2</v>
      </c>
      <c r="Y549" s="13">
        <f t="shared" ref="Y549:Z549" ca="1" si="597">+Y548</f>
        <v>0</v>
      </c>
      <c r="Z549" s="13">
        <f t="shared" ca="1" si="597"/>
        <v>0</v>
      </c>
      <c r="AA549">
        <f t="shared" ca="1" si="568"/>
        <v>0</v>
      </c>
      <c r="AB549">
        <f t="shared" ca="1" si="569"/>
        <v>1</v>
      </c>
      <c r="AC549" s="24">
        <f t="shared" ca="1" si="570"/>
        <v>0</v>
      </c>
      <c r="AD549" s="24">
        <f t="shared" ca="1" si="571"/>
        <v>1.8719143680140229E-2</v>
      </c>
    </row>
    <row r="550" spans="3:30" x14ac:dyDescent="0.25">
      <c r="C550" s="6">
        <v>644</v>
      </c>
      <c r="D550" s="36">
        <v>42921</v>
      </c>
      <c r="E550" s="38">
        <v>15.023999999999999</v>
      </c>
      <c r="F550" s="38">
        <v>43.548442787100342</v>
      </c>
      <c r="G550" s="38">
        <v>32.35</v>
      </c>
      <c r="H550" s="38">
        <v>2.4169601546854498</v>
      </c>
      <c r="I550" s="38">
        <v>4.6958083005317315</v>
      </c>
      <c r="J550" s="10">
        <v>0</v>
      </c>
      <c r="K550" s="39">
        <v>0</v>
      </c>
      <c r="L550" s="39">
        <v>0</v>
      </c>
      <c r="M550" s="39">
        <v>0</v>
      </c>
      <c r="N550" s="39">
        <v>0</v>
      </c>
      <c r="O550" s="39">
        <v>0</v>
      </c>
      <c r="P550" s="39">
        <v>1</v>
      </c>
      <c r="Q550" s="39">
        <v>0</v>
      </c>
      <c r="R550" s="39">
        <v>0</v>
      </c>
      <c r="S550" s="39">
        <v>0</v>
      </c>
      <c r="T550" s="39">
        <v>0</v>
      </c>
      <c r="U550" s="29" cm="1">
        <f t="array" aca="1" ref="U550" ca="1">+fair_value_gap(OFFSET(T549,0,0,-1*$J$5,-1*$AA$1),OFFSET(E549,0,0,-1*$J$5,1),F550:T550,0)</f>
        <v>15.538802473104635</v>
      </c>
      <c r="V550" s="9" cm="1">
        <f t="array" aca="1" ref="V550" ca="1">z_score_diff(OFFSET(U550,0,0,$J$5*-1,1),OFFSET(E550,0,0,$J$5*-1,1))</f>
        <v>0.18171811469585042</v>
      </c>
      <c r="W550" s="9">
        <f t="shared" ca="1" si="566"/>
        <v>4.6219364250907884E-2</v>
      </c>
      <c r="X550" s="17">
        <f t="shared" ca="1" si="561"/>
        <v>3.6339117976695152E-2</v>
      </c>
      <c r="Y550" s="13">
        <f t="shared" ref="Y550:Z550" ca="1" si="598">+Y549</f>
        <v>0</v>
      </c>
      <c r="Z550" s="13">
        <f t="shared" ca="1" si="598"/>
        <v>0</v>
      </c>
      <c r="AA550">
        <f t="shared" ca="1" si="568"/>
        <v>0</v>
      </c>
      <c r="AB550">
        <f t="shared" ca="1" si="569"/>
        <v>1</v>
      </c>
      <c r="AC550" s="24">
        <f t="shared" ca="1" si="570"/>
        <v>0</v>
      </c>
      <c r="AD550" s="24">
        <f t="shared" ca="1" si="571"/>
        <v>3.6339117976695152E-2</v>
      </c>
    </row>
    <row r="551" spans="3:30" x14ac:dyDescent="0.25">
      <c r="C551" s="6">
        <v>645</v>
      </c>
      <c r="D551" s="36">
        <v>42922</v>
      </c>
      <c r="E551" s="38">
        <v>15.108000000000001</v>
      </c>
      <c r="F551" s="38">
        <v>43.444100780021024</v>
      </c>
      <c r="G551" s="38">
        <v>32.42</v>
      </c>
      <c r="H551" s="38">
        <v>2.4119409949342376</v>
      </c>
      <c r="I551" s="38">
        <v>4.6660593927604035</v>
      </c>
      <c r="J551" s="10">
        <v>0</v>
      </c>
      <c r="K551" s="39">
        <v>0</v>
      </c>
      <c r="L551" s="39">
        <v>0</v>
      </c>
      <c r="M551" s="39">
        <v>0</v>
      </c>
      <c r="N551" s="39">
        <v>0</v>
      </c>
      <c r="O551" s="39">
        <v>0</v>
      </c>
      <c r="P551" s="39">
        <v>1</v>
      </c>
      <c r="Q551" s="39">
        <v>0</v>
      </c>
      <c r="R551" s="39">
        <v>0</v>
      </c>
      <c r="S551" s="39">
        <v>0</v>
      </c>
      <c r="T551" s="39">
        <v>0</v>
      </c>
      <c r="U551" s="29" cm="1">
        <f t="array" aca="1" ref="U551" ca="1">+fair_value_gap(OFFSET(T550,0,0,-1*$J$5,-1*$AA$1),OFFSET(E550,0,0,-1*$J$5,1),F551:T551,0)</f>
        <v>15.425365698133248</v>
      </c>
      <c r="V551" s="9" cm="1">
        <f t="array" aca="1" ref="V551" ca="1">z_score_diff(OFFSET(U551,0,0,$J$5*-1,1),OFFSET(E551,0,0,$J$5*-1,1))</f>
        <v>5.0270533402217543E-2</v>
      </c>
      <c r="W551" s="9">
        <f t="shared" ca="1" si="566"/>
        <v>4.9844702448608495E-2</v>
      </c>
      <c r="X551" s="17">
        <f t="shared" ca="1" si="561"/>
        <v>3.2495126710205997E-2</v>
      </c>
      <c r="Y551" s="13">
        <f t="shared" ref="Y551:Z551" ca="1" si="599">+Y550</f>
        <v>0</v>
      </c>
      <c r="Z551" s="13">
        <f t="shared" ca="1" si="599"/>
        <v>0</v>
      </c>
      <c r="AA551">
        <f t="shared" ca="1" si="568"/>
        <v>0</v>
      </c>
      <c r="AB551">
        <f t="shared" ca="1" si="569"/>
        <v>1</v>
      </c>
      <c r="AC551" s="24">
        <f t="shared" ca="1" si="570"/>
        <v>0</v>
      </c>
      <c r="AD551" s="24">
        <f t="shared" ca="1" si="571"/>
        <v>3.2495126710205997E-2</v>
      </c>
    </row>
    <row r="552" spans="3:30" x14ac:dyDescent="0.25">
      <c r="C552" s="6">
        <v>646</v>
      </c>
      <c r="D552" s="36">
        <v>42923</v>
      </c>
      <c r="E552" s="38">
        <v>14.95</v>
      </c>
      <c r="F552" s="38">
        <v>42.42605523638602</v>
      </c>
      <c r="G552" s="38">
        <v>32.53</v>
      </c>
      <c r="H552" s="38">
        <v>2.416978673515346</v>
      </c>
      <c r="I552" s="38">
        <v>4.6328289652374517</v>
      </c>
      <c r="J552" s="10">
        <v>0</v>
      </c>
      <c r="K552" s="39">
        <v>0</v>
      </c>
      <c r="L552" s="39">
        <v>0</v>
      </c>
      <c r="M552" s="39">
        <v>0</v>
      </c>
      <c r="N552" s="39">
        <v>0</v>
      </c>
      <c r="O552" s="39">
        <v>0</v>
      </c>
      <c r="P552" s="39">
        <v>1</v>
      </c>
      <c r="Q552" s="39">
        <v>0</v>
      </c>
      <c r="R552" s="39">
        <v>0</v>
      </c>
      <c r="S552" s="39">
        <v>0</v>
      </c>
      <c r="T552" s="39">
        <v>0</v>
      </c>
      <c r="U552" s="29" cm="1">
        <f t="array" aca="1" ref="U552" ca="1">+fair_value_gap(OFFSET(T551,0,0,-1*$J$5,-1*$AA$1),OFFSET(E551,0,0,-1*$J$5,1),F552:T552,0)</f>
        <v>15.350227899013333</v>
      </c>
      <c r="V552" s="9" cm="1">
        <f t="array" aca="1" ref="V552" ca="1">z_score_diff(OFFSET(U552,0,0,$J$5*-1,1),OFFSET(E552,0,0,$J$5*-1,1))</f>
        <v>0.10173880478020259</v>
      </c>
      <c r="W552" s="9">
        <f t="shared" ca="1" si="566"/>
        <v>5.3225621352549962E-2</v>
      </c>
      <c r="X552" s="17">
        <f t="shared" ca="1" si="561"/>
        <v>3.328597763346676E-2</v>
      </c>
      <c r="Y552" s="13">
        <f t="shared" ref="Y552:Z552" ca="1" si="600">+Y551</f>
        <v>0</v>
      </c>
      <c r="Z552" s="13">
        <f t="shared" ca="1" si="600"/>
        <v>0</v>
      </c>
      <c r="AA552">
        <f t="shared" ca="1" si="568"/>
        <v>0</v>
      </c>
      <c r="AB552">
        <f t="shared" ca="1" si="569"/>
        <v>1</v>
      </c>
      <c r="AC552" s="24">
        <f t="shared" ca="1" si="570"/>
        <v>0</v>
      </c>
      <c r="AD552" s="24">
        <f t="shared" ca="1" si="571"/>
        <v>3.328597763346676E-2</v>
      </c>
    </row>
    <row r="553" spans="3:30" x14ac:dyDescent="0.25">
      <c r="C553" s="6">
        <v>647</v>
      </c>
      <c r="D553" s="36">
        <v>42926</v>
      </c>
      <c r="E553" s="38">
        <v>14.867000000000001</v>
      </c>
      <c r="F553" s="38">
        <v>42.771673202063695</v>
      </c>
      <c r="G553" s="38">
        <v>32.450000000000003</v>
      </c>
      <c r="H553" s="38">
        <v>2.4399197697981263</v>
      </c>
      <c r="I553" s="38">
        <v>4.6210601700722087</v>
      </c>
      <c r="J553" s="10">
        <v>0</v>
      </c>
      <c r="K553" s="39">
        <v>0</v>
      </c>
      <c r="L553" s="39">
        <v>0</v>
      </c>
      <c r="M553" s="39">
        <v>0</v>
      </c>
      <c r="N553" s="39">
        <v>0</v>
      </c>
      <c r="O553" s="39">
        <v>0</v>
      </c>
      <c r="P553" s="39">
        <v>1</v>
      </c>
      <c r="Q553" s="39">
        <v>0</v>
      </c>
      <c r="R553" s="39">
        <v>0</v>
      </c>
      <c r="S553" s="39">
        <v>0</v>
      </c>
      <c r="T553" s="39">
        <v>0</v>
      </c>
      <c r="U553" s="29" cm="1">
        <f t="array" aca="1" ref="U553" ca="1">+fair_value_gap(OFFSET(T552,0,0,-1*$J$5,-1*$AA$1),OFFSET(E552,0,0,-1*$J$5,1),F553:T553,0)</f>
        <v>15.299792894222387</v>
      </c>
      <c r="V553" s="9" cm="1">
        <f t="array" aca="1" ref="V553" ca="1">z_score_diff(OFFSET(U553,0,0,$J$5*-1,1),OFFSET(E553,0,0,$J$5*-1,1))</f>
        <v>0.11997140645975857</v>
      </c>
      <c r="W553" s="9">
        <f t="shared" ca="1" si="566"/>
        <v>5.6965530168565433E-2</v>
      </c>
      <c r="X553" s="17">
        <f t="shared" ca="1" si="561"/>
        <v>3.5872657700810523E-2</v>
      </c>
      <c r="Y553" s="13">
        <f t="shared" ref="Y553:Z553" ca="1" si="601">+Y552</f>
        <v>0</v>
      </c>
      <c r="Z553" s="13">
        <f t="shared" ca="1" si="601"/>
        <v>0</v>
      </c>
      <c r="AA553">
        <f t="shared" ca="1" si="568"/>
        <v>0</v>
      </c>
      <c r="AB553">
        <f t="shared" ca="1" si="569"/>
        <v>1</v>
      </c>
      <c r="AC553" s="24">
        <f t="shared" ca="1" si="570"/>
        <v>0</v>
      </c>
      <c r="AD553" s="24">
        <f t="shared" ca="1" si="571"/>
        <v>3.5872657700810523E-2</v>
      </c>
    </row>
    <row r="554" spans="3:30" x14ac:dyDescent="0.25">
      <c r="C554" s="6">
        <v>648</v>
      </c>
      <c r="D554" s="36">
        <v>42927</v>
      </c>
      <c r="E554" s="38">
        <v>14.818</v>
      </c>
      <c r="F554" s="38">
        <v>42.997443233544502</v>
      </c>
      <c r="G554" s="38">
        <v>32.21</v>
      </c>
      <c r="H554" s="38">
        <v>2.470429641052557</v>
      </c>
      <c r="I554" s="38">
        <v>4.5903831046547507</v>
      </c>
      <c r="J554" s="10">
        <v>0</v>
      </c>
      <c r="K554" s="39">
        <v>0</v>
      </c>
      <c r="L554" s="39">
        <v>0</v>
      </c>
      <c r="M554" s="39">
        <v>0</v>
      </c>
      <c r="N554" s="39">
        <v>0</v>
      </c>
      <c r="O554" s="39">
        <v>0</v>
      </c>
      <c r="P554" s="39">
        <v>1</v>
      </c>
      <c r="Q554" s="39">
        <v>0</v>
      </c>
      <c r="R554" s="39">
        <v>0</v>
      </c>
      <c r="S554" s="39">
        <v>0</v>
      </c>
      <c r="T554" s="39">
        <v>0</v>
      </c>
      <c r="U554" s="29" cm="1">
        <f t="array" aca="1" ref="U554" ca="1">+fair_value_gap(OFFSET(T553,0,0,-1*$J$5,-1*$AA$1),OFFSET(E553,0,0,-1*$J$5,1),F554:T554,0)</f>
        <v>15.18501304788748</v>
      </c>
      <c r="V554" s="9" cm="1">
        <f t="array" aca="1" ref="V554" ca="1">z_score_diff(OFFSET(U554,0,0,$J$5*-1,1),OFFSET(E554,0,0,$J$5*-1,1))</f>
        <v>7.2413614881145394E-2</v>
      </c>
      <c r="W554" s="9">
        <f t="shared" ca="1" si="566"/>
        <v>6.1441756322084894E-2</v>
      </c>
      <c r="X554" s="17">
        <f t="shared" ca="1" si="561"/>
        <v>3.6574899556039327E-2</v>
      </c>
      <c r="Y554" s="13">
        <f t="shared" ref="Y554:Z554" ca="1" si="602">+Y553</f>
        <v>0</v>
      </c>
      <c r="Z554" s="13">
        <f t="shared" ca="1" si="602"/>
        <v>0</v>
      </c>
      <c r="AA554">
        <f t="shared" ca="1" si="568"/>
        <v>0</v>
      </c>
      <c r="AB554">
        <f t="shared" ca="1" si="569"/>
        <v>1</v>
      </c>
      <c r="AC554" s="24">
        <f t="shared" ca="1" si="570"/>
        <v>0</v>
      </c>
      <c r="AD554" s="24">
        <f t="shared" ca="1" si="571"/>
        <v>3.6574899556039327E-2</v>
      </c>
    </row>
    <row r="555" spans="3:30" x14ac:dyDescent="0.25">
      <c r="C555" s="6">
        <v>649</v>
      </c>
      <c r="D555" s="36">
        <v>42928</v>
      </c>
      <c r="E555" s="38">
        <v>14.821</v>
      </c>
      <c r="F555" s="38">
        <v>43.208747538810158</v>
      </c>
      <c r="G555" s="38">
        <v>32.26</v>
      </c>
      <c r="H555" s="38">
        <v>2.4652685648633539</v>
      </c>
      <c r="I555" s="38">
        <v>4.6111083919596698</v>
      </c>
      <c r="J555" s="10">
        <v>0</v>
      </c>
      <c r="K555" s="39">
        <v>0</v>
      </c>
      <c r="L555" s="39">
        <v>0</v>
      </c>
      <c r="M555" s="39">
        <v>0</v>
      </c>
      <c r="N555" s="39">
        <v>0</v>
      </c>
      <c r="O555" s="39">
        <v>0</v>
      </c>
      <c r="P555" s="39">
        <v>1</v>
      </c>
      <c r="Q555" s="39">
        <v>0</v>
      </c>
      <c r="R555" s="39">
        <v>0</v>
      </c>
      <c r="S555" s="39">
        <v>0</v>
      </c>
      <c r="T555" s="39">
        <v>0</v>
      </c>
      <c r="U555" s="29" cm="1">
        <f t="array" aca="1" ref="U555" ca="1">+fair_value_gap(OFFSET(T554,0,0,-1*$J$5,-1*$AA$1),OFFSET(E554,0,0,-1*$J$5,1),F555:T555,0)</f>
        <v>15.169219137304427</v>
      </c>
      <c r="V555" s="9" cm="1">
        <f t="array" aca="1" ref="V555" ca="1">z_score_diff(OFFSET(U555,0,0,$J$5*-1,1),OFFSET(E555,0,0,$J$5*-1,1))</f>
        <v>5.779986995050157E-2</v>
      </c>
      <c r="W555" s="9">
        <f t="shared" ca="1" si="566"/>
        <v>5.2967476120354427E-2</v>
      </c>
      <c r="X555" s="17">
        <f t="shared" ca="1" si="561"/>
        <v>4.3051475532757788E-2</v>
      </c>
      <c r="Y555" s="13">
        <f t="shared" ref="Y555:Z555" ca="1" si="603">+Y554</f>
        <v>0</v>
      </c>
      <c r="Z555" s="13">
        <f t="shared" ca="1" si="603"/>
        <v>0</v>
      </c>
      <c r="AA555">
        <f t="shared" ca="1" si="568"/>
        <v>0</v>
      </c>
      <c r="AB555">
        <f t="shared" ca="1" si="569"/>
        <v>1</v>
      </c>
      <c r="AC555" s="24">
        <f t="shared" ca="1" si="570"/>
        <v>0</v>
      </c>
      <c r="AD555" s="24">
        <f t="shared" ca="1" si="571"/>
        <v>4.3051475532757788E-2</v>
      </c>
    </row>
    <row r="556" spans="3:30" x14ac:dyDescent="0.25">
      <c r="C556" s="6">
        <v>650</v>
      </c>
      <c r="D556" s="36">
        <v>42929</v>
      </c>
      <c r="E556" s="38">
        <v>14.978999999999999</v>
      </c>
      <c r="F556" s="38">
        <v>43.643862640939574</v>
      </c>
      <c r="G556" s="38">
        <v>32.47</v>
      </c>
      <c r="H556" s="38">
        <v>2.4793153890409614</v>
      </c>
      <c r="I556" s="38">
        <v>4.6180796528442469</v>
      </c>
      <c r="J556" s="10">
        <v>0</v>
      </c>
      <c r="K556" s="39">
        <v>0</v>
      </c>
      <c r="L556" s="39">
        <v>0</v>
      </c>
      <c r="M556" s="39">
        <v>0</v>
      </c>
      <c r="N556" s="39">
        <v>0</v>
      </c>
      <c r="O556" s="39">
        <v>0</v>
      </c>
      <c r="P556" s="39">
        <v>1</v>
      </c>
      <c r="Q556" s="39">
        <v>0</v>
      </c>
      <c r="R556" s="39">
        <v>0</v>
      </c>
      <c r="S556" s="39">
        <v>0</v>
      </c>
      <c r="T556" s="39">
        <v>0</v>
      </c>
      <c r="U556" s="29" cm="1">
        <f t="array" aca="1" ref="U556" ca="1">+fair_value_gap(OFFSET(T555,0,0,-1*$J$5,-1*$AA$1),OFFSET(E555,0,0,-1*$J$5,1),F556:T556,0)</f>
        <v>15.20812569609779</v>
      </c>
      <c r="V556" s="9" cm="1">
        <f t="array" aca="1" ref="V556" ca="1">z_score_diff(OFFSET(U556,0,0,$J$5*-1,1),OFFSET(E556,0,0,$J$5*-1,1))</f>
        <v>-2.0198135098529191E-2</v>
      </c>
      <c r="W556" s="9">
        <f t="shared" ca="1" si="566"/>
        <v>4.6040172118296002E-2</v>
      </c>
      <c r="X556" s="17">
        <f t="shared" ca="1" si="561"/>
        <v>2.7848150930476458E-2</v>
      </c>
      <c r="Y556" s="13">
        <f t="shared" ref="Y556:Z556" ca="1" si="604">+Y555</f>
        <v>0</v>
      </c>
      <c r="Z556" s="13">
        <f t="shared" ca="1" si="604"/>
        <v>0</v>
      </c>
      <c r="AA556">
        <f t="shared" ca="1" si="568"/>
        <v>0</v>
      </c>
      <c r="AB556">
        <f t="shared" ca="1" si="569"/>
        <v>1</v>
      </c>
      <c r="AC556" s="24">
        <f t="shared" ca="1" si="570"/>
        <v>0</v>
      </c>
      <c r="AD556" s="24">
        <f t="shared" ca="1" si="571"/>
        <v>2.7848150930476458E-2</v>
      </c>
    </row>
    <row r="557" spans="3:30" x14ac:dyDescent="0.25">
      <c r="C557" s="6">
        <v>651</v>
      </c>
      <c r="D557" s="36">
        <v>42930</v>
      </c>
      <c r="E557" s="38">
        <v>15.122</v>
      </c>
      <c r="F557" s="38">
        <v>43.794422621306445</v>
      </c>
      <c r="G557" s="38">
        <v>32.549999999999997</v>
      </c>
      <c r="H557" s="38">
        <v>2.4743335965784965</v>
      </c>
      <c r="I557" s="38">
        <v>4.658071883023422</v>
      </c>
      <c r="J557" s="10">
        <v>0</v>
      </c>
      <c r="K557" s="39">
        <v>0</v>
      </c>
      <c r="L557" s="39">
        <v>0</v>
      </c>
      <c r="M557" s="39">
        <v>0</v>
      </c>
      <c r="N557" s="39">
        <v>0</v>
      </c>
      <c r="O557" s="39">
        <v>0</v>
      </c>
      <c r="P557" s="39">
        <v>1</v>
      </c>
      <c r="Q557" s="39">
        <v>0</v>
      </c>
      <c r="R557" s="39">
        <v>0</v>
      </c>
      <c r="S557" s="39">
        <v>0</v>
      </c>
      <c r="T557" s="39">
        <v>0</v>
      </c>
      <c r="U557" s="29" cm="1">
        <f t="array" aca="1" ref="U557" ca="1">+fair_value_gap(OFFSET(T556,0,0,-1*$J$5,-1*$AA$1),OFFSET(E556,0,0,-1*$J$5,1),F557:T557,0)</f>
        <v>15.223337255100066</v>
      </c>
      <c r="V557" s="9" cm="1">
        <f t="array" aca="1" ref="V557" ca="1">z_score_diff(OFFSET(U557,0,0,$J$5*-1,1),OFFSET(E557,0,0,$J$5*-1,1))</f>
        <v>-0.10284432637014618</v>
      </c>
      <c r="W557" s="9">
        <f t="shared" ca="1" si="566"/>
        <v>3.5100081951112139E-2</v>
      </c>
      <c r="X557" s="17">
        <f t="shared" ca="1" si="561"/>
        <v>1.84116585062425E-2</v>
      </c>
      <c r="Y557" s="13">
        <f t="shared" ref="Y557:Z557" ca="1" si="605">+Y556</f>
        <v>0</v>
      </c>
      <c r="Z557" s="13">
        <f t="shared" ca="1" si="605"/>
        <v>0</v>
      </c>
      <c r="AA557">
        <f t="shared" ca="1" si="568"/>
        <v>0</v>
      </c>
      <c r="AB557">
        <f t="shared" ca="1" si="569"/>
        <v>1</v>
      </c>
      <c r="AC557" s="24">
        <f t="shared" ca="1" si="570"/>
        <v>0</v>
      </c>
      <c r="AD557" s="24">
        <f t="shared" ca="1" si="571"/>
        <v>1.84116585062425E-2</v>
      </c>
    </row>
    <row r="558" spans="3:30" x14ac:dyDescent="0.25">
      <c r="C558" s="6">
        <v>652</v>
      </c>
      <c r="D558" s="36">
        <v>42933</v>
      </c>
      <c r="E558" s="38">
        <v>15.304</v>
      </c>
      <c r="F558" s="38">
        <v>43.427400418392182</v>
      </c>
      <c r="G558" s="38">
        <v>32.81</v>
      </c>
      <c r="H558" s="38">
        <v>2.4744908850275373</v>
      </c>
      <c r="I558" s="38">
        <v>4.6791615079195665</v>
      </c>
      <c r="J558" s="10">
        <v>0</v>
      </c>
      <c r="K558" s="39">
        <v>0</v>
      </c>
      <c r="L558" s="39">
        <v>0</v>
      </c>
      <c r="M558" s="39">
        <v>0</v>
      </c>
      <c r="N558" s="39">
        <v>0</v>
      </c>
      <c r="O558" s="39">
        <v>0</v>
      </c>
      <c r="P558" s="39">
        <v>1</v>
      </c>
      <c r="Q558" s="39">
        <v>0</v>
      </c>
      <c r="R558" s="39">
        <v>0</v>
      </c>
      <c r="S558" s="39">
        <v>0</v>
      </c>
      <c r="T558" s="39">
        <v>0</v>
      </c>
      <c r="U558" s="29" cm="1">
        <f t="array" aca="1" ref="U558" ca="1">+fair_value_gap(OFFSET(T557,0,0,-1*$J$5,-1*$AA$1),OFFSET(E557,0,0,-1*$J$5,1),F558:T558,0)</f>
        <v>15.262259645287376</v>
      </c>
      <c r="V558" s="9" cm="1">
        <f t="array" aca="1" ref="V558" ca="1">z_score_diff(OFFSET(U558,0,0,$J$5*-1,1),OFFSET(E558,0,0,$J$5*-1,1))</f>
        <v>-0.19450617093265021</v>
      </c>
      <c r="W558" s="9">
        <f t="shared" ca="1" si="566"/>
        <v>2.0360474399723671E-2</v>
      </c>
      <c r="X558" s="17">
        <f t="shared" ca="1" si="561"/>
        <v>9.8183434461278241E-3</v>
      </c>
      <c r="Y558" s="13">
        <f t="shared" ref="Y558:Z558" ca="1" si="606">+Y557</f>
        <v>0</v>
      </c>
      <c r="Z558" s="13">
        <f t="shared" ca="1" si="606"/>
        <v>0</v>
      </c>
      <c r="AA558">
        <f t="shared" ca="1" si="568"/>
        <v>0</v>
      </c>
      <c r="AB558">
        <f t="shared" ca="1" si="569"/>
        <v>1</v>
      </c>
      <c r="AC558" s="24">
        <f t="shared" ca="1" si="570"/>
        <v>0</v>
      </c>
      <c r="AD558" s="24">
        <f t="shared" ca="1" si="571"/>
        <v>9.8183434461278241E-3</v>
      </c>
    </row>
    <row r="559" spans="3:30" x14ac:dyDescent="0.25">
      <c r="C559" s="6">
        <v>653</v>
      </c>
      <c r="D559" s="36">
        <v>42934</v>
      </c>
      <c r="E559" s="38">
        <v>15.132999999999999</v>
      </c>
      <c r="F559" s="38">
        <v>43.325175412263341</v>
      </c>
      <c r="G559" s="38">
        <v>32.75</v>
      </c>
      <c r="H559" s="38">
        <v>2.4719688065521166</v>
      </c>
      <c r="I559" s="38">
        <v>4.655611920401757</v>
      </c>
      <c r="J559" s="10">
        <v>0</v>
      </c>
      <c r="K559" s="39">
        <v>0</v>
      </c>
      <c r="L559" s="39">
        <v>0</v>
      </c>
      <c r="M559" s="39">
        <v>0</v>
      </c>
      <c r="N559" s="39">
        <v>0</v>
      </c>
      <c r="O559" s="39">
        <v>0</v>
      </c>
      <c r="P559" s="39">
        <v>1</v>
      </c>
      <c r="Q559" s="39">
        <v>0</v>
      </c>
      <c r="R559" s="39">
        <v>0</v>
      </c>
      <c r="S559" s="39">
        <v>0</v>
      </c>
      <c r="T559" s="39">
        <v>0</v>
      </c>
      <c r="U559" s="29" cm="1">
        <f t="array" aca="1" ref="U559" ca="1">+fair_value_gap(OFFSET(T558,0,0,-1*$J$5,-1*$AA$1),OFFSET(E558,0,0,-1*$J$5,1),F559:T559,0)</f>
        <v>15.197703950473178</v>
      </c>
      <c r="V559" s="9" cm="1">
        <f t="array" aca="1" ref="V559" ca="1">z_score_diff(OFFSET(U559,0,0,$J$5*-1,1),OFFSET(E559,0,0,$J$5*-1,1))</f>
        <v>-0.12789799218318032</v>
      </c>
      <c r="W559" s="9">
        <f t="shared" ca="1" si="566"/>
        <v>3.351453258469935E-3</v>
      </c>
      <c r="X559" s="17">
        <f t="shared" ca="1" si="561"/>
        <v>1.8138859627135274E-2</v>
      </c>
      <c r="Y559" s="13">
        <f t="shared" ref="Y559:Z559" ca="1" si="607">+Y558</f>
        <v>0</v>
      </c>
      <c r="Z559" s="13">
        <f t="shared" ca="1" si="607"/>
        <v>0</v>
      </c>
      <c r="AA559">
        <f t="shared" ca="1" si="568"/>
        <v>0</v>
      </c>
      <c r="AB559">
        <f t="shared" ca="1" si="569"/>
        <v>1</v>
      </c>
      <c r="AC559" s="24">
        <f t="shared" ca="1" si="570"/>
        <v>0</v>
      </c>
      <c r="AD559" s="24">
        <f t="shared" ca="1" si="571"/>
        <v>1.8138859627135274E-2</v>
      </c>
    </row>
    <row r="560" spans="3:30" x14ac:dyDescent="0.25">
      <c r="C560" s="6">
        <v>654</v>
      </c>
      <c r="D560" s="36">
        <v>42935</v>
      </c>
      <c r="E560" s="38">
        <v>15.183</v>
      </c>
      <c r="F560" s="38">
        <v>44.034683163009163</v>
      </c>
      <c r="G560" s="38">
        <v>32.89</v>
      </c>
      <c r="H560" s="38">
        <v>2.4770041099037616</v>
      </c>
      <c r="I560" s="38">
        <v>4.7140511057598209</v>
      </c>
      <c r="J560" s="10">
        <v>0</v>
      </c>
      <c r="K560" s="39">
        <v>0</v>
      </c>
      <c r="L560" s="39">
        <v>0</v>
      </c>
      <c r="M560" s="39">
        <v>0</v>
      </c>
      <c r="N560" s="39">
        <v>0</v>
      </c>
      <c r="O560" s="39">
        <v>0</v>
      </c>
      <c r="P560" s="39">
        <v>1</v>
      </c>
      <c r="Q560" s="39">
        <v>0</v>
      </c>
      <c r="R560" s="39">
        <v>0</v>
      </c>
      <c r="S560" s="39">
        <v>0</v>
      </c>
      <c r="T560" s="39">
        <v>0</v>
      </c>
      <c r="U560" s="29" cm="1">
        <f t="array" aca="1" ref="U560" ca="1">+fair_value_gap(OFFSET(T559,0,0,-1*$J$5,-1*$AA$1),OFFSET(E559,0,0,-1*$J$5,1),F560:T560,0)</f>
        <v>15.28761267986625</v>
      </c>
      <c r="V560" s="9" cm="1">
        <f t="array" aca="1" ref="V560" ca="1">z_score_diff(OFFSET(U560,0,0,$J$5*-1,1),OFFSET(E560,0,0,$J$5*-1,1))</f>
        <v>-0.10204753475989969</v>
      </c>
      <c r="W560" s="9">
        <f t="shared" ca="1" si="566"/>
        <v>-8.3488996375084817E-3</v>
      </c>
      <c r="X560" s="17">
        <f t="shared" ca="1" si="561"/>
        <v>1.1460130008301136E-2</v>
      </c>
      <c r="Y560" s="13">
        <f t="shared" ref="Y560:Z560" ca="1" si="608">+Y559</f>
        <v>0</v>
      </c>
      <c r="Z560" s="13">
        <f t="shared" ca="1" si="608"/>
        <v>0</v>
      </c>
      <c r="AA560">
        <f t="shared" ca="1" si="568"/>
        <v>1</v>
      </c>
      <c r="AB560">
        <f t="shared" ca="1" si="569"/>
        <v>0</v>
      </c>
      <c r="AC560" s="24">
        <f t="shared" ca="1" si="570"/>
        <v>1.1460130008301136E-2</v>
      </c>
      <c r="AD560" s="24">
        <f t="shared" ca="1" si="571"/>
        <v>0</v>
      </c>
    </row>
    <row r="561" spans="3:30" x14ac:dyDescent="0.25">
      <c r="C561" s="6">
        <v>655</v>
      </c>
      <c r="D561" s="36">
        <v>42936</v>
      </c>
      <c r="E561" s="38">
        <v>15.18</v>
      </c>
      <c r="F561" s="38">
        <v>43.243607622402074</v>
      </c>
      <c r="G561" s="38">
        <v>33.25</v>
      </c>
      <c r="H561" s="38">
        <v>2.4562571359957532</v>
      </c>
      <c r="I561" s="38">
        <v>4.7102838388391968</v>
      </c>
      <c r="J561" s="10">
        <v>0</v>
      </c>
      <c r="K561" s="39">
        <v>0</v>
      </c>
      <c r="L561" s="39">
        <v>0</v>
      </c>
      <c r="M561" s="39">
        <v>0</v>
      </c>
      <c r="N561" s="39">
        <v>0</v>
      </c>
      <c r="O561" s="39">
        <v>0</v>
      </c>
      <c r="P561" s="39">
        <v>1</v>
      </c>
      <c r="Q561" s="39">
        <v>0</v>
      </c>
      <c r="R561" s="39">
        <v>0</v>
      </c>
      <c r="S561" s="39">
        <v>0</v>
      </c>
      <c r="T561" s="39">
        <v>0</v>
      </c>
      <c r="U561" s="29" cm="1">
        <f t="array" aca="1" ref="U561" ca="1">+fair_value_gap(OFFSET(T560,0,0,-1*$J$5,-1*$AA$1),OFFSET(E560,0,0,-1*$J$5,1),F561:T561,0)</f>
        <v>15.27603184039949</v>
      </c>
      <c r="V561" s="9" cm="1">
        <f t="array" aca="1" ref="V561" ca="1">z_score_diff(OFFSET(U561,0,0,$J$5*-1,1),OFFSET(E561,0,0,$J$5*-1,1))</f>
        <v>-0.10207386257574913</v>
      </c>
      <c r="W561" s="9">
        <f t="shared" ca="1" si="566"/>
        <v>-1.6499144009314629E-2</v>
      </c>
      <c r="X561" s="17">
        <f t="shared" ca="1" si="561"/>
        <v>2.7099816102204497E-2</v>
      </c>
      <c r="Y561" s="13">
        <f t="shared" ref="Y561:Z561" ca="1" si="609">+Y560</f>
        <v>0</v>
      </c>
      <c r="Z561" s="13">
        <f t="shared" ca="1" si="609"/>
        <v>0</v>
      </c>
      <c r="AA561">
        <f t="shared" ca="1" si="568"/>
        <v>1</v>
      </c>
      <c r="AB561">
        <f t="shared" ca="1" si="569"/>
        <v>0</v>
      </c>
      <c r="AC561" s="24">
        <f t="shared" ca="1" si="570"/>
        <v>2.7099816102204497E-2</v>
      </c>
      <c r="AD561" s="24">
        <f t="shared" ca="1" si="571"/>
        <v>0</v>
      </c>
    </row>
    <row r="562" spans="3:30" x14ac:dyDescent="0.25">
      <c r="C562" s="6">
        <v>656</v>
      </c>
      <c r="D562" s="36">
        <v>42937</v>
      </c>
      <c r="E562" s="38">
        <v>15.012</v>
      </c>
      <c r="F562" s="38">
        <v>42.266648848950311</v>
      </c>
      <c r="G562" s="38">
        <v>33.01</v>
      </c>
      <c r="H562" s="38">
        <v>2.4331268327244215</v>
      </c>
      <c r="I562" s="38">
        <v>4.6981620017027685</v>
      </c>
      <c r="J562" s="10">
        <v>0</v>
      </c>
      <c r="K562" s="39">
        <v>0</v>
      </c>
      <c r="L562" s="39">
        <v>0</v>
      </c>
      <c r="M562" s="39">
        <v>0</v>
      </c>
      <c r="N562" s="39">
        <v>0</v>
      </c>
      <c r="O562" s="39">
        <v>0</v>
      </c>
      <c r="P562" s="39">
        <v>1</v>
      </c>
      <c r="Q562" s="39">
        <v>0</v>
      </c>
      <c r="R562" s="39">
        <v>0</v>
      </c>
      <c r="S562" s="39">
        <v>0</v>
      </c>
      <c r="T562" s="39">
        <v>0</v>
      </c>
      <c r="U562" s="29" cm="1">
        <f t="array" aca="1" ref="U562" ca="1">+fair_value_gap(OFFSET(T561,0,0,-1*$J$5,-1*$AA$1),OFFSET(E561,0,0,-1*$J$5,1),F562:T562,0)</f>
        <v>15.131548502779751</v>
      </c>
      <c r="V562" s="9" cm="1">
        <f t="array" aca="1" ref="V562" ca="1">z_score_diff(OFFSET(U562,0,0,$J$5*-1,1),OFFSET(E562,0,0,$J$5*-1,1))</f>
        <v>-8.5213970941158568E-2</v>
      </c>
      <c r="W562" s="9">
        <f t="shared" ca="1" si="566"/>
        <v>-3.0029396355135751E-2</v>
      </c>
      <c r="X562" s="17">
        <f t="shared" ca="1" si="561"/>
        <v>4.0598148525364273E-2</v>
      </c>
      <c r="Y562" s="13">
        <f t="shared" ref="Y562:Z562" ca="1" si="610">+Y561</f>
        <v>0</v>
      </c>
      <c r="Z562" s="13">
        <f t="shared" ca="1" si="610"/>
        <v>0</v>
      </c>
      <c r="AA562">
        <f t="shared" ca="1" si="568"/>
        <v>1</v>
      </c>
      <c r="AB562">
        <f t="shared" ca="1" si="569"/>
        <v>0</v>
      </c>
      <c r="AC562" s="24">
        <f t="shared" ca="1" si="570"/>
        <v>4.0598148525364273E-2</v>
      </c>
      <c r="AD562" s="24">
        <f t="shared" ca="1" si="571"/>
        <v>0</v>
      </c>
    </row>
    <row r="563" spans="3:30" x14ac:dyDescent="0.25">
      <c r="C563" s="6">
        <v>657</v>
      </c>
      <c r="D563" s="36">
        <v>42940</v>
      </c>
      <c r="E563" s="38">
        <v>14.853</v>
      </c>
      <c r="F563" s="38">
        <v>42.695119980609192</v>
      </c>
      <c r="G563" s="38">
        <v>32.81</v>
      </c>
      <c r="H563" s="38">
        <v>2.3935525571624789</v>
      </c>
      <c r="I563" s="38">
        <v>4.5910088605208585</v>
      </c>
      <c r="J563" s="10">
        <v>0</v>
      </c>
      <c r="K563" s="39">
        <v>0</v>
      </c>
      <c r="L563" s="39">
        <v>0</v>
      </c>
      <c r="M563" s="39">
        <v>0</v>
      </c>
      <c r="N563" s="39">
        <v>0</v>
      </c>
      <c r="O563" s="39">
        <v>0</v>
      </c>
      <c r="P563" s="39">
        <v>1</v>
      </c>
      <c r="Q563" s="39">
        <v>0</v>
      </c>
      <c r="R563" s="39">
        <v>0</v>
      </c>
      <c r="S563" s="39">
        <v>0</v>
      </c>
      <c r="T563" s="39">
        <v>0</v>
      </c>
      <c r="U563" s="29" cm="1">
        <f t="array" aca="1" ref="U563" ca="1">+fair_value_gap(OFFSET(T562,0,0,-1*$J$5,-1*$AA$1),OFFSET(E562,0,0,-1*$J$5,1),F563:T563,0)</f>
        <v>15.001897704801085</v>
      </c>
      <c r="V563" s="9" cm="1">
        <f t="array" aca="1" ref="V563" ca="1">z_score_diff(OFFSET(U563,0,0,$J$5*-1,1),OFFSET(E563,0,0,$J$5*-1,1))</f>
        <v>-6.4928112088508128E-2</v>
      </c>
      <c r="W563" s="9">
        <f t="shared" ca="1" si="566"/>
        <v>-4.0048129703302085E-2</v>
      </c>
      <c r="X563" s="17">
        <f t="shared" ca="1" si="561"/>
        <v>5.5204037775611586E-2</v>
      </c>
      <c r="Y563" s="13">
        <f t="shared" ref="Y563:Z563" ca="1" si="611">+Y562</f>
        <v>0</v>
      </c>
      <c r="Z563" s="13">
        <f t="shared" ca="1" si="611"/>
        <v>0</v>
      </c>
      <c r="AA563">
        <f t="shared" ca="1" si="568"/>
        <v>1</v>
      </c>
      <c r="AB563">
        <f t="shared" ca="1" si="569"/>
        <v>0</v>
      </c>
      <c r="AC563" s="24">
        <f t="shared" ca="1" si="570"/>
        <v>5.5204037775611586E-2</v>
      </c>
      <c r="AD563" s="24">
        <f t="shared" ca="1" si="571"/>
        <v>0</v>
      </c>
    </row>
    <row r="564" spans="3:30" x14ac:dyDescent="0.25">
      <c r="C564" s="6">
        <v>658</v>
      </c>
      <c r="D564" s="36">
        <v>42941</v>
      </c>
      <c r="E564" s="38">
        <v>14.933999999999999</v>
      </c>
      <c r="F564" s="38">
        <v>43.691884327102926</v>
      </c>
      <c r="G564" s="38">
        <v>32.979999999999997</v>
      </c>
      <c r="H564" s="38">
        <v>2.4028433786820611</v>
      </c>
      <c r="I564" s="38">
        <v>4.5878581136544074</v>
      </c>
      <c r="J564" s="10">
        <v>0</v>
      </c>
      <c r="K564" s="39">
        <v>0</v>
      </c>
      <c r="L564" s="39">
        <v>0</v>
      </c>
      <c r="M564" s="39">
        <v>0</v>
      </c>
      <c r="N564" s="39">
        <v>0</v>
      </c>
      <c r="O564" s="39">
        <v>0</v>
      </c>
      <c r="P564" s="39">
        <v>1</v>
      </c>
      <c r="Q564" s="39">
        <v>0</v>
      </c>
      <c r="R564" s="39">
        <v>0</v>
      </c>
      <c r="S564" s="39">
        <v>0</v>
      </c>
      <c r="T564" s="39">
        <v>0</v>
      </c>
      <c r="U564" s="29" cm="1">
        <f t="array" aca="1" ref="U564" ca="1">+fair_value_gap(OFFSET(T563,0,0,-1*$J$5,-1*$AA$1),OFFSET(E563,0,0,-1*$J$5,1),F564:T564,0)</f>
        <v>15.097934223320586</v>
      </c>
      <c r="V564" s="9" cm="1">
        <f t="array" aca="1" ref="V564" ca="1">z_score_diff(OFFSET(U564,0,0,$J$5*-1,1),OFFSET(E564,0,0,$J$5*-1,1))</f>
        <v>-4.9587091438167974E-2</v>
      </c>
      <c r="W564" s="9">
        <f t="shared" ca="1" si="566"/>
        <v>-4.6863333223769094E-2</v>
      </c>
      <c r="X564" s="17">
        <f t="shared" ca="1" si="561"/>
        <v>7.2877997962119148E-2</v>
      </c>
      <c r="Y564" s="13">
        <f t="shared" ref="Y564:Z564" ca="1" si="612">+Y563</f>
        <v>0</v>
      </c>
      <c r="Z564" s="13">
        <f t="shared" ca="1" si="612"/>
        <v>0</v>
      </c>
      <c r="AA564">
        <f t="shared" ca="1" si="568"/>
        <v>1</v>
      </c>
      <c r="AB564">
        <f t="shared" ca="1" si="569"/>
        <v>0</v>
      </c>
      <c r="AC564" s="24">
        <f t="shared" ca="1" si="570"/>
        <v>7.2877997962119148E-2</v>
      </c>
      <c r="AD564" s="24">
        <f t="shared" ca="1" si="571"/>
        <v>0</v>
      </c>
    </row>
    <row r="565" spans="3:30" x14ac:dyDescent="0.25">
      <c r="C565" s="6">
        <v>659</v>
      </c>
      <c r="D565" s="36">
        <v>42942</v>
      </c>
      <c r="E565" s="38">
        <v>15.169</v>
      </c>
      <c r="F565" s="38">
        <v>43.777193785040957</v>
      </c>
      <c r="G565" s="38">
        <v>33.380000000000003</v>
      </c>
      <c r="H565" s="38">
        <v>2.3808649251513501</v>
      </c>
      <c r="I565" s="38">
        <v>4.5914295541137538</v>
      </c>
      <c r="J565" s="10">
        <v>0</v>
      </c>
      <c r="K565" s="39">
        <v>0</v>
      </c>
      <c r="L565" s="39">
        <v>0</v>
      </c>
      <c r="M565" s="39">
        <v>0</v>
      </c>
      <c r="N565" s="39">
        <v>0</v>
      </c>
      <c r="O565" s="39">
        <v>0</v>
      </c>
      <c r="P565" s="39">
        <v>1</v>
      </c>
      <c r="Q565" s="39">
        <v>0</v>
      </c>
      <c r="R565" s="39">
        <v>0</v>
      </c>
      <c r="S565" s="39">
        <v>0</v>
      </c>
      <c r="T565" s="39">
        <v>0</v>
      </c>
      <c r="U565" s="29" cm="1">
        <f t="array" aca="1" ref="U565" ca="1">+fair_value_gap(OFFSET(T564,0,0,-1*$J$5,-1*$AA$1),OFFSET(E564,0,0,-1*$J$5,1),F565:T565,0)</f>
        <v>15.194003752637766</v>
      </c>
      <c r="V565" s="9" cm="1">
        <f t="array" aca="1" ref="V565" ca="1">z_score_diff(OFFSET(U565,0,0,$J$5*-1,1),OFFSET(E565,0,0,$J$5*-1,1))</f>
        <v>-0.13326226790879847</v>
      </c>
      <c r="W565" s="9">
        <f t="shared" ca="1" si="566"/>
        <v>-5.2719982658906088E-2</v>
      </c>
      <c r="X565" s="17">
        <f t="shared" ca="1" si="561"/>
        <v>6.6065964983975267E-2</v>
      </c>
      <c r="Y565" s="13">
        <f t="shared" ref="Y565:Z565" ca="1" si="613">+Y564</f>
        <v>0</v>
      </c>
      <c r="Z565" s="13">
        <f t="shared" ca="1" si="613"/>
        <v>0</v>
      </c>
      <c r="AA565">
        <f t="shared" ca="1" si="568"/>
        <v>1</v>
      </c>
      <c r="AB565">
        <f t="shared" ca="1" si="569"/>
        <v>0</v>
      </c>
      <c r="AC565" s="24">
        <f t="shared" ca="1" si="570"/>
        <v>6.6065964983975267E-2</v>
      </c>
      <c r="AD565" s="24">
        <f t="shared" ca="1" si="571"/>
        <v>0</v>
      </c>
    </row>
    <row r="566" spans="3:30" x14ac:dyDescent="0.25">
      <c r="C566" s="6">
        <v>660</v>
      </c>
      <c r="D566" s="36">
        <v>42943</v>
      </c>
      <c r="E566" s="38">
        <v>15.131</v>
      </c>
      <c r="F566" s="38">
        <v>44.157278106111711</v>
      </c>
      <c r="G566" s="38">
        <v>33.19</v>
      </c>
      <c r="H566" s="38">
        <v>2.4046125603670183</v>
      </c>
      <c r="I566" s="38">
        <v>4.6984753447506282</v>
      </c>
      <c r="J566" s="10">
        <v>0</v>
      </c>
      <c r="K566" s="39">
        <v>0</v>
      </c>
      <c r="L566" s="39">
        <v>0</v>
      </c>
      <c r="M566" s="39">
        <v>0</v>
      </c>
      <c r="N566" s="39">
        <v>0</v>
      </c>
      <c r="O566" s="39">
        <v>0</v>
      </c>
      <c r="P566" s="39">
        <v>1</v>
      </c>
      <c r="Q566" s="39">
        <v>0</v>
      </c>
      <c r="R566" s="39">
        <v>0</v>
      </c>
      <c r="S566" s="39">
        <v>0</v>
      </c>
      <c r="T566" s="39">
        <v>0</v>
      </c>
      <c r="U566" s="29" cm="1">
        <f t="array" aca="1" ref="U566" ca="1">+fair_value_gap(OFFSET(T565,0,0,-1*$J$5,-1*$AA$1),OFFSET(E565,0,0,-1*$J$5,1),F566:T566,0)</f>
        <v>15.250431912040053</v>
      </c>
      <c r="V566" s="9" cm="1">
        <f t="array" aca="1" ref="V566" ca="1">z_score_diff(OFFSET(U566,0,0,$J$5*-1,1),OFFSET(E566,0,0,$J$5*-1,1))</f>
        <v>-6.8815452141286926E-2</v>
      </c>
      <c r="W566" s="9">
        <f t="shared" ca="1" si="566"/>
        <v>-5.6711972979700466E-2</v>
      </c>
      <c r="X566" s="17">
        <f t="shared" ca="1" si="561"/>
        <v>6.9746007939339008E-2</v>
      </c>
      <c r="Y566" s="13">
        <f t="shared" ref="Y566:Z566" ca="1" si="614">+Y565</f>
        <v>0</v>
      </c>
      <c r="Z566" s="13">
        <f t="shared" ca="1" si="614"/>
        <v>0</v>
      </c>
      <c r="AA566">
        <f t="shared" ca="1" si="568"/>
        <v>1</v>
      </c>
      <c r="AB566">
        <f t="shared" ca="1" si="569"/>
        <v>0</v>
      </c>
      <c r="AC566" s="24">
        <f t="shared" ca="1" si="570"/>
        <v>6.9746007939339008E-2</v>
      </c>
      <c r="AD566" s="24">
        <f t="shared" ca="1" si="571"/>
        <v>0</v>
      </c>
    </row>
    <row r="567" spans="3:30" x14ac:dyDescent="0.25">
      <c r="C567" s="6">
        <v>661</v>
      </c>
      <c r="D567" s="36">
        <v>42944</v>
      </c>
      <c r="E567" s="38">
        <v>15.099</v>
      </c>
      <c r="F567" s="38">
        <v>44.199079324838216</v>
      </c>
      <c r="G567" s="38">
        <v>33.24</v>
      </c>
      <c r="H567" s="38">
        <v>2.3984255120421643</v>
      </c>
      <c r="I567" s="38">
        <v>4.6700914003602643</v>
      </c>
      <c r="J567" s="10">
        <v>0</v>
      </c>
      <c r="K567" s="39">
        <v>0</v>
      </c>
      <c r="L567" s="39">
        <v>0</v>
      </c>
      <c r="M567" s="39">
        <v>0</v>
      </c>
      <c r="N567" s="39">
        <v>0</v>
      </c>
      <c r="O567" s="39">
        <v>0</v>
      </c>
      <c r="P567" s="39">
        <v>1</v>
      </c>
      <c r="Q567" s="39">
        <v>0</v>
      </c>
      <c r="R567" s="39">
        <v>0</v>
      </c>
      <c r="S567" s="39">
        <v>0</v>
      </c>
      <c r="T567" s="39">
        <v>0</v>
      </c>
      <c r="U567" s="29" cm="1">
        <f t="array" aca="1" ref="U567" ca="1">+fair_value_gap(OFFSET(T566,0,0,-1*$J$5,-1*$AA$1),OFFSET(E566,0,0,-1*$J$5,1),F567:T567,0)</f>
        <v>15.238115649305081</v>
      </c>
      <c r="V567" s="9" cm="1">
        <f t="array" aca="1" ref="V567" ca="1">z_score_diff(OFFSET(U567,0,0,$J$5*-1,1),OFFSET(E567,0,0,$J$5*-1,1))</f>
        <v>-5.4003060379397505E-2</v>
      </c>
      <c r="W567" s="9">
        <f t="shared" ca="1" si="566"/>
        <v>-5.4764920686259898E-2</v>
      </c>
      <c r="X567" s="17">
        <f t="shared" ca="1" si="561"/>
        <v>7.8681528590700864E-2</v>
      </c>
      <c r="Y567" s="13">
        <f t="shared" ref="Y567:Z567" ca="1" si="615">+Y566</f>
        <v>0</v>
      </c>
      <c r="Z567" s="13">
        <f t="shared" ca="1" si="615"/>
        <v>0</v>
      </c>
      <c r="AA567">
        <f t="shared" ca="1" si="568"/>
        <v>1</v>
      </c>
      <c r="AB567">
        <f t="shared" ca="1" si="569"/>
        <v>0</v>
      </c>
      <c r="AC567" s="24">
        <f t="shared" ca="1" si="570"/>
        <v>7.8681528590700864E-2</v>
      </c>
      <c r="AD567" s="24">
        <f t="shared" ca="1" si="571"/>
        <v>0</v>
      </c>
    </row>
    <row r="568" spans="3:30" x14ac:dyDescent="0.25">
      <c r="C568" s="6">
        <v>662</v>
      </c>
      <c r="D568" s="36">
        <v>42947</v>
      </c>
      <c r="E568" s="38">
        <v>15.215999999999999</v>
      </c>
      <c r="F568" s="38">
        <v>44.28769791685631</v>
      </c>
      <c r="G568" s="38">
        <v>31.56</v>
      </c>
      <c r="H568" s="38">
        <v>2.3385096097353499</v>
      </c>
      <c r="I568" s="38">
        <v>4.7167391279163109</v>
      </c>
      <c r="J568" s="10">
        <v>0</v>
      </c>
      <c r="K568" s="39">
        <v>0</v>
      </c>
      <c r="L568" s="39">
        <v>0</v>
      </c>
      <c r="M568" s="39">
        <v>0</v>
      </c>
      <c r="N568" s="39">
        <v>0</v>
      </c>
      <c r="O568" s="39">
        <v>0</v>
      </c>
      <c r="P568" s="39">
        <v>1</v>
      </c>
      <c r="Q568" s="39">
        <v>0</v>
      </c>
      <c r="R568" s="39">
        <v>0</v>
      </c>
      <c r="S568" s="39">
        <v>0</v>
      </c>
      <c r="T568" s="39">
        <v>0</v>
      </c>
      <c r="U568" s="29" cm="1">
        <f t="array" aca="1" ref="U568" ca="1">+fair_value_gap(OFFSET(T567,0,0,-1*$J$5,-1*$AA$1),OFFSET(E567,0,0,-1*$J$5,1),F568:T568,0)</f>
        <v>14.812751081547844</v>
      </c>
      <c r="V568" s="9" cm="1">
        <f t="array" aca="1" ref="V568" ca="1">z_score_diff(OFFSET(U568,0,0,$J$5*-1,1),OFFSET(E568,0,0,$J$5*-1,1))</f>
        <v>-0.40637098968052032</v>
      </c>
      <c r="W568" s="9">
        <f t="shared" ca="1" si="566"/>
        <v>-6.5485136269092831E-2</v>
      </c>
      <c r="X568" s="17">
        <f t="shared" ca="1" si="561"/>
        <v>8.7235896122614842E-2</v>
      </c>
      <c r="Y568" s="13">
        <f t="shared" ref="Y568:Z568" ca="1" si="616">+Y567</f>
        <v>0</v>
      </c>
      <c r="Z568" s="13">
        <f t="shared" ca="1" si="616"/>
        <v>0</v>
      </c>
      <c r="AA568">
        <f t="shared" ca="1" si="568"/>
        <v>1</v>
      </c>
      <c r="AB568">
        <f t="shared" ca="1" si="569"/>
        <v>0</v>
      </c>
      <c r="AC568" s="24">
        <f t="shared" ca="1" si="570"/>
        <v>8.7235896122614842E-2</v>
      </c>
      <c r="AD568" s="24">
        <f t="shared" ca="1" si="571"/>
        <v>0</v>
      </c>
    </row>
    <row r="569" spans="3:30" x14ac:dyDescent="0.25">
      <c r="C569" s="6">
        <v>663</v>
      </c>
      <c r="D569" s="36">
        <v>42948</v>
      </c>
      <c r="E569" s="38">
        <v>15.06</v>
      </c>
      <c r="F569" s="38">
        <v>43.881021499708211</v>
      </c>
      <c r="G569" s="38">
        <v>31.42</v>
      </c>
      <c r="H569" s="38">
        <v>2.3517770319461477</v>
      </c>
      <c r="I569" s="38">
        <v>4.7110252934325398</v>
      </c>
      <c r="J569" s="10">
        <v>0</v>
      </c>
      <c r="K569" s="39">
        <v>0</v>
      </c>
      <c r="L569" s="39">
        <v>0</v>
      </c>
      <c r="M569" s="39">
        <v>0</v>
      </c>
      <c r="N569" s="39">
        <v>0</v>
      </c>
      <c r="O569" s="39">
        <v>0</v>
      </c>
      <c r="P569" s="39">
        <v>0</v>
      </c>
      <c r="Q569" s="39">
        <v>1</v>
      </c>
      <c r="R569" s="39">
        <v>0</v>
      </c>
      <c r="S569" s="39">
        <v>0</v>
      </c>
      <c r="T569" s="39">
        <v>0</v>
      </c>
      <c r="U569" s="29" cm="1">
        <f t="array" aca="1" ref="U569" ca="1">+fair_value_gap(OFFSET(T568,0,0,-1*$J$5,-1*$AA$1),OFFSET(E568,0,0,-1*$J$5,1),F569:T569,0)</f>
        <v>15.142515268531278</v>
      </c>
      <c r="V569" s="9" cm="1">
        <f t="array" aca="1" ref="V569" ca="1">z_score_diff(OFFSET(U569,0,0,$J$5*-1,1),OFFSET(E569,0,0,$J$5*-1,1))</f>
        <v>-8.5517981411194599E-2</v>
      </c>
      <c r="W569" s="9">
        <f t="shared" ca="1" si="566"/>
        <v>-6.535054399541558E-2</v>
      </c>
      <c r="X569" s="17">
        <f t="shared" ca="1" si="561"/>
        <v>9.2408473016777751E-2</v>
      </c>
      <c r="Y569" s="13">
        <f t="shared" ref="Y569:Z569" ca="1" si="617">+Y568</f>
        <v>0</v>
      </c>
      <c r="Z569" s="13">
        <f t="shared" ca="1" si="617"/>
        <v>0</v>
      </c>
      <c r="AA569">
        <f t="shared" ca="1" si="568"/>
        <v>1</v>
      </c>
      <c r="AB569">
        <f t="shared" ca="1" si="569"/>
        <v>0</v>
      </c>
      <c r="AC569" s="24">
        <f t="shared" ca="1" si="570"/>
        <v>9.2408473016777751E-2</v>
      </c>
      <c r="AD569" s="24">
        <f t="shared" ca="1" si="571"/>
        <v>0</v>
      </c>
    </row>
    <row r="570" spans="3:30" x14ac:dyDescent="0.25">
      <c r="C570" s="6">
        <v>664</v>
      </c>
      <c r="D570" s="36">
        <v>42949</v>
      </c>
      <c r="E570" s="38">
        <v>15.096</v>
      </c>
      <c r="F570" s="38">
        <v>43.934392629336202</v>
      </c>
      <c r="G570" s="38">
        <v>31.39</v>
      </c>
      <c r="H570" s="38">
        <v>2.3611843442816696</v>
      </c>
      <c r="I570" s="38">
        <v>4.7107983067572681</v>
      </c>
      <c r="J570" s="10">
        <v>0</v>
      </c>
      <c r="K570" s="39">
        <v>0</v>
      </c>
      <c r="L570" s="39">
        <v>0</v>
      </c>
      <c r="M570" s="39">
        <v>0</v>
      </c>
      <c r="N570" s="39">
        <v>0</v>
      </c>
      <c r="O570" s="39">
        <v>0</v>
      </c>
      <c r="P570" s="39">
        <v>0</v>
      </c>
      <c r="Q570" s="39">
        <v>1</v>
      </c>
      <c r="R570" s="39">
        <v>0</v>
      </c>
      <c r="S570" s="39">
        <v>0</v>
      </c>
      <c r="T570" s="39">
        <v>0</v>
      </c>
      <c r="U570" s="29" cm="1">
        <f t="array" aca="1" ref="U570" ca="1">+fair_value_gap(OFFSET(T569,0,0,-1*$J$5,-1*$AA$1),OFFSET(E569,0,0,-1*$J$5,1),F570:T570,0)</f>
        <v>15.122011821526879</v>
      </c>
      <c r="V570" s="9" cm="1">
        <f t="array" aca="1" ref="V570" ca="1">z_score_diff(OFFSET(U570,0,0,$J$5*-1,1),OFFSET(E570,0,0,$J$5*-1,1))</f>
        <v>-0.11987224903355043</v>
      </c>
      <c r="W570" s="9">
        <f t="shared" ca="1" si="566"/>
        <v>-6.4617933838808289E-2</v>
      </c>
      <c r="X570" s="17">
        <f t="shared" ca="1" si="561"/>
        <v>9.3284716148906224E-2</v>
      </c>
      <c r="Y570" s="13">
        <f t="shared" ref="Y570:Z570" ca="1" si="618">+Y569</f>
        <v>0</v>
      </c>
      <c r="Z570" s="13">
        <f t="shared" ca="1" si="618"/>
        <v>0</v>
      </c>
      <c r="AA570">
        <f t="shared" ca="1" si="568"/>
        <v>1</v>
      </c>
      <c r="AB570">
        <f t="shared" ca="1" si="569"/>
        <v>0</v>
      </c>
      <c r="AC570" s="24">
        <f t="shared" ca="1" si="570"/>
        <v>9.3284716148906224E-2</v>
      </c>
      <c r="AD570" s="24">
        <f t="shared" ca="1" si="571"/>
        <v>0</v>
      </c>
    </row>
    <row r="571" spans="3:30" x14ac:dyDescent="0.25">
      <c r="C571" s="6">
        <v>665</v>
      </c>
      <c r="D571" s="36">
        <v>42950</v>
      </c>
      <c r="E571" s="38">
        <v>15.17</v>
      </c>
      <c r="F571" s="38">
        <v>43.510849233380277</v>
      </c>
      <c r="G571" s="38">
        <v>31.51</v>
      </c>
      <c r="H571" s="38">
        <v>2.3674656725732239</v>
      </c>
      <c r="I571" s="38">
        <v>4.7299784880908557</v>
      </c>
      <c r="J571" s="10">
        <v>0</v>
      </c>
      <c r="K571" s="39">
        <v>0</v>
      </c>
      <c r="L571" s="39">
        <v>0</v>
      </c>
      <c r="M571" s="39">
        <v>0</v>
      </c>
      <c r="N571" s="39">
        <v>0</v>
      </c>
      <c r="O571" s="39">
        <v>0</v>
      </c>
      <c r="P571" s="39">
        <v>0</v>
      </c>
      <c r="Q571" s="39">
        <v>1</v>
      </c>
      <c r="R571" s="39">
        <v>0</v>
      </c>
      <c r="S571" s="39">
        <v>0</v>
      </c>
      <c r="T571" s="39">
        <v>0</v>
      </c>
      <c r="U571" s="29" cm="1">
        <f t="array" aca="1" ref="U571" ca="1">+fair_value_gap(OFFSET(T570,0,0,-1*$J$5,-1*$AA$1),OFFSET(E570,0,0,-1*$J$5,1),F571:T571,0)</f>
        <v>15.130814584502509</v>
      </c>
      <c r="V571" s="9" cm="1">
        <f t="array" aca="1" ref="V571" ca="1">z_score_diff(OFFSET(U571,0,0,$J$5*-1,1),OFFSET(E571,0,0,$J$5*-1,1))</f>
        <v>-0.15892509485363226</v>
      </c>
      <c r="W571" s="9">
        <f t="shared" ca="1" si="566"/>
        <v>-6.5793339449450136E-2</v>
      </c>
      <c r="X571" s="17">
        <f t="shared" ca="1" si="561"/>
        <v>9.4710731279001273E-2</v>
      </c>
      <c r="Y571" s="13">
        <f t="shared" ref="Y571:Z571" ca="1" si="619">+Y570</f>
        <v>0</v>
      </c>
      <c r="Z571" s="13">
        <f t="shared" ca="1" si="619"/>
        <v>0</v>
      </c>
      <c r="AA571">
        <f t="shared" ca="1" si="568"/>
        <v>1</v>
      </c>
      <c r="AB571">
        <f t="shared" ca="1" si="569"/>
        <v>0</v>
      </c>
      <c r="AC571" s="24">
        <f t="shared" ca="1" si="570"/>
        <v>9.4710731279001273E-2</v>
      </c>
      <c r="AD571" s="24">
        <f t="shared" ca="1" si="571"/>
        <v>0</v>
      </c>
    </row>
    <row r="572" spans="3:30" x14ac:dyDescent="0.25">
      <c r="C572" s="6">
        <v>666</v>
      </c>
      <c r="D572" s="36">
        <v>42951</v>
      </c>
      <c r="E572" s="38">
        <v>15.231999999999999</v>
      </c>
      <c r="F572" s="38">
        <v>44.262260970889947</v>
      </c>
      <c r="G572" s="38">
        <v>31.47</v>
      </c>
      <c r="H572" s="38">
        <v>2.3812397261699161</v>
      </c>
      <c r="I572" s="38">
        <v>4.7691379346220275</v>
      </c>
      <c r="J572" s="10">
        <v>0</v>
      </c>
      <c r="K572" s="39">
        <v>0</v>
      </c>
      <c r="L572" s="39">
        <v>0</v>
      </c>
      <c r="M572" s="39">
        <v>0</v>
      </c>
      <c r="N572" s="39">
        <v>0</v>
      </c>
      <c r="O572" s="39">
        <v>0</v>
      </c>
      <c r="P572" s="39">
        <v>0</v>
      </c>
      <c r="Q572" s="39">
        <v>1</v>
      </c>
      <c r="R572" s="39">
        <v>0</v>
      </c>
      <c r="S572" s="39">
        <v>0</v>
      </c>
      <c r="T572" s="39">
        <v>0</v>
      </c>
      <c r="U572" s="29" cm="1">
        <f t="array" aca="1" ref="U572" ca="1">+fair_value_gap(OFFSET(T571,0,0,-1*$J$5,-1*$AA$1),OFFSET(E571,0,0,-1*$J$5,1),F572:T572,0)</f>
        <v>15.208391957759829</v>
      </c>
      <c r="V572" s="9" cm="1">
        <f t="array" aca="1" ref="V572" ca="1">z_score_diff(OFFSET(U572,0,0,$J$5*-1,1),OFFSET(E572,0,0,$J$5*-1,1))</f>
        <v>-0.14528296881038716</v>
      </c>
      <c r="W572" s="9">
        <f t="shared" ca="1" si="566"/>
        <v>-6.5572484675839815E-2</v>
      </c>
      <c r="X572" s="17">
        <f t="shared" ca="1" si="561"/>
        <v>7.3211900032680813E-2</v>
      </c>
      <c r="Y572" s="13">
        <f t="shared" ref="Y572:Z572" ca="1" si="620">+Y571</f>
        <v>0</v>
      </c>
      <c r="Z572" s="13">
        <f t="shared" ca="1" si="620"/>
        <v>0</v>
      </c>
      <c r="AA572">
        <f t="shared" ca="1" si="568"/>
        <v>1</v>
      </c>
      <c r="AB572">
        <f t="shared" ca="1" si="569"/>
        <v>0</v>
      </c>
      <c r="AC572" s="24">
        <f t="shared" ca="1" si="570"/>
        <v>7.3211900032680813E-2</v>
      </c>
      <c r="AD572" s="24">
        <f t="shared" ca="1" si="571"/>
        <v>0</v>
      </c>
    </row>
    <row r="573" spans="3:30" x14ac:dyDescent="0.25">
      <c r="C573" s="6">
        <v>667</v>
      </c>
      <c r="D573" s="36">
        <v>42954</v>
      </c>
      <c r="E573" s="38">
        <v>15.39</v>
      </c>
      <c r="F573" s="38">
        <v>44.224852306935759</v>
      </c>
      <c r="G573" s="38">
        <v>31.89</v>
      </c>
      <c r="H573" s="38">
        <v>2.385683242402695</v>
      </c>
      <c r="I573" s="38">
        <v>4.8012705923006891</v>
      </c>
      <c r="J573" s="10">
        <v>0</v>
      </c>
      <c r="K573" s="39">
        <v>0</v>
      </c>
      <c r="L573" s="39">
        <v>0</v>
      </c>
      <c r="M573" s="39">
        <v>0</v>
      </c>
      <c r="N573" s="39">
        <v>0</v>
      </c>
      <c r="O573" s="39">
        <v>0</v>
      </c>
      <c r="P573" s="39">
        <v>0</v>
      </c>
      <c r="Q573" s="39">
        <v>1</v>
      </c>
      <c r="R573" s="39">
        <v>0</v>
      </c>
      <c r="S573" s="39">
        <v>0</v>
      </c>
      <c r="T573" s="39">
        <v>0</v>
      </c>
      <c r="U573" s="29" cm="1">
        <f t="array" aca="1" ref="U573" ca="1">+fair_value_gap(OFFSET(T572,0,0,-1*$J$5,-1*$AA$1),OFFSET(E572,0,0,-1*$J$5,1),F573:T573,0)</f>
        <v>15.340919067086396</v>
      </c>
      <c r="V573" s="9" cm="1">
        <f t="array" aca="1" ref="V573" ca="1">z_score_diff(OFFSET(U573,0,0,$J$5*-1,1),OFFSET(E573,0,0,$J$5*-1,1))</f>
        <v>-0.15880429873808932</v>
      </c>
      <c r="W573" s="9">
        <f t="shared" ca="1" si="566"/>
        <v>-6.5918281724009972E-2</v>
      </c>
      <c r="X573" s="17">
        <f t="shared" ca="1" si="561"/>
        <v>5.7937837106219081E-2</v>
      </c>
      <c r="Y573" s="13">
        <f t="shared" ref="Y573:Z573" ca="1" si="621">+Y572</f>
        <v>0</v>
      </c>
      <c r="Z573" s="13">
        <f t="shared" ca="1" si="621"/>
        <v>0</v>
      </c>
      <c r="AA573">
        <f t="shared" ca="1" si="568"/>
        <v>1</v>
      </c>
      <c r="AB573">
        <f t="shared" ca="1" si="569"/>
        <v>0</v>
      </c>
      <c r="AC573" s="24">
        <f t="shared" ca="1" si="570"/>
        <v>5.7937837106219081E-2</v>
      </c>
      <c r="AD573" s="24">
        <f t="shared" ca="1" si="571"/>
        <v>0</v>
      </c>
    </row>
    <row r="574" spans="3:30" x14ac:dyDescent="0.25">
      <c r="C574" s="6">
        <v>668</v>
      </c>
      <c r="D574" s="36">
        <v>42955</v>
      </c>
      <c r="E574" s="38">
        <v>15.276999999999999</v>
      </c>
      <c r="F574" s="38">
        <v>44.196951152405695</v>
      </c>
      <c r="G574" s="38">
        <v>31.72</v>
      </c>
      <c r="H574" s="38">
        <v>2.4070288243160771</v>
      </c>
      <c r="I574" s="38">
        <v>4.8023851846417056</v>
      </c>
      <c r="J574" s="10">
        <v>0</v>
      </c>
      <c r="K574" s="39">
        <v>0</v>
      </c>
      <c r="L574" s="39">
        <v>0</v>
      </c>
      <c r="M574" s="39">
        <v>0</v>
      </c>
      <c r="N574" s="39">
        <v>0</v>
      </c>
      <c r="O574" s="39">
        <v>0</v>
      </c>
      <c r="P574" s="39">
        <v>0</v>
      </c>
      <c r="Q574" s="39">
        <v>1</v>
      </c>
      <c r="R574" s="39">
        <v>0</v>
      </c>
      <c r="S574" s="39">
        <v>0</v>
      </c>
      <c r="T574" s="39">
        <v>0</v>
      </c>
      <c r="U574" s="29" cm="1">
        <f t="array" aca="1" ref="U574" ca="1">+fair_value_gap(OFFSET(T573,0,0,-1*$J$5,-1*$AA$1),OFFSET(E573,0,0,-1*$J$5,1),F574:T574,0)</f>
        <v>15.298362145680224</v>
      </c>
      <c r="V574" s="9" cm="1">
        <f t="array" aca="1" ref="V574" ca="1">z_score_diff(OFFSET(U574,0,0,$J$5*-1,1),OFFSET(E574,0,0,$J$5*-1,1))</f>
        <v>-0.11310753862416234</v>
      </c>
      <c r="W574" s="9">
        <f t="shared" ca="1" si="566"/>
        <v>-6.4440817386943725E-2</v>
      </c>
      <c r="X574" s="17">
        <f t="shared" ca="1" si="561"/>
        <v>6.836864492919667E-2</v>
      </c>
      <c r="Y574" s="13">
        <f t="shared" ref="Y574:Z574" ca="1" si="622">+Y573</f>
        <v>0</v>
      </c>
      <c r="Z574" s="13">
        <f t="shared" ca="1" si="622"/>
        <v>0</v>
      </c>
      <c r="AA574">
        <f t="shared" ca="1" si="568"/>
        <v>1</v>
      </c>
      <c r="AB574">
        <f t="shared" ca="1" si="569"/>
        <v>0</v>
      </c>
      <c r="AC574" s="24">
        <f t="shared" ca="1" si="570"/>
        <v>6.836864492919667E-2</v>
      </c>
      <c r="AD574" s="24">
        <f t="shared" ca="1" si="571"/>
        <v>0</v>
      </c>
    </row>
    <row r="575" spans="3:30" x14ac:dyDescent="0.25">
      <c r="C575" s="6">
        <v>669</v>
      </c>
      <c r="D575" s="36">
        <v>42956</v>
      </c>
      <c r="E575" s="38">
        <v>15.507</v>
      </c>
      <c r="F575" s="38">
        <v>44.303597105520538</v>
      </c>
      <c r="G575" s="38">
        <v>32.04</v>
      </c>
      <c r="H575" s="38">
        <v>2.4151208726758941</v>
      </c>
      <c r="I575" s="38">
        <v>4.7985844175968086</v>
      </c>
      <c r="J575" s="10">
        <v>0</v>
      </c>
      <c r="K575" s="39">
        <v>0</v>
      </c>
      <c r="L575" s="39">
        <v>0</v>
      </c>
      <c r="M575" s="39">
        <v>0</v>
      </c>
      <c r="N575" s="39">
        <v>0</v>
      </c>
      <c r="O575" s="39">
        <v>0</v>
      </c>
      <c r="P575" s="39">
        <v>0</v>
      </c>
      <c r="Q575" s="39">
        <v>1</v>
      </c>
      <c r="R575" s="39">
        <v>0</v>
      </c>
      <c r="S575" s="39">
        <v>0</v>
      </c>
      <c r="T575" s="39">
        <v>0</v>
      </c>
      <c r="U575" s="29" cm="1">
        <f t="array" aca="1" ref="U575" ca="1">+fair_value_gap(OFFSET(T574,0,0,-1*$J$5,-1*$AA$1),OFFSET(E574,0,0,-1*$J$5,1),F575:T575,0)</f>
        <v>15.378131539416485</v>
      </c>
      <c r="V575" s="9" cm="1">
        <f t="array" aca="1" ref="V575" ca="1">z_score_diff(OFFSET(U575,0,0,$J$5*-1,1),OFFSET(E575,0,0,$J$5*-1,1))</f>
        <v>-0.20779770257940644</v>
      </c>
      <c r="W575" s="9">
        <f t="shared" ca="1" si="566"/>
        <v>-6.4941159759569905E-2</v>
      </c>
      <c r="X575" s="17">
        <f t="shared" ca="1" si="561"/>
        <v>5.1651133238160812E-2</v>
      </c>
      <c r="Y575" s="13">
        <f t="shared" ref="Y575:Z575" ca="1" si="623">+Y574</f>
        <v>0</v>
      </c>
      <c r="Z575" s="13">
        <f t="shared" ca="1" si="623"/>
        <v>0</v>
      </c>
      <c r="AA575">
        <f t="shared" ca="1" si="568"/>
        <v>1</v>
      </c>
      <c r="AB575">
        <f t="shared" ca="1" si="569"/>
        <v>0</v>
      </c>
      <c r="AC575" s="24">
        <f t="shared" ca="1" si="570"/>
        <v>5.1651133238160812E-2</v>
      </c>
      <c r="AD575" s="24">
        <f t="shared" ca="1" si="571"/>
        <v>0</v>
      </c>
    </row>
    <row r="576" spans="3:30" x14ac:dyDescent="0.25">
      <c r="C576" s="6">
        <v>670</v>
      </c>
      <c r="D576" s="36">
        <v>42957</v>
      </c>
      <c r="E576" s="38">
        <v>15.641</v>
      </c>
      <c r="F576" s="38">
        <v>43.413208533187763</v>
      </c>
      <c r="G576" s="38">
        <v>32.49</v>
      </c>
      <c r="H576" s="38">
        <v>2.4298748115182724</v>
      </c>
      <c r="I576" s="38">
        <v>4.7848562213116663</v>
      </c>
      <c r="J576" s="10">
        <v>0</v>
      </c>
      <c r="K576" s="39">
        <v>0</v>
      </c>
      <c r="L576" s="39">
        <v>0</v>
      </c>
      <c r="M576" s="39">
        <v>0</v>
      </c>
      <c r="N576" s="39">
        <v>0</v>
      </c>
      <c r="O576" s="39">
        <v>0</v>
      </c>
      <c r="P576" s="39">
        <v>0</v>
      </c>
      <c r="Q576" s="39">
        <v>1</v>
      </c>
      <c r="R576" s="39">
        <v>0</v>
      </c>
      <c r="S576" s="39">
        <v>0</v>
      </c>
      <c r="T576" s="39">
        <v>0</v>
      </c>
      <c r="U576" s="29" cm="1">
        <f t="array" aca="1" ref="U576" ca="1">+fair_value_gap(OFFSET(T575,0,0,-1*$J$5,-1*$AA$1),OFFSET(E575,0,0,-1*$J$5,1),F576:T576,0)</f>
        <v>15.44468601559679</v>
      </c>
      <c r="V576" s="9" cm="1">
        <f t="array" aca="1" ref="V576" ca="1">z_score_diff(OFFSET(U576,0,0,$J$5*-1,1),OFFSET(E576,0,0,$J$5*-1,1))</f>
        <v>-0.25000923301212463</v>
      </c>
      <c r="W576" s="9">
        <f t="shared" ca="1" si="566"/>
        <v>-6.8475022462510138E-2</v>
      </c>
      <c r="X576" s="17">
        <f t="shared" ca="1" si="561"/>
        <v>3.6904093641640309E-2</v>
      </c>
      <c r="Y576" s="13">
        <f t="shared" ref="Y576:Z576" ca="1" si="624">+Y575</f>
        <v>0</v>
      </c>
      <c r="Z576" s="13">
        <f t="shared" ca="1" si="624"/>
        <v>0</v>
      </c>
      <c r="AA576">
        <f t="shared" ca="1" si="568"/>
        <v>1</v>
      </c>
      <c r="AB576">
        <f t="shared" ca="1" si="569"/>
        <v>0</v>
      </c>
      <c r="AC576" s="24">
        <f t="shared" ca="1" si="570"/>
        <v>3.6904093641640309E-2</v>
      </c>
      <c r="AD576" s="24">
        <f t="shared" ca="1" si="571"/>
        <v>0</v>
      </c>
    </row>
    <row r="577" spans="3:30" x14ac:dyDescent="0.25">
      <c r="C577" s="6">
        <v>671</v>
      </c>
      <c r="D577" s="36">
        <v>42958</v>
      </c>
      <c r="E577" s="38">
        <v>15.714</v>
      </c>
      <c r="F577" s="38">
        <v>43.341723123654894</v>
      </c>
      <c r="G577" s="38">
        <v>32.86</v>
      </c>
      <c r="H577" s="38">
        <v>2.4240856620804689</v>
      </c>
      <c r="I577" s="38">
        <v>4.7462005524660338</v>
      </c>
      <c r="J577" s="10">
        <v>0</v>
      </c>
      <c r="K577" s="39">
        <v>0</v>
      </c>
      <c r="L577" s="39">
        <v>0</v>
      </c>
      <c r="M577" s="39">
        <v>0</v>
      </c>
      <c r="N577" s="39">
        <v>0</v>
      </c>
      <c r="O577" s="39">
        <v>0</v>
      </c>
      <c r="P577" s="39">
        <v>0</v>
      </c>
      <c r="Q577" s="39">
        <v>1</v>
      </c>
      <c r="R577" s="39">
        <v>0</v>
      </c>
      <c r="S577" s="39">
        <v>0</v>
      </c>
      <c r="T577" s="39">
        <v>0</v>
      </c>
      <c r="U577" s="29" cm="1">
        <f t="array" aca="1" ref="U577" ca="1">+fair_value_gap(OFFSET(T576,0,0,-1*$J$5,-1*$AA$1),OFFSET(E576,0,0,-1*$J$5,1),F577:T577,0)</f>
        <v>15.52543748365243</v>
      </c>
      <c r="V577" s="9" cm="1">
        <f t="array" aca="1" ref="V577" ca="1">z_score_diff(OFFSET(U577,0,0,$J$5*-1,1),OFFSET(E577,0,0,$J$5*-1,1))</f>
        <v>-0.2433690278379057</v>
      </c>
      <c r="W577" s="9">
        <f t="shared" ca="1" si="566"/>
        <v>-6.7971339111676896E-2</v>
      </c>
      <c r="X577" s="17">
        <f t="shared" ca="1" si="561"/>
        <v>2.8481945347690062E-2</v>
      </c>
      <c r="Y577" s="13">
        <f t="shared" ref="Y577:Z577" ca="1" si="625">+Y576</f>
        <v>0</v>
      </c>
      <c r="Z577" s="13">
        <f t="shared" ca="1" si="625"/>
        <v>0</v>
      </c>
      <c r="AA577">
        <f t="shared" ca="1" si="568"/>
        <v>1</v>
      </c>
      <c r="AB577">
        <f t="shared" ca="1" si="569"/>
        <v>0</v>
      </c>
      <c r="AC577" s="24">
        <f t="shared" ca="1" si="570"/>
        <v>2.8481945347690062E-2</v>
      </c>
      <c r="AD577" s="24">
        <f t="shared" ca="1" si="571"/>
        <v>0</v>
      </c>
    </row>
    <row r="578" spans="3:30" x14ac:dyDescent="0.25">
      <c r="C578" s="6">
        <v>672</v>
      </c>
      <c r="D578" s="36">
        <v>42961</v>
      </c>
      <c r="E578" s="38">
        <v>15.585000000000001</v>
      </c>
      <c r="F578" s="38">
        <v>42.660824404420289</v>
      </c>
      <c r="G578" s="38">
        <v>33.130000000000003</v>
      </c>
      <c r="H578" s="38">
        <v>2.4345531883746965</v>
      </c>
      <c r="I578" s="38">
        <v>4.7243806320356256</v>
      </c>
      <c r="J578" s="10">
        <v>0</v>
      </c>
      <c r="K578" s="39">
        <v>0</v>
      </c>
      <c r="L578" s="39">
        <v>0</v>
      </c>
      <c r="M578" s="39">
        <v>0</v>
      </c>
      <c r="N578" s="39">
        <v>0</v>
      </c>
      <c r="O578" s="39">
        <v>0</v>
      </c>
      <c r="P578" s="39">
        <v>0</v>
      </c>
      <c r="Q578" s="39">
        <v>1</v>
      </c>
      <c r="R578" s="39">
        <v>0</v>
      </c>
      <c r="S578" s="39">
        <v>0</v>
      </c>
      <c r="T578" s="39">
        <v>0</v>
      </c>
      <c r="U578" s="29" cm="1">
        <f t="array" aca="1" ref="U578" ca="1">+fair_value_gap(OFFSET(T577,0,0,-1*$J$5,-1*$AA$1),OFFSET(E577,0,0,-1*$J$5,1),F578:T578,0)</f>
        <v>15.555347789096494</v>
      </c>
      <c r="V578" s="9" cm="1">
        <f t="array" aca="1" ref="V578" ca="1">z_score_diff(OFFSET(U578,0,0,$J$5*-1,1),OFFSET(E578,0,0,$J$5*-1,1))</f>
        <v>-0.13842935958794844</v>
      </c>
      <c r="W578" s="9">
        <f t="shared" ca="1" si="566"/>
        <v>-7.7514596882511694E-2</v>
      </c>
      <c r="X578" s="17">
        <f t="shared" ca="1" si="561"/>
        <v>5.9230909160166795E-2</v>
      </c>
      <c r="Y578" s="13">
        <f t="shared" ref="Y578:Z578" ca="1" si="626">+Y577</f>
        <v>0</v>
      </c>
      <c r="Z578" s="13">
        <f t="shared" ca="1" si="626"/>
        <v>0</v>
      </c>
      <c r="AA578">
        <f t="shared" ca="1" si="568"/>
        <v>1</v>
      </c>
      <c r="AB578">
        <f t="shared" ca="1" si="569"/>
        <v>0</v>
      </c>
      <c r="AC578" s="24">
        <f t="shared" ca="1" si="570"/>
        <v>5.9230909160166795E-2</v>
      </c>
      <c r="AD578" s="24">
        <f t="shared" ca="1" si="571"/>
        <v>0</v>
      </c>
    </row>
    <row r="579" spans="3:30" x14ac:dyDescent="0.25">
      <c r="C579" s="6">
        <v>673</v>
      </c>
      <c r="D579" s="36">
        <v>42962</v>
      </c>
      <c r="E579" s="38">
        <v>15.368</v>
      </c>
      <c r="F579" s="38">
        <v>42.758115405188221</v>
      </c>
      <c r="G579" s="38">
        <v>32.92</v>
      </c>
      <c r="H579" s="38">
        <v>2.4316383351037953</v>
      </c>
      <c r="I579" s="38">
        <v>4.6980521024826238</v>
      </c>
      <c r="J579" s="10">
        <v>0</v>
      </c>
      <c r="K579" s="39">
        <v>0</v>
      </c>
      <c r="L579" s="39">
        <v>0</v>
      </c>
      <c r="M579" s="39">
        <v>0</v>
      </c>
      <c r="N579" s="39">
        <v>0</v>
      </c>
      <c r="O579" s="39">
        <v>0</v>
      </c>
      <c r="P579" s="39">
        <v>0</v>
      </c>
      <c r="Q579" s="39">
        <v>1</v>
      </c>
      <c r="R579" s="39">
        <v>0</v>
      </c>
      <c r="S579" s="39">
        <v>0</v>
      </c>
      <c r="T579" s="39">
        <v>0</v>
      </c>
      <c r="U579" s="29" cm="1">
        <f t="array" aca="1" ref="U579" ca="1">+fair_value_gap(OFFSET(T578,0,0,-1*$J$5,-1*$AA$1),OFFSET(E578,0,0,-1*$J$5,1),F579:T579,0)</f>
        <v>15.492028929159726</v>
      </c>
      <c r="V579" s="9" cm="1">
        <f t="array" aca="1" ref="V579" ca="1">z_score_diff(OFFSET(U579,0,0,$J$5*-1,1),OFFSET(E579,0,0,$J$5*-1,1))</f>
        <v>-3.7870644545023091E-2</v>
      </c>
      <c r="W579" s="9">
        <f t="shared" ca="1" si="566"/>
        <v>-8.6227424045391368E-2</v>
      </c>
      <c r="X579" s="17">
        <f t="shared" ca="1" si="561"/>
        <v>6.9678043609038787E-2</v>
      </c>
      <c r="Y579" s="13">
        <f t="shared" ref="Y579:Z579" ca="1" si="627">+Y578</f>
        <v>0</v>
      </c>
      <c r="Z579" s="13">
        <f t="shared" ca="1" si="627"/>
        <v>0</v>
      </c>
      <c r="AA579">
        <f t="shared" ca="1" si="568"/>
        <v>1</v>
      </c>
      <c r="AB579">
        <f t="shared" ca="1" si="569"/>
        <v>0</v>
      </c>
      <c r="AC579" s="24">
        <f t="shared" ca="1" si="570"/>
        <v>6.9678043609038787E-2</v>
      </c>
      <c r="AD579" s="24">
        <f t="shared" ca="1" si="571"/>
        <v>0</v>
      </c>
    </row>
    <row r="580" spans="3:30" x14ac:dyDescent="0.25">
      <c r="C580" s="6">
        <v>674</v>
      </c>
      <c r="D580" s="36">
        <v>42963</v>
      </c>
      <c r="E580" s="38">
        <v>15.58</v>
      </c>
      <c r="F580" s="38">
        <v>42.2555139409072</v>
      </c>
      <c r="G580" s="38">
        <v>33.130000000000003</v>
      </c>
      <c r="H580" s="38">
        <v>2.4094881398252186</v>
      </c>
      <c r="I580" s="38">
        <v>4.7024552642530173</v>
      </c>
      <c r="J580" s="10">
        <v>0</v>
      </c>
      <c r="K580" s="39">
        <v>0</v>
      </c>
      <c r="L580" s="39">
        <v>0</v>
      </c>
      <c r="M580" s="39">
        <v>0</v>
      </c>
      <c r="N580" s="39">
        <v>0</v>
      </c>
      <c r="O580" s="39">
        <v>0</v>
      </c>
      <c r="P580" s="39">
        <v>0</v>
      </c>
      <c r="Q580" s="39">
        <v>1</v>
      </c>
      <c r="R580" s="39">
        <v>0</v>
      </c>
      <c r="S580" s="39">
        <v>0</v>
      </c>
      <c r="T580" s="39">
        <v>0</v>
      </c>
      <c r="U580" s="29" cm="1">
        <f t="array" aca="1" ref="U580" ca="1">+fair_value_gap(OFFSET(T579,0,0,-1*$J$5,-1*$AA$1),OFFSET(E579,0,0,-1*$J$5,1),F580:T580,0)</f>
        <v>15.50221054337957</v>
      </c>
      <c r="V580" s="9" cm="1">
        <f t="array" aca="1" ref="V580" ca="1">z_score_diff(OFFSET(U580,0,0,$J$5*-1,1),OFFSET(E580,0,0,$J$5*-1,1))</f>
        <v>-0.17046249341356279</v>
      </c>
      <c r="W580" s="9">
        <f t="shared" ca="1" si="566"/>
        <v>-9.7966777649038467E-2</v>
      </c>
      <c r="X580" s="17">
        <f t="shared" ca="1" si="561"/>
        <v>5.6705451476228928E-2</v>
      </c>
      <c r="Y580" s="13">
        <f t="shared" ref="Y580:Z580" ca="1" si="628">+Y579</f>
        <v>0</v>
      </c>
      <c r="Z580" s="13">
        <f t="shared" ca="1" si="628"/>
        <v>0</v>
      </c>
      <c r="AA580">
        <f t="shared" ca="1" si="568"/>
        <v>1</v>
      </c>
      <c r="AB580">
        <f t="shared" ca="1" si="569"/>
        <v>0</v>
      </c>
      <c r="AC580" s="24">
        <f t="shared" ca="1" si="570"/>
        <v>5.6705451476228928E-2</v>
      </c>
      <c r="AD580" s="24">
        <f t="shared" ca="1" si="571"/>
        <v>0</v>
      </c>
    </row>
    <row r="581" spans="3:30" x14ac:dyDescent="0.25">
      <c r="C581" s="6">
        <v>675</v>
      </c>
      <c r="D581" s="36">
        <v>42964</v>
      </c>
      <c r="E581" s="38">
        <v>15.606999999999999</v>
      </c>
      <c r="F581" s="38">
        <v>42.724682845926985</v>
      </c>
      <c r="G581" s="38">
        <v>33.36</v>
      </c>
      <c r="H581" s="38">
        <v>2.4267218607263947</v>
      </c>
      <c r="I581" s="38">
        <v>4.7230377241144099</v>
      </c>
      <c r="J581" s="10">
        <v>0</v>
      </c>
      <c r="K581" s="39">
        <v>0</v>
      </c>
      <c r="L581" s="39">
        <v>0</v>
      </c>
      <c r="M581" s="39">
        <v>0</v>
      </c>
      <c r="N581" s="39">
        <v>0</v>
      </c>
      <c r="O581" s="39">
        <v>0</v>
      </c>
      <c r="P581" s="39">
        <v>0</v>
      </c>
      <c r="Q581" s="39">
        <v>1</v>
      </c>
      <c r="R581" s="39">
        <v>0</v>
      </c>
      <c r="S581" s="39">
        <v>0</v>
      </c>
      <c r="T581" s="39">
        <v>0</v>
      </c>
      <c r="U581" s="29" cm="1">
        <f t="array" aca="1" ref="U581" ca="1">+fair_value_gap(OFFSET(T580,0,0,-1*$J$5,-1*$AA$1),OFFSET(E580,0,0,-1*$J$5,1),F581:T581,0)</f>
        <v>15.617461885554345</v>
      </c>
      <c r="V581" s="9" cm="1">
        <f t="array" aca="1" ref="V581" ca="1">z_score_diff(OFFSET(U581,0,0,$J$5*-1,1),OFFSET(E581,0,0,$J$5*-1,1))</f>
        <v>-0.11246926791519607</v>
      </c>
      <c r="W581" s="9">
        <f t="shared" ca="1" si="566"/>
        <v>-0.10339143769295227</v>
      </c>
      <c r="X581" s="17">
        <f t="shared" ca="1" si="561"/>
        <v>5.394243816507182E-2</v>
      </c>
      <c r="Y581" s="13">
        <f t="shared" ref="Y581:Z581" ca="1" si="629">+Y580</f>
        <v>0</v>
      </c>
      <c r="Z581" s="13">
        <f t="shared" ca="1" si="629"/>
        <v>0</v>
      </c>
      <c r="AA581">
        <f t="shared" ca="1" si="568"/>
        <v>1</v>
      </c>
      <c r="AB581">
        <f t="shared" ca="1" si="569"/>
        <v>0</v>
      </c>
      <c r="AC581" s="24">
        <f t="shared" ca="1" si="570"/>
        <v>5.394243816507182E-2</v>
      </c>
      <c r="AD581" s="24">
        <f t="shared" ca="1" si="571"/>
        <v>0</v>
      </c>
    </row>
    <row r="582" spans="3:30" x14ac:dyDescent="0.25">
      <c r="C582" s="6">
        <v>676</v>
      </c>
      <c r="D582" s="36">
        <v>42965</v>
      </c>
      <c r="E582" s="38">
        <v>15.456</v>
      </c>
      <c r="F582" s="38">
        <v>43.812339920454782</v>
      </c>
      <c r="G582" s="38">
        <v>33.200000000000003</v>
      </c>
      <c r="H582" s="38">
        <v>2.4138433667201133</v>
      </c>
      <c r="I582" s="38">
        <v>4.7060783374632997</v>
      </c>
      <c r="J582" s="10">
        <v>0</v>
      </c>
      <c r="K582" s="39">
        <v>0</v>
      </c>
      <c r="L582" s="39">
        <v>0</v>
      </c>
      <c r="M582" s="39">
        <v>0</v>
      </c>
      <c r="N582" s="39">
        <v>0</v>
      </c>
      <c r="O582" s="39">
        <v>0</v>
      </c>
      <c r="P582" s="39">
        <v>0</v>
      </c>
      <c r="Q582" s="39">
        <v>1</v>
      </c>
      <c r="R582" s="39">
        <v>0</v>
      </c>
      <c r="S582" s="39">
        <v>0</v>
      </c>
      <c r="T582" s="39">
        <v>0</v>
      </c>
      <c r="U582" s="29" cm="1">
        <f t="array" aca="1" ref="U582" ca="1">+fair_value_gap(OFFSET(T581,0,0,-1*$J$5,-1*$AA$1),OFFSET(E581,0,0,-1*$J$5,1),F582:T582,0)</f>
        <v>15.616991640769029</v>
      </c>
      <c r="V582" s="9" cm="1">
        <f t="array" aca="1" ref="V582" ca="1">z_score_diff(OFFSET(U582,0,0,$J$5*-1,1),OFFSET(E582,0,0,$J$5*-1,1))</f>
        <v>-1.3537613698747841E-2</v>
      </c>
      <c r="W582" s="9">
        <f t="shared" ca="1" si="566"/>
        <v>-0.10723398497558394</v>
      </c>
      <c r="X582" s="17">
        <f t="shared" ca="1" si="561"/>
        <v>7.6452898864536822E-2</v>
      </c>
      <c r="Y582" s="13">
        <f t="shared" ref="Y582:Z582" ca="1" si="630">+Y581</f>
        <v>0</v>
      </c>
      <c r="Z582" s="13">
        <f t="shared" ca="1" si="630"/>
        <v>0</v>
      </c>
      <c r="AA582">
        <f t="shared" ca="1" si="568"/>
        <v>1</v>
      </c>
      <c r="AB582">
        <f t="shared" ca="1" si="569"/>
        <v>0</v>
      </c>
      <c r="AC582" s="24">
        <f t="shared" ca="1" si="570"/>
        <v>7.6452898864536822E-2</v>
      </c>
      <c r="AD582" s="24">
        <f t="shared" ca="1" si="571"/>
        <v>0</v>
      </c>
    </row>
    <row r="583" spans="3:30" x14ac:dyDescent="0.25">
      <c r="C583" s="6">
        <v>677</v>
      </c>
      <c r="D583" s="36">
        <v>42968</v>
      </c>
      <c r="E583" s="38">
        <v>15.41</v>
      </c>
      <c r="F583" s="38">
        <v>42.687124196558152</v>
      </c>
      <c r="G583" s="38">
        <v>32.979999999999997</v>
      </c>
      <c r="H583" s="38">
        <v>2.4233879328218948</v>
      </c>
      <c r="I583" s="38">
        <v>4.6858801575782705</v>
      </c>
      <c r="J583" s="10">
        <v>0</v>
      </c>
      <c r="K583" s="39">
        <v>0</v>
      </c>
      <c r="L583" s="39">
        <v>0</v>
      </c>
      <c r="M583" s="39">
        <v>0</v>
      </c>
      <c r="N583" s="39">
        <v>0</v>
      </c>
      <c r="O583" s="39">
        <v>0</v>
      </c>
      <c r="P583" s="39">
        <v>0</v>
      </c>
      <c r="Q583" s="39">
        <v>1</v>
      </c>
      <c r="R583" s="39">
        <v>0</v>
      </c>
      <c r="S583" s="39">
        <v>0</v>
      </c>
      <c r="T583" s="39">
        <v>0</v>
      </c>
      <c r="U583" s="29" cm="1">
        <f t="array" aca="1" ref="U583" ca="1">+fair_value_gap(OFFSET(T582,0,0,-1*$J$5,-1*$AA$1),OFFSET(E582,0,0,-1*$J$5,1),F583:T583,0)</f>
        <v>15.459086540687078</v>
      </c>
      <c r="V583" s="9" cm="1">
        <f t="array" aca="1" ref="V583" ca="1">z_score_diff(OFFSET(U583,0,0,$J$5*-1,1),OFFSET(E583,0,0,$J$5*-1,1))</f>
        <v>-8.4748780190333384E-2</v>
      </c>
      <c r="W583" s="9">
        <f t="shared" ca="1" si="566"/>
        <v>-0.11405799119725366</v>
      </c>
      <c r="X583" s="17">
        <f t="shared" ref="X583:X646" ca="1" si="631">+LN(OFFSET(E583,$X$3,0,1,1)/E583)</f>
        <v>8.5230644687000201E-2</v>
      </c>
      <c r="Y583" s="13">
        <f t="shared" ref="Y583:Z583" ca="1" si="632">+Y582</f>
        <v>0</v>
      </c>
      <c r="Z583" s="13">
        <f t="shared" ca="1" si="632"/>
        <v>0</v>
      </c>
      <c r="AA583">
        <f t="shared" ca="1" si="568"/>
        <v>1</v>
      </c>
      <c r="AB583">
        <f t="shared" ca="1" si="569"/>
        <v>0</v>
      </c>
      <c r="AC583" s="24">
        <f t="shared" ca="1" si="570"/>
        <v>8.5230644687000201E-2</v>
      </c>
      <c r="AD583" s="24">
        <f t="shared" ca="1" si="571"/>
        <v>0</v>
      </c>
    </row>
    <row r="584" spans="3:30" x14ac:dyDescent="0.25">
      <c r="C584" s="6">
        <v>678</v>
      </c>
      <c r="D584" s="36">
        <v>42969</v>
      </c>
      <c r="E584" s="38">
        <v>15.37</v>
      </c>
      <c r="F584" s="38">
        <v>43.407686625152301</v>
      </c>
      <c r="G584" s="38">
        <v>32.950000000000003</v>
      </c>
      <c r="H584" s="38">
        <v>2.4318964878251097</v>
      </c>
      <c r="I584" s="38">
        <v>4.6888963104299206</v>
      </c>
      <c r="J584" s="10">
        <v>0</v>
      </c>
      <c r="K584" s="39">
        <v>0</v>
      </c>
      <c r="L584" s="39">
        <v>0</v>
      </c>
      <c r="M584" s="39">
        <v>0</v>
      </c>
      <c r="N584" s="39">
        <v>0</v>
      </c>
      <c r="O584" s="39">
        <v>0</v>
      </c>
      <c r="P584" s="39">
        <v>0</v>
      </c>
      <c r="Q584" s="39">
        <v>1</v>
      </c>
      <c r="R584" s="39">
        <v>0</v>
      </c>
      <c r="S584" s="39">
        <v>0</v>
      </c>
      <c r="T584" s="39">
        <v>0</v>
      </c>
      <c r="U584" s="29" cm="1">
        <f t="array" aca="1" ref="U584" ca="1">+fair_value_gap(OFFSET(T583,0,0,-1*$J$5,-1*$AA$1),OFFSET(E583,0,0,-1*$J$5,1),F584:T584,0)</f>
        <v>15.529253423193056</v>
      </c>
      <c r="V584" s="9" cm="1">
        <f t="array" aca="1" ref="V584" ca="1">z_score_diff(OFFSET(U584,0,0,$J$5*-1,1),OFFSET(E584,0,0,$J$5*-1,1))</f>
        <v>-5.015616167298953E-3</v>
      </c>
      <c r="W584" s="9">
        <f t="shared" ca="1" si="566"/>
        <v>-0.11663896556553516</v>
      </c>
      <c r="X584" s="17">
        <f t="shared" ca="1" si="631"/>
        <v>9.7496231308546205E-2</v>
      </c>
      <c r="Y584" s="13">
        <f t="shared" ref="Y584:Z584" ca="1" si="633">+Y583</f>
        <v>0</v>
      </c>
      <c r="Z584" s="13">
        <f t="shared" ca="1" si="633"/>
        <v>0</v>
      </c>
      <c r="AA584">
        <f t="shared" ca="1" si="568"/>
        <v>1</v>
      </c>
      <c r="AB584">
        <f t="shared" ca="1" si="569"/>
        <v>0</v>
      </c>
      <c r="AC584" s="24">
        <f t="shared" ca="1" si="570"/>
        <v>9.7496231308546205E-2</v>
      </c>
      <c r="AD584" s="24">
        <f t="shared" ca="1" si="571"/>
        <v>0</v>
      </c>
    </row>
    <row r="585" spans="3:30" x14ac:dyDescent="0.25">
      <c r="C585" s="6">
        <v>679</v>
      </c>
      <c r="D585" s="36">
        <v>42970</v>
      </c>
      <c r="E585" s="38">
        <v>15.473000000000001</v>
      </c>
      <c r="F585" s="38">
        <v>43.716844257705411</v>
      </c>
      <c r="G585" s="38">
        <v>33.19</v>
      </c>
      <c r="H585" s="38">
        <v>2.4255797459113966</v>
      </c>
      <c r="I585" s="38">
        <v>4.6869102477426106</v>
      </c>
      <c r="J585" s="10">
        <v>0</v>
      </c>
      <c r="K585" s="39">
        <v>0</v>
      </c>
      <c r="L585" s="39">
        <v>0</v>
      </c>
      <c r="M585" s="39">
        <v>0</v>
      </c>
      <c r="N585" s="39">
        <v>0</v>
      </c>
      <c r="O585" s="39">
        <v>0</v>
      </c>
      <c r="P585" s="39">
        <v>0</v>
      </c>
      <c r="Q585" s="39">
        <v>1</v>
      </c>
      <c r="R585" s="39">
        <v>0</v>
      </c>
      <c r="S585" s="39">
        <v>0</v>
      </c>
      <c r="T585" s="39">
        <v>0</v>
      </c>
      <c r="U585" s="29" cm="1">
        <f t="array" aca="1" ref="U585" ca="1">+fair_value_gap(OFFSET(T584,0,0,-1*$J$5,-1*$AA$1),OFFSET(E584,0,0,-1*$J$5,1),F585:T585,0)</f>
        <v>15.597734417393985</v>
      </c>
      <c r="V585" s="9" cm="1">
        <f t="array" aca="1" ref="V585" ca="1">z_score_diff(OFFSET(U585,0,0,$J$5*-1,1),OFFSET(E585,0,0,$J$5*-1,1))</f>
        <v>-2.3057083880702378E-2</v>
      </c>
      <c r="W585" s="9">
        <f t="shared" ca="1" si="566"/>
        <v>-0.11933419735990862</v>
      </c>
      <c r="X585" s="17">
        <f t="shared" ca="1" si="631"/>
        <v>8.3769306023255871E-2</v>
      </c>
      <c r="Y585" s="13">
        <f t="shared" ref="Y585:Z585" ca="1" si="634">+Y584</f>
        <v>0</v>
      </c>
      <c r="Z585" s="13">
        <f t="shared" ca="1" si="634"/>
        <v>0</v>
      </c>
      <c r="AA585">
        <f t="shared" ca="1" si="568"/>
        <v>1</v>
      </c>
      <c r="AB585">
        <f t="shared" ca="1" si="569"/>
        <v>0</v>
      </c>
      <c r="AC585" s="24">
        <f t="shared" ca="1" si="570"/>
        <v>8.3769306023255871E-2</v>
      </c>
      <c r="AD585" s="24">
        <f t="shared" ca="1" si="571"/>
        <v>0</v>
      </c>
    </row>
    <row r="586" spans="3:30" x14ac:dyDescent="0.25">
      <c r="C586" s="6">
        <v>680</v>
      </c>
      <c r="D586" s="36">
        <v>42971</v>
      </c>
      <c r="E586" s="38">
        <v>15.401999999999999</v>
      </c>
      <c r="F586" s="38">
        <v>43.313795917147637</v>
      </c>
      <c r="G586" s="38">
        <v>33.46</v>
      </c>
      <c r="H586" s="38">
        <v>2.4279964173563977</v>
      </c>
      <c r="I586" s="38">
        <v>4.6899759856627856</v>
      </c>
      <c r="J586" s="10">
        <v>0</v>
      </c>
      <c r="K586" s="39">
        <v>0</v>
      </c>
      <c r="L586" s="39">
        <v>0</v>
      </c>
      <c r="M586" s="39">
        <v>0</v>
      </c>
      <c r="N586" s="39">
        <v>0</v>
      </c>
      <c r="O586" s="39">
        <v>0</v>
      </c>
      <c r="P586" s="39">
        <v>0</v>
      </c>
      <c r="Q586" s="39">
        <v>1</v>
      </c>
      <c r="R586" s="39">
        <v>0</v>
      </c>
      <c r="S586" s="39">
        <v>0</v>
      </c>
      <c r="T586" s="39">
        <v>0</v>
      </c>
      <c r="U586" s="29" cm="1">
        <f t="array" aca="1" ref="U586" ca="1">+fair_value_gap(OFFSET(T585,0,0,-1*$J$5,-1*$AA$1),OFFSET(E585,0,0,-1*$J$5,1),F586:T586,0)</f>
        <v>15.63703124489108</v>
      </c>
      <c r="V586" s="9" cm="1">
        <f t="array" aca="1" ref="V586" ca="1">z_score_diff(OFFSET(U586,0,0,$J$5*-1,1),OFFSET(E586,0,0,$J$5*-1,1))</f>
        <v>5.3721500881054096E-2</v>
      </c>
      <c r="W586" s="9">
        <f t="shared" ca="1" si="566"/>
        <v>-0.1168702094939225</v>
      </c>
      <c r="X586" s="17">
        <f t="shared" ca="1" si="631"/>
        <v>9.3762548493183828E-2</v>
      </c>
      <c r="Y586" s="13">
        <f t="shared" ref="Y586:Z586" ca="1" si="635">+Y585</f>
        <v>0</v>
      </c>
      <c r="Z586" s="13">
        <f t="shared" ca="1" si="635"/>
        <v>0</v>
      </c>
      <c r="AA586">
        <f t="shared" ca="1" si="568"/>
        <v>1</v>
      </c>
      <c r="AB586">
        <f t="shared" ca="1" si="569"/>
        <v>0</v>
      </c>
      <c r="AC586" s="24">
        <f t="shared" ca="1" si="570"/>
        <v>9.3762548493183828E-2</v>
      </c>
      <c r="AD586" s="24">
        <f t="shared" ca="1" si="571"/>
        <v>0</v>
      </c>
    </row>
    <row r="587" spans="3:30" x14ac:dyDescent="0.25">
      <c r="C587" s="6">
        <v>681</v>
      </c>
      <c r="D587" s="36">
        <v>42972</v>
      </c>
      <c r="E587" s="38">
        <v>15.403</v>
      </c>
      <c r="F587" s="38">
        <v>43.08847264259812</v>
      </c>
      <c r="G587" s="38">
        <v>33.58</v>
      </c>
      <c r="H587" s="38">
        <v>2.3876894771641775</v>
      </c>
      <c r="I587" s="38">
        <v>4.6406761424071563</v>
      </c>
      <c r="J587" s="10">
        <v>0</v>
      </c>
      <c r="K587" s="39">
        <v>0</v>
      </c>
      <c r="L587" s="39">
        <v>0</v>
      </c>
      <c r="M587" s="39">
        <v>0</v>
      </c>
      <c r="N587" s="39">
        <v>0</v>
      </c>
      <c r="O587" s="39">
        <v>0</v>
      </c>
      <c r="P587" s="39">
        <v>0</v>
      </c>
      <c r="Q587" s="39">
        <v>1</v>
      </c>
      <c r="R587" s="39">
        <v>0</v>
      </c>
      <c r="S587" s="39">
        <v>0</v>
      </c>
      <c r="T587" s="39">
        <v>0</v>
      </c>
      <c r="U587" s="29" cm="1">
        <f t="array" aca="1" ref="U587" ca="1">+fair_value_gap(OFFSET(T586,0,0,-1*$J$5,-1*$AA$1),OFFSET(E586,0,0,-1*$J$5,1),F587:T587,0)</f>
        <v>15.592825826717611</v>
      </c>
      <c r="V587" s="9" cm="1">
        <f t="array" aca="1" ref="V587" ca="1">z_score_diff(OFFSET(U587,0,0,$J$5*-1,1),OFFSET(E587,0,0,$J$5*-1,1))</f>
        <v>2.5577009350564062E-2</v>
      </c>
      <c r="W587" s="9">
        <f t="shared" ref="W587:W650" ca="1" si="636">+IF(ISERROR(AVERAGE(OFFSET(V587,0,0,$W$5*-1,1))),"",AVERAGE(OFFSET(V587,0,0,$W$5*-1,1)))</f>
        <v>-0.11258949830323216</v>
      </c>
      <c r="X587" s="17">
        <f t="shared" ca="1" si="631"/>
        <v>8.8065810167324565E-2</v>
      </c>
      <c r="Y587" s="13">
        <f t="shared" ref="Y587:Z587" ca="1" si="637">+Y586</f>
        <v>0</v>
      </c>
      <c r="Z587" s="13">
        <f t="shared" ca="1" si="637"/>
        <v>0</v>
      </c>
      <c r="AA587">
        <f t="shared" ref="AA587:AA650" ca="1" si="638">+IF(W587="","",IF(W587&lt;Y587,1,0))</f>
        <v>1</v>
      </c>
      <c r="AB587">
        <f t="shared" ref="AB587:AB650" ca="1" si="639">+IF(W587="","",IF(W587&gt;Z587,1,0))</f>
        <v>0</v>
      </c>
      <c r="AC587" s="24">
        <f t="shared" ref="AC587:AC650" ca="1" si="640">+IF(ISERROR(AA587*X587),"",AA587*X587)</f>
        <v>8.8065810167324565E-2</v>
      </c>
      <c r="AD587" s="24">
        <f t="shared" ref="AD587:AD650" ca="1" si="641">+IF(ISERROR(AB587*X587),"",AB587*X587)</f>
        <v>0</v>
      </c>
    </row>
    <row r="588" spans="3:30" x14ac:dyDescent="0.25">
      <c r="C588" s="6">
        <v>682</v>
      </c>
      <c r="D588" s="36">
        <v>42975</v>
      </c>
      <c r="E588" s="38">
        <v>15.455</v>
      </c>
      <c r="F588" s="38">
        <v>42.503841866406916</v>
      </c>
      <c r="G588" s="38">
        <v>33.74</v>
      </c>
      <c r="H588" s="38">
        <v>2.3922212326195926</v>
      </c>
      <c r="I588" s="38">
        <v>4.6208717826669057</v>
      </c>
      <c r="J588" s="10">
        <v>0</v>
      </c>
      <c r="K588" s="39">
        <v>0</v>
      </c>
      <c r="L588" s="39">
        <v>0</v>
      </c>
      <c r="M588" s="39">
        <v>0</v>
      </c>
      <c r="N588" s="39">
        <v>0</v>
      </c>
      <c r="O588" s="39">
        <v>0</v>
      </c>
      <c r="P588" s="39">
        <v>0</v>
      </c>
      <c r="Q588" s="39">
        <v>1</v>
      </c>
      <c r="R588" s="39">
        <v>0</v>
      </c>
      <c r="S588" s="39">
        <v>0</v>
      </c>
      <c r="T588" s="39">
        <v>0</v>
      </c>
      <c r="U588" s="29" cm="1">
        <f t="array" aca="1" ref="U588" ca="1">+fair_value_gap(OFFSET(T587,0,0,-1*$J$5,-1*$AA$1),OFFSET(E587,0,0,-1*$J$5,1),F588:T588,0)</f>
        <v>15.571657711593964</v>
      </c>
      <c r="V588" s="9" cm="1">
        <f t="array" aca="1" ref="V588" ca="1">z_score_diff(OFFSET(U588,0,0,$J$5*-1,1),OFFSET(E588,0,0,$J$5*-1,1))</f>
        <v>-2.0725182916672691E-2</v>
      </c>
      <c r="W588" s="9">
        <f t="shared" ca="1" si="636"/>
        <v>-0.10679679870269959</v>
      </c>
      <c r="X588" s="17">
        <f t="shared" ca="1" si="631"/>
        <v>8.6418081214291273E-2</v>
      </c>
      <c r="Y588" s="13">
        <f t="shared" ref="Y588:Z588" ca="1" si="642">+Y587</f>
        <v>0</v>
      </c>
      <c r="Z588" s="13">
        <f t="shared" ca="1" si="642"/>
        <v>0</v>
      </c>
      <c r="AA588">
        <f t="shared" ca="1" si="638"/>
        <v>1</v>
      </c>
      <c r="AB588">
        <f t="shared" ca="1" si="639"/>
        <v>0</v>
      </c>
      <c r="AC588" s="24">
        <f t="shared" ca="1" si="640"/>
        <v>8.6418081214291273E-2</v>
      </c>
      <c r="AD588" s="24">
        <f t="shared" ca="1" si="641"/>
        <v>0</v>
      </c>
    </row>
    <row r="589" spans="3:30" x14ac:dyDescent="0.25">
      <c r="C589" s="6">
        <v>683</v>
      </c>
      <c r="D589" s="36">
        <v>42976</v>
      </c>
      <c r="E589" s="38">
        <v>15.41</v>
      </c>
      <c r="F589" s="38">
        <v>42.889203980628679</v>
      </c>
      <c r="G589" s="38">
        <v>33.340000000000003</v>
      </c>
      <c r="H589" s="38">
        <v>2.3956426794216092</v>
      </c>
      <c r="I589" s="38">
        <v>4.6227394599494858</v>
      </c>
      <c r="J589" s="10">
        <v>0</v>
      </c>
      <c r="K589" s="39">
        <v>0</v>
      </c>
      <c r="L589" s="39">
        <v>0</v>
      </c>
      <c r="M589" s="39">
        <v>0</v>
      </c>
      <c r="N589" s="39">
        <v>0</v>
      </c>
      <c r="O589" s="39">
        <v>0</v>
      </c>
      <c r="P589" s="39">
        <v>0</v>
      </c>
      <c r="Q589" s="39">
        <v>1</v>
      </c>
      <c r="R589" s="39">
        <v>0</v>
      </c>
      <c r="S589" s="39">
        <v>0</v>
      </c>
      <c r="T589" s="39">
        <v>0</v>
      </c>
      <c r="U589" s="29" cm="1">
        <f t="array" aca="1" ref="U589" ca="1">+fair_value_gap(OFFSET(T588,0,0,-1*$J$5,-1*$AA$1),OFFSET(E588,0,0,-1*$J$5,1),F589:T589,0)</f>
        <v>15.487815647297268</v>
      </c>
      <c r="V589" s="9" cm="1">
        <f t="array" aca="1" ref="V589" ca="1">z_score_diff(OFFSET(U589,0,0,$J$5*-1,1),OFFSET(E589,0,0,$J$5*-1,1))</f>
        <v>-4.4647701561286501E-2</v>
      </c>
      <c r="W589" s="9">
        <f t="shared" ca="1" si="636"/>
        <v>-0.10402178901530315</v>
      </c>
      <c r="X589" s="17">
        <f t="shared" ca="1" si="631"/>
        <v>9.1586661213995238E-2</v>
      </c>
      <c r="Y589" s="13">
        <f t="shared" ref="Y589:Z589" ca="1" si="643">+Y588</f>
        <v>0</v>
      </c>
      <c r="Z589" s="13">
        <f t="shared" ca="1" si="643"/>
        <v>0</v>
      </c>
      <c r="AA589">
        <f t="shared" ca="1" si="638"/>
        <v>1</v>
      </c>
      <c r="AB589">
        <f t="shared" ca="1" si="639"/>
        <v>0</v>
      </c>
      <c r="AC589" s="24">
        <f t="shared" ca="1" si="640"/>
        <v>9.1586661213995238E-2</v>
      </c>
      <c r="AD589" s="24">
        <f t="shared" ca="1" si="641"/>
        <v>0</v>
      </c>
    </row>
    <row r="590" spans="3:30" x14ac:dyDescent="0.25">
      <c r="C590" s="6">
        <v>684</v>
      </c>
      <c r="D590" s="36">
        <v>42977</v>
      </c>
      <c r="E590" s="38">
        <v>15.358000000000001</v>
      </c>
      <c r="F590" s="38">
        <v>42.591016673106125</v>
      </c>
      <c r="G590" s="38">
        <v>33.770000000000003</v>
      </c>
      <c r="H590" s="38">
        <v>2.3824607392383541</v>
      </c>
      <c r="I590" s="38">
        <v>4.6710070509963586</v>
      </c>
      <c r="J590" s="10">
        <v>0</v>
      </c>
      <c r="K590" s="39">
        <v>0</v>
      </c>
      <c r="L590" s="39">
        <v>0</v>
      </c>
      <c r="M590" s="39">
        <v>0</v>
      </c>
      <c r="N590" s="39">
        <v>0</v>
      </c>
      <c r="O590" s="39">
        <v>0</v>
      </c>
      <c r="P590" s="39">
        <v>0</v>
      </c>
      <c r="Q590" s="39">
        <v>1</v>
      </c>
      <c r="R590" s="39">
        <v>0</v>
      </c>
      <c r="S590" s="39">
        <v>0</v>
      </c>
      <c r="T590" s="39">
        <v>0</v>
      </c>
      <c r="U590" s="29" cm="1">
        <f t="array" aca="1" ref="U590" ca="1">+fair_value_gap(OFFSET(T589,0,0,-1*$J$5,-1*$AA$1),OFFSET(E589,0,0,-1*$J$5,1),F590:T590,0)</f>
        <v>15.608391958594719</v>
      </c>
      <c r="V590" s="9" cm="1">
        <f t="array" aca="1" ref="V590" ca="1">z_score_diff(OFFSET(U590,0,0,$J$5*-1,1),OFFSET(E590,0,0,$J$5*-1,1))</f>
        <v>7.3490923719645163E-2</v>
      </c>
      <c r="W590" s="9">
        <f t="shared" ca="1" si="636"/>
        <v>-9.8170507065984972E-2</v>
      </c>
      <c r="X590" s="17">
        <f t="shared" ca="1" si="631"/>
        <v>9.8985242582038807E-2</v>
      </c>
      <c r="Y590" s="13">
        <f t="shared" ref="Y590:Z590" ca="1" si="644">+Y589</f>
        <v>0</v>
      </c>
      <c r="Z590" s="13">
        <f t="shared" ca="1" si="644"/>
        <v>0</v>
      </c>
      <c r="AA590">
        <f t="shared" ca="1" si="638"/>
        <v>1</v>
      </c>
      <c r="AB590">
        <f t="shared" ca="1" si="639"/>
        <v>0</v>
      </c>
      <c r="AC590" s="24">
        <f t="shared" ca="1" si="640"/>
        <v>9.8985242582038807E-2</v>
      </c>
      <c r="AD590" s="24">
        <f t="shared" ca="1" si="641"/>
        <v>0</v>
      </c>
    </row>
    <row r="591" spans="3:30" x14ac:dyDescent="0.25">
      <c r="C591" s="6">
        <v>685</v>
      </c>
      <c r="D591" s="36">
        <v>42978</v>
      </c>
      <c r="E591" s="38">
        <v>15.597</v>
      </c>
      <c r="F591" s="38">
        <v>44.063514620402444</v>
      </c>
      <c r="G591" s="38">
        <v>35.17</v>
      </c>
      <c r="H591" s="38">
        <v>2.398081534772182</v>
      </c>
      <c r="I591" s="38">
        <v>4.6670482544005942</v>
      </c>
      <c r="J591" s="10">
        <v>0</v>
      </c>
      <c r="K591" s="39">
        <v>0</v>
      </c>
      <c r="L591" s="39">
        <v>0</v>
      </c>
      <c r="M591" s="39">
        <v>0</v>
      </c>
      <c r="N591" s="39">
        <v>0</v>
      </c>
      <c r="O591" s="39">
        <v>0</v>
      </c>
      <c r="P591" s="39">
        <v>0</v>
      </c>
      <c r="Q591" s="39">
        <v>1</v>
      </c>
      <c r="R591" s="39">
        <v>0</v>
      </c>
      <c r="S591" s="39">
        <v>0</v>
      </c>
      <c r="T591" s="39">
        <v>0</v>
      </c>
      <c r="U591" s="29" cm="1">
        <f t="array" aca="1" ref="U591" ca="1">+fair_value_gap(OFFSET(T590,0,0,-1*$J$5,-1*$AA$1),OFFSET(E590,0,0,-1*$J$5,1),F591:T591,0)</f>
        <v>16.050063583119044</v>
      </c>
      <c r="V591" s="9" cm="1">
        <f t="array" aca="1" ref="V591" ca="1">z_score_diff(OFFSET(U591,0,0,$J$5*-1,1),OFFSET(E591,0,0,$J$5*-1,1))</f>
        <v>0.21185533449697747</v>
      </c>
      <c r="W591" s="9">
        <f t="shared" ca="1" si="636"/>
        <v>-8.7706200496894066E-2</v>
      </c>
      <c r="X591" s="17">
        <f t="shared" ca="1" si="631"/>
        <v>8.5605204033933263E-2</v>
      </c>
      <c r="Y591" s="13">
        <f t="shared" ref="Y591:Z591" ca="1" si="645">+Y590</f>
        <v>0</v>
      </c>
      <c r="Z591" s="13">
        <f t="shared" ca="1" si="645"/>
        <v>0</v>
      </c>
      <c r="AA591">
        <f t="shared" ca="1" si="638"/>
        <v>1</v>
      </c>
      <c r="AB591">
        <f t="shared" ca="1" si="639"/>
        <v>0</v>
      </c>
      <c r="AC591" s="24">
        <f t="shared" ca="1" si="640"/>
        <v>8.5605204033933263E-2</v>
      </c>
      <c r="AD591" s="24">
        <f t="shared" ca="1" si="641"/>
        <v>0</v>
      </c>
    </row>
    <row r="592" spans="3:30" x14ac:dyDescent="0.25">
      <c r="C592" s="6">
        <v>686</v>
      </c>
      <c r="D592" s="36">
        <v>42979</v>
      </c>
      <c r="E592" s="38">
        <v>15.634</v>
      </c>
      <c r="F592" s="38">
        <v>44.325494180523542</v>
      </c>
      <c r="G592" s="38">
        <v>35.15</v>
      </c>
      <c r="H592" s="38">
        <v>2.4186553663915942</v>
      </c>
      <c r="I592" s="38">
        <v>4.7001875118743754</v>
      </c>
      <c r="J592" s="10">
        <v>0</v>
      </c>
      <c r="K592" s="39">
        <v>0</v>
      </c>
      <c r="L592" s="39">
        <v>0</v>
      </c>
      <c r="M592" s="39">
        <v>0</v>
      </c>
      <c r="N592" s="39">
        <v>0</v>
      </c>
      <c r="O592" s="39">
        <v>0</v>
      </c>
      <c r="P592" s="39">
        <v>0</v>
      </c>
      <c r="Q592" s="39">
        <v>0</v>
      </c>
      <c r="R592" s="39">
        <v>1</v>
      </c>
      <c r="S592" s="39">
        <v>0</v>
      </c>
      <c r="T592" s="39">
        <v>0</v>
      </c>
      <c r="U592" s="29" cm="1">
        <f t="array" aca="1" ref="U592" ca="1">+fair_value_gap(OFFSET(T591,0,0,-1*$J$5,-1*$AA$1),OFFSET(E591,0,0,-1*$J$5,1),F592:T592,0)</f>
        <v>15.243625961016971</v>
      </c>
      <c r="V592" s="9" cm="1">
        <f t="array" aca="1" ref="V592" ca="1">z_score_diff(OFFSET(U592,0,0,$J$5*-1,1),OFFSET(E592,0,0,$J$5*-1,1))</f>
        <v>-0.36264038953718836</v>
      </c>
      <c r="W592" s="9">
        <f t="shared" ca="1" si="636"/>
        <v>-9.6953747783428398E-2</v>
      </c>
      <c r="X592" s="17">
        <f t="shared" ca="1" si="631"/>
        <v>9.0682511661279108E-2</v>
      </c>
      <c r="Y592" s="13">
        <f t="shared" ref="Y592:Z592" ca="1" si="646">+Y591</f>
        <v>0</v>
      </c>
      <c r="Z592" s="13">
        <f t="shared" ca="1" si="646"/>
        <v>0</v>
      </c>
      <c r="AA592">
        <f t="shared" ca="1" si="638"/>
        <v>1</v>
      </c>
      <c r="AB592">
        <f t="shared" ca="1" si="639"/>
        <v>0</v>
      </c>
      <c r="AC592" s="24">
        <f t="shared" ca="1" si="640"/>
        <v>9.0682511661279108E-2</v>
      </c>
      <c r="AD592" s="24">
        <f t="shared" ca="1" si="641"/>
        <v>0</v>
      </c>
    </row>
    <row r="593" spans="3:30" x14ac:dyDescent="0.25">
      <c r="C593" s="6">
        <v>687</v>
      </c>
      <c r="D593" s="36">
        <v>42982</v>
      </c>
      <c r="E593" s="38">
        <v>15.696</v>
      </c>
      <c r="F593" s="38">
        <v>43.815876152832679</v>
      </c>
      <c r="G593" s="38">
        <v>35.15</v>
      </c>
      <c r="H593" s="38">
        <v>2.4110671936758896</v>
      </c>
      <c r="I593" s="38">
        <v>4.6854413702239794</v>
      </c>
      <c r="J593" s="10">
        <v>0</v>
      </c>
      <c r="K593" s="39">
        <v>0</v>
      </c>
      <c r="L593" s="39">
        <v>0</v>
      </c>
      <c r="M593" s="39">
        <v>0</v>
      </c>
      <c r="N593" s="39">
        <v>0</v>
      </c>
      <c r="O593" s="39">
        <v>0</v>
      </c>
      <c r="P593" s="39">
        <v>0</v>
      </c>
      <c r="Q593" s="39">
        <v>0</v>
      </c>
      <c r="R593" s="39">
        <v>1</v>
      </c>
      <c r="S593" s="39">
        <v>0</v>
      </c>
      <c r="T593" s="39">
        <v>0</v>
      </c>
      <c r="U593" s="29" cm="1">
        <f t="array" aca="1" ref="U593" ca="1">+fair_value_gap(OFFSET(T592,0,0,-1*$J$5,-1*$AA$1),OFFSET(E592,0,0,-1*$J$5,1),F593:T593,0)</f>
        <v>15.257709438242255</v>
      </c>
      <c r="V593" s="9" cm="1">
        <f t="array" aca="1" ref="V593" ca="1">z_score_diff(OFFSET(U593,0,0,$J$5*-1,1),OFFSET(E593,0,0,$J$5*-1,1))</f>
        <v>-0.39459418931307033</v>
      </c>
      <c r="W593" s="9">
        <f t="shared" ca="1" si="636"/>
        <v>-0.10794261702424714</v>
      </c>
      <c r="X593" s="17">
        <f t="shared" ca="1" si="631"/>
        <v>9.3652333349247011E-2</v>
      </c>
      <c r="Y593" s="13">
        <f t="shared" ref="Y593:Z593" ca="1" si="647">+Y592</f>
        <v>0</v>
      </c>
      <c r="Z593" s="13">
        <f t="shared" ca="1" si="647"/>
        <v>0</v>
      </c>
      <c r="AA593">
        <f t="shared" ca="1" si="638"/>
        <v>1</v>
      </c>
      <c r="AB593">
        <f t="shared" ca="1" si="639"/>
        <v>0</v>
      </c>
      <c r="AC593" s="24">
        <f t="shared" ca="1" si="640"/>
        <v>9.3652333349247011E-2</v>
      </c>
      <c r="AD593" s="24">
        <f t="shared" ca="1" si="641"/>
        <v>0</v>
      </c>
    </row>
    <row r="594" spans="3:30" x14ac:dyDescent="0.25">
      <c r="C594" s="6">
        <v>688</v>
      </c>
      <c r="D594" s="36">
        <v>42983</v>
      </c>
      <c r="E594" s="38">
        <v>16.062999999999999</v>
      </c>
      <c r="F594" s="38">
        <v>44.381009071879475</v>
      </c>
      <c r="G594" s="38">
        <v>36.159999999999997</v>
      </c>
      <c r="H594" s="38">
        <v>2.3900628635041432</v>
      </c>
      <c r="I594" s="38">
        <v>4.7768370268177058</v>
      </c>
      <c r="J594" s="10">
        <v>0</v>
      </c>
      <c r="K594" s="39">
        <v>0</v>
      </c>
      <c r="L594" s="39">
        <v>0</v>
      </c>
      <c r="M594" s="39">
        <v>0</v>
      </c>
      <c r="N594" s="39">
        <v>0</v>
      </c>
      <c r="O594" s="39">
        <v>0</v>
      </c>
      <c r="P594" s="39">
        <v>0</v>
      </c>
      <c r="Q594" s="39">
        <v>0</v>
      </c>
      <c r="R594" s="39">
        <v>1</v>
      </c>
      <c r="S594" s="39">
        <v>0</v>
      </c>
      <c r="T594" s="39">
        <v>0</v>
      </c>
      <c r="U594" s="29" cm="1">
        <f t="array" aca="1" ref="U594" ca="1">+fair_value_gap(OFFSET(T593,0,0,-1*$J$5,-1*$AA$1),OFFSET(E593,0,0,-1*$J$5,1),F594:T594,0)</f>
        <v>15.685198656443301</v>
      </c>
      <c r="V594" s="9" cm="1">
        <f t="array" aca="1" ref="V594" ca="1">z_score_diff(OFFSET(U594,0,0,$J$5*-1,1),OFFSET(E594,0,0,$J$5*-1,1))</f>
        <v>-0.35371723885359246</v>
      </c>
      <c r="W594" s="9">
        <f t="shared" ca="1" si="636"/>
        <v>-0.11808028860476129</v>
      </c>
      <c r="X594" s="17">
        <f t="shared" ca="1" si="631"/>
        <v>6.6586941519445914E-2</v>
      </c>
      <c r="Y594" s="13">
        <f t="shared" ref="Y594:Z594" ca="1" si="648">+Y593</f>
        <v>0</v>
      </c>
      <c r="Z594" s="13">
        <f t="shared" ca="1" si="648"/>
        <v>0</v>
      </c>
      <c r="AA594">
        <f t="shared" ca="1" si="638"/>
        <v>1</v>
      </c>
      <c r="AB594">
        <f t="shared" ca="1" si="639"/>
        <v>0</v>
      </c>
      <c r="AC594" s="24">
        <f t="shared" ca="1" si="640"/>
        <v>6.6586941519445914E-2</v>
      </c>
      <c r="AD594" s="24">
        <f t="shared" ca="1" si="641"/>
        <v>0</v>
      </c>
    </row>
    <row r="595" spans="3:30" x14ac:dyDescent="0.25">
      <c r="C595" s="6">
        <v>689</v>
      </c>
      <c r="D595" s="36">
        <v>42984</v>
      </c>
      <c r="E595" s="38">
        <v>16.204999999999998</v>
      </c>
      <c r="F595" s="38">
        <v>44.720815394742147</v>
      </c>
      <c r="G595" s="38">
        <v>36.49</v>
      </c>
      <c r="H595" s="38">
        <v>2.3987515644478559</v>
      </c>
      <c r="I595" s="38">
        <v>4.8073643891812115</v>
      </c>
      <c r="J595" s="10">
        <v>0</v>
      </c>
      <c r="K595" s="39">
        <v>0</v>
      </c>
      <c r="L595" s="39">
        <v>0</v>
      </c>
      <c r="M595" s="39">
        <v>0</v>
      </c>
      <c r="N595" s="39">
        <v>0</v>
      </c>
      <c r="O595" s="39">
        <v>0</v>
      </c>
      <c r="P595" s="39">
        <v>0</v>
      </c>
      <c r="Q595" s="39">
        <v>0</v>
      </c>
      <c r="R595" s="39">
        <v>1</v>
      </c>
      <c r="S595" s="39">
        <v>0</v>
      </c>
      <c r="T595" s="39">
        <v>0</v>
      </c>
      <c r="U595" s="29" cm="1">
        <f t="array" aca="1" ref="U595" ca="1">+fair_value_gap(OFFSET(T594,0,0,-1*$J$5,-1*$AA$1),OFFSET(E594,0,0,-1*$J$5,1),F595:T595,0)</f>
        <v>15.873597652666666</v>
      </c>
      <c r="V595" s="9" cm="1">
        <f t="array" aca="1" ref="V595" ca="1">z_score_diff(OFFSET(U595,0,0,$J$5*-1,1),OFFSET(E595,0,0,$J$5*-1,1))</f>
        <v>-0.32132704592733874</v>
      </c>
      <c r="W595" s="9">
        <f t="shared" ca="1" si="636"/>
        <v>-0.12434911453871263</v>
      </c>
      <c r="X595" s="17">
        <f t="shared" ca="1" si="631"/>
        <v>6.5386664910222797E-2</v>
      </c>
      <c r="Y595" s="13">
        <f t="shared" ref="Y595:Z595" ca="1" si="649">+Y594</f>
        <v>0</v>
      </c>
      <c r="Z595" s="13">
        <f t="shared" ca="1" si="649"/>
        <v>0</v>
      </c>
      <c r="AA595">
        <f t="shared" ca="1" si="638"/>
        <v>1</v>
      </c>
      <c r="AB595">
        <f t="shared" ca="1" si="639"/>
        <v>0</v>
      </c>
      <c r="AC595" s="24">
        <f t="shared" ca="1" si="640"/>
        <v>6.5386664910222797E-2</v>
      </c>
      <c r="AD595" s="24">
        <f t="shared" ca="1" si="641"/>
        <v>0</v>
      </c>
    </row>
    <row r="596" spans="3:30" x14ac:dyDescent="0.25">
      <c r="C596" s="6">
        <v>690</v>
      </c>
      <c r="D596" s="36">
        <v>42985</v>
      </c>
      <c r="E596" s="38">
        <v>16.224</v>
      </c>
      <c r="F596" s="38">
        <v>44.464148335528293</v>
      </c>
      <c r="G596" s="38">
        <v>36.229999999999997</v>
      </c>
      <c r="H596" s="38">
        <v>2.3829393279524327</v>
      </c>
      <c r="I596" s="38">
        <v>4.8286304781525864</v>
      </c>
      <c r="J596" s="10">
        <v>0</v>
      </c>
      <c r="K596" s="39">
        <v>0</v>
      </c>
      <c r="L596" s="39">
        <v>0</v>
      </c>
      <c r="M596" s="39">
        <v>0</v>
      </c>
      <c r="N596" s="39">
        <v>0</v>
      </c>
      <c r="O596" s="39">
        <v>0</v>
      </c>
      <c r="P596" s="39">
        <v>0</v>
      </c>
      <c r="Q596" s="39">
        <v>0</v>
      </c>
      <c r="R596" s="39">
        <v>1</v>
      </c>
      <c r="S596" s="39">
        <v>0</v>
      </c>
      <c r="T596" s="39">
        <v>0</v>
      </c>
      <c r="U596" s="29" cm="1">
        <f t="array" aca="1" ref="U596" ca="1">+fair_value_gap(OFFSET(T595,0,0,-1*$J$5,-1*$AA$1),OFFSET(E595,0,0,-1*$J$5,1),F596:T596,0)</f>
        <v>15.849613043131543</v>
      </c>
      <c r="V596" s="9" cm="1">
        <f t="array" aca="1" ref="V596" ca="1">z_score_diff(OFFSET(U596,0,0,$J$5*-1,1),OFFSET(E596,0,0,$J$5*-1,1))</f>
        <v>-0.35157383737968079</v>
      </c>
      <c r="W596" s="9">
        <f t="shared" ca="1" si="636"/>
        <v>-0.13377439404665908</v>
      </c>
      <c r="X596" s="17">
        <f t="shared" ca="1" si="631"/>
        <v>5.1123778048081048E-2</v>
      </c>
      <c r="Y596" s="13">
        <f t="shared" ref="Y596:Z596" ca="1" si="650">+Y595</f>
        <v>0</v>
      </c>
      <c r="Z596" s="13">
        <f t="shared" ca="1" si="650"/>
        <v>0</v>
      </c>
      <c r="AA596">
        <f t="shared" ca="1" si="638"/>
        <v>1</v>
      </c>
      <c r="AB596">
        <f t="shared" ca="1" si="639"/>
        <v>0</v>
      </c>
      <c r="AC596" s="24">
        <f t="shared" ca="1" si="640"/>
        <v>5.1123778048081048E-2</v>
      </c>
      <c r="AD596" s="24">
        <f t="shared" ca="1" si="641"/>
        <v>0</v>
      </c>
    </row>
    <row r="597" spans="3:30" x14ac:dyDescent="0.25">
      <c r="C597" s="6">
        <v>691</v>
      </c>
      <c r="D597" s="36">
        <v>42986</v>
      </c>
      <c r="E597" s="38">
        <v>16.335000000000001</v>
      </c>
      <c r="F597" s="38">
        <v>43.77338822312619</v>
      </c>
      <c r="G597" s="38">
        <v>36.770000000000003</v>
      </c>
      <c r="H597" s="38">
        <v>2.3674277128302852</v>
      </c>
      <c r="I597" s="38">
        <v>4.8659719931754228</v>
      </c>
      <c r="J597" s="10">
        <v>0</v>
      </c>
      <c r="K597" s="39">
        <v>0</v>
      </c>
      <c r="L597" s="39">
        <v>0</v>
      </c>
      <c r="M597" s="39">
        <v>0</v>
      </c>
      <c r="N597" s="39">
        <v>0</v>
      </c>
      <c r="O597" s="39">
        <v>0</v>
      </c>
      <c r="P597" s="39">
        <v>0</v>
      </c>
      <c r="Q597" s="39">
        <v>0</v>
      </c>
      <c r="R597" s="39">
        <v>1</v>
      </c>
      <c r="S597" s="39">
        <v>0</v>
      </c>
      <c r="T597" s="39">
        <v>0</v>
      </c>
      <c r="U597" s="29" cm="1">
        <f t="array" aca="1" ref="U597" ca="1">+fair_value_gap(OFFSET(T596,0,0,-1*$J$5,-1*$AA$1),OFFSET(E596,0,0,-1*$J$5,1),F597:T597,0)</f>
        <v>16.027254521027441</v>
      </c>
      <c r="V597" s="9" cm="1">
        <f t="array" aca="1" ref="V597" ca="1">z_score_diff(OFFSET(U597,0,0,$J$5*-1,1),OFFSET(E597,0,0,$J$5*-1,1))</f>
        <v>-0.30558378164922889</v>
      </c>
      <c r="W597" s="9">
        <f t="shared" ca="1" si="636"/>
        <v>-0.1421604180889868</v>
      </c>
      <c r="X597" s="17">
        <f t="shared" ca="1" si="631"/>
        <v>3.6485700956325598E-2</v>
      </c>
      <c r="Y597" s="13">
        <f t="shared" ref="Y597:Z597" ca="1" si="651">+Y596</f>
        <v>0</v>
      </c>
      <c r="Z597" s="13">
        <f t="shared" ca="1" si="651"/>
        <v>0</v>
      </c>
      <c r="AA597">
        <f t="shared" ca="1" si="638"/>
        <v>1</v>
      </c>
      <c r="AB597">
        <f t="shared" ca="1" si="639"/>
        <v>0</v>
      </c>
      <c r="AC597" s="24">
        <f t="shared" ca="1" si="640"/>
        <v>3.6485700956325598E-2</v>
      </c>
      <c r="AD597" s="24">
        <f t="shared" ca="1" si="641"/>
        <v>0</v>
      </c>
    </row>
    <row r="598" spans="3:30" x14ac:dyDescent="0.25">
      <c r="C598" s="6">
        <v>692</v>
      </c>
      <c r="D598" s="36">
        <v>42989</v>
      </c>
      <c r="E598" s="38">
        <v>16.603000000000002</v>
      </c>
      <c r="F598" s="38">
        <v>44.26831467304887</v>
      </c>
      <c r="G598" s="38">
        <v>36.99</v>
      </c>
      <c r="H598" s="38">
        <v>2.4105371866957364</v>
      </c>
      <c r="I598" s="38">
        <v>4.9382817238496477</v>
      </c>
      <c r="J598" s="10">
        <v>0</v>
      </c>
      <c r="K598" s="39">
        <v>0</v>
      </c>
      <c r="L598" s="39">
        <v>0</v>
      </c>
      <c r="M598" s="39">
        <v>0</v>
      </c>
      <c r="N598" s="39">
        <v>0</v>
      </c>
      <c r="O598" s="39">
        <v>0</v>
      </c>
      <c r="P598" s="39">
        <v>0</v>
      </c>
      <c r="Q598" s="39">
        <v>0</v>
      </c>
      <c r="R598" s="39">
        <v>1</v>
      </c>
      <c r="S598" s="39">
        <v>0</v>
      </c>
      <c r="T598" s="39">
        <v>0</v>
      </c>
      <c r="U598" s="29" cm="1">
        <f t="array" aca="1" ref="U598" ca="1">+fair_value_gap(OFFSET(T597,0,0,-1*$J$5,-1*$AA$1),OFFSET(E597,0,0,-1*$J$5,1),F598:T598,0)</f>
        <v>16.214920879695082</v>
      </c>
      <c r="V598" s="9" cm="1">
        <f t="array" aca="1" ref="V598" ca="1">z_score_diff(OFFSET(U598,0,0,$J$5*-1,1),OFFSET(E598,0,0,$J$5*-1,1))</f>
        <v>-0.363542283111012</v>
      </c>
      <c r="W598" s="9">
        <f t="shared" ca="1" si="636"/>
        <v>-0.14073279453666984</v>
      </c>
      <c r="X598" s="17">
        <f t="shared" ca="1" si="631"/>
        <v>1.8558279434381174E-2</v>
      </c>
      <c r="Y598" s="13">
        <f t="shared" ref="Y598:Z598" ca="1" si="652">+Y597</f>
        <v>0</v>
      </c>
      <c r="Z598" s="13">
        <f t="shared" ca="1" si="652"/>
        <v>0</v>
      </c>
      <c r="AA598">
        <f t="shared" ca="1" si="638"/>
        <v>1</v>
      </c>
      <c r="AB598">
        <f t="shared" ca="1" si="639"/>
        <v>0</v>
      </c>
      <c r="AC598" s="24">
        <f t="shared" ca="1" si="640"/>
        <v>1.8558279434381174E-2</v>
      </c>
      <c r="AD598" s="24">
        <f t="shared" ca="1" si="641"/>
        <v>0</v>
      </c>
    </row>
    <row r="599" spans="3:30" x14ac:dyDescent="0.25">
      <c r="C599" s="6">
        <v>693</v>
      </c>
      <c r="D599" s="36">
        <v>42990</v>
      </c>
      <c r="E599" s="38">
        <v>16.518000000000001</v>
      </c>
      <c r="F599" s="38">
        <v>44.391718021711171</v>
      </c>
      <c r="G599" s="38">
        <v>36.86</v>
      </c>
      <c r="H599" s="38">
        <v>2.411988220065679</v>
      </c>
      <c r="I599" s="38">
        <v>4.9738046289541753</v>
      </c>
      <c r="J599" s="10">
        <v>0</v>
      </c>
      <c r="K599" s="39">
        <v>0</v>
      </c>
      <c r="L599" s="39">
        <v>0</v>
      </c>
      <c r="M599" s="39">
        <v>0</v>
      </c>
      <c r="N599" s="39">
        <v>0</v>
      </c>
      <c r="O599" s="39">
        <v>0</v>
      </c>
      <c r="P599" s="39">
        <v>0</v>
      </c>
      <c r="Q599" s="39">
        <v>0</v>
      </c>
      <c r="R599" s="39">
        <v>1</v>
      </c>
      <c r="S599" s="39">
        <v>0</v>
      </c>
      <c r="T599" s="39">
        <v>0</v>
      </c>
      <c r="U599" s="29" cm="1">
        <f t="array" aca="1" ref="U599" ca="1">+fair_value_gap(OFFSET(T598,0,0,-1*$J$5,-1*$AA$1),OFFSET(E598,0,0,-1*$J$5,1),F599:T599,0)</f>
        <v>16.254216116635092</v>
      </c>
      <c r="V599" s="9" cm="1">
        <f t="array" aca="1" ref="V599" ca="1">z_score_diff(OFFSET(U599,0,0,$J$5*-1,1),OFFSET(E599,0,0,$J$5*-1,1))</f>
        <v>-0.27551250079802392</v>
      </c>
      <c r="W599" s="9">
        <f t="shared" ca="1" si="636"/>
        <v>-0.14706594518289748</v>
      </c>
      <c r="X599" s="17">
        <f t="shared" ca="1" si="631"/>
        <v>2.2685395989987381E-2</v>
      </c>
      <c r="Y599" s="13">
        <f t="shared" ref="Y599:Z599" ca="1" si="653">+Y598</f>
        <v>0</v>
      </c>
      <c r="Z599" s="13">
        <f t="shared" ca="1" si="653"/>
        <v>0</v>
      </c>
      <c r="AA599">
        <f t="shared" ca="1" si="638"/>
        <v>1</v>
      </c>
      <c r="AB599">
        <f t="shared" ca="1" si="639"/>
        <v>0</v>
      </c>
      <c r="AC599" s="24">
        <f t="shared" ca="1" si="640"/>
        <v>2.2685395989987381E-2</v>
      </c>
      <c r="AD599" s="24">
        <f t="shared" ca="1" si="641"/>
        <v>0</v>
      </c>
    </row>
    <row r="600" spans="3:30" x14ac:dyDescent="0.25">
      <c r="C600" s="6">
        <v>694</v>
      </c>
      <c r="D600" s="36">
        <v>42991</v>
      </c>
      <c r="E600" s="38">
        <v>16.571999999999999</v>
      </c>
      <c r="F600" s="38">
        <v>45.080349335621143</v>
      </c>
      <c r="G600" s="38">
        <v>37.340000000000003</v>
      </c>
      <c r="H600" s="38">
        <v>2.436976105766576</v>
      </c>
      <c r="I600" s="38">
        <v>5.0272418820345326</v>
      </c>
      <c r="J600" s="10">
        <v>0</v>
      </c>
      <c r="K600" s="39">
        <v>0</v>
      </c>
      <c r="L600" s="39">
        <v>0</v>
      </c>
      <c r="M600" s="39">
        <v>0</v>
      </c>
      <c r="N600" s="39">
        <v>0</v>
      </c>
      <c r="O600" s="39">
        <v>0</v>
      </c>
      <c r="P600" s="39">
        <v>0</v>
      </c>
      <c r="Q600" s="39">
        <v>0</v>
      </c>
      <c r="R600" s="39">
        <v>1</v>
      </c>
      <c r="S600" s="39">
        <v>0</v>
      </c>
      <c r="T600" s="39">
        <v>0</v>
      </c>
      <c r="U600" s="29" cm="1">
        <f t="array" aca="1" ref="U600" ca="1">+fair_value_gap(OFFSET(T599,0,0,-1*$J$5,-1*$AA$1),OFFSET(E599,0,0,-1*$J$5,1),F600:T600,0)</f>
        <v>16.50687698570918</v>
      </c>
      <c r="V600" s="9" cm="1">
        <f t="array" aca="1" ref="V600" ca="1">z_score_diff(OFFSET(U600,0,0,$J$5*-1,1),OFFSET(E600,0,0,$J$5*-1,1))</f>
        <v>-0.1362397034548761</v>
      </c>
      <c r="W600" s="9">
        <f t="shared" ca="1" si="636"/>
        <v>-0.14761152699694169</v>
      </c>
      <c r="X600" s="17">
        <f t="shared" ca="1" si="631"/>
        <v>3.1890116627356281E-2</v>
      </c>
      <c r="Y600" s="13">
        <f t="shared" ref="Y600:Z600" ca="1" si="654">+Y599</f>
        <v>0</v>
      </c>
      <c r="Z600" s="13">
        <f t="shared" ca="1" si="654"/>
        <v>0</v>
      </c>
      <c r="AA600">
        <f t="shared" ca="1" si="638"/>
        <v>1</v>
      </c>
      <c r="AB600">
        <f t="shared" ca="1" si="639"/>
        <v>0</v>
      </c>
      <c r="AC600" s="24">
        <f t="shared" ca="1" si="640"/>
        <v>3.1890116627356281E-2</v>
      </c>
      <c r="AD600" s="24">
        <f t="shared" ca="1" si="641"/>
        <v>0</v>
      </c>
    </row>
    <row r="601" spans="3:30" x14ac:dyDescent="0.25">
      <c r="C601" s="6">
        <v>695</v>
      </c>
      <c r="D601" s="36">
        <v>42992</v>
      </c>
      <c r="E601" s="38">
        <v>16.677</v>
      </c>
      <c r="F601" s="38">
        <v>45.240983859884466</v>
      </c>
      <c r="G601" s="38">
        <v>38.21</v>
      </c>
      <c r="H601" s="38">
        <v>2.4247983718506392</v>
      </c>
      <c r="I601" s="38">
        <v>5.0797470976396433</v>
      </c>
      <c r="J601" s="10">
        <v>0</v>
      </c>
      <c r="K601" s="39">
        <v>0</v>
      </c>
      <c r="L601" s="39">
        <v>0</v>
      </c>
      <c r="M601" s="39">
        <v>0</v>
      </c>
      <c r="N601" s="39">
        <v>0</v>
      </c>
      <c r="O601" s="39">
        <v>0</v>
      </c>
      <c r="P601" s="39">
        <v>0</v>
      </c>
      <c r="Q601" s="39">
        <v>0</v>
      </c>
      <c r="R601" s="39">
        <v>1</v>
      </c>
      <c r="S601" s="39">
        <v>0</v>
      </c>
      <c r="T601" s="39">
        <v>0</v>
      </c>
      <c r="U601" s="29" cm="1">
        <f t="array" aca="1" ref="U601" ca="1">+fair_value_gap(OFFSET(T600,0,0,-1*$J$5,-1*$AA$1),OFFSET(E600,0,0,-1*$J$5,1),F601:T601,0)</f>
        <v>16.810638723287848</v>
      </c>
      <c r="V601" s="9" cm="1">
        <f t="array" aca="1" ref="V601" ca="1">z_score_diff(OFFSET(U601,0,0,$J$5*-1,1),OFFSET(E601,0,0,$J$5*-1,1))</f>
        <v>4.4928473578078332E-3</v>
      </c>
      <c r="W601" s="9">
        <f t="shared" ca="1" si="636"/>
        <v>-0.14216426225656034</v>
      </c>
      <c r="X601" s="17">
        <f t="shared" ca="1" si="631"/>
        <v>2.5398754519148015E-2</v>
      </c>
      <c r="Y601" s="13">
        <f t="shared" ref="Y601:Z601" ca="1" si="655">+Y600</f>
        <v>0</v>
      </c>
      <c r="Z601" s="13">
        <f t="shared" ca="1" si="655"/>
        <v>0</v>
      </c>
      <c r="AA601">
        <f t="shared" ca="1" si="638"/>
        <v>1</v>
      </c>
      <c r="AB601">
        <f t="shared" ca="1" si="639"/>
        <v>0</v>
      </c>
      <c r="AC601" s="24">
        <f t="shared" ca="1" si="640"/>
        <v>2.5398754519148015E-2</v>
      </c>
      <c r="AD601" s="24">
        <f t="shared" ca="1" si="641"/>
        <v>0</v>
      </c>
    </row>
    <row r="602" spans="3:30" x14ac:dyDescent="0.25">
      <c r="C602" s="6">
        <v>696</v>
      </c>
      <c r="D602" s="36">
        <v>42993</v>
      </c>
      <c r="E602" s="38">
        <v>16.388999999999999</v>
      </c>
      <c r="F602" s="38">
        <v>45.384277882340399</v>
      </c>
      <c r="G602" s="38">
        <v>37.479999999999997</v>
      </c>
      <c r="H602" s="38">
        <v>2.4242126024611168</v>
      </c>
      <c r="I602" s="38">
        <v>4.961598864983003</v>
      </c>
      <c r="J602" s="10">
        <v>0</v>
      </c>
      <c r="K602" s="39">
        <v>0</v>
      </c>
      <c r="L602" s="39">
        <v>0</v>
      </c>
      <c r="M602" s="39">
        <v>0</v>
      </c>
      <c r="N602" s="39">
        <v>0</v>
      </c>
      <c r="O602" s="39">
        <v>0</v>
      </c>
      <c r="P602" s="39">
        <v>0</v>
      </c>
      <c r="Q602" s="39">
        <v>0</v>
      </c>
      <c r="R602" s="39">
        <v>1</v>
      </c>
      <c r="S602" s="39">
        <v>0</v>
      </c>
      <c r="T602" s="39">
        <v>0</v>
      </c>
      <c r="U602" s="29" cm="1">
        <f t="array" aca="1" ref="U602" ca="1">+fair_value_gap(OFFSET(T601,0,0,-1*$J$5,-1*$AA$1),OFFSET(E601,0,0,-1*$J$5,1),F602:T602,0)</f>
        <v>16.523691005984404</v>
      </c>
      <c r="V602" s="9" cm="1">
        <f t="array" aca="1" ref="V602" ca="1">z_score_diff(OFFSET(U602,0,0,$J$5*-1,1),OFFSET(E602,0,0,$J$5*-1,1))</f>
        <v>7.2376530637693337E-3</v>
      </c>
      <c r="W602" s="9">
        <f t="shared" ca="1" si="636"/>
        <v>-0.13708024152742179</v>
      </c>
      <c r="X602" s="17">
        <f t="shared" ca="1" si="631"/>
        <v>5.4789524582380886E-2</v>
      </c>
      <c r="Y602" s="13">
        <f t="shared" ref="Y602:Z602" ca="1" si="656">+Y601</f>
        <v>0</v>
      </c>
      <c r="Z602" s="13">
        <f t="shared" ca="1" si="656"/>
        <v>0</v>
      </c>
      <c r="AA602">
        <f t="shared" ca="1" si="638"/>
        <v>1</v>
      </c>
      <c r="AB602">
        <f t="shared" ca="1" si="639"/>
        <v>0</v>
      </c>
      <c r="AC602" s="24">
        <f t="shared" ca="1" si="640"/>
        <v>5.4789524582380886E-2</v>
      </c>
      <c r="AD602" s="24">
        <f t="shared" ca="1" si="641"/>
        <v>0</v>
      </c>
    </row>
    <row r="603" spans="3:30" x14ac:dyDescent="0.25">
      <c r="C603" s="6">
        <v>697</v>
      </c>
      <c r="D603" s="36">
        <v>42996</v>
      </c>
      <c r="E603" s="38">
        <v>16.308</v>
      </c>
      <c r="F603" s="38">
        <v>45.049288788142178</v>
      </c>
      <c r="G603" s="38">
        <v>37.28</v>
      </c>
      <c r="H603" s="38">
        <v>2.4363808848142363</v>
      </c>
      <c r="I603" s="38">
        <v>5.0218610705821343</v>
      </c>
      <c r="J603" s="10">
        <v>0</v>
      </c>
      <c r="K603" s="39">
        <v>0</v>
      </c>
      <c r="L603" s="39">
        <v>0</v>
      </c>
      <c r="M603" s="39">
        <v>0</v>
      </c>
      <c r="N603" s="39">
        <v>0</v>
      </c>
      <c r="O603" s="39">
        <v>0</v>
      </c>
      <c r="P603" s="39">
        <v>0</v>
      </c>
      <c r="Q603" s="39">
        <v>0</v>
      </c>
      <c r="R603" s="39">
        <v>1</v>
      </c>
      <c r="S603" s="39">
        <v>0</v>
      </c>
      <c r="T603" s="39">
        <v>0</v>
      </c>
      <c r="U603" s="29" cm="1">
        <f t="array" aca="1" ref="U603" ca="1">+fair_value_gap(OFFSET(T602,0,0,-1*$J$5,-1*$AA$1),OFFSET(E602,0,0,-1*$J$5,1),F603:T603,0)</f>
        <v>16.512691888248021</v>
      </c>
      <c r="V603" s="9" cm="1">
        <f t="array" aca="1" ref="V603" ca="1">z_score_diff(OFFSET(U603,0,0,$J$5*-1,1),OFFSET(E603,0,0,$J$5*-1,1))</f>
        <v>5.8065182845284502E-2</v>
      </c>
      <c r="W603" s="9">
        <f t="shared" ca="1" si="636"/>
        <v>-0.12985125880797599</v>
      </c>
      <c r="X603" s="17">
        <f t="shared" ca="1" si="631"/>
        <v>6.2916068807970404E-2</v>
      </c>
      <c r="Y603" s="13">
        <f t="shared" ref="Y603:Z603" ca="1" si="657">+Y602</f>
        <v>0</v>
      </c>
      <c r="Z603" s="13">
        <f t="shared" ca="1" si="657"/>
        <v>0</v>
      </c>
      <c r="AA603">
        <f t="shared" ca="1" si="638"/>
        <v>1</v>
      </c>
      <c r="AB603">
        <f t="shared" ca="1" si="639"/>
        <v>0</v>
      </c>
      <c r="AC603" s="24">
        <f t="shared" ca="1" si="640"/>
        <v>6.2916068807970404E-2</v>
      </c>
      <c r="AD603" s="24">
        <f t="shared" ca="1" si="641"/>
        <v>0</v>
      </c>
    </row>
    <row r="604" spans="3:30" x14ac:dyDescent="0.25">
      <c r="C604" s="6">
        <v>698</v>
      </c>
      <c r="D604" s="36">
        <v>42997</v>
      </c>
      <c r="E604" s="38">
        <v>16.358000000000001</v>
      </c>
      <c r="F604" s="38">
        <v>44.539303466344549</v>
      </c>
      <c r="G604" s="38">
        <v>37.520000000000003</v>
      </c>
      <c r="H604" s="38">
        <v>2.4281551733988462</v>
      </c>
      <c r="I604" s="38">
        <v>4.978738338733768</v>
      </c>
      <c r="J604" s="10">
        <v>0</v>
      </c>
      <c r="K604" s="39">
        <v>0</v>
      </c>
      <c r="L604" s="39">
        <v>0</v>
      </c>
      <c r="M604" s="39">
        <v>0</v>
      </c>
      <c r="N604" s="39">
        <v>0</v>
      </c>
      <c r="O604" s="39">
        <v>0</v>
      </c>
      <c r="P604" s="39">
        <v>0</v>
      </c>
      <c r="Q604" s="39">
        <v>0</v>
      </c>
      <c r="R604" s="39">
        <v>1</v>
      </c>
      <c r="S604" s="39">
        <v>0</v>
      </c>
      <c r="T604" s="39">
        <v>0</v>
      </c>
      <c r="U604" s="29" cm="1">
        <f t="array" aca="1" ref="U604" ca="1">+fair_value_gap(OFFSET(T603,0,0,-1*$J$5,-1*$AA$1),OFFSET(E603,0,0,-1*$J$5,1),F604:T604,0)</f>
        <v>16.524091020712742</v>
      </c>
      <c r="V604" s="9" cm="1">
        <f t="array" aca="1" ref="V604" ca="1">z_score_diff(OFFSET(U604,0,0,$J$5*-1,1),OFFSET(E604,0,0,$J$5*-1,1))</f>
        <v>3.105844196210944E-2</v>
      </c>
      <c r="W604" s="9">
        <f t="shared" ca="1" si="636"/>
        <v>-0.12504572612176693</v>
      </c>
      <c r="X604" s="17">
        <f t="shared" ca="1" si="631"/>
        <v>9.9203933094523911E-2</v>
      </c>
      <c r="Y604" s="13">
        <f t="shared" ref="Y604:Z604" ca="1" si="658">+Y603</f>
        <v>0</v>
      </c>
      <c r="Z604" s="13">
        <f t="shared" ca="1" si="658"/>
        <v>0</v>
      </c>
      <c r="AA604">
        <f t="shared" ca="1" si="638"/>
        <v>1</v>
      </c>
      <c r="AB604">
        <f t="shared" ca="1" si="639"/>
        <v>0</v>
      </c>
      <c r="AC604" s="24">
        <f t="shared" ca="1" si="640"/>
        <v>9.9203933094523911E-2</v>
      </c>
      <c r="AD604" s="24">
        <f t="shared" ca="1" si="641"/>
        <v>0</v>
      </c>
    </row>
    <row r="605" spans="3:30" x14ac:dyDescent="0.25">
      <c r="C605" s="6">
        <v>699</v>
      </c>
      <c r="D605" s="36">
        <v>42998</v>
      </c>
      <c r="E605" s="38">
        <v>16.329000000000001</v>
      </c>
      <c r="F605" s="38">
        <v>45.383612515802781</v>
      </c>
      <c r="G605" s="38">
        <v>36.909999999999997</v>
      </c>
      <c r="H605" s="38">
        <v>2.4486080383480826</v>
      </c>
      <c r="I605" s="38">
        <v>5.0618283817951957</v>
      </c>
      <c r="J605" s="10">
        <v>0</v>
      </c>
      <c r="K605" s="39">
        <v>0</v>
      </c>
      <c r="L605" s="39">
        <v>0</v>
      </c>
      <c r="M605" s="39">
        <v>0</v>
      </c>
      <c r="N605" s="39">
        <v>0</v>
      </c>
      <c r="O605" s="39">
        <v>0</v>
      </c>
      <c r="P605" s="39">
        <v>0</v>
      </c>
      <c r="Q605" s="39">
        <v>0</v>
      </c>
      <c r="R605" s="39">
        <v>1</v>
      </c>
      <c r="S605" s="39">
        <v>0</v>
      </c>
      <c r="T605" s="39">
        <v>0</v>
      </c>
      <c r="U605" s="29" cm="1">
        <f t="array" aca="1" ref="U605" ca="1">+fair_value_gap(OFFSET(T604,0,0,-1*$J$5,-1*$AA$1),OFFSET(E604,0,0,-1*$J$5,1),F605:T605,0)</f>
        <v>16.522252012992357</v>
      </c>
      <c r="V605" s="9" cm="1">
        <f t="array" aca="1" ref="V605" ca="1">z_score_diff(OFFSET(U605,0,0,$J$5*-1,1),OFFSET(E605,0,0,$J$5*-1,1))</f>
        <v>4.8967522724421231E-2</v>
      </c>
      <c r="W605" s="9">
        <f t="shared" ca="1" si="636"/>
        <v>-0.11648688527830602</v>
      </c>
      <c r="X605" s="17">
        <f t="shared" ca="1" si="631"/>
        <v>0.10682921428790726</v>
      </c>
      <c r="Y605" s="13">
        <f t="shared" ref="Y605:Z605" ca="1" si="659">+Y604</f>
        <v>0</v>
      </c>
      <c r="Z605" s="13">
        <f t="shared" ca="1" si="659"/>
        <v>0</v>
      </c>
      <c r="AA605">
        <f t="shared" ca="1" si="638"/>
        <v>1</v>
      </c>
      <c r="AB605">
        <f t="shared" ca="1" si="639"/>
        <v>0</v>
      </c>
      <c r="AC605" s="24">
        <f t="shared" ca="1" si="640"/>
        <v>0.10682921428790726</v>
      </c>
      <c r="AD605" s="24">
        <f t="shared" ca="1" si="641"/>
        <v>0</v>
      </c>
    </row>
    <row r="606" spans="3:30" x14ac:dyDescent="0.25">
      <c r="C606" s="6">
        <v>700</v>
      </c>
      <c r="D606" s="36">
        <v>42999</v>
      </c>
      <c r="E606" s="38">
        <v>16.228999999999999</v>
      </c>
      <c r="F606" s="38">
        <v>45.254061267162903</v>
      </c>
      <c r="G606" s="38">
        <v>36.26</v>
      </c>
      <c r="H606" s="38">
        <v>2.4024570471663549</v>
      </c>
      <c r="I606" s="38">
        <v>5.0614712610891308</v>
      </c>
      <c r="J606" s="10">
        <v>0</v>
      </c>
      <c r="K606" s="39">
        <v>0</v>
      </c>
      <c r="L606" s="39">
        <v>0</v>
      </c>
      <c r="M606" s="39">
        <v>0</v>
      </c>
      <c r="N606" s="39">
        <v>0</v>
      </c>
      <c r="O606" s="39">
        <v>0</v>
      </c>
      <c r="P606" s="39">
        <v>0</v>
      </c>
      <c r="Q606" s="39">
        <v>0</v>
      </c>
      <c r="R606" s="39">
        <v>1</v>
      </c>
      <c r="S606" s="39">
        <v>0</v>
      </c>
      <c r="T606" s="39">
        <v>0</v>
      </c>
      <c r="U606" s="29" cm="1">
        <f t="array" aca="1" ref="U606" ca="1">+fair_value_gap(OFFSET(T605,0,0,-1*$J$5,-1*$AA$1),OFFSET(E605,0,0,-1*$J$5,1),F606:T606,0)</f>
        <v>16.313811543586006</v>
      </c>
      <c r="V606" s="9" cm="1">
        <f t="array" aca="1" ref="V606" ca="1">z_score_diff(OFFSET(U606,0,0,$J$5*-1,1),OFFSET(E606,0,0,$J$5*-1,1))</f>
        <v>-2.4286629511248992E-2</v>
      </c>
      <c r="W606" s="9">
        <f t="shared" ca="1" si="636"/>
        <v>-0.10896279849494349</v>
      </c>
      <c r="X606" s="17">
        <f t="shared" ca="1" si="631"/>
        <v>0.10028883110350245</v>
      </c>
      <c r="Y606" s="13">
        <f t="shared" ref="Y606:Z606" ca="1" si="660">+Y605</f>
        <v>0</v>
      </c>
      <c r="Z606" s="13">
        <f t="shared" ca="1" si="660"/>
        <v>0</v>
      </c>
      <c r="AA606">
        <f t="shared" ca="1" si="638"/>
        <v>1</v>
      </c>
      <c r="AB606">
        <f t="shared" ca="1" si="639"/>
        <v>0</v>
      </c>
      <c r="AC606" s="24">
        <f t="shared" ca="1" si="640"/>
        <v>0.10028883110350245</v>
      </c>
      <c r="AD606" s="24">
        <f t="shared" ca="1" si="641"/>
        <v>0</v>
      </c>
    </row>
    <row r="607" spans="3:30" x14ac:dyDescent="0.25">
      <c r="C607" s="6">
        <v>701</v>
      </c>
      <c r="D607" s="36">
        <v>43000</v>
      </c>
      <c r="E607" s="38">
        <v>16.167999999999999</v>
      </c>
      <c r="F607" s="38">
        <v>45.308725551911031</v>
      </c>
      <c r="G607" s="38">
        <v>36.450000000000003</v>
      </c>
      <c r="H607" s="38">
        <v>2.414828191113596</v>
      </c>
      <c r="I607" s="38">
        <v>5.0547674847886288</v>
      </c>
      <c r="J607" s="10">
        <v>0</v>
      </c>
      <c r="K607" s="39">
        <v>0</v>
      </c>
      <c r="L607" s="39">
        <v>0</v>
      </c>
      <c r="M607" s="39">
        <v>0</v>
      </c>
      <c r="N607" s="39">
        <v>0</v>
      </c>
      <c r="O607" s="39">
        <v>0</v>
      </c>
      <c r="P607" s="39">
        <v>0</v>
      </c>
      <c r="Q607" s="39">
        <v>0</v>
      </c>
      <c r="R607" s="39">
        <v>1</v>
      </c>
      <c r="S607" s="39">
        <v>0</v>
      </c>
      <c r="T607" s="39">
        <v>0</v>
      </c>
      <c r="U607" s="29" cm="1">
        <f t="array" aca="1" ref="U607" ca="1">+fair_value_gap(OFFSET(T606,0,0,-1*$J$5,-1*$AA$1),OFFSET(E606,0,0,-1*$J$5,1),F607:T607,0)</f>
        <v>16.357170225875002</v>
      </c>
      <c r="V607" s="9" cm="1">
        <f t="array" aca="1" ref="V607" ca="1">z_score_diff(OFFSET(U607,0,0,$J$5*-1,1),OFFSET(E607,0,0,$J$5*-1,1))</f>
        <v>5.2889062311106128E-2</v>
      </c>
      <c r="W607" s="9">
        <f t="shared" ca="1" si="636"/>
        <v>-9.9087528823309762E-2</v>
      </c>
      <c r="X607" s="17">
        <f t="shared" ca="1" si="631"/>
        <v>9.7231323643957701E-2</v>
      </c>
      <c r="Y607" s="13">
        <f t="shared" ref="Y607:Z607" ca="1" si="661">+Y606</f>
        <v>0</v>
      </c>
      <c r="Z607" s="13">
        <f t="shared" ca="1" si="661"/>
        <v>0</v>
      </c>
      <c r="AA607">
        <f t="shared" ca="1" si="638"/>
        <v>1</v>
      </c>
      <c r="AB607">
        <f t="shared" ca="1" si="639"/>
        <v>0</v>
      </c>
      <c r="AC607" s="24">
        <f t="shared" ca="1" si="640"/>
        <v>9.7231323643957701E-2</v>
      </c>
      <c r="AD607" s="24">
        <f t="shared" ca="1" si="641"/>
        <v>0</v>
      </c>
    </row>
    <row r="608" spans="3:30" x14ac:dyDescent="0.25">
      <c r="C608" s="6">
        <v>702</v>
      </c>
      <c r="D608" s="36">
        <v>43003</v>
      </c>
      <c r="E608" s="38">
        <v>16.536000000000001</v>
      </c>
      <c r="F608" s="38">
        <v>46.654847438648879</v>
      </c>
      <c r="G608" s="38">
        <v>36.85</v>
      </c>
      <c r="H608" s="38">
        <v>2.4202718202244222</v>
      </c>
      <c r="I608" s="38">
        <v>5.0907457426419533</v>
      </c>
      <c r="J608" s="10">
        <v>0</v>
      </c>
      <c r="K608" s="39">
        <v>0</v>
      </c>
      <c r="L608" s="39">
        <v>0</v>
      </c>
      <c r="M608" s="39">
        <v>0</v>
      </c>
      <c r="N608" s="39">
        <v>0</v>
      </c>
      <c r="O608" s="39">
        <v>0</v>
      </c>
      <c r="P608" s="39">
        <v>0</v>
      </c>
      <c r="Q608" s="39">
        <v>0</v>
      </c>
      <c r="R608" s="39">
        <v>1</v>
      </c>
      <c r="S608" s="39">
        <v>0</v>
      </c>
      <c r="T608" s="39">
        <v>0</v>
      </c>
      <c r="U608" s="29" cm="1">
        <f t="array" aca="1" ref="U608" ca="1">+fair_value_gap(OFFSET(T607,0,0,-1*$J$5,-1*$AA$1),OFFSET(E607,0,0,-1*$J$5,1),F608:T608,0)</f>
        <v>16.55221450043512</v>
      </c>
      <c r="V608" s="9" cm="1">
        <f t="array" aca="1" ref="V608" ca="1">z_score_diff(OFFSET(U608,0,0,$J$5*-1,1),OFFSET(E608,0,0,$J$5*-1,1))</f>
        <v>-7.1405988432279133E-2</v>
      </c>
      <c r="W608" s="9">
        <f t="shared" ca="1" si="636"/>
        <v>-9.6853416451454122E-2</v>
      </c>
      <c r="X608" s="17">
        <f t="shared" ca="1" si="631"/>
        <v>9.3956843293697939E-2</v>
      </c>
      <c r="Y608" s="13">
        <f t="shared" ref="Y608:Z608" ca="1" si="662">+Y607</f>
        <v>0</v>
      </c>
      <c r="Z608" s="13">
        <f t="shared" ca="1" si="662"/>
        <v>0</v>
      </c>
      <c r="AA608">
        <f t="shared" ca="1" si="638"/>
        <v>1</v>
      </c>
      <c r="AB608">
        <f t="shared" ca="1" si="639"/>
        <v>0</v>
      </c>
      <c r="AC608" s="24">
        <f t="shared" ca="1" si="640"/>
        <v>9.3956843293697939E-2</v>
      </c>
      <c r="AD608" s="24">
        <f t="shared" ca="1" si="641"/>
        <v>0</v>
      </c>
    </row>
    <row r="609" spans="3:30" x14ac:dyDescent="0.25">
      <c r="C609" s="6">
        <v>703</v>
      </c>
      <c r="D609" s="36">
        <v>43004</v>
      </c>
      <c r="E609" s="38">
        <v>16.477</v>
      </c>
      <c r="F609" s="38">
        <v>46.718075912309423</v>
      </c>
      <c r="G609" s="38">
        <v>36.69</v>
      </c>
      <c r="H609" s="38">
        <v>2.4329910936925621</v>
      </c>
      <c r="I609" s="38">
        <v>5.1033066937957905</v>
      </c>
      <c r="J609" s="10">
        <v>0</v>
      </c>
      <c r="K609" s="39">
        <v>0</v>
      </c>
      <c r="L609" s="39">
        <v>0</v>
      </c>
      <c r="M609" s="39">
        <v>0</v>
      </c>
      <c r="N609" s="39">
        <v>0</v>
      </c>
      <c r="O609" s="39">
        <v>0</v>
      </c>
      <c r="P609" s="39">
        <v>0</v>
      </c>
      <c r="Q609" s="39">
        <v>0</v>
      </c>
      <c r="R609" s="39">
        <v>1</v>
      </c>
      <c r="S609" s="39">
        <v>0</v>
      </c>
      <c r="T609" s="39">
        <v>0</v>
      </c>
      <c r="U609" s="29" cm="1">
        <f t="array" aca="1" ref="U609" ca="1">+fair_value_gap(OFFSET(T608,0,0,-1*$J$5,-1*$AA$1),OFFSET(E608,0,0,-1*$J$5,1),F609:T609,0)</f>
        <v>16.527285180400082</v>
      </c>
      <c r="V609" s="9" cm="1">
        <f t="array" aca="1" ref="V609" ca="1">z_score_diff(OFFSET(U609,0,0,$J$5*-1,1),OFFSET(E609,0,0,$J$5*-1,1))</f>
        <v>-4.4574460601641136E-2</v>
      </c>
      <c r="W609" s="9">
        <f t="shared" ca="1" si="636"/>
        <v>-9.7076876986674748E-2</v>
      </c>
      <c r="X609" s="17">
        <f t="shared" ca="1" si="631"/>
        <v>0.1110914678097886</v>
      </c>
      <c r="Y609" s="13">
        <f t="shared" ref="Y609:Z609" ca="1" si="663">+Y608</f>
        <v>0</v>
      </c>
      <c r="Z609" s="13">
        <f t="shared" ca="1" si="663"/>
        <v>0</v>
      </c>
      <c r="AA609">
        <f t="shared" ca="1" si="638"/>
        <v>1</v>
      </c>
      <c r="AB609">
        <f t="shared" ca="1" si="639"/>
        <v>0</v>
      </c>
      <c r="AC609" s="24">
        <f t="shared" ca="1" si="640"/>
        <v>0.1110914678097886</v>
      </c>
      <c r="AD609" s="24">
        <f t="shared" ca="1" si="641"/>
        <v>0</v>
      </c>
    </row>
    <row r="610" spans="3:30" x14ac:dyDescent="0.25">
      <c r="C610" s="6">
        <v>704</v>
      </c>
      <c r="D610" s="36">
        <v>43005</v>
      </c>
      <c r="E610" s="38">
        <v>16.489000000000001</v>
      </c>
      <c r="F610" s="38">
        <v>46.865539128602471</v>
      </c>
      <c r="G610" s="38">
        <v>36.700000000000003</v>
      </c>
      <c r="H610" s="38">
        <v>2.4586293141573572</v>
      </c>
      <c r="I610" s="38">
        <v>5.1263087495387989</v>
      </c>
      <c r="J610" s="10">
        <v>0</v>
      </c>
      <c r="K610" s="39">
        <v>0</v>
      </c>
      <c r="L610" s="39">
        <v>0</v>
      </c>
      <c r="M610" s="39">
        <v>0</v>
      </c>
      <c r="N610" s="39">
        <v>0</v>
      </c>
      <c r="O610" s="39">
        <v>0</v>
      </c>
      <c r="P610" s="39">
        <v>0</v>
      </c>
      <c r="Q610" s="39">
        <v>0</v>
      </c>
      <c r="R610" s="39">
        <v>1</v>
      </c>
      <c r="S610" s="39">
        <v>0</v>
      </c>
      <c r="T610" s="39">
        <v>0</v>
      </c>
      <c r="U610" s="29" cm="1">
        <f t="array" aca="1" ref="U610" ca="1">+fair_value_gap(OFFSET(T609,0,0,-1*$J$5,-1*$AA$1),OFFSET(E609,0,0,-1*$J$5,1),F610:T610,0)</f>
        <v>16.562010945047067</v>
      </c>
      <c r="V610" s="9" cm="1">
        <f t="array" aca="1" ref="V610" ca="1">z_score_diff(OFFSET(U610,0,0,$J$5*-1,1),OFFSET(E610,0,0,$J$5*-1,1))</f>
        <v>-2.5832914984203703E-2</v>
      </c>
      <c r="W610" s="9">
        <f t="shared" ca="1" si="636"/>
        <v>-9.2255891039029439E-2</v>
      </c>
      <c r="X610" s="17">
        <f t="shared" ca="1" si="631"/>
        <v>0.11296690686960105</v>
      </c>
      <c r="Y610" s="13">
        <f t="shared" ref="Y610:Z610" ca="1" si="664">+Y609</f>
        <v>0</v>
      </c>
      <c r="Z610" s="13">
        <f t="shared" ca="1" si="664"/>
        <v>0</v>
      </c>
      <c r="AA610">
        <f t="shared" ca="1" si="638"/>
        <v>1</v>
      </c>
      <c r="AB610">
        <f t="shared" ca="1" si="639"/>
        <v>0</v>
      </c>
      <c r="AC610" s="24">
        <f t="shared" ca="1" si="640"/>
        <v>0.11296690686960105</v>
      </c>
      <c r="AD610" s="24">
        <f t="shared" ca="1" si="641"/>
        <v>0</v>
      </c>
    </row>
    <row r="611" spans="3:30" x14ac:dyDescent="0.25">
      <c r="C611" s="6">
        <v>705</v>
      </c>
      <c r="D611" s="36">
        <v>43006</v>
      </c>
      <c r="E611" s="38">
        <v>16.472000000000001</v>
      </c>
      <c r="F611" s="38">
        <v>46.251718252993243</v>
      </c>
      <c r="G611" s="38">
        <v>37.11</v>
      </c>
      <c r="H611" s="38">
        <v>2.463659364229791</v>
      </c>
      <c r="I611" s="38">
        <v>5.142307871092842</v>
      </c>
      <c r="J611" s="10">
        <v>0</v>
      </c>
      <c r="K611" s="39">
        <v>0</v>
      </c>
      <c r="L611" s="39">
        <v>0</v>
      </c>
      <c r="M611" s="39">
        <v>0</v>
      </c>
      <c r="N611" s="39">
        <v>0</v>
      </c>
      <c r="O611" s="39">
        <v>0</v>
      </c>
      <c r="P611" s="39">
        <v>0</v>
      </c>
      <c r="Q611" s="39">
        <v>0</v>
      </c>
      <c r="R611" s="39">
        <v>1</v>
      </c>
      <c r="S611" s="39">
        <v>0</v>
      </c>
      <c r="T611" s="39">
        <v>0</v>
      </c>
      <c r="U611" s="29" cm="1">
        <f t="array" aca="1" ref="U611" ca="1">+fair_value_gap(OFFSET(T610,0,0,-1*$J$5,-1*$AA$1),OFFSET(E610,0,0,-1*$J$5,1),F611:T611,0)</f>
        <v>16.641675673463141</v>
      </c>
      <c r="V611" s="9" cm="1">
        <f t="array" aca="1" ref="V611" ca="1">z_score_diff(OFFSET(U611,0,0,$J$5*-1,1),OFFSET(E611,0,0,$J$5*-1,1))</f>
        <v>4.5689189757050774E-2</v>
      </c>
      <c r="W611" s="9">
        <f t="shared" ca="1" si="636"/>
        <v>-8.6983942449954527E-2</v>
      </c>
      <c r="X611" s="17">
        <f t="shared" ca="1" si="631"/>
        <v>0.12203710092867089</v>
      </c>
      <c r="Y611" s="13">
        <f t="shared" ref="Y611:Z611" ca="1" si="665">+Y610</f>
        <v>0</v>
      </c>
      <c r="Z611" s="13">
        <f t="shared" ca="1" si="665"/>
        <v>0</v>
      </c>
      <c r="AA611">
        <f t="shared" ca="1" si="638"/>
        <v>1</v>
      </c>
      <c r="AB611">
        <f t="shared" ca="1" si="639"/>
        <v>0</v>
      </c>
      <c r="AC611" s="24">
        <f t="shared" ca="1" si="640"/>
        <v>0.12203710092867089</v>
      </c>
      <c r="AD611" s="24">
        <f t="shared" ca="1" si="641"/>
        <v>0</v>
      </c>
    </row>
    <row r="612" spans="3:30" x14ac:dyDescent="0.25">
      <c r="C612" s="6">
        <v>706</v>
      </c>
      <c r="D612" s="36">
        <v>43007</v>
      </c>
      <c r="E612" s="38">
        <v>16.684000000000001</v>
      </c>
      <c r="F612" s="38">
        <v>46.032721496237372</v>
      </c>
      <c r="G612" s="38">
        <v>38.299999999999997</v>
      </c>
      <c r="H612" s="38">
        <v>2.4498882725057602</v>
      </c>
      <c r="I612" s="38">
        <v>5.0563109883866355</v>
      </c>
      <c r="J612" s="10">
        <v>0</v>
      </c>
      <c r="K612" s="39">
        <v>0</v>
      </c>
      <c r="L612" s="39">
        <v>0</v>
      </c>
      <c r="M612" s="39">
        <v>0</v>
      </c>
      <c r="N612" s="39">
        <v>0</v>
      </c>
      <c r="O612" s="39">
        <v>0</v>
      </c>
      <c r="P612" s="39">
        <v>0</v>
      </c>
      <c r="Q612" s="39">
        <v>0</v>
      </c>
      <c r="R612" s="39">
        <v>1</v>
      </c>
      <c r="S612" s="39">
        <v>0</v>
      </c>
      <c r="T612" s="39">
        <v>0</v>
      </c>
      <c r="U612" s="29" cm="1">
        <f t="array" aca="1" ref="U612" ca="1">+fair_value_gap(OFFSET(T611,0,0,-1*$J$5,-1*$AA$1),OFFSET(E611,0,0,-1*$J$5,1),F612:T612,0)</f>
        <v>16.850175610270313</v>
      </c>
      <c r="V612" s="9" cm="1">
        <f t="array" aca="1" ref="V612" ca="1">z_score_diff(OFFSET(U612,0,0,$J$5*-1,1),OFFSET(E612,0,0,$J$5*-1,1))</f>
        <v>4.3650349255754249E-2</v>
      </c>
      <c r="W612" s="9">
        <f t="shared" ca="1" si="636"/>
        <v>-8.5077677018137815E-2</v>
      </c>
      <c r="X612" s="17">
        <f t="shared" ca="1" si="631"/>
        <v>0.12163824429177708</v>
      </c>
      <c r="Y612" s="13">
        <f t="shared" ref="Y612:Z612" ca="1" si="666">+Y611</f>
        <v>0</v>
      </c>
      <c r="Z612" s="13">
        <f t="shared" ca="1" si="666"/>
        <v>0</v>
      </c>
      <c r="AA612">
        <f t="shared" ca="1" si="638"/>
        <v>1</v>
      </c>
      <c r="AB612">
        <f t="shared" ca="1" si="639"/>
        <v>0</v>
      </c>
      <c r="AC612" s="24">
        <f t="shared" ca="1" si="640"/>
        <v>0.12163824429177708</v>
      </c>
      <c r="AD612" s="24">
        <f t="shared" ca="1" si="641"/>
        <v>0</v>
      </c>
    </row>
    <row r="613" spans="3:30" x14ac:dyDescent="0.25">
      <c r="C613" s="6">
        <v>707</v>
      </c>
      <c r="D613" s="36">
        <v>43010</v>
      </c>
      <c r="E613" s="38">
        <v>16.780999999999999</v>
      </c>
      <c r="F613" s="38">
        <v>45.661453296428448</v>
      </c>
      <c r="G613" s="38">
        <v>37.57</v>
      </c>
      <c r="H613" s="38">
        <v>2.4518958215226596</v>
      </c>
      <c r="I613" s="38">
        <v>5.0938740120718977</v>
      </c>
      <c r="J613" s="10">
        <v>0</v>
      </c>
      <c r="K613" s="39">
        <v>0</v>
      </c>
      <c r="L613" s="39">
        <v>0</v>
      </c>
      <c r="M613" s="39">
        <v>0</v>
      </c>
      <c r="N613" s="39">
        <v>0</v>
      </c>
      <c r="O613" s="39">
        <v>0</v>
      </c>
      <c r="P613" s="39">
        <v>0</v>
      </c>
      <c r="Q613" s="39">
        <v>0</v>
      </c>
      <c r="R613" s="39">
        <v>0</v>
      </c>
      <c r="S613" s="39">
        <v>1</v>
      </c>
      <c r="T613" s="39">
        <v>0</v>
      </c>
      <c r="U613" s="29" cm="1">
        <f t="array" aca="1" ref="U613" ca="1">+fair_value_gap(OFFSET(T612,0,0,-1*$J$5,-1*$AA$1),OFFSET(E612,0,0,-1*$J$5,1),F613:T613,0)</f>
        <v>16.592065526964731</v>
      </c>
      <c r="V613" s="9" cm="1">
        <f t="array" aca="1" ref="V613" ca="1">z_score_diff(OFFSET(U613,0,0,$J$5*-1,1),OFFSET(E613,0,0,$J$5*-1,1))</f>
        <v>-0.21060368125948825</v>
      </c>
      <c r="W613" s="9">
        <f t="shared" ca="1" si="636"/>
        <v>-8.9272840387109628E-2</v>
      </c>
      <c r="X613" s="17">
        <f t="shared" ca="1" si="631"/>
        <v>0.12002512233059928</v>
      </c>
      <c r="Y613" s="13">
        <f t="shared" ref="Y613:Z613" ca="1" si="667">+Y612</f>
        <v>0</v>
      </c>
      <c r="Z613" s="13">
        <f t="shared" ca="1" si="667"/>
        <v>0</v>
      </c>
      <c r="AA613">
        <f t="shared" ca="1" si="638"/>
        <v>1</v>
      </c>
      <c r="AB613">
        <f t="shared" ca="1" si="639"/>
        <v>0</v>
      </c>
      <c r="AC613" s="24">
        <f t="shared" ca="1" si="640"/>
        <v>0.12002512233059928</v>
      </c>
      <c r="AD613" s="24">
        <f t="shared" ca="1" si="641"/>
        <v>0</v>
      </c>
    </row>
    <row r="614" spans="3:30" x14ac:dyDescent="0.25">
      <c r="C614" s="6">
        <v>708</v>
      </c>
      <c r="D614" s="36">
        <v>43011</v>
      </c>
      <c r="E614" s="38">
        <v>16.943999999999999</v>
      </c>
      <c r="F614" s="38">
        <v>45.599745381286525</v>
      </c>
      <c r="G614" s="38">
        <v>38.15</v>
      </c>
      <c r="H614" s="38">
        <v>2.4470391409617855</v>
      </c>
      <c r="I614" s="38">
        <v>5.0823761524912801</v>
      </c>
      <c r="J614" s="10">
        <v>0</v>
      </c>
      <c r="K614" s="39">
        <v>0</v>
      </c>
      <c r="L614" s="39">
        <v>0</v>
      </c>
      <c r="M614" s="39">
        <v>0</v>
      </c>
      <c r="N614" s="39">
        <v>0</v>
      </c>
      <c r="O614" s="39">
        <v>0</v>
      </c>
      <c r="P614" s="39">
        <v>0</v>
      </c>
      <c r="Q614" s="39">
        <v>0</v>
      </c>
      <c r="R614" s="39">
        <v>0</v>
      </c>
      <c r="S614" s="39">
        <v>1</v>
      </c>
      <c r="T614" s="39">
        <v>0</v>
      </c>
      <c r="U614" s="29" cm="1">
        <f t="array" aca="1" ref="U614" ca="1">+fair_value_gap(OFFSET(T613,0,0,-1*$J$5,-1*$AA$1),OFFSET(E613,0,0,-1*$J$5,1),F614:T614,0)</f>
        <v>16.768045977011326</v>
      </c>
      <c r="V614" s="9" cm="1">
        <f t="array" aca="1" ref="V614" ca="1">z_score_diff(OFFSET(U614,0,0,$J$5*-1,1),OFFSET(E614,0,0,$J$5*-1,1))</f>
        <v>-0.20107726558878627</v>
      </c>
      <c r="W614" s="9">
        <f t="shared" ca="1" si="636"/>
        <v>-9.5808228701159209E-2</v>
      </c>
      <c r="X614" s="17">
        <f t="shared" ca="1" si="631"/>
        <v>8.8505381592270116E-2</v>
      </c>
      <c r="Y614" s="13">
        <f t="shared" ref="Y614:Z614" ca="1" si="668">+Y613</f>
        <v>0</v>
      </c>
      <c r="Z614" s="13">
        <f t="shared" ca="1" si="668"/>
        <v>0</v>
      </c>
      <c r="AA614">
        <f t="shared" ca="1" si="638"/>
        <v>1</v>
      </c>
      <c r="AB614">
        <f t="shared" ca="1" si="639"/>
        <v>0</v>
      </c>
      <c r="AC614" s="24">
        <f t="shared" ca="1" si="640"/>
        <v>8.8505381592270116E-2</v>
      </c>
      <c r="AD614" s="24">
        <f t="shared" ca="1" si="641"/>
        <v>0</v>
      </c>
    </row>
    <row r="615" spans="3:30" x14ac:dyDescent="0.25">
      <c r="C615" s="6">
        <v>709</v>
      </c>
      <c r="D615" s="36">
        <v>43012</v>
      </c>
      <c r="E615" s="38">
        <v>16.824999999999999</v>
      </c>
      <c r="F615" s="38">
        <v>45.48138906217509</v>
      </c>
      <c r="G615" s="38">
        <v>38.369999999999997</v>
      </c>
      <c r="H615" s="38">
        <v>2.4678727386150965</v>
      </c>
      <c r="I615" s="38">
        <v>5.0738199209814923</v>
      </c>
      <c r="J615" s="10">
        <v>0</v>
      </c>
      <c r="K615" s="39">
        <v>0</v>
      </c>
      <c r="L615" s="39">
        <v>0</v>
      </c>
      <c r="M615" s="39">
        <v>0</v>
      </c>
      <c r="N615" s="39">
        <v>0</v>
      </c>
      <c r="O615" s="39">
        <v>0</v>
      </c>
      <c r="P615" s="39">
        <v>0</v>
      </c>
      <c r="Q615" s="39">
        <v>0</v>
      </c>
      <c r="R615" s="39">
        <v>0</v>
      </c>
      <c r="S615" s="39">
        <v>1</v>
      </c>
      <c r="T615" s="39">
        <v>0</v>
      </c>
      <c r="U615" s="29" cm="1">
        <f t="array" aca="1" ref="U615" ca="1">+fair_value_gap(OFFSET(T614,0,0,-1*$J$5,-1*$AA$1),OFFSET(E614,0,0,-1*$J$5,1),F615:T615,0)</f>
        <v>16.855569731322039</v>
      </c>
      <c r="V615" s="9" cm="1">
        <f t="array" aca="1" ref="V615" ca="1">z_score_diff(OFFSET(U615,0,0,$J$5*-1,1),OFFSET(E615,0,0,$J$5*-1,1))</f>
        <v>-5.1570170439635743E-2</v>
      </c>
      <c r="W615" s="9">
        <f t="shared" ca="1" si="636"/>
        <v>-9.6758664919790321E-2</v>
      </c>
      <c r="X615" s="17">
        <f t="shared" ca="1" si="631"/>
        <v>8.9973799933633525E-2</v>
      </c>
      <c r="Y615" s="13">
        <f t="shared" ref="Y615:Z615" ca="1" si="669">+Y614</f>
        <v>0</v>
      </c>
      <c r="Z615" s="13">
        <f t="shared" ca="1" si="669"/>
        <v>0</v>
      </c>
      <c r="AA615">
        <f t="shared" ca="1" si="638"/>
        <v>1</v>
      </c>
      <c r="AB615">
        <f t="shared" ca="1" si="639"/>
        <v>0</v>
      </c>
      <c r="AC615" s="24">
        <f t="shared" ca="1" si="640"/>
        <v>8.9973799933633525E-2</v>
      </c>
      <c r="AD615" s="24">
        <f t="shared" ca="1" si="641"/>
        <v>0</v>
      </c>
    </row>
    <row r="616" spans="3:30" x14ac:dyDescent="0.25">
      <c r="C616" s="6">
        <v>710</v>
      </c>
      <c r="D616" s="36">
        <v>43013</v>
      </c>
      <c r="E616" s="38">
        <v>16.916</v>
      </c>
      <c r="F616" s="38">
        <v>46.329053228289624</v>
      </c>
      <c r="G616" s="38">
        <v>38.5</v>
      </c>
      <c r="H616" s="38">
        <v>2.4843599765765121</v>
      </c>
      <c r="I616" s="38">
        <v>5.1332858292073515</v>
      </c>
      <c r="J616" s="10">
        <v>0</v>
      </c>
      <c r="K616" s="39">
        <v>0</v>
      </c>
      <c r="L616" s="39">
        <v>0</v>
      </c>
      <c r="M616" s="39">
        <v>0</v>
      </c>
      <c r="N616" s="39">
        <v>0</v>
      </c>
      <c r="O616" s="39">
        <v>0</v>
      </c>
      <c r="P616" s="39">
        <v>0</v>
      </c>
      <c r="Q616" s="39">
        <v>0</v>
      </c>
      <c r="R616" s="39">
        <v>0</v>
      </c>
      <c r="S616" s="39">
        <v>1</v>
      </c>
      <c r="T616" s="39">
        <v>0</v>
      </c>
      <c r="U616" s="29" cm="1">
        <f t="array" aca="1" ref="U616" ca="1">+fair_value_gap(OFFSET(T615,0,0,-1*$J$5,-1*$AA$1),OFFSET(E615,0,0,-1*$J$5,1),F616:T616,0)</f>
        <v>16.990541164362142</v>
      </c>
      <c r="V616" s="9" cm="1">
        <f t="array" aca="1" ref="V616" ca="1">z_score_diff(OFFSET(U616,0,0,$J$5*-1,1),OFFSET(E616,0,0,$J$5*-1,1))</f>
        <v>-2.0245625548993965E-2</v>
      </c>
      <c r="W616" s="9">
        <f t="shared" ca="1" si="636"/>
        <v>-9.9224235800791941E-2</v>
      </c>
      <c r="X616" s="17">
        <f t="shared" ca="1" si="631"/>
        <v>9.3395150547433081E-2</v>
      </c>
      <c r="Y616" s="13">
        <f t="shared" ref="Y616:Z616" ca="1" si="670">+Y615</f>
        <v>0</v>
      </c>
      <c r="Z616" s="13">
        <f t="shared" ca="1" si="670"/>
        <v>0</v>
      </c>
      <c r="AA616">
        <f t="shared" ca="1" si="638"/>
        <v>1</v>
      </c>
      <c r="AB616">
        <f t="shared" ca="1" si="639"/>
        <v>0</v>
      </c>
      <c r="AC616" s="24">
        <f t="shared" ca="1" si="640"/>
        <v>9.3395150547433081E-2</v>
      </c>
      <c r="AD616" s="24">
        <f t="shared" ca="1" si="641"/>
        <v>0</v>
      </c>
    </row>
    <row r="617" spans="3:30" x14ac:dyDescent="0.25">
      <c r="C617" s="6">
        <v>711</v>
      </c>
      <c r="D617" s="36">
        <v>43014</v>
      </c>
      <c r="E617" s="38">
        <v>16.821000000000002</v>
      </c>
      <c r="F617" s="38">
        <v>45.198211077813113</v>
      </c>
      <c r="G617" s="38">
        <v>38.659999999999997</v>
      </c>
      <c r="H617" s="38">
        <v>2.4641444475473175</v>
      </c>
      <c r="I617" s="38">
        <v>5.1266875346468215</v>
      </c>
      <c r="J617" s="10">
        <v>0</v>
      </c>
      <c r="K617" s="39">
        <v>0</v>
      </c>
      <c r="L617" s="39">
        <v>0</v>
      </c>
      <c r="M617" s="39">
        <v>0</v>
      </c>
      <c r="N617" s="39">
        <v>0</v>
      </c>
      <c r="O617" s="39">
        <v>0</v>
      </c>
      <c r="P617" s="39">
        <v>0</v>
      </c>
      <c r="Q617" s="39">
        <v>0</v>
      </c>
      <c r="R617" s="39">
        <v>0</v>
      </c>
      <c r="S617" s="39">
        <v>1</v>
      </c>
      <c r="T617" s="39">
        <v>0</v>
      </c>
      <c r="U617" s="29" cm="1">
        <f t="array" aca="1" ref="U617" ca="1">+fair_value_gap(OFFSET(T616,0,0,-1*$J$5,-1*$AA$1),OFFSET(E616,0,0,-1*$J$5,1),F617:T617,0)</f>
        <v>16.94732159648456</v>
      </c>
      <c r="V617" s="9" cm="1">
        <f t="array" aca="1" ref="V617" ca="1">z_score_diff(OFFSET(U617,0,0,$J$5*-1,1),OFFSET(E617,0,0,$J$5*-1,1))</f>
        <v>1.7418781231989013E-2</v>
      </c>
      <c r="W617" s="9">
        <f t="shared" ca="1" si="636"/>
        <v>-9.9496176738077771E-2</v>
      </c>
      <c r="X617" s="17">
        <f t="shared" ca="1" si="631"/>
        <v>9.2815596515508955E-2</v>
      </c>
      <c r="Y617" s="13">
        <f t="shared" ref="Y617:Z617" ca="1" si="671">+Y616</f>
        <v>0</v>
      </c>
      <c r="Z617" s="13">
        <f t="shared" ca="1" si="671"/>
        <v>0</v>
      </c>
      <c r="AA617">
        <f t="shared" ca="1" si="638"/>
        <v>1</v>
      </c>
      <c r="AB617">
        <f t="shared" ca="1" si="639"/>
        <v>0</v>
      </c>
      <c r="AC617" s="24">
        <f t="shared" ca="1" si="640"/>
        <v>9.2815596515508955E-2</v>
      </c>
      <c r="AD617" s="24">
        <f t="shared" ca="1" si="641"/>
        <v>0</v>
      </c>
    </row>
    <row r="618" spans="3:30" x14ac:dyDescent="0.25">
      <c r="C618" s="6">
        <v>712</v>
      </c>
      <c r="D618" s="36">
        <v>43017</v>
      </c>
      <c r="E618" s="38">
        <v>16.850000000000001</v>
      </c>
      <c r="F618" s="38">
        <v>45.283471532890502</v>
      </c>
      <c r="G618" s="38">
        <v>38.630000000000003</v>
      </c>
      <c r="H618" s="38">
        <v>2.4649336325574502</v>
      </c>
      <c r="I618" s="38">
        <v>5.1231300575290026</v>
      </c>
      <c r="J618" s="10">
        <v>0</v>
      </c>
      <c r="K618" s="39">
        <v>0</v>
      </c>
      <c r="L618" s="39">
        <v>0</v>
      </c>
      <c r="M618" s="39">
        <v>0</v>
      </c>
      <c r="N618" s="39">
        <v>0</v>
      </c>
      <c r="O618" s="39">
        <v>0</v>
      </c>
      <c r="P618" s="39">
        <v>0</v>
      </c>
      <c r="Q618" s="39">
        <v>0</v>
      </c>
      <c r="R618" s="39">
        <v>0</v>
      </c>
      <c r="S618" s="39">
        <v>1</v>
      </c>
      <c r="T618" s="39">
        <v>0</v>
      </c>
      <c r="U618" s="29" cm="1">
        <f t="array" aca="1" ref="U618" ca="1">+fair_value_gap(OFFSET(T617,0,0,-1*$J$5,-1*$AA$1),OFFSET(E617,0,0,-1*$J$5,1),F618:T618,0)</f>
        <v>16.931430093882305</v>
      </c>
      <c r="V618" s="9" cm="1">
        <f t="array" aca="1" ref="V618" ca="1">z_score_diff(OFFSET(U618,0,0,$J$5*-1,1),OFFSET(E618,0,0,$J$5*-1,1))</f>
        <v>-1.5633812075056323E-2</v>
      </c>
      <c r="W618" s="9">
        <f t="shared" ca="1" si="636"/>
        <v>-9.9326464376690529E-2</v>
      </c>
      <c r="X618" s="17">
        <f t="shared" ca="1" si="631"/>
        <v>0.10294216353309918</v>
      </c>
      <c r="Y618" s="13">
        <f t="shared" ref="Y618:Z618" ca="1" si="672">+Y617</f>
        <v>0</v>
      </c>
      <c r="Z618" s="13">
        <f t="shared" ca="1" si="672"/>
        <v>0</v>
      </c>
      <c r="AA618">
        <f t="shared" ca="1" si="638"/>
        <v>1</v>
      </c>
      <c r="AB618">
        <f t="shared" ca="1" si="639"/>
        <v>0</v>
      </c>
      <c r="AC618" s="24">
        <f t="shared" ca="1" si="640"/>
        <v>0.10294216353309918</v>
      </c>
      <c r="AD618" s="24">
        <f t="shared" ca="1" si="641"/>
        <v>0</v>
      </c>
    </row>
    <row r="619" spans="3:30" x14ac:dyDescent="0.25">
      <c r="C619" s="6">
        <v>713</v>
      </c>
      <c r="D619" s="36">
        <v>43018</v>
      </c>
      <c r="E619" s="38">
        <v>16.888000000000002</v>
      </c>
      <c r="F619" s="38">
        <v>45.579500737571244</v>
      </c>
      <c r="G619" s="38">
        <v>38.96</v>
      </c>
      <c r="H619" s="38">
        <v>2.46989044520148</v>
      </c>
      <c r="I619" s="38">
        <v>5.0524251226455492</v>
      </c>
      <c r="J619" s="10">
        <v>0</v>
      </c>
      <c r="K619" s="39">
        <v>0</v>
      </c>
      <c r="L619" s="39">
        <v>0</v>
      </c>
      <c r="M619" s="39">
        <v>0</v>
      </c>
      <c r="N619" s="39">
        <v>0</v>
      </c>
      <c r="O619" s="39">
        <v>0</v>
      </c>
      <c r="P619" s="39">
        <v>0</v>
      </c>
      <c r="Q619" s="39">
        <v>0</v>
      </c>
      <c r="R619" s="39">
        <v>0</v>
      </c>
      <c r="S619" s="39">
        <v>1</v>
      </c>
      <c r="T619" s="39">
        <v>0</v>
      </c>
      <c r="U619" s="29" cm="1">
        <f t="array" aca="1" ref="U619" ca="1">+fair_value_gap(OFFSET(T618,0,0,-1*$J$5,-1*$AA$1),OFFSET(E618,0,0,-1*$J$5,1),F619:T619,0)</f>
        <v>16.976514329604264</v>
      </c>
      <c r="V619" s="9" cm="1">
        <f t="array" aca="1" ref="V619" ca="1">z_score_diff(OFFSET(U619,0,0,$J$5*-1,1),OFFSET(E619,0,0,$J$5*-1,1))</f>
        <v>-1.1457412746901333E-2</v>
      </c>
      <c r="W619" s="9">
        <f t="shared" ca="1" si="636"/>
        <v>-9.8220121416211045E-2</v>
      </c>
      <c r="X619" s="17">
        <f t="shared" ca="1" si="631"/>
        <v>0.10789165353678201</v>
      </c>
      <c r="Y619" s="13">
        <f t="shared" ref="Y619:Z619" ca="1" si="673">+Y618</f>
        <v>0</v>
      </c>
      <c r="Z619" s="13">
        <f t="shared" ca="1" si="673"/>
        <v>0</v>
      </c>
      <c r="AA619">
        <f t="shared" ca="1" si="638"/>
        <v>1</v>
      </c>
      <c r="AB619">
        <f t="shared" ca="1" si="639"/>
        <v>0</v>
      </c>
      <c r="AC619" s="24">
        <f t="shared" ca="1" si="640"/>
        <v>0.10789165353678201</v>
      </c>
      <c r="AD619" s="24">
        <f t="shared" ca="1" si="641"/>
        <v>0</v>
      </c>
    </row>
    <row r="620" spans="3:30" x14ac:dyDescent="0.25">
      <c r="C620" s="6">
        <v>714</v>
      </c>
      <c r="D620" s="36">
        <v>43019</v>
      </c>
      <c r="E620" s="38">
        <v>16.956</v>
      </c>
      <c r="F620" s="38">
        <v>45.710177357796745</v>
      </c>
      <c r="G620" s="38">
        <v>39.33</v>
      </c>
      <c r="H620" s="38">
        <v>2.4446370105675927</v>
      </c>
      <c r="I620" s="38">
        <v>5.0294387063953847</v>
      </c>
      <c r="J620" s="10">
        <v>0</v>
      </c>
      <c r="K620" s="39">
        <v>0</v>
      </c>
      <c r="L620" s="39">
        <v>0</v>
      </c>
      <c r="M620" s="39">
        <v>0</v>
      </c>
      <c r="N620" s="39">
        <v>0</v>
      </c>
      <c r="O620" s="39">
        <v>0</v>
      </c>
      <c r="P620" s="39">
        <v>0</v>
      </c>
      <c r="Q620" s="39">
        <v>0</v>
      </c>
      <c r="R620" s="39">
        <v>0</v>
      </c>
      <c r="S620" s="39">
        <v>1</v>
      </c>
      <c r="T620" s="39">
        <v>0</v>
      </c>
      <c r="U620" s="29" cm="1">
        <f t="array" aca="1" ref="U620" ca="1">+fair_value_gap(OFFSET(T619,0,0,-1*$J$5,-1*$AA$1),OFFSET(E619,0,0,-1*$J$5,1),F620:T620,0)</f>
        <v>17.043254371065608</v>
      </c>
      <c r="V620" s="9" cm="1">
        <f t="array" aca="1" ref="V620" ca="1">z_score_diff(OFFSET(U620,0,0,$J$5*-1,1),OFFSET(E620,0,0,$J$5*-1,1))</f>
        <v>-1.3142913538559467E-2</v>
      </c>
      <c r="W620" s="9">
        <f t="shared" ca="1" si="636"/>
        <v>-0.10110791599148454</v>
      </c>
      <c r="X620" s="17">
        <f t="shared" ca="1" si="631"/>
        <v>9.7687843746166181E-2</v>
      </c>
      <c r="Y620" s="13">
        <f t="shared" ref="Y620:Z620" ca="1" si="674">+Y619</f>
        <v>0</v>
      </c>
      <c r="Z620" s="13">
        <f t="shared" ca="1" si="674"/>
        <v>0</v>
      </c>
      <c r="AA620">
        <f t="shared" ca="1" si="638"/>
        <v>1</v>
      </c>
      <c r="AB620">
        <f t="shared" ca="1" si="639"/>
        <v>0</v>
      </c>
      <c r="AC620" s="24">
        <f t="shared" ca="1" si="640"/>
        <v>9.7687843746166181E-2</v>
      </c>
      <c r="AD620" s="24">
        <f t="shared" ca="1" si="641"/>
        <v>0</v>
      </c>
    </row>
    <row r="621" spans="3:30" x14ac:dyDescent="0.25">
      <c r="C621" s="6">
        <v>715</v>
      </c>
      <c r="D621" s="36">
        <v>43020</v>
      </c>
      <c r="E621" s="38">
        <v>16.991</v>
      </c>
      <c r="F621" s="38">
        <v>45.445413832701021</v>
      </c>
      <c r="G621" s="38">
        <v>39.46</v>
      </c>
      <c r="H621" s="38">
        <v>2.4702728130272993</v>
      </c>
      <c r="I621" s="38">
        <v>5.0389266383538782</v>
      </c>
      <c r="J621" s="10">
        <v>0</v>
      </c>
      <c r="K621" s="39">
        <v>0</v>
      </c>
      <c r="L621" s="39">
        <v>0</v>
      </c>
      <c r="M621" s="39">
        <v>0</v>
      </c>
      <c r="N621" s="39">
        <v>0</v>
      </c>
      <c r="O621" s="39">
        <v>0</v>
      </c>
      <c r="P621" s="39">
        <v>0</v>
      </c>
      <c r="Q621" s="39">
        <v>0</v>
      </c>
      <c r="R621" s="39">
        <v>0</v>
      </c>
      <c r="S621" s="39">
        <v>1</v>
      </c>
      <c r="T621" s="39">
        <v>0</v>
      </c>
      <c r="U621" s="29" cm="1">
        <f t="array" aca="1" ref="U621" ca="1">+fair_value_gap(OFFSET(T620,0,0,-1*$J$5,-1*$AA$1),OFFSET(E620,0,0,-1*$J$5,1),F621:T621,0)</f>
        <v>17.071174947704158</v>
      </c>
      <c r="V621" s="9" cm="1">
        <f t="array" aca="1" ref="V621" ca="1">z_score_diff(OFFSET(U621,0,0,$J$5*-1,1),OFFSET(E621,0,0,$J$5*-1,1))</f>
        <v>-1.8988379675256961E-2</v>
      </c>
      <c r="W621" s="9">
        <f t="shared" ca="1" si="636"/>
        <v>-0.10880270646389233</v>
      </c>
      <c r="X621" s="17">
        <f t="shared" ca="1" si="631"/>
        <v>9.8776591430228974E-2</v>
      </c>
      <c r="Y621" s="13">
        <f t="shared" ref="Y621:Z621" ca="1" si="675">+Y620</f>
        <v>0</v>
      </c>
      <c r="Z621" s="13">
        <f t="shared" ca="1" si="675"/>
        <v>0</v>
      </c>
      <c r="AA621">
        <f t="shared" ca="1" si="638"/>
        <v>1</v>
      </c>
      <c r="AB621">
        <f t="shared" ca="1" si="639"/>
        <v>0</v>
      </c>
      <c r="AC621" s="24">
        <f t="shared" ca="1" si="640"/>
        <v>9.8776591430228974E-2</v>
      </c>
      <c r="AD621" s="24">
        <f t="shared" ca="1" si="641"/>
        <v>0</v>
      </c>
    </row>
    <row r="622" spans="3:30" x14ac:dyDescent="0.25">
      <c r="C622" s="6">
        <v>716</v>
      </c>
      <c r="D622" s="36">
        <v>43021</v>
      </c>
      <c r="E622" s="38">
        <v>17.117999999999999</v>
      </c>
      <c r="F622" s="38">
        <v>45.944758748654706</v>
      </c>
      <c r="G622" s="38">
        <v>39.75</v>
      </c>
      <c r="H622" s="38">
        <v>2.4883297500171655</v>
      </c>
      <c r="I622" s="38">
        <v>5.1619606516313539</v>
      </c>
      <c r="J622" s="10">
        <v>0</v>
      </c>
      <c r="K622" s="39">
        <v>0</v>
      </c>
      <c r="L622" s="39">
        <v>0</v>
      </c>
      <c r="M622" s="39">
        <v>0</v>
      </c>
      <c r="N622" s="39">
        <v>0</v>
      </c>
      <c r="O622" s="39">
        <v>0</v>
      </c>
      <c r="P622" s="39">
        <v>0</v>
      </c>
      <c r="Q622" s="39">
        <v>0</v>
      </c>
      <c r="R622" s="39">
        <v>0</v>
      </c>
      <c r="S622" s="39">
        <v>1</v>
      </c>
      <c r="T622" s="39">
        <v>0</v>
      </c>
      <c r="U622" s="29" cm="1">
        <f t="array" aca="1" ref="U622" ca="1">+fair_value_gap(OFFSET(T621,0,0,-1*$J$5,-1*$AA$1),OFFSET(E621,0,0,-1*$J$5,1),F622:T622,0)</f>
        <v>17.26790348223259</v>
      </c>
      <c r="V622" s="9" cm="1">
        <f t="array" aca="1" ref="V622" ca="1">z_score_diff(OFFSET(U622,0,0,$J$5*-1,1),OFFSET(E622,0,0,$J$5*-1,1))</f>
        <v>3.0026069832895075E-2</v>
      </c>
      <c r="W622" s="9">
        <f t="shared" ca="1" si="636"/>
        <v>-9.5713824484889562E-2</v>
      </c>
      <c r="X622" s="17">
        <f t="shared" ca="1" si="631"/>
        <v>9.6382372434602015E-2</v>
      </c>
      <c r="Y622" s="13">
        <f t="shared" ref="Y622:Z622" ca="1" si="676">+Y621</f>
        <v>0</v>
      </c>
      <c r="Z622" s="13">
        <f t="shared" ca="1" si="676"/>
        <v>0</v>
      </c>
      <c r="AA622">
        <f t="shared" ca="1" si="638"/>
        <v>1</v>
      </c>
      <c r="AB622">
        <f t="shared" ca="1" si="639"/>
        <v>0</v>
      </c>
      <c r="AC622" s="24">
        <f t="shared" ca="1" si="640"/>
        <v>9.6382372434602015E-2</v>
      </c>
      <c r="AD622" s="24">
        <f t="shared" ca="1" si="641"/>
        <v>0</v>
      </c>
    </row>
    <row r="623" spans="3:30" x14ac:dyDescent="0.25">
      <c r="C623" s="6">
        <v>717</v>
      </c>
      <c r="D623" s="36">
        <v>43024</v>
      </c>
      <c r="E623" s="38">
        <v>17.236999999999998</v>
      </c>
      <c r="F623" s="38">
        <v>46.341691857173764</v>
      </c>
      <c r="G623" s="38">
        <v>39.94</v>
      </c>
      <c r="H623" s="38">
        <v>2.4907312471974095</v>
      </c>
      <c r="I623" s="38">
        <v>5.8434792987493296</v>
      </c>
      <c r="J623" s="10">
        <v>0</v>
      </c>
      <c r="K623" s="39">
        <v>0</v>
      </c>
      <c r="L623" s="39">
        <v>0</v>
      </c>
      <c r="M623" s="39">
        <v>0</v>
      </c>
      <c r="N623" s="39">
        <v>0</v>
      </c>
      <c r="O623" s="39">
        <v>0</v>
      </c>
      <c r="P623" s="39">
        <v>0</v>
      </c>
      <c r="Q623" s="39">
        <v>0</v>
      </c>
      <c r="R623" s="39">
        <v>0</v>
      </c>
      <c r="S623" s="39">
        <v>1</v>
      </c>
      <c r="T623" s="39">
        <v>0</v>
      </c>
      <c r="U623" s="29" cm="1">
        <f t="array" aca="1" ref="U623" ca="1">+fair_value_gap(OFFSET(T622,0,0,-1*$J$5,-1*$AA$1),OFFSET(E622,0,0,-1*$J$5,1),F623:T623,0)</f>
        <v>17.83482112142288</v>
      </c>
      <c r="V623" s="9" cm="1">
        <f t="array" aca="1" ref="V623" ca="1">z_score_diff(OFFSET(U623,0,0,$J$5*-1,1),OFFSET(E623,0,0,$J$5*-1,1))</f>
        <v>0.35038771499771915</v>
      </c>
      <c r="W623" s="9">
        <f t="shared" ca="1" si="636"/>
        <v>-7.088109434119659E-2</v>
      </c>
      <c r="X623" s="17">
        <f t="shared" ca="1" si="631"/>
        <v>8.3335196073396345E-2</v>
      </c>
      <c r="Y623" s="13">
        <f t="shared" ref="Y623:Z623" ca="1" si="677">+Y622</f>
        <v>0</v>
      </c>
      <c r="Z623" s="13">
        <f t="shared" ca="1" si="677"/>
        <v>0</v>
      </c>
      <c r="AA623">
        <f t="shared" ca="1" si="638"/>
        <v>1</v>
      </c>
      <c r="AB623">
        <f t="shared" ca="1" si="639"/>
        <v>0</v>
      </c>
      <c r="AC623" s="24">
        <f t="shared" ca="1" si="640"/>
        <v>8.3335196073396345E-2</v>
      </c>
      <c r="AD623" s="24">
        <f t="shared" ca="1" si="641"/>
        <v>0</v>
      </c>
    </row>
    <row r="624" spans="3:30" x14ac:dyDescent="0.25">
      <c r="C624" s="6">
        <v>718</v>
      </c>
      <c r="D624" s="36">
        <v>43025</v>
      </c>
      <c r="E624" s="38">
        <v>17.169</v>
      </c>
      <c r="F624" s="38">
        <v>46.296603974214129</v>
      </c>
      <c r="G624" s="38">
        <v>39.729999999999997</v>
      </c>
      <c r="H624" s="38">
        <v>2.5013291686050376</v>
      </c>
      <c r="I624" s="38">
        <v>5.8358809064929895</v>
      </c>
      <c r="J624" s="10">
        <v>0</v>
      </c>
      <c r="K624" s="39">
        <v>0</v>
      </c>
      <c r="L624" s="39">
        <v>0</v>
      </c>
      <c r="M624" s="39">
        <v>0</v>
      </c>
      <c r="N624" s="39">
        <v>0</v>
      </c>
      <c r="O624" s="39">
        <v>0</v>
      </c>
      <c r="P624" s="39">
        <v>0</v>
      </c>
      <c r="Q624" s="39">
        <v>0</v>
      </c>
      <c r="R624" s="39">
        <v>0</v>
      </c>
      <c r="S624" s="39">
        <v>1</v>
      </c>
      <c r="T624" s="39">
        <v>0</v>
      </c>
      <c r="U624" s="29" cm="1">
        <f t="array" aca="1" ref="U624" ca="1">+fair_value_gap(OFFSET(T623,0,0,-1*$J$5,-1*$AA$1),OFFSET(E623,0,0,-1*$J$5,1),F624:T624,0)</f>
        <v>17.717960885997151</v>
      </c>
      <c r="V624" s="9" cm="1">
        <f t="array" aca="1" ref="V624" ca="1">z_score_diff(OFFSET(U624,0,0,$J$5*-1,1),OFFSET(E624,0,0,$J$5*-1,1))</f>
        <v>0.31282878197513309</v>
      </c>
      <c r="W624" s="9">
        <f t="shared" ca="1" si="636"/>
        <v>-4.8662893646905715E-2</v>
      </c>
      <c r="X624" s="17">
        <f t="shared" ca="1" si="631"/>
        <v>7.6015739087075623E-2</v>
      </c>
      <c r="Y624" s="13">
        <f t="shared" ref="Y624:Z624" ca="1" si="678">+Y623</f>
        <v>0</v>
      </c>
      <c r="Z624" s="13">
        <f t="shared" ca="1" si="678"/>
        <v>0</v>
      </c>
      <c r="AA624">
        <f t="shared" ca="1" si="638"/>
        <v>1</v>
      </c>
      <c r="AB624">
        <f t="shared" ca="1" si="639"/>
        <v>0</v>
      </c>
      <c r="AC624" s="24">
        <f t="shared" ca="1" si="640"/>
        <v>7.6015739087075623E-2</v>
      </c>
      <c r="AD624" s="24">
        <f t="shared" ca="1" si="641"/>
        <v>0</v>
      </c>
    </row>
    <row r="625" spans="3:30" x14ac:dyDescent="0.25">
      <c r="C625" s="6">
        <v>719</v>
      </c>
      <c r="D625" s="36">
        <v>43026</v>
      </c>
      <c r="E625" s="38">
        <v>17.3</v>
      </c>
      <c r="F625" s="38">
        <v>46.480699648119717</v>
      </c>
      <c r="G625" s="38">
        <v>40.340000000000003</v>
      </c>
      <c r="H625" s="38">
        <v>2.4832268185179904</v>
      </c>
      <c r="I625" s="38">
        <v>5.7831409212564218</v>
      </c>
      <c r="J625" s="10">
        <v>0</v>
      </c>
      <c r="K625" s="39">
        <v>0</v>
      </c>
      <c r="L625" s="39">
        <v>0</v>
      </c>
      <c r="M625" s="39">
        <v>0</v>
      </c>
      <c r="N625" s="39">
        <v>0</v>
      </c>
      <c r="O625" s="39">
        <v>0</v>
      </c>
      <c r="P625" s="39">
        <v>0</v>
      </c>
      <c r="Q625" s="39">
        <v>0</v>
      </c>
      <c r="R625" s="39">
        <v>0</v>
      </c>
      <c r="S625" s="39">
        <v>1</v>
      </c>
      <c r="T625" s="39">
        <v>0</v>
      </c>
      <c r="U625" s="29" cm="1">
        <f t="array" aca="1" ref="U625" ca="1">+fair_value_gap(OFFSET(T624,0,0,-1*$J$5,-1*$AA$1),OFFSET(E624,0,0,-1*$J$5,1),F625:T625,0)</f>
        <v>17.762476530228156</v>
      </c>
      <c r="V625" s="9" cm="1">
        <f t="array" aca="1" ref="V625" ca="1">z_score_diff(OFFSET(U625,0,0,$J$5*-1,1),OFFSET(E625,0,0,$J$5*-1,1))</f>
        <v>0.24707274890100339</v>
      </c>
      <c r="W625" s="9">
        <f t="shared" ca="1" si="636"/>
        <v>-2.9716233819294322E-2</v>
      </c>
      <c r="X625" s="17">
        <f t="shared" ca="1" si="631"/>
        <v>7.4871512127050899E-2</v>
      </c>
      <c r="Y625" s="13">
        <f t="shared" ref="Y625:Z625" ca="1" si="679">+Y624</f>
        <v>0</v>
      </c>
      <c r="Z625" s="13">
        <f t="shared" ca="1" si="679"/>
        <v>0</v>
      </c>
      <c r="AA625">
        <f t="shared" ca="1" si="638"/>
        <v>1</v>
      </c>
      <c r="AB625">
        <f t="shared" ca="1" si="639"/>
        <v>0</v>
      </c>
      <c r="AC625" s="24">
        <f t="shared" ca="1" si="640"/>
        <v>7.4871512127050899E-2</v>
      </c>
      <c r="AD625" s="24">
        <f t="shared" ca="1" si="641"/>
        <v>0</v>
      </c>
    </row>
    <row r="626" spans="3:30" x14ac:dyDescent="0.25">
      <c r="C626" s="6">
        <v>720</v>
      </c>
      <c r="D626" s="36">
        <v>43027</v>
      </c>
      <c r="E626" s="38">
        <v>17.074999999999999</v>
      </c>
      <c r="F626" s="38">
        <v>45.824477564652611</v>
      </c>
      <c r="G626" s="38">
        <v>40.15</v>
      </c>
      <c r="H626" s="38">
        <v>2.4875909228921071</v>
      </c>
      <c r="I626" s="38">
        <v>5.7548745231086054</v>
      </c>
      <c r="J626" s="10">
        <v>0</v>
      </c>
      <c r="K626" s="39">
        <v>0</v>
      </c>
      <c r="L626" s="39">
        <v>0</v>
      </c>
      <c r="M626" s="39">
        <v>0</v>
      </c>
      <c r="N626" s="39">
        <v>0</v>
      </c>
      <c r="O626" s="39">
        <v>0</v>
      </c>
      <c r="P626" s="39">
        <v>0</v>
      </c>
      <c r="Q626" s="39">
        <v>0</v>
      </c>
      <c r="R626" s="39">
        <v>0</v>
      </c>
      <c r="S626" s="39">
        <v>1</v>
      </c>
      <c r="T626" s="39">
        <v>0</v>
      </c>
      <c r="U626" s="29" cm="1">
        <f t="array" aca="1" ref="U626" ca="1">+fair_value_gap(OFFSET(T625,0,0,-1*$J$5,-1*$AA$1),OFFSET(E625,0,0,-1*$J$5,1),F626:T626,0)</f>
        <v>17.598286292717507</v>
      </c>
      <c r="V626" s="9" cm="1">
        <f t="array" aca="1" ref="V626" ca="1">z_score_diff(OFFSET(U626,0,0,$J$5*-1,1),OFFSET(E626,0,0,$J$5*-1,1))</f>
        <v>0.28847702292709848</v>
      </c>
      <c r="W626" s="9">
        <f t="shared" ca="1" si="636"/>
        <v>-8.3812051424016799E-3</v>
      </c>
      <c r="X626" s="17">
        <f t="shared" ca="1" si="631"/>
        <v>0.10545421551383147</v>
      </c>
      <c r="Y626" s="13">
        <f t="shared" ref="Y626:Z626" ca="1" si="680">+Y625</f>
        <v>0</v>
      </c>
      <c r="Z626" s="13">
        <f t="shared" ca="1" si="680"/>
        <v>0</v>
      </c>
      <c r="AA626">
        <f t="shared" ca="1" si="638"/>
        <v>1</v>
      </c>
      <c r="AB626">
        <f t="shared" ca="1" si="639"/>
        <v>0</v>
      </c>
      <c r="AC626" s="24">
        <f t="shared" ca="1" si="640"/>
        <v>0.10545421551383147</v>
      </c>
      <c r="AD626" s="24">
        <f t="shared" ca="1" si="641"/>
        <v>0</v>
      </c>
    </row>
    <row r="627" spans="3:30" x14ac:dyDescent="0.25">
      <c r="C627" s="6">
        <v>721</v>
      </c>
      <c r="D627" s="36">
        <v>43028</v>
      </c>
      <c r="E627" s="38">
        <v>16.942</v>
      </c>
      <c r="F627" s="38">
        <v>46.46987423016899</v>
      </c>
      <c r="G627" s="38">
        <v>39.67</v>
      </c>
      <c r="H627" s="38">
        <v>2.5080955150473287</v>
      </c>
      <c r="I627" s="38">
        <v>5.7662136386301466</v>
      </c>
      <c r="J627" s="10">
        <v>0</v>
      </c>
      <c r="K627" s="39">
        <v>0</v>
      </c>
      <c r="L627" s="39">
        <v>0</v>
      </c>
      <c r="M627" s="39">
        <v>0</v>
      </c>
      <c r="N627" s="39">
        <v>0</v>
      </c>
      <c r="O627" s="39">
        <v>0</v>
      </c>
      <c r="P627" s="39">
        <v>0</v>
      </c>
      <c r="Q627" s="39">
        <v>0</v>
      </c>
      <c r="R627" s="39">
        <v>0</v>
      </c>
      <c r="S627" s="39">
        <v>1</v>
      </c>
      <c r="T627" s="39">
        <v>0</v>
      </c>
      <c r="U627" s="29" cm="1">
        <f t="array" aca="1" ref="U627" ca="1">+fair_value_gap(OFFSET(T626,0,0,-1*$J$5,-1*$AA$1),OFFSET(E626,0,0,-1*$J$5,1),F627:T627,0)</f>
        <v>17.450329575769565</v>
      </c>
      <c r="V627" s="9" cm="1">
        <f t="array" aca="1" ref="V627" ca="1">z_score_diff(OFFSET(U627,0,0,$J$5*-1,1),OFFSET(E627,0,0,$J$5*-1,1))</f>
        <v>0.27960304827940002</v>
      </c>
      <c r="W627" s="9">
        <f t="shared" ca="1" si="636"/>
        <v>1.1125022521885944E-2</v>
      </c>
      <c r="X627" s="17">
        <f t="shared" ca="1" si="631"/>
        <v>0.11811089806202717</v>
      </c>
      <c r="Y627" s="13">
        <f t="shared" ref="Y627:Z627" ca="1" si="681">+Y626</f>
        <v>0</v>
      </c>
      <c r="Z627" s="13">
        <f t="shared" ca="1" si="681"/>
        <v>0</v>
      </c>
      <c r="AA627">
        <f t="shared" ca="1" si="638"/>
        <v>0</v>
      </c>
      <c r="AB627">
        <f t="shared" ca="1" si="639"/>
        <v>1</v>
      </c>
      <c r="AC627" s="24">
        <f t="shared" ca="1" si="640"/>
        <v>0</v>
      </c>
      <c r="AD627" s="24">
        <f t="shared" ca="1" si="641"/>
        <v>0.11811089806202717</v>
      </c>
    </row>
    <row r="628" spans="3:30" x14ac:dyDescent="0.25">
      <c r="C628" s="6">
        <v>722</v>
      </c>
      <c r="D628" s="36">
        <v>43031</v>
      </c>
      <c r="E628" s="38">
        <v>16.914000000000001</v>
      </c>
      <c r="F628" s="38">
        <v>46.445914057585618</v>
      </c>
      <c r="G628" s="38">
        <v>39.56</v>
      </c>
      <c r="H628" s="38">
        <v>2.5186632363366477</v>
      </c>
      <c r="I628" s="38">
        <v>5.7828574471555001</v>
      </c>
      <c r="J628" s="10">
        <v>0</v>
      </c>
      <c r="K628" s="39">
        <v>0</v>
      </c>
      <c r="L628" s="39">
        <v>0</v>
      </c>
      <c r="M628" s="39">
        <v>0</v>
      </c>
      <c r="N628" s="39">
        <v>0</v>
      </c>
      <c r="O628" s="39">
        <v>0</v>
      </c>
      <c r="P628" s="39">
        <v>0</v>
      </c>
      <c r="Q628" s="39">
        <v>0</v>
      </c>
      <c r="R628" s="39">
        <v>0</v>
      </c>
      <c r="S628" s="39">
        <v>1</v>
      </c>
      <c r="T628" s="39">
        <v>0</v>
      </c>
      <c r="U628" s="29" cm="1">
        <f t="array" aca="1" ref="U628" ca="1">+fair_value_gap(OFFSET(T627,0,0,-1*$J$5,-1*$AA$1),OFFSET(E627,0,0,-1*$J$5,1),F628:T628,0)</f>
        <v>17.375008901934578</v>
      </c>
      <c r="V628" s="9" cm="1">
        <f t="array" aca="1" ref="V628" ca="1">z_score_diff(OFFSET(U628,0,0,$J$5*-1,1),OFFSET(E628,0,0,$J$5*-1,1))</f>
        <v>0.24640336019856071</v>
      </c>
      <c r="W628" s="9">
        <f t="shared" ca="1" si="636"/>
        <v>3.1456543965538368E-2</v>
      </c>
      <c r="X628" s="17">
        <f t="shared" ca="1" si="631"/>
        <v>0.11929280678620829</v>
      </c>
      <c r="Y628" s="13">
        <f t="shared" ref="Y628:Z628" ca="1" si="682">+Y627</f>
        <v>0</v>
      </c>
      <c r="Z628" s="13">
        <f t="shared" ca="1" si="682"/>
        <v>0</v>
      </c>
      <c r="AA628">
        <f t="shared" ca="1" si="638"/>
        <v>0</v>
      </c>
      <c r="AB628">
        <f t="shared" ca="1" si="639"/>
        <v>1</v>
      </c>
      <c r="AC628" s="24">
        <f t="shared" ca="1" si="640"/>
        <v>0</v>
      </c>
      <c r="AD628" s="24">
        <f t="shared" ca="1" si="641"/>
        <v>0.11929280678620829</v>
      </c>
    </row>
    <row r="629" spans="3:30" x14ac:dyDescent="0.25">
      <c r="C629" s="6">
        <v>723</v>
      </c>
      <c r="D629" s="36">
        <v>43032</v>
      </c>
      <c r="E629" s="38">
        <v>16.896999999999998</v>
      </c>
      <c r="F629" s="38">
        <v>46.976842378231737</v>
      </c>
      <c r="G629" s="38">
        <v>39.85</v>
      </c>
      <c r="H629" s="38">
        <v>2.5142418293374202</v>
      </c>
      <c r="I629" s="38">
        <v>5.7557436919542599</v>
      </c>
      <c r="J629" s="10">
        <v>0</v>
      </c>
      <c r="K629" s="39">
        <v>0</v>
      </c>
      <c r="L629" s="39">
        <v>0</v>
      </c>
      <c r="M629" s="39">
        <v>0</v>
      </c>
      <c r="N629" s="39">
        <v>0</v>
      </c>
      <c r="O629" s="39">
        <v>0</v>
      </c>
      <c r="P629" s="39">
        <v>0</v>
      </c>
      <c r="Q629" s="39">
        <v>0</v>
      </c>
      <c r="R629" s="39">
        <v>0</v>
      </c>
      <c r="S629" s="39">
        <v>1</v>
      </c>
      <c r="T629" s="39">
        <v>0</v>
      </c>
      <c r="U629" s="29" cm="1">
        <f t="array" aca="1" ref="U629" ca="1">+fair_value_gap(OFFSET(T628,0,0,-1*$J$5,-1*$AA$1),OFFSET(E628,0,0,-1*$J$5,1),F629:T629,0)</f>
        <v>17.423835953296198</v>
      </c>
      <c r="V629" s="9" cm="1">
        <f t="array" aca="1" ref="V629" ca="1">z_score_diff(OFFSET(U629,0,0,$J$5*-1,1),OFFSET(E629,0,0,$J$5*-1,1))</f>
        <v>0.29513188660314643</v>
      </c>
      <c r="W629" s="9">
        <f t="shared" ca="1" si="636"/>
        <v>5.0478023545577393E-2</v>
      </c>
      <c r="X629" s="17">
        <f t="shared" ca="1" si="631"/>
        <v>0.11466784014992272</v>
      </c>
      <c r="Y629" s="13">
        <f t="shared" ref="Y629:Z629" ca="1" si="683">+Y628</f>
        <v>0</v>
      </c>
      <c r="Z629" s="13">
        <f t="shared" ca="1" si="683"/>
        <v>0</v>
      </c>
      <c r="AA629">
        <f t="shared" ca="1" si="638"/>
        <v>0</v>
      </c>
      <c r="AB629">
        <f t="shared" ca="1" si="639"/>
        <v>1</v>
      </c>
      <c r="AC629" s="24">
        <f t="shared" ca="1" si="640"/>
        <v>0</v>
      </c>
      <c r="AD629" s="24">
        <f t="shared" ca="1" si="641"/>
        <v>0.11466784014992272</v>
      </c>
    </row>
    <row r="630" spans="3:30" x14ac:dyDescent="0.25">
      <c r="C630" s="6">
        <v>724</v>
      </c>
      <c r="D630" s="36">
        <v>43033</v>
      </c>
      <c r="E630" s="38">
        <v>17.109000000000002</v>
      </c>
      <c r="F630" s="38">
        <v>46.897982617385594</v>
      </c>
      <c r="G630" s="38">
        <v>40.369999999999997</v>
      </c>
      <c r="H630" s="38">
        <v>2.4892578884408758</v>
      </c>
      <c r="I630" s="38">
        <v>5.7908957192044301</v>
      </c>
      <c r="J630" s="10">
        <v>0</v>
      </c>
      <c r="K630" s="39">
        <v>0</v>
      </c>
      <c r="L630" s="39">
        <v>0</v>
      </c>
      <c r="M630" s="39">
        <v>0</v>
      </c>
      <c r="N630" s="39">
        <v>0</v>
      </c>
      <c r="O630" s="39">
        <v>0</v>
      </c>
      <c r="P630" s="39">
        <v>0</v>
      </c>
      <c r="Q630" s="39">
        <v>0</v>
      </c>
      <c r="R630" s="39">
        <v>0</v>
      </c>
      <c r="S630" s="39">
        <v>1</v>
      </c>
      <c r="T630" s="39">
        <v>0</v>
      </c>
      <c r="U630" s="29" cm="1">
        <f t="array" aca="1" ref="U630" ca="1">+fair_value_gap(OFFSET(T629,0,0,-1*$J$5,-1*$AA$1),OFFSET(E629,0,0,-1*$J$5,1),F630:T630,0)</f>
        <v>17.485434871762109</v>
      </c>
      <c r="V630" s="9" cm="1">
        <f t="array" aca="1" ref="V630" ca="1">z_score_diff(OFFSET(U630,0,0,$J$5*-1,1),OFFSET(E630,0,0,$J$5*-1,1))</f>
        <v>0.18758190192848467</v>
      </c>
      <c r="W630" s="9">
        <f t="shared" ca="1" si="636"/>
        <v>6.1272077058356071E-2</v>
      </c>
      <c r="X630" s="17">
        <f t="shared" ca="1" si="631"/>
        <v>9.2815026499713585E-2</v>
      </c>
      <c r="Y630" s="13">
        <f t="shared" ref="Y630:Z630" ca="1" si="684">+Y629</f>
        <v>0</v>
      </c>
      <c r="Z630" s="13">
        <f t="shared" ca="1" si="684"/>
        <v>0</v>
      </c>
      <c r="AA630">
        <f t="shared" ca="1" si="638"/>
        <v>0</v>
      </c>
      <c r="AB630">
        <f t="shared" ca="1" si="639"/>
        <v>1</v>
      </c>
      <c r="AC630" s="24">
        <f t="shared" ca="1" si="640"/>
        <v>0</v>
      </c>
      <c r="AD630" s="24">
        <f t="shared" ca="1" si="641"/>
        <v>9.2815026499713585E-2</v>
      </c>
    </row>
    <row r="631" spans="3:30" x14ac:dyDescent="0.25">
      <c r="C631" s="6">
        <v>725</v>
      </c>
      <c r="D631" s="36">
        <v>43034</v>
      </c>
      <c r="E631" s="38">
        <v>17.106000000000002</v>
      </c>
      <c r="F631" s="38">
        <v>47.906712306482213</v>
      </c>
      <c r="G631" s="38">
        <v>39.75</v>
      </c>
      <c r="H631" s="38">
        <v>2.5123141969231697</v>
      </c>
      <c r="I631" s="38">
        <v>5.8698929834653502</v>
      </c>
      <c r="J631" s="10">
        <v>0</v>
      </c>
      <c r="K631" s="39">
        <v>0</v>
      </c>
      <c r="L631" s="39">
        <v>0</v>
      </c>
      <c r="M631" s="39">
        <v>0</v>
      </c>
      <c r="N631" s="39">
        <v>0</v>
      </c>
      <c r="O631" s="39">
        <v>0</v>
      </c>
      <c r="P631" s="39">
        <v>0</v>
      </c>
      <c r="Q631" s="39">
        <v>0</v>
      </c>
      <c r="R631" s="39">
        <v>0</v>
      </c>
      <c r="S631" s="39">
        <v>1</v>
      </c>
      <c r="T631" s="39">
        <v>0</v>
      </c>
      <c r="U631" s="29" cm="1">
        <f t="array" aca="1" ref="U631" ca="1">+fair_value_gap(OFFSET(T630,0,0,-1*$J$5,-1*$AA$1),OFFSET(E630,0,0,-1*$J$5,1),F631:T631,0)</f>
        <v>17.436611033048084</v>
      </c>
      <c r="V631" s="9" cm="1">
        <f t="array" aca="1" ref="V631" ca="1">z_score_diff(OFFSET(U631,0,0,$J$5*-1,1),OFFSET(E631,0,0,$J$5*-1,1))</f>
        <v>0.15752280395945489</v>
      </c>
      <c r="W631" s="9">
        <f t="shared" ca="1" si="636"/>
        <v>6.6373075611744312E-2</v>
      </c>
      <c r="X631" s="17">
        <f t="shared" ca="1" si="631"/>
        <v>9.4746688696295212E-2</v>
      </c>
      <c r="Y631" s="13">
        <f t="shared" ref="Y631:Z631" ca="1" si="685">+Y630</f>
        <v>0</v>
      </c>
      <c r="Z631" s="13">
        <f t="shared" ca="1" si="685"/>
        <v>0</v>
      </c>
      <c r="AA631">
        <f t="shared" ca="1" si="638"/>
        <v>0</v>
      </c>
      <c r="AB631">
        <f t="shared" ca="1" si="639"/>
        <v>1</v>
      </c>
      <c r="AC631" s="24">
        <f t="shared" ca="1" si="640"/>
        <v>0</v>
      </c>
      <c r="AD631" s="24">
        <f t="shared" ca="1" si="641"/>
        <v>9.4746688696295212E-2</v>
      </c>
    </row>
    <row r="632" spans="3:30" x14ac:dyDescent="0.25">
      <c r="C632" s="6">
        <v>726</v>
      </c>
      <c r="D632" s="36">
        <v>43035</v>
      </c>
      <c r="E632" s="38">
        <v>17.312000000000001</v>
      </c>
      <c r="F632" s="38">
        <v>48.856260050346449</v>
      </c>
      <c r="G632" s="38">
        <v>40.39</v>
      </c>
      <c r="H632" s="38">
        <v>2.4929068759103195</v>
      </c>
      <c r="I632" s="38">
        <v>5.9144447157277931</v>
      </c>
      <c r="J632" s="10">
        <v>0</v>
      </c>
      <c r="K632" s="39">
        <v>0</v>
      </c>
      <c r="L632" s="39">
        <v>0</v>
      </c>
      <c r="M632" s="39">
        <v>0</v>
      </c>
      <c r="N632" s="39">
        <v>0</v>
      </c>
      <c r="O632" s="39">
        <v>0</v>
      </c>
      <c r="P632" s="39">
        <v>0</v>
      </c>
      <c r="Q632" s="39">
        <v>0</v>
      </c>
      <c r="R632" s="39">
        <v>0</v>
      </c>
      <c r="S632" s="39">
        <v>1</v>
      </c>
      <c r="T632" s="39">
        <v>0</v>
      </c>
      <c r="U632" s="29" cm="1">
        <f t="array" aca="1" ref="U632" ca="1">+fair_value_gap(OFFSET(T631,0,0,-1*$J$5,-1*$AA$1),OFFSET(E631,0,0,-1*$J$5,1),F632:T632,0)</f>
        <v>17.655626076181747</v>
      </c>
      <c r="V632" s="9" cm="1">
        <f t="array" aca="1" ref="V632" ca="1">z_score_diff(OFFSET(U632,0,0,$J$5*-1,1),OFFSET(E632,0,0,$J$5*-1,1))</f>
        <v>0.16743278240977327</v>
      </c>
      <c r="W632" s="9">
        <f t="shared" ca="1" si="636"/>
        <v>7.1712913256611124E-2</v>
      </c>
      <c r="X632" s="17">
        <f t="shared" ca="1" si="631"/>
        <v>7.7070143830752239E-2</v>
      </c>
      <c r="Y632" s="13">
        <f t="shared" ref="Y632:Z632" ca="1" si="686">+Y631</f>
        <v>0</v>
      </c>
      <c r="Z632" s="13">
        <f t="shared" ca="1" si="686"/>
        <v>0</v>
      </c>
      <c r="AA632">
        <f t="shared" ca="1" si="638"/>
        <v>0</v>
      </c>
      <c r="AB632">
        <f t="shared" ca="1" si="639"/>
        <v>1</v>
      </c>
      <c r="AC632" s="24">
        <f t="shared" ca="1" si="640"/>
        <v>0</v>
      </c>
      <c r="AD632" s="24">
        <f t="shared" ca="1" si="641"/>
        <v>7.7070143830752239E-2</v>
      </c>
    </row>
    <row r="633" spans="3:30" x14ac:dyDescent="0.25">
      <c r="C633" s="6">
        <v>727</v>
      </c>
      <c r="D633" s="36">
        <v>43038</v>
      </c>
      <c r="E633" s="38">
        <v>17.367000000000001</v>
      </c>
      <c r="F633" s="38">
        <v>49.061472817360105</v>
      </c>
      <c r="G633" s="38">
        <v>40.25</v>
      </c>
      <c r="H633" s="38">
        <v>2.5336123103356281</v>
      </c>
      <c r="I633" s="38">
        <v>5.9355321508690624</v>
      </c>
      <c r="J633" s="10">
        <v>0</v>
      </c>
      <c r="K633" s="39">
        <v>0</v>
      </c>
      <c r="L633" s="39">
        <v>0</v>
      </c>
      <c r="M633" s="39">
        <v>0</v>
      </c>
      <c r="N633" s="39">
        <v>0</v>
      </c>
      <c r="O633" s="39">
        <v>0</v>
      </c>
      <c r="P633" s="39">
        <v>0</v>
      </c>
      <c r="Q633" s="39">
        <v>0</v>
      </c>
      <c r="R633" s="39">
        <v>0</v>
      </c>
      <c r="S633" s="39">
        <v>1</v>
      </c>
      <c r="T633" s="39">
        <v>0</v>
      </c>
      <c r="U633" s="29" cm="1">
        <f t="array" aca="1" ref="U633" ca="1">+fair_value_gap(OFFSET(T632,0,0,-1*$J$5,-1*$AA$1),OFFSET(E632,0,0,-1*$J$5,1),F633:T633,0)</f>
        <v>17.647035635792747</v>
      </c>
      <c r="V633" s="9" cm="1">
        <f t="array" aca="1" ref="V633" ca="1">z_score_diff(OFFSET(U633,0,0,$J$5*-1,1),OFFSET(E633,0,0,$J$5*-1,1))</f>
        <v>0.12434381022033686</v>
      </c>
      <c r="W633" s="9">
        <f t="shared" ca="1" si="636"/>
        <v>7.3922200835779536E-2</v>
      </c>
      <c r="X633" s="17">
        <f t="shared" ca="1" si="631"/>
        <v>9.3439683577602059E-2</v>
      </c>
      <c r="Y633" s="13">
        <f t="shared" ref="Y633:Z633" ca="1" si="687">+Y632</f>
        <v>0</v>
      </c>
      <c r="Z633" s="13">
        <f t="shared" ca="1" si="687"/>
        <v>0</v>
      </c>
      <c r="AA633">
        <f t="shared" ca="1" si="638"/>
        <v>0</v>
      </c>
      <c r="AB633">
        <f t="shared" ca="1" si="639"/>
        <v>1</v>
      </c>
      <c r="AC633" s="24">
        <f t="shared" ca="1" si="640"/>
        <v>0</v>
      </c>
      <c r="AD633" s="24">
        <f t="shared" ca="1" si="641"/>
        <v>9.3439683577602059E-2</v>
      </c>
    </row>
    <row r="634" spans="3:30" x14ac:dyDescent="0.25">
      <c r="C634" s="6">
        <v>728</v>
      </c>
      <c r="D634" s="36">
        <v>43039</v>
      </c>
      <c r="E634" s="38">
        <v>18.064</v>
      </c>
      <c r="F634" s="38">
        <v>49.241906213004597</v>
      </c>
      <c r="G634" s="38">
        <v>42.63</v>
      </c>
      <c r="H634" s="38">
        <v>2.5069827187673837</v>
      </c>
      <c r="I634" s="38">
        <v>5.9779959408358794</v>
      </c>
      <c r="J634" s="10">
        <v>0</v>
      </c>
      <c r="K634" s="39">
        <v>0</v>
      </c>
      <c r="L634" s="39">
        <v>0</v>
      </c>
      <c r="M634" s="39">
        <v>0</v>
      </c>
      <c r="N634" s="39">
        <v>0</v>
      </c>
      <c r="O634" s="39">
        <v>0</v>
      </c>
      <c r="P634" s="39">
        <v>0</v>
      </c>
      <c r="Q634" s="39">
        <v>0</v>
      </c>
      <c r="R634" s="39">
        <v>0</v>
      </c>
      <c r="S634" s="39">
        <v>1</v>
      </c>
      <c r="T634" s="39">
        <v>0</v>
      </c>
      <c r="U634" s="29" cm="1">
        <f t="array" aca="1" ref="U634" ca="1">+fair_value_gap(OFFSET(T633,0,0,-1*$J$5,-1*$AA$1),OFFSET(E633,0,0,-1*$J$5,1),F634:T634,0)</f>
        <v>18.194838097381002</v>
      </c>
      <c r="V634" s="9" cm="1">
        <f t="array" aca="1" ref="V634" ca="1">z_score_diff(OFFSET(U634,0,0,$J$5*-1,1),OFFSET(E634,0,0,$J$5*-1,1))</f>
        <v>1.8796594706205427E-2</v>
      </c>
      <c r="W634" s="9">
        <f t="shared" ca="1" si="636"/>
        <v>7.3513472593916038E-2</v>
      </c>
      <c r="X634" s="17">
        <f t="shared" ca="1" si="631"/>
        <v>5.9477713130606034E-2</v>
      </c>
      <c r="Y634" s="13">
        <f t="shared" ref="Y634:Z634" ca="1" si="688">+Y633</f>
        <v>0</v>
      </c>
      <c r="Z634" s="13">
        <f t="shared" ca="1" si="688"/>
        <v>0</v>
      </c>
      <c r="AA634">
        <f t="shared" ca="1" si="638"/>
        <v>0</v>
      </c>
      <c r="AB634">
        <f t="shared" ca="1" si="639"/>
        <v>1</v>
      </c>
      <c r="AC634" s="24">
        <f t="shared" ca="1" si="640"/>
        <v>0</v>
      </c>
      <c r="AD634" s="24">
        <f t="shared" ca="1" si="641"/>
        <v>5.9477713130606034E-2</v>
      </c>
    </row>
    <row r="635" spans="3:30" x14ac:dyDescent="0.25">
      <c r="C635" s="6">
        <v>729</v>
      </c>
      <c r="D635" s="36">
        <v>43040</v>
      </c>
      <c r="E635" s="38">
        <v>18.170000000000002</v>
      </c>
      <c r="F635" s="38">
        <v>48.731894718259539</v>
      </c>
      <c r="G635" s="38">
        <v>43.13</v>
      </c>
      <c r="H635" s="38">
        <v>2.5009036878872197</v>
      </c>
      <c r="I635" s="38">
        <v>6.0105752498802092</v>
      </c>
      <c r="J635" s="10">
        <v>0</v>
      </c>
      <c r="K635" s="39">
        <v>0</v>
      </c>
      <c r="L635" s="39">
        <v>0</v>
      </c>
      <c r="M635" s="39">
        <v>0</v>
      </c>
      <c r="N635" s="39">
        <v>0</v>
      </c>
      <c r="O635" s="39">
        <v>0</v>
      </c>
      <c r="P635" s="39">
        <v>0</v>
      </c>
      <c r="Q635" s="39">
        <v>0</v>
      </c>
      <c r="R635" s="39">
        <v>0</v>
      </c>
      <c r="S635" s="39">
        <v>0</v>
      </c>
      <c r="T635" s="39">
        <v>1</v>
      </c>
      <c r="U635" s="29" cm="1">
        <f t="array" aca="1" ref="U635" ca="1">+fair_value_gap(OFFSET(T634,0,0,-1*$J$5,-1*$AA$1),OFFSET(E634,0,0,-1*$J$5,1),F635:T635,0)</f>
        <v>18.484745038531415</v>
      </c>
      <c r="V635" s="9" cm="1">
        <f t="array" aca="1" ref="V635" ca="1">z_score_diff(OFFSET(U635,0,0,$J$5*-1,1),OFFSET(E635,0,0,$J$5*-1,1))</f>
        <v>0.15518267545737985</v>
      </c>
      <c r="W635" s="9">
        <f t="shared" ca="1" si="636"/>
        <v>7.7053977685014693E-2</v>
      </c>
      <c r="X635" s="17">
        <f t="shared" ca="1" si="631"/>
        <v>3.631653821839604E-2</v>
      </c>
      <c r="Y635" s="13">
        <f t="shared" ref="Y635:Z635" ca="1" si="689">+Y634</f>
        <v>0</v>
      </c>
      <c r="Z635" s="13">
        <f t="shared" ca="1" si="689"/>
        <v>0</v>
      </c>
      <c r="AA635">
        <f t="shared" ca="1" si="638"/>
        <v>0</v>
      </c>
      <c r="AB635">
        <f t="shared" ca="1" si="639"/>
        <v>1</v>
      </c>
      <c r="AC635" s="24">
        <f t="shared" ca="1" si="640"/>
        <v>0</v>
      </c>
      <c r="AD635" s="24">
        <f t="shared" ca="1" si="641"/>
        <v>3.631653821839604E-2</v>
      </c>
    </row>
    <row r="636" spans="3:30" x14ac:dyDescent="0.25">
      <c r="C636" s="6">
        <v>730</v>
      </c>
      <c r="D636" s="36">
        <v>43041</v>
      </c>
      <c r="E636" s="38">
        <v>17.940999999999999</v>
      </c>
      <c r="F636" s="38">
        <v>48.544177548317883</v>
      </c>
      <c r="G636" s="38">
        <v>43.14</v>
      </c>
      <c r="H636" s="38">
        <v>2.5059925909784266</v>
      </c>
      <c r="I636" s="38">
        <v>5.992590978426672</v>
      </c>
      <c r="J636" s="10">
        <v>0</v>
      </c>
      <c r="K636" s="39">
        <v>0</v>
      </c>
      <c r="L636" s="39">
        <v>0</v>
      </c>
      <c r="M636" s="39">
        <v>0</v>
      </c>
      <c r="N636" s="39">
        <v>0</v>
      </c>
      <c r="O636" s="39">
        <v>0</v>
      </c>
      <c r="P636" s="39">
        <v>0</v>
      </c>
      <c r="Q636" s="39">
        <v>0</v>
      </c>
      <c r="R636" s="39">
        <v>0</v>
      </c>
      <c r="S636" s="39">
        <v>0</v>
      </c>
      <c r="T636" s="39">
        <v>1</v>
      </c>
      <c r="U636" s="29" cm="1">
        <f t="array" aca="1" ref="U636" ca="1">+fair_value_gap(OFFSET(T635,0,0,-1*$J$5,-1*$AA$1),OFFSET(E635,0,0,-1*$J$5,1),F636:T636,0)</f>
        <v>18.353237152066939</v>
      </c>
      <c r="V636" s="9" cm="1">
        <f t="array" aca="1" ref="V636" ca="1">z_score_diff(OFFSET(U636,0,0,$J$5*-1,1),OFFSET(E636,0,0,$J$5*-1,1))</f>
        <v>0.2265224756644052</v>
      </c>
      <c r="W636" s="9">
        <f t="shared" ca="1" si="636"/>
        <v>8.5414281190869815E-2</v>
      </c>
      <c r="X636" s="17">
        <f t="shared" ca="1" si="631"/>
        <v>6.9070901996920453E-2</v>
      </c>
      <c r="Y636" s="13">
        <f t="shared" ref="Y636:Z636" ca="1" si="690">+Y635</f>
        <v>0</v>
      </c>
      <c r="Z636" s="13">
        <f t="shared" ca="1" si="690"/>
        <v>0</v>
      </c>
      <c r="AA636">
        <f t="shared" ca="1" si="638"/>
        <v>0</v>
      </c>
      <c r="AB636">
        <f t="shared" ca="1" si="639"/>
        <v>1</v>
      </c>
      <c r="AC636" s="24">
        <f t="shared" ca="1" si="640"/>
        <v>0</v>
      </c>
      <c r="AD636" s="24">
        <f t="shared" ca="1" si="641"/>
        <v>6.9070901996920453E-2</v>
      </c>
    </row>
    <row r="637" spans="3:30" x14ac:dyDescent="0.25">
      <c r="C637" s="6">
        <v>731</v>
      </c>
      <c r="D637" s="36">
        <v>43042</v>
      </c>
      <c r="E637" s="38">
        <v>17.818999999999999</v>
      </c>
      <c r="F637" s="38">
        <v>49.657264700410714</v>
      </c>
      <c r="G637" s="38">
        <v>42.46</v>
      </c>
      <c r="H637" s="38">
        <v>2.5346333957100637</v>
      </c>
      <c r="I637" s="38">
        <v>5.9977625189087354</v>
      </c>
      <c r="J637" s="10">
        <v>0</v>
      </c>
      <c r="K637" s="39">
        <v>0</v>
      </c>
      <c r="L637" s="39">
        <v>0</v>
      </c>
      <c r="M637" s="39">
        <v>0</v>
      </c>
      <c r="N637" s="39">
        <v>0</v>
      </c>
      <c r="O637" s="39">
        <v>0</v>
      </c>
      <c r="P637" s="39">
        <v>0</v>
      </c>
      <c r="Q637" s="39">
        <v>0</v>
      </c>
      <c r="R637" s="39">
        <v>0</v>
      </c>
      <c r="S637" s="39">
        <v>0</v>
      </c>
      <c r="T637" s="39">
        <v>1</v>
      </c>
      <c r="U637" s="29" cm="1">
        <f t="array" aca="1" ref="U637" ca="1">+fair_value_gap(OFFSET(T636,0,0,-1*$J$5,-1*$AA$1),OFFSET(E636,0,0,-1*$J$5,1),F637:T637,0)</f>
        <v>18.248784836186339</v>
      </c>
      <c r="V637" s="9" cm="1">
        <f t="array" aca="1" ref="V637" ca="1">z_score_diff(OFFSET(U637,0,0,$J$5*-1,1),OFFSET(E637,0,0,$J$5*-1,1))</f>
        <v>0.23890738234677389</v>
      </c>
      <c r="W637" s="9">
        <f t="shared" ca="1" si="636"/>
        <v>9.1614891858725414E-2</v>
      </c>
      <c r="X637" s="17">
        <f t="shared" ca="1" si="631"/>
        <v>7.1932967784984869E-2</v>
      </c>
      <c r="Y637" s="13">
        <f t="shared" ref="Y637:Z637" ca="1" si="691">+Y636</f>
        <v>0</v>
      </c>
      <c r="Z637" s="13">
        <f t="shared" ca="1" si="691"/>
        <v>0</v>
      </c>
      <c r="AA637">
        <f t="shared" ca="1" si="638"/>
        <v>0</v>
      </c>
      <c r="AB637">
        <f t="shared" ca="1" si="639"/>
        <v>1</v>
      </c>
      <c r="AC637" s="24">
        <f t="shared" ca="1" si="640"/>
        <v>0</v>
      </c>
      <c r="AD637" s="24">
        <f t="shared" ca="1" si="641"/>
        <v>7.1932967784984869E-2</v>
      </c>
    </row>
    <row r="638" spans="3:30" x14ac:dyDescent="0.25">
      <c r="C638" s="6">
        <v>732</v>
      </c>
      <c r="D638" s="36">
        <v>43045</v>
      </c>
      <c r="E638" s="38">
        <v>18.164999999999999</v>
      </c>
      <c r="F638" s="38">
        <v>51.096186551571215</v>
      </c>
      <c r="G638" s="38">
        <v>42.89</v>
      </c>
      <c r="H638" s="38">
        <v>2.5640658831132659</v>
      </c>
      <c r="I638" s="38">
        <v>6.1009116024191581</v>
      </c>
      <c r="J638" s="10">
        <v>0</v>
      </c>
      <c r="K638" s="39">
        <v>0</v>
      </c>
      <c r="L638" s="39">
        <v>0</v>
      </c>
      <c r="M638" s="39">
        <v>0</v>
      </c>
      <c r="N638" s="39">
        <v>0</v>
      </c>
      <c r="O638" s="39">
        <v>0</v>
      </c>
      <c r="P638" s="39">
        <v>0</v>
      </c>
      <c r="Q638" s="39">
        <v>0</v>
      </c>
      <c r="R638" s="39">
        <v>0</v>
      </c>
      <c r="S638" s="39">
        <v>0</v>
      </c>
      <c r="T638" s="39">
        <v>1</v>
      </c>
      <c r="U638" s="29" cm="1">
        <f t="array" aca="1" ref="U638" ca="1">+fair_value_gap(OFFSET(T637,0,0,-1*$J$5,-1*$AA$1),OFFSET(E637,0,0,-1*$J$5,1),F638:T638,0)</f>
        <v>18.450804828836908</v>
      </c>
      <c r="V638" s="9" cm="1">
        <f t="array" aca="1" ref="V638" ca="1">z_score_diff(OFFSET(U638,0,0,$J$5*-1,1),OFFSET(E638,0,0,$J$5*-1,1))</f>
        <v>0.13443384600714947</v>
      </c>
      <c r="W638" s="9">
        <f t="shared" ca="1" si="636"/>
        <v>9.8476219673373028E-2</v>
      </c>
      <c r="X638" s="17">
        <f t="shared" ca="1" si="631"/>
        <v>5.0453415225698066E-2</v>
      </c>
      <c r="Y638" s="13">
        <f t="shared" ref="Y638:Z638" ca="1" si="692">+Y637</f>
        <v>0</v>
      </c>
      <c r="Z638" s="13">
        <f t="shared" ca="1" si="692"/>
        <v>0</v>
      </c>
      <c r="AA638">
        <f t="shared" ca="1" si="638"/>
        <v>0</v>
      </c>
      <c r="AB638">
        <f t="shared" ca="1" si="639"/>
        <v>1</v>
      </c>
      <c r="AC638" s="24">
        <f t="shared" ca="1" si="640"/>
        <v>0</v>
      </c>
      <c r="AD638" s="24">
        <f t="shared" ca="1" si="641"/>
        <v>5.0453415225698066E-2</v>
      </c>
    </row>
    <row r="639" spans="3:30" x14ac:dyDescent="0.25">
      <c r="C639" s="6">
        <v>733</v>
      </c>
      <c r="D639" s="36">
        <v>43046</v>
      </c>
      <c r="E639" s="38">
        <v>18.413</v>
      </c>
      <c r="F639" s="38">
        <v>51.095967194736993</v>
      </c>
      <c r="G639" s="38">
        <v>42.86</v>
      </c>
      <c r="H639" s="38">
        <v>2.575027709995406</v>
      </c>
      <c r="I639" s="38">
        <v>6.1530940369775662</v>
      </c>
      <c r="J639" s="10">
        <v>0</v>
      </c>
      <c r="K639" s="39">
        <v>0</v>
      </c>
      <c r="L639" s="39">
        <v>0</v>
      </c>
      <c r="M639" s="39">
        <v>0</v>
      </c>
      <c r="N639" s="39">
        <v>0</v>
      </c>
      <c r="O639" s="39">
        <v>0</v>
      </c>
      <c r="P639" s="39">
        <v>0</v>
      </c>
      <c r="Q639" s="39">
        <v>0</v>
      </c>
      <c r="R639" s="39">
        <v>0</v>
      </c>
      <c r="S639" s="39">
        <v>0</v>
      </c>
      <c r="T639" s="39">
        <v>1</v>
      </c>
      <c r="U639" s="29" cm="1">
        <f t="array" aca="1" ref="U639" ca="1">+fair_value_gap(OFFSET(T638,0,0,-1*$J$5,-1*$AA$1),OFFSET(E638,0,0,-1*$J$5,1),F639:T639,0)</f>
        <v>18.414907366941314</v>
      </c>
      <c r="V639" s="9" cm="1">
        <f t="array" aca="1" ref="V639" ca="1">z_score_diff(OFFSET(U639,0,0,$J$5*-1,1),OFFSET(E639,0,0,$J$5*-1,1))</f>
        <v>-6.9720333315478777E-2</v>
      </c>
      <c r="W639" s="9">
        <f t="shared" ca="1" si="636"/>
        <v>9.763802391624514E-2</v>
      </c>
      <c r="X639" s="17">
        <f t="shared" ca="1" si="631"/>
        <v>3.8775694378889565E-2</v>
      </c>
      <c r="Y639" s="13">
        <f t="shared" ref="Y639:Z639" ca="1" si="693">+Y638</f>
        <v>0</v>
      </c>
      <c r="Z639" s="13">
        <f t="shared" ca="1" si="693"/>
        <v>0</v>
      </c>
      <c r="AA639">
        <f t="shared" ca="1" si="638"/>
        <v>0</v>
      </c>
      <c r="AB639">
        <f t="shared" ca="1" si="639"/>
        <v>1</v>
      </c>
      <c r="AC639" s="24">
        <f t="shared" ca="1" si="640"/>
        <v>0</v>
      </c>
      <c r="AD639" s="24">
        <f t="shared" ca="1" si="641"/>
        <v>3.8775694378889565E-2</v>
      </c>
    </row>
    <row r="640" spans="3:30" x14ac:dyDescent="0.25">
      <c r="C640" s="6">
        <v>734</v>
      </c>
      <c r="D640" s="36">
        <v>43047</v>
      </c>
      <c r="E640" s="38">
        <v>18.460999999999999</v>
      </c>
      <c r="F640" s="38">
        <v>51.109477359486831</v>
      </c>
      <c r="G640" s="38">
        <v>42.91</v>
      </c>
      <c r="H640" s="38">
        <v>2.5794748583309963</v>
      </c>
      <c r="I640" s="38">
        <v>6.1897290919793742</v>
      </c>
      <c r="J640" s="10">
        <v>0</v>
      </c>
      <c r="K640" s="39">
        <v>0</v>
      </c>
      <c r="L640" s="39">
        <v>0</v>
      </c>
      <c r="M640" s="39">
        <v>0</v>
      </c>
      <c r="N640" s="39">
        <v>0</v>
      </c>
      <c r="O640" s="39">
        <v>0</v>
      </c>
      <c r="P640" s="39">
        <v>0</v>
      </c>
      <c r="Q640" s="39">
        <v>0</v>
      </c>
      <c r="R640" s="39">
        <v>0</v>
      </c>
      <c r="S640" s="39">
        <v>0</v>
      </c>
      <c r="T640" s="39">
        <v>1</v>
      </c>
      <c r="U640" s="29" cm="1">
        <f t="array" aca="1" ref="U640" ca="1">+fair_value_gap(OFFSET(T639,0,0,-1*$J$5,-1*$AA$1),OFFSET(E639,0,0,-1*$J$5,1),F640:T640,0)</f>
        <v>18.432498484644771</v>
      </c>
      <c r="V640" s="9" cm="1">
        <f t="array" aca="1" ref="V640" ca="1">z_score_diff(OFFSET(U640,0,0,$J$5*-1,1),OFFSET(E640,0,0,$J$5*-1,1))</f>
        <v>-9.0551188084410761E-2</v>
      </c>
      <c r="W640" s="9">
        <f t="shared" ca="1" si="636"/>
        <v>9.5480748146238234E-2</v>
      </c>
      <c r="X640" s="17">
        <f t="shared" ca="1" si="631"/>
        <v>4.3719045299760471E-2</v>
      </c>
      <c r="Y640" s="13">
        <f t="shared" ref="Y640:Z640" ca="1" si="694">+Y639</f>
        <v>0</v>
      </c>
      <c r="Z640" s="13">
        <f t="shared" ca="1" si="694"/>
        <v>0</v>
      </c>
      <c r="AA640">
        <f t="shared" ca="1" si="638"/>
        <v>0</v>
      </c>
      <c r="AB640">
        <f t="shared" ca="1" si="639"/>
        <v>1</v>
      </c>
      <c r="AC640" s="24">
        <f t="shared" ca="1" si="640"/>
        <v>0</v>
      </c>
      <c r="AD640" s="24">
        <f t="shared" ca="1" si="641"/>
        <v>4.3719045299760471E-2</v>
      </c>
    </row>
    <row r="641" spans="3:30" x14ac:dyDescent="0.25">
      <c r="C641" s="6">
        <v>735</v>
      </c>
      <c r="D641" s="36">
        <v>43048</v>
      </c>
      <c r="E641" s="38">
        <v>18.61</v>
      </c>
      <c r="F641" s="38">
        <v>51.310240647882004</v>
      </c>
      <c r="G641" s="38">
        <v>42.69</v>
      </c>
      <c r="H641" s="38">
        <v>2.576421962528586</v>
      </c>
      <c r="I641" s="38">
        <v>6.2102679227073407</v>
      </c>
      <c r="J641" s="10">
        <v>0</v>
      </c>
      <c r="K641" s="39">
        <v>0</v>
      </c>
      <c r="L641" s="39">
        <v>0</v>
      </c>
      <c r="M641" s="39">
        <v>0</v>
      </c>
      <c r="N641" s="39">
        <v>0</v>
      </c>
      <c r="O641" s="39">
        <v>0</v>
      </c>
      <c r="P641" s="39">
        <v>0</v>
      </c>
      <c r="Q641" s="39">
        <v>0</v>
      </c>
      <c r="R641" s="39">
        <v>0</v>
      </c>
      <c r="S641" s="39">
        <v>0</v>
      </c>
      <c r="T641" s="39">
        <v>1</v>
      </c>
      <c r="U641" s="29" cm="1">
        <f t="array" aca="1" ref="U641" ca="1">+fair_value_gap(OFFSET(T640,0,0,-1*$J$5,-1*$AA$1),OFFSET(E640,0,0,-1*$J$5,1),F641:T641,0)</f>
        <v>18.406240162481854</v>
      </c>
      <c r="V641" s="9" cm="1">
        <f t="array" aca="1" ref="V641" ca="1">z_score_diff(OFFSET(U641,0,0,$J$5*-1,1),OFFSET(E641,0,0,$J$5*-1,1))</f>
        <v>-0.21426396379523238</v>
      </c>
      <c r="W641" s="9">
        <f t="shared" ca="1" si="636"/>
        <v>8.6815643027828779E-2</v>
      </c>
      <c r="X641" s="17">
        <f t="shared" ca="1" si="631"/>
        <v>3.1367446173816552E-2</v>
      </c>
      <c r="Y641" s="13">
        <f t="shared" ref="Y641:Z641" ca="1" si="695">+Y640</f>
        <v>0</v>
      </c>
      <c r="Z641" s="13">
        <f t="shared" ca="1" si="695"/>
        <v>0</v>
      </c>
      <c r="AA641">
        <f t="shared" ca="1" si="638"/>
        <v>0</v>
      </c>
      <c r="AB641">
        <f t="shared" ca="1" si="639"/>
        <v>1</v>
      </c>
      <c r="AC641" s="24">
        <f t="shared" ca="1" si="640"/>
        <v>0</v>
      </c>
      <c r="AD641" s="24">
        <f t="shared" ca="1" si="641"/>
        <v>3.1367446173816552E-2</v>
      </c>
    </row>
    <row r="642" spans="3:30" x14ac:dyDescent="0.25">
      <c r="C642" s="6">
        <v>736</v>
      </c>
      <c r="D642" s="36">
        <v>43049</v>
      </c>
      <c r="E642" s="38">
        <v>18.841999999999999</v>
      </c>
      <c r="F642" s="38">
        <v>51.270584235090958</v>
      </c>
      <c r="G642" s="38">
        <v>42.88</v>
      </c>
      <c r="H642" s="38">
        <v>2.5735789832478684</v>
      </c>
      <c r="I642" s="38">
        <v>6.2392331354365833</v>
      </c>
      <c r="J642" s="10">
        <v>0</v>
      </c>
      <c r="K642" s="39">
        <v>0</v>
      </c>
      <c r="L642" s="39">
        <v>0</v>
      </c>
      <c r="M642" s="39">
        <v>0</v>
      </c>
      <c r="N642" s="39">
        <v>0</v>
      </c>
      <c r="O642" s="39">
        <v>0</v>
      </c>
      <c r="P642" s="39">
        <v>0</v>
      </c>
      <c r="Q642" s="39">
        <v>0</v>
      </c>
      <c r="R642" s="39">
        <v>0</v>
      </c>
      <c r="S642" s="39">
        <v>0</v>
      </c>
      <c r="T642" s="39">
        <v>1</v>
      </c>
      <c r="U642" s="29" cm="1">
        <f t="array" aca="1" ref="U642" ca="1">+fair_value_gap(OFFSET(T641,0,0,-1*$J$5,-1*$AA$1),OFFSET(E641,0,0,-1*$J$5,1),F642:T642,0)</f>
        <v>18.469477423505388</v>
      </c>
      <c r="V642" s="9" cm="1">
        <f t="array" aca="1" ref="V642" ca="1">z_score_diff(OFFSET(U642,0,0,$J$5*-1,1),OFFSET(E642,0,0,$J$5*-1,1))</f>
        <v>-0.33063714552341095</v>
      </c>
      <c r="W642" s="9">
        <f t="shared" ca="1" si="636"/>
        <v>7.4339393201856618E-2</v>
      </c>
      <c r="X642" s="17">
        <f t="shared" ca="1" si="631"/>
        <v>1.8144545749486079E-2</v>
      </c>
      <c r="Y642" s="13">
        <f t="shared" ref="Y642:Z642" ca="1" si="696">+Y641</f>
        <v>0</v>
      </c>
      <c r="Z642" s="13">
        <f t="shared" ca="1" si="696"/>
        <v>0</v>
      </c>
      <c r="AA642">
        <f t="shared" ca="1" si="638"/>
        <v>0</v>
      </c>
      <c r="AB642">
        <f t="shared" ca="1" si="639"/>
        <v>1</v>
      </c>
      <c r="AC642" s="24">
        <f t="shared" ca="1" si="640"/>
        <v>0</v>
      </c>
      <c r="AD642" s="24">
        <f t="shared" ca="1" si="641"/>
        <v>1.8144545749486079E-2</v>
      </c>
    </row>
    <row r="643" spans="3:30" x14ac:dyDescent="0.25">
      <c r="C643" s="6">
        <v>737</v>
      </c>
      <c r="D643" s="36">
        <v>43052</v>
      </c>
      <c r="E643" s="38">
        <v>18.920999999999999</v>
      </c>
      <c r="F643" s="38">
        <v>51.202509818627433</v>
      </c>
      <c r="G643" s="38">
        <v>42.74</v>
      </c>
      <c r="H643" s="38">
        <v>2.565566333073289</v>
      </c>
      <c r="I643" s="38">
        <v>6.2109305681578473</v>
      </c>
      <c r="J643" s="10">
        <v>0</v>
      </c>
      <c r="K643" s="39">
        <v>0</v>
      </c>
      <c r="L643" s="39">
        <v>0</v>
      </c>
      <c r="M643" s="39">
        <v>0</v>
      </c>
      <c r="N643" s="39">
        <v>0</v>
      </c>
      <c r="O643" s="39">
        <v>0</v>
      </c>
      <c r="P643" s="39">
        <v>0</v>
      </c>
      <c r="Q643" s="39">
        <v>0</v>
      </c>
      <c r="R643" s="39">
        <v>0</v>
      </c>
      <c r="S643" s="39">
        <v>0</v>
      </c>
      <c r="T643" s="39">
        <v>1</v>
      </c>
      <c r="U643" s="29" cm="1">
        <f t="array" aca="1" ref="U643" ca="1">+fair_value_gap(OFFSET(T642,0,0,-1*$J$5,-1*$AA$1),OFFSET(E642,0,0,-1*$J$5,1),F643:T643,0)</f>
        <v>18.463991051265523</v>
      </c>
      <c r="V643" s="9" cm="1">
        <f t="array" aca="1" ref="V643" ca="1">z_score_diff(OFFSET(U643,0,0,$J$5*-1,1),OFFSET(E643,0,0,$J$5*-1,1))</f>
        <v>-0.3859596450101086</v>
      </c>
      <c r="W643" s="9">
        <f t="shared" ca="1" si="636"/>
        <v>6.8494194410169268E-2</v>
      </c>
      <c r="X643" s="17">
        <f t="shared" ca="1" si="631"/>
        <v>5.0083137082689569E-3</v>
      </c>
      <c r="Y643" s="13">
        <f t="shared" ref="Y643:Z643" ca="1" si="697">+Y642</f>
        <v>0</v>
      </c>
      <c r="Z643" s="13">
        <f t="shared" ca="1" si="697"/>
        <v>0</v>
      </c>
      <c r="AA643">
        <f t="shared" ca="1" si="638"/>
        <v>0</v>
      </c>
      <c r="AB643">
        <f t="shared" ca="1" si="639"/>
        <v>1</v>
      </c>
      <c r="AC643" s="24">
        <f t="shared" ca="1" si="640"/>
        <v>0</v>
      </c>
      <c r="AD643" s="24">
        <f t="shared" ca="1" si="641"/>
        <v>5.0083137082689569E-3</v>
      </c>
    </row>
    <row r="644" spans="3:30" x14ac:dyDescent="0.25">
      <c r="C644" s="6">
        <v>738</v>
      </c>
      <c r="D644" s="36">
        <v>43053</v>
      </c>
      <c r="E644" s="38">
        <v>18.512</v>
      </c>
      <c r="F644" s="38">
        <v>49.643022517041231</v>
      </c>
      <c r="G644" s="38">
        <v>42.15</v>
      </c>
      <c r="H644" s="38">
        <v>2.5248111568820568</v>
      </c>
      <c r="I644" s="38">
        <v>6.1712083723003035</v>
      </c>
      <c r="J644" s="10">
        <v>0</v>
      </c>
      <c r="K644" s="39">
        <v>0</v>
      </c>
      <c r="L644" s="39">
        <v>0</v>
      </c>
      <c r="M644" s="39">
        <v>0</v>
      </c>
      <c r="N644" s="39">
        <v>0</v>
      </c>
      <c r="O644" s="39">
        <v>0</v>
      </c>
      <c r="P644" s="39">
        <v>0</v>
      </c>
      <c r="Q644" s="39">
        <v>0</v>
      </c>
      <c r="R644" s="39">
        <v>0</v>
      </c>
      <c r="S644" s="39">
        <v>0</v>
      </c>
      <c r="T644" s="39">
        <v>1</v>
      </c>
      <c r="U644" s="29" cm="1">
        <f t="array" aca="1" ref="U644" ca="1">+fair_value_gap(OFFSET(T643,0,0,-1*$J$5,-1*$AA$1),OFFSET(E643,0,0,-1*$J$5,1),F644:T644,0)</f>
        <v>18.166736285237569</v>
      </c>
      <c r="V644" s="9" cm="1">
        <f t="array" aca="1" ref="V644" ca="1">z_score_diff(OFFSET(U644,0,0,$J$5*-1,1),OFFSET(E644,0,0,$J$5*-1,1))</f>
        <v>-0.30502603375942394</v>
      </c>
      <c r="W644" s="9">
        <f t="shared" ca="1" si="636"/>
        <v>6.5029235471148E-2</v>
      </c>
      <c r="X644" s="17">
        <f t="shared" ca="1" si="631"/>
        <v>3.7272053565486539E-2</v>
      </c>
      <c r="Y644" s="13">
        <f t="shared" ref="Y644:Z644" ca="1" si="698">+Y643</f>
        <v>0</v>
      </c>
      <c r="Z644" s="13">
        <f t="shared" ca="1" si="698"/>
        <v>0</v>
      </c>
      <c r="AA644">
        <f t="shared" ca="1" si="638"/>
        <v>0</v>
      </c>
      <c r="AB644">
        <f t="shared" ca="1" si="639"/>
        <v>1</v>
      </c>
      <c r="AC644" s="24">
        <f t="shared" ca="1" si="640"/>
        <v>0</v>
      </c>
      <c r="AD644" s="24">
        <f t="shared" ca="1" si="641"/>
        <v>3.7272053565486539E-2</v>
      </c>
    </row>
    <row r="645" spans="3:30" x14ac:dyDescent="0.25">
      <c r="C645" s="6">
        <v>739</v>
      </c>
      <c r="D645" s="36">
        <v>43054</v>
      </c>
      <c r="E645" s="38">
        <v>18.408999999999999</v>
      </c>
      <c r="F645" s="38">
        <v>49.499824812367002</v>
      </c>
      <c r="G645" s="38">
        <v>42.23</v>
      </c>
      <c r="H645" s="38">
        <v>2.5197199979789229</v>
      </c>
      <c r="I645" s="38">
        <v>6.1294963790414299</v>
      </c>
      <c r="J645" s="10">
        <v>0</v>
      </c>
      <c r="K645" s="39">
        <v>0</v>
      </c>
      <c r="L645" s="39">
        <v>0</v>
      </c>
      <c r="M645" s="39">
        <v>0</v>
      </c>
      <c r="N645" s="39">
        <v>0</v>
      </c>
      <c r="O645" s="39">
        <v>0</v>
      </c>
      <c r="P645" s="39">
        <v>0</v>
      </c>
      <c r="Q645" s="39">
        <v>0</v>
      </c>
      <c r="R645" s="39">
        <v>0</v>
      </c>
      <c r="S645" s="39">
        <v>0</v>
      </c>
      <c r="T645" s="39">
        <v>1</v>
      </c>
      <c r="U645" s="29" cm="1">
        <f t="array" aca="1" ref="U645" ca="1">+fair_value_gap(OFFSET(T644,0,0,-1*$J$5,-1*$AA$1),OFFSET(E644,0,0,-1*$J$5,1),F645:T645,0)</f>
        <v>18.191865463435764</v>
      </c>
      <c r="V645" s="9" cm="1">
        <f t="array" aca="1" ref="V645" ca="1">z_score_diff(OFFSET(U645,0,0,$J$5*-1,1),OFFSET(E645,0,0,$J$5*-1,1))</f>
        <v>-0.21252070620439778</v>
      </c>
      <c r="W645" s="9">
        <f t="shared" ca="1" si="636"/>
        <v>5.9664217612322608E-2</v>
      </c>
      <c r="X645" s="17">
        <f t="shared" ca="1" si="631"/>
        <v>7.2033854754690138E-2</v>
      </c>
      <c r="Y645" s="13">
        <f t="shared" ref="Y645:Z645" ca="1" si="699">+Y644</f>
        <v>0</v>
      </c>
      <c r="Z645" s="13">
        <f t="shared" ca="1" si="699"/>
        <v>0</v>
      </c>
      <c r="AA645">
        <f t="shared" ca="1" si="638"/>
        <v>0</v>
      </c>
      <c r="AB645">
        <f t="shared" ca="1" si="639"/>
        <v>1</v>
      </c>
      <c r="AC645" s="24">
        <f t="shared" ca="1" si="640"/>
        <v>0</v>
      </c>
      <c r="AD645" s="24">
        <f t="shared" ca="1" si="641"/>
        <v>7.2033854754690138E-2</v>
      </c>
    </row>
    <row r="646" spans="3:30" x14ac:dyDescent="0.25">
      <c r="C646" s="6">
        <v>740</v>
      </c>
      <c r="D646" s="36">
        <v>43055</v>
      </c>
      <c r="E646" s="38">
        <v>18.571999999999999</v>
      </c>
      <c r="F646" s="38">
        <v>49.233985886921133</v>
      </c>
      <c r="G646" s="38">
        <v>42.12</v>
      </c>
      <c r="H646" s="38">
        <v>2.5338825901357791</v>
      </c>
      <c r="I646" s="38">
        <v>6.6002082529568185</v>
      </c>
      <c r="J646" s="10">
        <v>0</v>
      </c>
      <c r="K646" s="39">
        <v>0</v>
      </c>
      <c r="L646" s="39">
        <v>0</v>
      </c>
      <c r="M646" s="39">
        <v>0</v>
      </c>
      <c r="N646" s="39">
        <v>0</v>
      </c>
      <c r="O646" s="39">
        <v>0</v>
      </c>
      <c r="P646" s="39">
        <v>0</v>
      </c>
      <c r="Q646" s="39">
        <v>0</v>
      </c>
      <c r="R646" s="39">
        <v>0</v>
      </c>
      <c r="S646" s="39">
        <v>0</v>
      </c>
      <c r="T646" s="39">
        <v>1</v>
      </c>
      <c r="U646" s="29" cm="1">
        <f t="array" aca="1" ref="U646" ca="1">+fair_value_gap(OFFSET(T645,0,0,-1*$J$5,-1*$AA$1),OFFSET(E645,0,0,-1*$J$5,1),F646:T646,0)</f>
        <v>18.225941246838062</v>
      </c>
      <c r="V646" s="9" cm="1">
        <f t="array" aca="1" ref="V646" ca="1">z_score_diff(OFFSET(U646,0,0,$J$5*-1,1),OFFSET(E646,0,0,$J$5*-1,1))</f>
        <v>-0.30295739647552</v>
      </c>
      <c r="W646" s="9">
        <f t="shared" ca="1" si="636"/>
        <v>5.0240491914771736E-2</v>
      </c>
      <c r="X646" s="17">
        <f t="shared" ca="1" si="631"/>
        <v>6.0383876264313428E-2</v>
      </c>
      <c r="Y646" s="13">
        <f t="shared" ref="Y646:Z646" ca="1" si="700">+Y645</f>
        <v>0</v>
      </c>
      <c r="Z646" s="13">
        <f t="shared" ca="1" si="700"/>
        <v>0</v>
      </c>
      <c r="AA646">
        <f t="shared" ca="1" si="638"/>
        <v>0</v>
      </c>
      <c r="AB646">
        <f t="shared" ca="1" si="639"/>
        <v>1</v>
      </c>
      <c r="AC646" s="24">
        <f t="shared" ca="1" si="640"/>
        <v>0</v>
      </c>
      <c r="AD646" s="24">
        <f t="shared" ca="1" si="641"/>
        <v>6.0383876264313428E-2</v>
      </c>
    </row>
    <row r="647" spans="3:30" x14ac:dyDescent="0.25">
      <c r="C647" s="6">
        <v>741</v>
      </c>
      <c r="D647" s="36">
        <v>43056</v>
      </c>
      <c r="E647" s="38">
        <v>18.457000000000001</v>
      </c>
      <c r="F647" s="38">
        <v>49.796351634775974</v>
      </c>
      <c r="G647" s="38">
        <v>42</v>
      </c>
      <c r="H647" s="38">
        <v>2.5370139908372726</v>
      </c>
      <c r="I647" s="38">
        <v>6.5867970943572143</v>
      </c>
      <c r="J647" s="10">
        <v>0</v>
      </c>
      <c r="K647" s="39">
        <v>0</v>
      </c>
      <c r="L647" s="39">
        <v>0</v>
      </c>
      <c r="M647" s="39">
        <v>0</v>
      </c>
      <c r="N647" s="39">
        <v>0</v>
      </c>
      <c r="O647" s="39">
        <v>0</v>
      </c>
      <c r="P647" s="39">
        <v>0</v>
      </c>
      <c r="Q647" s="39">
        <v>0</v>
      </c>
      <c r="R647" s="39">
        <v>0</v>
      </c>
      <c r="S647" s="39">
        <v>0</v>
      </c>
      <c r="T647" s="39">
        <v>1</v>
      </c>
      <c r="U647" s="29" cm="1">
        <f t="array" aca="1" ref="U647" ca="1">+fair_value_gap(OFFSET(T646,0,0,-1*$J$5,-1*$AA$1),OFFSET(E646,0,0,-1*$J$5,1),F647:T647,0)</f>
        <v>18.302555443526849</v>
      </c>
      <c r="V647" s="9" cm="1">
        <f t="array" aca="1" ref="V647" ca="1">z_score_diff(OFFSET(U647,0,0,$J$5*-1,1),OFFSET(E647,0,0,$J$5*-1,1))</f>
        <v>-0.16714295045474004</v>
      </c>
      <c r="W647" s="9">
        <f t="shared" ca="1" si="636"/>
        <v>4.4088434191880757E-2</v>
      </c>
      <c r="X647" s="17">
        <f t="shared" ref="X647:X710" ca="1" si="701">+LN(OFFSET(E647,$X$3,0,1,1)/E647)</f>
        <v>6.8367800333143269E-2</v>
      </c>
      <c r="Y647" s="13">
        <f t="shared" ref="Y647:Z647" ca="1" si="702">+Y646</f>
        <v>0</v>
      </c>
      <c r="Z647" s="13">
        <f t="shared" ca="1" si="702"/>
        <v>0</v>
      </c>
      <c r="AA647">
        <f t="shared" ca="1" si="638"/>
        <v>0</v>
      </c>
      <c r="AB647">
        <f t="shared" ca="1" si="639"/>
        <v>1</v>
      </c>
      <c r="AC647" s="24">
        <f t="shared" ca="1" si="640"/>
        <v>0</v>
      </c>
      <c r="AD647" s="24">
        <f t="shared" ca="1" si="641"/>
        <v>6.8367800333143269E-2</v>
      </c>
    </row>
    <row r="648" spans="3:30" x14ac:dyDescent="0.25">
      <c r="C648" s="6">
        <v>742</v>
      </c>
      <c r="D648" s="36">
        <v>43059</v>
      </c>
      <c r="E648" s="38">
        <v>18.677</v>
      </c>
      <c r="F648" s="38">
        <v>49.716594608807362</v>
      </c>
      <c r="G648" s="38">
        <v>42.05</v>
      </c>
      <c r="H648" s="38">
        <v>2.5428269978998377</v>
      </c>
      <c r="I648" s="38">
        <v>6.6191717173734324</v>
      </c>
      <c r="J648" s="10">
        <v>0</v>
      </c>
      <c r="K648" s="39">
        <v>0</v>
      </c>
      <c r="L648" s="39">
        <v>0</v>
      </c>
      <c r="M648" s="39">
        <v>0</v>
      </c>
      <c r="N648" s="39">
        <v>0</v>
      </c>
      <c r="O648" s="39">
        <v>0</v>
      </c>
      <c r="P648" s="39">
        <v>0</v>
      </c>
      <c r="Q648" s="39">
        <v>0</v>
      </c>
      <c r="R648" s="39">
        <v>0</v>
      </c>
      <c r="S648" s="39">
        <v>0</v>
      </c>
      <c r="T648" s="39">
        <v>1</v>
      </c>
      <c r="U648" s="29" cm="1">
        <f t="array" aca="1" ref="U648" ca="1">+fair_value_gap(OFFSET(T647,0,0,-1*$J$5,-1*$AA$1),OFFSET(E647,0,0,-1*$J$5,1),F648:T648,0)</f>
        <v>18.330674669326058</v>
      </c>
      <c r="V648" s="9" cm="1">
        <f t="array" aca="1" ref="V648" ca="1">z_score_diff(OFFSET(U648,0,0,$J$5*-1,1),OFFSET(E648,0,0,$J$5*-1,1))</f>
        <v>-0.30299742875502456</v>
      </c>
      <c r="W648" s="9">
        <f t="shared" ca="1" si="636"/>
        <v>3.4509646969215144E-2</v>
      </c>
      <c r="X648" s="17">
        <f t="shared" ca="1" si="701"/>
        <v>5.4847499703054164E-2</v>
      </c>
      <c r="Y648" s="13">
        <f t="shared" ref="Y648:Z648" ca="1" si="703">+Y647</f>
        <v>0</v>
      </c>
      <c r="Z648" s="13">
        <f t="shared" ca="1" si="703"/>
        <v>0</v>
      </c>
      <c r="AA648">
        <f t="shared" ca="1" si="638"/>
        <v>0</v>
      </c>
      <c r="AB648">
        <f t="shared" ca="1" si="639"/>
        <v>1</v>
      </c>
      <c r="AC648" s="24">
        <f t="shared" ca="1" si="640"/>
        <v>0</v>
      </c>
      <c r="AD648" s="24">
        <f t="shared" ca="1" si="641"/>
        <v>5.4847499703054164E-2</v>
      </c>
    </row>
    <row r="649" spans="3:30" x14ac:dyDescent="0.25">
      <c r="C649" s="6">
        <v>743</v>
      </c>
      <c r="D649" s="36">
        <v>43060</v>
      </c>
      <c r="E649" s="38">
        <v>18.812000000000001</v>
      </c>
      <c r="F649" s="38">
        <v>49.734532992568923</v>
      </c>
      <c r="G649" s="38">
        <v>42.24</v>
      </c>
      <c r="H649" s="38">
        <v>2.5349480289926887</v>
      </c>
      <c r="I649" s="38">
        <v>6.7260510182193674</v>
      </c>
      <c r="J649" s="10">
        <v>0</v>
      </c>
      <c r="K649" s="39">
        <v>0</v>
      </c>
      <c r="L649" s="39">
        <v>0</v>
      </c>
      <c r="M649" s="39">
        <v>0</v>
      </c>
      <c r="N649" s="39">
        <v>0</v>
      </c>
      <c r="O649" s="39">
        <v>0</v>
      </c>
      <c r="P649" s="39">
        <v>0</v>
      </c>
      <c r="Q649" s="39">
        <v>0</v>
      </c>
      <c r="R649" s="39">
        <v>0</v>
      </c>
      <c r="S649" s="39">
        <v>0</v>
      </c>
      <c r="T649" s="39">
        <v>1</v>
      </c>
      <c r="U649" s="29" cm="1">
        <f t="array" aca="1" ref="U649" ca="1">+fair_value_gap(OFFSET(T648,0,0,-1*$J$5,-1*$AA$1),OFFSET(E648,0,0,-1*$J$5,1),F649:T649,0)</f>
        <v>18.420637756842122</v>
      </c>
      <c r="V649" s="9" cm="1">
        <f t="array" aca="1" ref="V649" ca="1">z_score_diff(OFFSET(U649,0,0,$J$5*-1,1),OFFSET(E649,0,0,$J$5*-1,1))</f>
        <v>-0.32778551464721284</v>
      </c>
      <c r="W649" s="9">
        <f t="shared" ca="1" si="636"/>
        <v>2.3965376905871437E-2</v>
      </c>
      <c r="X649" s="17">
        <f t="shared" ca="1" si="701"/>
        <v>4.4142014042552205E-2</v>
      </c>
      <c r="Y649" s="13">
        <f t="shared" ref="Y649:Z649" ca="1" si="704">+Y648</f>
        <v>0</v>
      </c>
      <c r="Z649" s="13">
        <f t="shared" ca="1" si="704"/>
        <v>0</v>
      </c>
      <c r="AA649">
        <f t="shared" ca="1" si="638"/>
        <v>0</v>
      </c>
      <c r="AB649">
        <f t="shared" ca="1" si="639"/>
        <v>1</v>
      </c>
      <c r="AC649" s="24">
        <f t="shared" ca="1" si="640"/>
        <v>0</v>
      </c>
      <c r="AD649" s="24">
        <f t="shared" ca="1" si="641"/>
        <v>4.4142014042552205E-2</v>
      </c>
    </row>
    <row r="650" spans="3:30" x14ac:dyDescent="0.25">
      <c r="C650" s="6">
        <v>744</v>
      </c>
      <c r="D650" s="36">
        <v>43061</v>
      </c>
      <c r="E650" s="38">
        <v>18.696000000000002</v>
      </c>
      <c r="F650" s="38">
        <v>49.775695484420929</v>
      </c>
      <c r="G650" s="38">
        <v>41.84</v>
      </c>
      <c r="H650" s="38">
        <v>2.5011750070830829</v>
      </c>
      <c r="I650" s="38">
        <v>6.6742054350169457</v>
      </c>
      <c r="J650" s="10">
        <v>0</v>
      </c>
      <c r="K650" s="39">
        <v>0</v>
      </c>
      <c r="L650" s="39">
        <v>0</v>
      </c>
      <c r="M650" s="39">
        <v>0</v>
      </c>
      <c r="N650" s="39">
        <v>0</v>
      </c>
      <c r="O650" s="39">
        <v>0</v>
      </c>
      <c r="P650" s="39">
        <v>0</v>
      </c>
      <c r="Q650" s="39">
        <v>0</v>
      </c>
      <c r="R650" s="39">
        <v>0</v>
      </c>
      <c r="S650" s="39">
        <v>0</v>
      </c>
      <c r="T650" s="39">
        <v>1</v>
      </c>
      <c r="U650" s="29" cm="1">
        <f t="array" aca="1" ref="U650" ca="1">+fair_value_gap(OFFSET(T649,0,0,-1*$J$5,-1*$AA$1),OFFSET(E649,0,0,-1*$J$5,1),F650:T650,0)</f>
        <v>18.330274612215039</v>
      </c>
      <c r="V650" s="9" cm="1">
        <f t="array" aca="1" ref="V650" ca="1">z_score_diff(OFFSET(U650,0,0,$J$5*-1,1),OFFSET(E650,0,0,$J$5*-1,1))</f>
        <v>-0.30558550913508664</v>
      </c>
      <c r="W650" s="9">
        <f t="shared" ca="1" si="636"/>
        <v>1.4217290385987206E-2</v>
      </c>
      <c r="X650" s="17">
        <f t="shared" ca="1" si="701"/>
        <v>5.6917691672286719E-2</v>
      </c>
      <c r="Y650" s="13">
        <f t="shared" ref="Y650:Z650" ca="1" si="705">+Y649</f>
        <v>0</v>
      </c>
      <c r="Z650" s="13">
        <f t="shared" ca="1" si="705"/>
        <v>0</v>
      </c>
      <c r="AA650">
        <f t="shared" ca="1" si="638"/>
        <v>0</v>
      </c>
      <c r="AB650">
        <f t="shared" ca="1" si="639"/>
        <v>1</v>
      </c>
      <c r="AC650" s="24">
        <f t="shared" ca="1" si="640"/>
        <v>0</v>
      </c>
      <c r="AD650" s="24">
        <f t="shared" ca="1" si="641"/>
        <v>5.6917691672286719E-2</v>
      </c>
    </row>
    <row r="651" spans="3:30" x14ac:dyDescent="0.25">
      <c r="C651" s="6">
        <v>745</v>
      </c>
      <c r="D651" s="36">
        <v>43062</v>
      </c>
      <c r="E651" s="38">
        <v>18.754999999999999</v>
      </c>
      <c r="F651" s="38">
        <v>49.935654601149153</v>
      </c>
      <c r="G651" s="38">
        <v>41.89</v>
      </c>
      <c r="H651" s="38">
        <v>2.4947230181864319</v>
      </c>
      <c r="I651" s="38">
        <v>6.6569887671553403</v>
      </c>
      <c r="J651" s="10">
        <v>0</v>
      </c>
      <c r="K651" s="39">
        <v>0</v>
      </c>
      <c r="L651" s="39">
        <v>0</v>
      </c>
      <c r="M651" s="39">
        <v>0</v>
      </c>
      <c r="N651" s="39">
        <v>0</v>
      </c>
      <c r="O651" s="39">
        <v>0</v>
      </c>
      <c r="P651" s="39">
        <v>0</v>
      </c>
      <c r="Q651" s="39">
        <v>0</v>
      </c>
      <c r="R651" s="39">
        <v>0</v>
      </c>
      <c r="S651" s="39">
        <v>0</v>
      </c>
      <c r="T651" s="39">
        <v>1</v>
      </c>
      <c r="U651" s="29" cm="1">
        <f t="array" aca="1" ref="U651" ca="1">+fair_value_gap(OFFSET(T650,0,0,-1*$J$5,-1*$AA$1),OFFSET(E650,0,0,-1*$J$5,1),F651:T651,0)</f>
        <v>18.38322202132191</v>
      </c>
      <c r="V651" s="9" cm="1">
        <f t="array" aca="1" ref="V651" ca="1">z_score_diff(OFFSET(U651,0,0,$J$5*-1,1),OFFSET(E651,0,0,$J$5*-1,1))</f>
        <v>-0.30398885777572771</v>
      </c>
      <c r="W651" s="9">
        <f t="shared" ref="W651:W714" ca="1" si="706">+IF(ISERROR(AVERAGE(OFFSET(V651,0,0,$W$5*-1,1))),"",AVERAGE(OFFSET(V651,0,0,$W$5*-1,1)))</f>
        <v>4.7172744493048421E-3</v>
      </c>
      <c r="X651" s="17">
        <f t="shared" ca="1" si="701"/>
        <v>6.4021858764931022E-2</v>
      </c>
      <c r="Y651" s="13">
        <f t="shared" ref="Y651:Z651" ca="1" si="707">+Y650</f>
        <v>0</v>
      </c>
      <c r="Z651" s="13">
        <f t="shared" ca="1" si="707"/>
        <v>0</v>
      </c>
      <c r="AA651">
        <f t="shared" ref="AA651:AA714" ca="1" si="708">+IF(W651="","",IF(W651&lt;Y651,1,0))</f>
        <v>0</v>
      </c>
      <c r="AB651">
        <f t="shared" ref="AB651:AB714" ca="1" si="709">+IF(W651="","",IF(W651&gt;Z651,1,0))</f>
        <v>1</v>
      </c>
      <c r="AC651" s="24">
        <f t="shared" ref="AC651:AC714" ca="1" si="710">+IF(ISERROR(AA651*X651),"",AA651*X651)</f>
        <v>0</v>
      </c>
      <c r="AD651" s="24">
        <f t="shared" ref="AD651:AD714" ca="1" si="711">+IF(ISERROR(AB651*X651),"",AB651*X651)</f>
        <v>6.4021858764931022E-2</v>
      </c>
    </row>
    <row r="652" spans="3:30" x14ac:dyDescent="0.25">
      <c r="C652" s="6">
        <v>746</v>
      </c>
      <c r="D652" s="36">
        <v>43063</v>
      </c>
      <c r="E652" s="38">
        <v>18.850000000000001</v>
      </c>
      <c r="F652" s="38">
        <v>49.69762436681151</v>
      </c>
      <c r="G652" s="38">
        <v>42.2</v>
      </c>
      <c r="H652" s="38">
        <v>2.4165500536010933</v>
      </c>
      <c r="I652" s="38">
        <v>6.7430993706986149</v>
      </c>
      <c r="J652" s="10">
        <v>0</v>
      </c>
      <c r="K652" s="39">
        <v>0</v>
      </c>
      <c r="L652" s="39">
        <v>0</v>
      </c>
      <c r="M652" s="39">
        <v>0</v>
      </c>
      <c r="N652" s="39">
        <v>0</v>
      </c>
      <c r="O652" s="39">
        <v>0</v>
      </c>
      <c r="P652" s="39">
        <v>0</v>
      </c>
      <c r="Q652" s="39">
        <v>0</v>
      </c>
      <c r="R652" s="39">
        <v>0</v>
      </c>
      <c r="S652" s="39">
        <v>0</v>
      </c>
      <c r="T652" s="39">
        <v>1</v>
      </c>
      <c r="U652" s="29" cm="1">
        <f t="array" aca="1" ref="U652" ca="1">+fair_value_gap(OFFSET(T651,0,0,-1*$J$5,-1*$AA$1),OFFSET(E651,0,0,-1*$J$5,1),F652:T652,0)</f>
        <v>18.445592335378862</v>
      </c>
      <c r="V652" s="9" cm="1">
        <f t="array" aca="1" ref="V652" ca="1">z_score_diff(OFFSET(U652,0,0,$J$5*-1,1),OFFSET(E652,0,0,$J$5*-1,1))</f>
        <v>-0.32132035605836329</v>
      </c>
      <c r="W652" s="9">
        <f t="shared" ca="1" si="706"/>
        <v>-6.9942730804037788E-3</v>
      </c>
      <c r="X652" s="17">
        <f t="shared" ca="1" si="701"/>
        <v>7.5437137682805078E-2</v>
      </c>
      <c r="Y652" s="13">
        <f t="shared" ref="Y652:Z652" ca="1" si="712">+Y651</f>
        <v>0</v>
      </c>
      <c r="Z652" s="13">
        <f t="shared" ca="1" si="712"/>
        <v>0</v>
      </c>
      <c r="AA652">
        <f t="shared" ca="1" si="708"/>
        <v>1</v>
      </c>
      <c r="AB652">
        <f t="shared" ca="1" si="709"/>
        <v>0</v>
      </c>
      <c r="AC652" s="24">
        <f t="shared" ca="1" si="710"/>
        <v>7.5437137682805078E-2</v>
      </c>
      <c r="AD652" s="24">
        <f t="shared" ca="1" si="711"/>
        <v>0</v>
      </c>
    </row>
    <row r="653" spans="3:30" x14ac:dyDescent="0.25">
      <c r="C653" s="6">
        <v>747</v>
      </c>
      <c r="D653" s="36">
        <v>43066</v>
      </c>
      <c r="E653" s="38">
        <v>18.734999999999999</v>
      </c>
      <c r="F653" s="38">
        <v>49.888161900213831</v>
      </c>
      <c r="G653" s="38">
        <v>42.56</v>
      </c>
      <c r="H653" s="38">
        <v>2.4517405881223509</v>
      </c>
      <c r="I653" s="38">
        <v>6.7570561389516595</v>
      </c>
      <c r="J653" s="10">
        <v>0</v>
      </c>
      <c r="K653" s="39">
        <v>0</v>
      </c>
      <c r="L653" s="39">
        <v>0</v>
      </c>
      <c r="M653" s="39">
        <v>0</v>
      </c>
      <c r="N653" s="39">
        <v>0</v>
      </c>
      <c r="O653" s="39">
        <v>0</v>
      </c>
      <c r="P653" s="39">
        <v>0</v>
      </c>
      <c r="Q653" s="39">
        <v>0</v>
      </c>
      <c r="R653" s="39">
        <v>0</v>
      </c>
      <c r="S653" s="39">
        <v>0</v>
      </c>
      <c r="T653" s="39">
        <v>1</v>
      </c>
      <c r="U653" s="29" cm="1">
        <f t="array" aca="1" ref="U653" ca="1">+fair_value_gap(OFFSET(T652,0,0,-1*$J$5,-1*$AA$1),OFFSET(E652,0,0,-1*$J$5,1),F653:T653,0)</f>
        <v>18.617960262880409</v>
      </c>
      <c r="V653" s="9" cm="1">
        <f t="array" aca="1" ref="V653" ca="1">z_score_diff(OFFSET(U653,0,0,$J$5*-1,1),OFFSET(E653,0,0,$J$5*-1,1))</f>
        <v>-0.117550089916304</v>
      </c>
      <c r="W653" s="9">
        <f t="shared" ca="1" si="706"/>
        <v>-2.2592199910871223E-2</v>
      </c>
      <c r="X653" s="17">
        <f t="shared" ca="1" si="701"/>
        <v>6.9480253808890405E-2</v>
      </c>
      <c r="Y653" s="13">
        <f t="shared" ref="Y653:Z653" ca="1" si="713">+Y652</f>
        <v>0</v>
      </c>
      <c r="Z653" s="13">
        <f t="shared" ca="1" si="713"/>
        <v>0</v>
      </c>
      <c r="AA653">
        <f t="shared" ca="1" si="708"/>
        <v>1</v>
      </c>
      <c r="AB653">
        <f t="shared" ca="1" si="709"/>
        <v>0</v>
      </c>
      <c r="AC653" s="24">
        <f t="shared" ca="1" si="710"/>
        <v>6.9480253808890405E-2</v>
      </c>
      <c r="AD653" s="24">
        <f t="shared" ca="1" si="711"/>
        <v>0</v>
      </c>
    </row>
    <row r="654" spans="3:30" x14ac:dyDescent="0.25">
      <c r="C654" s="6">
        <v>748</v>
      </c>
      <c r="D654" s="36">
        <v>43067</v>
      </c>
      <c r="E654" s="38">
        <v>18.524999999999999</v>
      </c>
      <c r="F654" s="38">
        <v>50.110293753977331</v>
      </c>
      <c r="G654" s="38">
        <v>42.39</v>
      </c>
      <c r="H654" s="38">
        <v>2.4985079843445517</v>
      </c>
      <c r="I654" s="38">
        <v>6.8006238438939457</v>
      </c>
      <c r="J654" s="10">
        <v>0</v>
      </c>
      <c r="K654" s="39">
        <v>0</v>
      </c>
      <c r="L654" s="39">
        <v>0</v>
      </c>
      <c r="M654" s="39">
        <v>0</v>
      </c>
      <c r="N654" s="39">
        <v>0</v>
      </c>
      <c r="O654" s="39">
        <v>0</v>
      </c>
      <c r="P654" s="39">
        <v>0</v>
      </c>
      <c r="Q654" s="39">
        <v>0</v>
      </c>
      <c r="R654" s="39">
        <v>0</v>
      </c>
      <c r="S654" s="39">
        <v>0</v>
      </c>
      <c r="T654" s="39">
        <v>1</v>
      </c>
      <c r="U654" s="29" cm="1">
        <f t="array" aca="1" ref="U654" ca="1">+fair_value_gap(OFFSET(T653,0,0,-1*$J$5,-1*$AA$1),OFFSET(E653,0,0,-1*$J$5,1),F654:T654,0)</f>
        <v>18.651544464811359</v>
      </c>
      <c r="V654" s="9" cm="1">
        <f t="array" aca="1" ref="V654" ca="1">z_score_diff(OFFSET(U654,0,0,$J$5*-1,1),OFFSET(E654,0,0,$J$5*-1,1))</f>
        <v>5.1118373725872912E-2</v>
      </c>
      <c r="W654" s="9">
        <f t="shared" ca="1" si="706"/>
        <v>-3.1315880185846537E-2</v>
      </c>
      <c r="X654" s="17">
        <f t="shared" ca="1" si="701"/>
        <v>8.3537062442573695E-2</v>
      </c>
      <c r="Y654" s="13">
        <f t="shared" ref="Y654:Z654" ca="1" si="714">+Y653</f>
        <v>0</v>
      </c>
      <c r="Z654" s="13">
        <f t="shared" ca="1" si="714"/>
        <v>0</v>
      </c>
      <c r="AA654">
        <f t="shared" ca="1" si="708"/>
        <v>1</v>
      </c>
      <c r="AB654">
        <f t="shared" ca="1" si="709"/>
        <v>0</v>
      </c>
      <c r="AC654" s="24">
        <f t="shared" ca="1" si="710"/>
        <v>8.3537062442573695E-2</v>
      </c>
      <c r="AD654" s="24">
        <f t="shared" ca="1" si="711"/>
        <v>0</v>
      </c>
    </row>
    <row r="655" spans="3:30" x14ac:dyDescent="0.25">
      <c r="C655" s="6">
        <v>749</v>
      </c>
      <c r="D655" s="36">
        <v>43068</v>
      </c>
      <c r="E655" s="38">
        <v>18.645</v>
      </c>
      <c r="F655" s="38">
        <v>49.448735125235821</v>
      </c>
      <c r="G655" s="38">
        <v>42.4</v>
      </c>
      <c r="H655" s="38">
        <v>2.6153069568317897</v>
      </c>
      <c r="I655" s="38">
        <v>6.7482495312457544</v>
      </c>
      <c r="J655" s="10">
        <v>0</v>
      </c>
      <c r="K655" s="39">
        <v>0</v>
      </c>
      <c r="L655" s="39">
        <v>0</v>
      </c>
      <c r="M655" s="39">
        <v>0</v>
      </c>
      <c r="N655" s="39">
        <v>0</v>
      </c>
      <c r="O655" s="39">
        <v>0</v>
      </c>
      <c r="P655" s="39">
        <v>0</v>
      </c>
      <c r="Q655" s="39">
        <v>0</v>
      </c>
      <c r="R655" s="39">
        <v>0</v>
      </c>
      <c r="S655" s="39">
        <v>0</v>
      </c>
      <c r="T655" s="39">
        <v>1</v>
      </c>
      <c r="U655" s="29" cm="1">
        <f t="array" aca="1" ref="U655" ca="1">+fair_value_gap(OFFSET(T654,0,0,-1*$J$5,-1*$AA$1),OFFSET(E654,0,0,-1*$J$5,1),F655:T655,0)</f>
        <v>18.638366698586644</v>
      </c>
      <c r="V655" s="9" cm="1">
        <f t="array" aca="1" ref="V655" ca="1">z_score_diff(OFFSET(U655,0,0,$J$5*-1,1),OFFSET(E655,0,0,$J$5*-1,1))</f>
        <v>-3.8694658414170524E-2</v>
      </c>
      <c r="W655" s="9">
        <f t="shared" ca="1" si="706"/>
        <v>-4.0841460429685679E-2</v>
      </c>
      <c r="X655" s="17">
        <f t="shared" ca="1" si="701"/>
        <v>6.6045831878663655E-2</v>
      </c>
      <c r="Y655" s="13">
        <f t="shared" ref="Y655:Z655" ca="1" si="715">+Y654</f>
        <v>0</v>
      </c>
      <c r="Z655" s="13">
        <f t="shared" ca="1" si="715"/>
        <v>0</v>
      </c>
      <c r="AA655">
        <f t="shared" ca="1" si="708"/>
        <v>1</v>
      </c>
      <c r="AB655">
        <f t="shared" ca="1" si="709"/>
        <v>0</v>
      </c>
      <c r="AC655" s="24">
        <f t="shared" ca="1" si="710"/>
        <v>6.6045831878663655E-2</v>
      </c>
      <c r="AD655" s="24">
        <f t="shared" ca="1" si="711"/>
        <v>0</v>
      </c>
    </row>
    <row r="656" spans="3:30" x14ac:dyDescent="0.25">
      <c r="C656" s="6">
        <v>750</v>
      </c>
      <c r="D656" s="36">
        <v>43069</v>
      </c>
      <c r="E656" s="38">
        <v>18.974</v>
      </c>
      <c r="F656" s="38">
        <v>49.130924527095381</v>
      </c>
      <c r="G656" s="38">
        <v>42.91</v>
      </c>
      <c r="H656" s="38">
        <v>2.5659902180845742</v>
      </c>
      <c r="I656" s="38">
        <v>6.7183034623652036</v>
      </c>
      <c r="J656" s="10">
        <v>0</v>
      </c>
      <c r="K656" s="39">
        <v>0</v>
      </c>
      <c r="L656" s="39">
        <v>0</v>
      </c>
      <c r="M656" s="39">
        <v>0</v>
      </c>
      <c r="N656" s="39">
        <v>0</v>
      </c>
      <c r="O656" s="39">
        <v>0</v>
      </c>
      <c r="P656" s="39">
        <v>0</v>
      </c>
      <c r="Q656" s="39">
        <v>0</v>
      </c>
      <c r="R656" s="39">
        <v>0</v>
      </c>
      <c r="S656" s="39">
        <v>0</v>
      </c>
      <c r="T656" s="39">
        <v>1</v>
      </c>
      <c r="U656" s="29" cm="1">
        <f t="array" aca="1" ref="U656" ca="1">+fair_value_gap(OFFSET(T655,0,0,-1*$J$5,-1*$AA$1),OFFSET(E655,0,0,-1*$J$5,1),F656:T656,0)</f>
        <v>18.692631724784253</v>
      </c>
      <c r="V656" s="9" cm="1">
        <f t="array" aca="1" ref="V656" ca="1">z_score_diff(OFFSET(U656,0,0,$J$5*-1,1),OFFSET(E656,0,0,$J$5*-1,1))</f>
        <v>-0.22241431979184045</v>
      </c>
      <c r="W656" s="9">
        <f t="shared" ca="1" si="706"/>
        <v>-5.7871171853650288E-2</v>
      </c>
      <c r="X656" s="17">
        <f t="shared" ca="1" si="701"/>
        <v>4.1197174474027647E-2</v>
      </c>
      <c r="Y656" s="13">
        <f t="shared" ref="Y656:Z656" ca="1" si="716">+Y655</f>
        <v>0</v>
      </c>
      <c r="Z656" s="13">
        <f t="shared" ca="1" si="716"/>
        <v>0</v>
      </c>
      <c r="AA656">
        <f t="shared" ca="1" si="708"/>
        <v>1</v>
      </c>
      <c r="AB656">
        <f t="shared" ca="1" si="709"/>
        <v>0</v>
      </c>
      <c r="AC656" s="24">
        <f t="shared" ca="1" si="710"/>
        <v>4.1197174474027647E-2</v>
      </c>
      <c r="AD656" s="24">
        <f t="shared" ca="1" si="711"/>
        <v>0</v>
      </c>
    </row>
    <row r="657" spans="3:30" x14ac:dyDescent="0.25">
      <c r="C657" s="6">
        <v>751</v>
      </c>
      <c r="D657" s="36">
        <v>43070</v>
      </c>
      <c r="E657" s="38">
        <v>19.065999999999999</v>
      </c>
      <c r="F657" s="38">
        <v>49.719302681853939</v>
      </c>
      <c r="G657" s="38">
        <v>42.72</v>
      </c>
      <c r="H657" s="38">
        <v>2.5688853713923541</v>
      </c>
      <c r="I657" s="38">
        <v>6.7772926624620915</v>
      </c>
      <c r="J657" s="10">
        <v>0</v>
      </c>
      <c r="K657" s="39">
        <v>0</v>
      </c>
      <c r="L657" s="39">
        <v>0</v>
      </c>
      <c r="M657" s="39">
        <v>0</v>
      </c>
      <c r="N657" s="39">
        <v>0</v>
      </c>
      <c r="O657" s="39">
        <v>0</v>
      </c>
      <c r="P657" s="39">
        <v>0</v>
      </c>
      <c r="Q657" s="39">
        <v>0</v>
      </c>
      <c r="R657" s="39">
        <v>0</v>
      </c>
      <c r="S657" s="39">
        <v>0</v>
      </c>
      <c r="T657" s="39">
        <v>0</v>
      </c>
      <c r="U657" s="29" cm="1">
        <f t="array" aca="1" ref="U657" ca="1">+fair_value_gap(OFFSET(T656,0,0,-1*$J$5,-1*$AA$1),OFFSET(E656,0,0,-1*$J$5,1),F657:T657,0)</f>
        <v>19.073771061652415</v>
      </c>
      <c r="V657" s="9" cm="1">
        <f t="array" aca="1" ref="V657" ca="1">z_score_diff(OFFSET(U657,0,0,$J$5*-1,1),OFFSET(E657,0,0,$J$5*-1,1))</f>
        <v>-1.6544443975332612E-2</v>
      </c>
      <c r="W657" s="9">
        <f t="shared" ca="1" si="706"/>
        <v>-6.774275492880806E-2</v>
      </c>
      <c r="X657" s="17">
        <f t="shared" ca="1" si="701"/>
        <v>2.5477765818697096E-2</v>
      </c>
      <c r="Y657" s="13">
        <f t="shared" ref="Y657:Z657" ca="1" si="717">+Y656</f>
        <v>0</v>
      </c>
      <c r="Z657" s="13">
        <f t="shared" ca="1" si="717"/>
        <v>0</v>
      </c>
      <c r="AA657">
        <f t="shared" ca="1" si="708"/>
        <v>1</v>
      </c>
      <c r="AB657">
        <f t="shared" ca="1" si="709"/>
        <v>0</v>
      </c>
      <c r="AC657" s="24">
        <f t="shared" ca="1" si="710"/>
        <v>2.5477765818697096E-2</v>
      </c>
      <c r="AD657" s="24">
        <f t="shared" ca="1" si="711"/>
        <v>0</v>
      </c>
    </row>
    <row r="658" spans="3:30" x14ac:dyDescent="0.25">
      <c r="C658" s="6">
        <v>752</v>
      </c>
      <c r="D658" s="36">
        <v>43073</v>
      </c>
      <c r="E658" s="38">
        <v>19.056999999999999</v>
      </c>
      <c r="F658" s="38">
        <v>49.300236134308584</v>
      </c>
      <c r="G658" s="38">
        <v>43.12</v>
      </c>
      <c r="H658" s="38">
        <v>2.5423519635349385</v>
      </c>
      <c r="I658" s="38">
        <v>6.7919467504792621</v>
      </c>
      <c r="J658" s="10">
        <v>0</v>
      </c>
      <c r="K658" s="39">
        <v>0</v>
      </c>
      <c r="L658" s="39">
        <v>0</v>
      </c>
      <c r="M658" s="39">
        <v>0</v>
      </c>
      <c r="N658" s="39">
        <v>0</v>
      </c>
      <c r="O658" s="39">
        <v>0</v>
      </c>
      <c r="P658" s="39">
        <v>0</v>
      </c>
      <c r="Q658" s="39">
        <v>0</v>
      </c>
      <c r="R658" s="39">
        <v>0</v>
      </c>
      <c r="S658" s="39">
        <v>0</v>
      </c>
      <c r="T658" s="39">
        <v>0</v>
      </c>
      <c r="U658" s="29" cm="1">
        <f t="array" aca="1" ref="U658" ca="1">+fair_value_gap(OFFSET(T657,0,0,-1*$J$5,-1*$AA$1),OFFSET(E657,0,0,-1*$J$5,1),F658:T658,0)</f>
        <v>19.124962113531812</v>
      </c>
      <c r="V658" s="9" cm="1">
        <f t="array" aca="1" ref="V658" ca="1">z_score_diff(OFFSET(U658,0,0,$J$5*-1,1),OFFSET(E658,0,0,$J$5*-1,1))</f>
        <v>2.6542280688075959E-2</v>
      </c>
      <c r="W658" s="9">
        <f t="shared" ca="1" si="706"/>
        <v>-7.5071457579157577E-2</v>
      </c>
      <c r="X658" s="17">
        <f t="shared" ca="1" si="701"/>
        <v>2.6971998692999745E-2</v>
      </c>
      <c r="Y658" s="13">
        <f t="shared" ref="Y658:Z658" ca="1" si="718">+Y657</f>
        <v>0</v>
      </c>
      <c r="Z658" s="13">
        <f t="shared" ca="1" si="718"/>
        <v>0</v>
      </c>
      <c r="AA658">
        <f t="shared" ca="1" si="708"/>
        <v>1</v>
      </c>
      <c r="AB658">
        <f t="shared" ca="1" si="709"/>
        <v>0</v>
      </c>
      <c r="AC658" s="24">
        <f t="shared" ca="1" si="710"/>
        <v>2.6971998692999745E-2</v>
      </c>
      <c r="AD658" s="24">
        <f t="shared" ca="1" si="711"/>
        <v>0</v>
      </c>
    </row>
    <row r="659" spans="3:30" x14ac:dyDescent="0.25">
      <c r="C659" s="6">
        <v>753</v>
      </c>
      <c r="D659" s="36">
        <v>43074</v>
      </c>
      <c r="E659" s="38">
        <v>18.95</v>
      </c>
      <c r="F659" s="38">
        <v>49.826704076580299</v>
      </c>
      <c r="G659" s="38">
        <v>42.85</v>
      </c>
      <c r="H659" s="38">
        <v>2.5325961379765638</v>
      </c>
      <c r="I659" s="38">
        <v>6.5852450899488373</v>
      </c>
      <c r="J659" s="10">
        <v>0</v>
      </c>
      <c r="K659" s="39">
        <v>0</v>
      </c>
      <c r="L659" s="39">
        <v>0</v>
      </c>
      <c r="M659" s="39">
        <v>0</v>
      </c>
      <c r="N659" s="39">
        <v>0</v>
      </c>
      <c r="O659" s="39">
        <v>0</v>
      </c>
      <c r="P659" s="39">
        <v>0</v>
      </c>
      <c r="Q659" s="39">
        <v>0</v>
      </c>
      <c r="R659" s="39">
        <v>0</v>
      </c>
      <c r="S659" s="39">
        <v>0</v>
      </c>
      <c r="T659" s="39">
        <v>0</v>
      </c>
      <c r="U659" s="29" cm="1">
        <f t="array" aca="1" ref="U659" ca="1">+fair_value_gap(OFFSET(T658,0,0,-1*$J$5,-1*$AA$1),OFFSET(E658,0,0,-1*$J$5,1),F659:T659,0)</f>
        <v>18.9977898178524</v>
      </c>
      <c r="V659" s="9" cm="1">
        <f t="array" aca="1" ref="V659" ca="1">z_score_diff(OFFSET(U659,0,0,$J$5*-1,1),OFFSET(E659,0,0,$J$5*-1,1))</f>
        <v>1.3339545038396405E-2</v>
      </c>
      <c r="W659" s="9">
        <f t="shared" ca="1" si="706"/>
        <v>-8.4464535631315923E-2</v>
      </c>
      <c r="X659" s="17">
        <f t="shared" ca="1" si="701"/>
        <v>3.1733856515787071E-2</v>
      </c>
      <c r="Y659" s="13">
        <f t="shared" ref="Y659:Z659" ca="1" si="719">+Y658</f>
        <v>0</v>
      </c>
      <c r="Z659" s="13">
        <f t="shared" ca="1" si="719"/>
        <v>0</v>
      </c>
      <c r="AA659">
        <f t="shared" ca="1" si="708"/>
        <v>1</v>
      </c>
      <c r="AB659">
        <f t="shared" ca="1" si="709"/>
        <v>0</v>
      </c>
      <c r="AC659" s="24">
        <f t="shared" ca="1" si="710"/>
        <v>3.1733856515787071E-2</v>
      </c>
      <c r="AD659" s="24">
        <f t="shared" ca="1" si="711"/>
        <v>0</v>
      </c>
    </row>
    <row r="660" spans="3:30" x14ac:dyDescent="0.25">
      <c r="C660" s="6">
        <v>754</v>
      </c>
      <c r="D660" s="36">
        <v>43075</v>
      </c>
      <c r="E660" s="38">
        <v>18.773</v>
      </c>
      <c r="F660" s="38">
        <v>48.979024703723212</v>
      </c>
      <c r="G660" s="38">
        <v>42.4</v>
      </c>
      <c r="H660" s="38">
        <v>2.5407558914190767</v>
      </c>
      <c r="I660" s="38">
        <v>6.6909880083269302</v>
      </c>
      <c r="J660" s="10">
        <v>0</v>
      </c>
      <c r="K660" s="39">
        <v>0</v>
      </c>
      <c r="L660" s="39">
        <v>0</v>
      </c>
      <c r="M660" s="39">
        <v>0</v>
      </c>
      <c r="N660" s="39">
        <v>0</v>
      </c>
      <c r="O660" s="39">
        <v>0</v>
      </c>
      <c r="P660" s="39">
        <v>0</v>
      </c>
      <c r="Q660" s="39">
        <v>0</v>
      </c>
      <c r="R660" s="39">
        <v>0</v>
      </c>
      <c r="S660" s="39">
        <v>0</v>
      </c>
      <c r="T660" s="39">
        <v>0</v>
      </c>
      <c r="U660" s="29" cm="1">
        <f t="array" aca="1" ref="U660" ca="1">+fair_value_gap(OFFSET(T659,0,0,-1*$J$5,-1*$AA$1),OFFSET(E659,0,0,-1*$J$5,1),F660:T660,0)</f>
        <v>18.855951530786879</v>
      </c>
      <c r="V660" s="9" cm="1">
        <f t="array" aca="1" ref="V660" ca="1">z_score_diff(OFFSET(U660,0,0,$J$5*-1,1),OFFSET(E660,0,0,$J$5*-1,1))</f>
        <v>3.6520950959223697E-2</v>
      </c>
      <c r="W660" s="9">
        <f t="shared" ca="1" si="706"/>
        <v>-8.9499900663624621E-2</v>
      </c>
      <c r="X660" s="17">
        <f t="shared" ca="1" si="701"/>
        <v>4.5250463393357379E-2</v>
      </c>
      <c r="Y660" s="13">
        <f t="shared" ref="Y660:Z660" ca="1" si="720">+Y659</f>
        <v>0</v>
      </c>
      <c r="Z660" s="13">
        <f t="shared" ca="1" si="720"/>
        <v>0</v>
      </c>
      <c r="AA660">
        <f t="shared" ca="1" si="708"/>
        <v>1</v>
      </c>
      <c r="AB660">
        <f t="shared" ca="1" si="709"/>
        <v>0</v>
      </c>
      <c r="AC660" s="24">
        <f t="shared" ca="1" si="710"/>
        <v>4.5250463393357379E-2</v>
      </c>
      <c r="AD660" s="24">
        <f t="shared" ca="1" si="711"/>
        <v>0</v>
      </c>
    </row>
    <row r="661" spans="3:30" x14ac:dyDescent="0.25">
      <c r="C661" s="6">
        <v>755</v>
      </c>
      <c r="D661" s="36">
        <v>43076</v>
      </c>
      <c r="E661" s="38">
        <v>18.806000000000001</v>
      </c>
      <c r="F661" s="38">
        <v>49.701698672991988</v>
      </c>
      <c r="G661" s="38">
        <v>42.89</v>
      </c>
      <c r="H661" s="38">
        <v>2.4929556810640587</v>
      </c>
      <c r="I661" s="38">
        <v>6.7108477954864991</v>
      </c>
      <c r="J661" s="10">
        <v>0</v>
      </c>
      <c r="K661" s="39">
        <v>0</v>
      </c>
      <c r="L661" s="39">
        <v>0</v>
      </c>
      <c r="M661" s="39">
        <v>0</v>
      </c>
      <c r="N661" s="39">
        <v>0</v>
      </c>
      <c r="O661" s="39">
        <v>0</v>
      </c>
      <c r="P661" s="39">
        <v>0</v>
      </c>
      <c r="Q661" s="39">
        <v>0</v>
      </c>
      <c r="R661" s="39">
        <v>0</v>
      </c>
      <c r="S661" s="39">
        <v>0</v>
      </c>
      <c r="T661" s="39">
        <v>0</v>
      </c>
      <c r="U661" s="29" cm="1">
        <f t="array" aca="1" ref="U661" ca="1">+fair_value_gap(OFFSET(T660,0,0,-1*$J$5,-1*$AA$1),OFFSET(E660,0,0,-1*$J$5,1),F661:T661,0)</f>
        <v>18.99572401910298</v>
      </c>
      <c r="V661" s="9" cm="1">
        <f t="array" aca="1" ref="V661" ca="1">z_score_diff(OFFSET(U661,0,0,$J$5*-1,1),OFFSET(E661,0,0,$J$5*-1,1))</f>
        <v>0.11044692881717766</v>
      </c>
      <c r="W661" s="9">
        <f t="shared" ca="1" si="706"/>
        <v>-9.106909650170053E-2</v>
      </c>
      <c r="X661" s="17">
        <f t="shared" ca="1" si="701"/>
        <v>3.6084639725436199E-2</v>
      </c>
      <c r="Y661" s="13">
        <f t="shared" ref="Y661:Z661" ca="1" si="721">+Y660</f>
        <v>0</v>
      </c>
      <c r="Z661" s="13">
        <f t="shared" ca="1" si="721"/>
        <v>0</v>
      </c>
      <c r="AA661">
        <f t="shared" ca="1" si="708"/>
        <v>1</v>
      </c>
      <c r="AB661">
        <f t="shared" ca="1" si="709"/>
        <v>0</v>
      </c>
      <c r="AC661" s="24">
        <f t="shared" ca="1" si="710"/>
        <v>3.6084639725436199E-2</v>
      </c>
      <c r="AD661" s="24">
        <f t="shared" ca="1" si="711"/>
        <v>0</v>
      </c>
    </row>
    <row r="662" spans="3:30" x14ac:dyDescent="0.25">
      <c r="C662" s="6">
        <v>756</v>
      </c>
      <c r="D662" s="36">
        <v>43077</v>
      </c>
      <c r="E662" s="38">
        <v>18.699000000000002</v>
      </c>
      <c r="F662" s="38">
        <v>50.350371596188857</v>
      </c>
      <c r="G662" s="38">
        <v>43.06</v>
      </c>
      <c r="H662" s="38">
        <v>2.4880860391925368</v>
      </c>
      <c r="I662" s="38">
        <v>6.7155937745616621</v>
      </c>
      <c r="J662" s="10">
        <v>0</v>
      </c>
      <c r="K662" s="39">
        <v>0</v>
      </c>
      <c r="L662" s="39">
        <v>0</v>
      </c>
      <c r="M662" s="39">
        <v>0</v>
      </c>
      <c r="N662" s="39">
        <v>0</v>
      </c>
      <c r="O662" s="39">
        <v>0</v>
      </c>
      <c r="P662" s="39">
        <v>0</v>
      </c>
      <c r="Q662" s="39">
        <v>0</v>
      </c>
      <c r="R662" s="39">
        <v>0</v>
      </c>
      <c r="S662" s="39">
        <v>0</v>
      </c>
      <c r="T662" s="39">
        <v>0</v>
      </c>
      <c r="U662" s="29" cm="1">
        <f t="array" aca="1" ref="U662" ca="1">+fair_value_gap(OFFSET(T661,0,0,-1*$J$5,-1*$AA$1),OFFSET(E661,0,0,-1*$J$5,1),F662:T662,0)</f>
        <v>19.05851393287351</v>
      </c>
      <c r="V662" s="9" cm="1">
        <f t="array" aca="1" ref="V662" ca="1">z_score_diff(OFFSET(U662,0,0,$J$5*-1,1),OFFSET(E662,0,0,$J$5*-1,1))</f>
        <v>0.22319348875156031</v>
      </c>
      <c r="W662" s="9">
        <f t="shared" ca="1" si="706"/>
        <v>-8.9210406290307603E-2</v>
      </c>
      <c r="X662" s="17">
        <f t="shared" ca="1" si="701"/>
        <v>2.6960930285642084E-2</v>
      </c>
      <c r="Y662" s="13">
        <f t="shared" ref="Y662:Z662" ca="1" si="722">+Y661</f>
        <v>0</v>
      </c>
      <c r="Z662" s="13">
        <f t="shared" ca="1" si="722"/>
        <v>0</v>
      </c>
      <c r="AA662">
        <f t="shared" ca="1" si="708"/>
        <v>1</v>
      </c>
      <c r="AB662">
        <f t="shared" ca="1" si="709"/>
        <v>0</v>
      </c>
      <c r="AC662" s="24">
        <f t="shared" ca="1" si="710"/>
        <v>2.6960930285642084E-2</v>
      </c>
      <c r="AD662" s="24">
        <f t="shared" ca="1" si="711"/>
        <v>0</v>
      </c>
    </row>
    <row r="663" spans="3:30" x14ac:dyDescent="0.25">
      <c r="C663" s="6">
        <v>757</v>
      </c>
      <c r="D663" s="36">
        <v>43080</v>
      </c>
      <c r="E663" s="38">
        <v>19.068000000000001</v>
      </c>
      <c r="F663" s="38">
        <v>50.811500029430711</v>
      </c>
      <c r="G663" s="38">
        <v>43.17</v>
      </c>
      <c r="H663" s="38">
        <v>2.4953926429855837</v>
      </c>
      <c r="I663" s="38">
        <v>6.8063699664158293</v>
      </c>
      <c r="J663" s="10">
        <v>0</v>
      </c>
      <c r="K663" s="39">
        <v>0</v>
      </c>
      <c r="L663" s="39">
        <v>0</v>
      </c>
      <c r="M663" s="39">
        <v>0</v>
      </c>
      <c r="N663" s="39">
        <v>0</v>
      </c>
      <c r="O663" s="39">
        <v>0</v>
      </c>
      <c r="P663" s="39">
        <v>0</v>
      </c>
      <c r="Q663" s="39">
        <v>0</v>
      </c>
      <c r="R663" s="39">
        <v>0</v>
      </c>
      <c r="S663" s="39">
        <v>0</v>
      </c>
      <c r="T663" s="39">
        <v>0</v>
      </c>
      <c r="U663" s="29" cm="1">
        <f t="array" aca="1" ref="U663" ca="1">+fair_value_gap(OFFSET(T662,0,0,-1*$J$5,-1*$AA$1),OFFSET(E662,0,0,-1*$J$5,1),F663:T663,0)</f>
        <v>19.112643105733973</v>
      </c>
      <c r="V663" s="9" cm="1">
        <f t="array" aca="1" ref="V663" ca="1">z_score_diff(OFFSET(U663,0,0,$J$5*-1,1),OFFSET(E663,0,0,$J$5*-1,1))</f>
        <v>1.0426046215712192E-2</v>
      </c>
      <c r="W663" s="9">
        <f t="shared" ca="1" si="706"/>
        <v>-9.3007665090461794E-2</v>
      </c>
      <c r="X663" s="17">
        <f t="shared" ca="1" si="701"/>
        <v>2.4618298057966347E-3</v>
      </c>
      <c r="Y663" s="13">
        <f t="shared" ref="Y663:Z663" ca="1" si="723">+Y662</f>
        <v>0</v>
      </c>
      <c r="Z663" s="13">
        <f t="shared" ca="1" si="723"/>
        <v>0</v>
      </c>
      <c r="AA663">
        <f t="shared" ca="1" si="708"/>
        <v>1</v>
      </c>
      <c r="AB663">
        <f t="shared" ca="1" si="709"/>
        <v>0</v>
      </c>
      <c r="AC663" s="24">
        <f t="shared" ca="1" si="710"/>
        <v>2.4618298057966347E-3</v>
      </c>
      <c r="AD663" s="24">
        <f t="shared" ca="1" si="711"/>
        <v>0</v>
      </c>
    </row>
    <row r="664" spans="3:30" x14ac:dyDescent="0.25">
      <c r="C664" s="6">
        <v>758</v>
      </c>
      <c r="D664" s="36">
        <v>43081</v>
      </c>
      <c r="E664" s="38">
        <v>19.170999999999999</v>
      </c>
      <c r="F664" s="38">
        <v>49.978954045098952</v>
      </c>
      <c r="G664" s="38">
        <v>43.85</v>
      </c>
      <c r="H664" s="38">
        <v>2.4217376901919208</v>
      </c>
      <c r="I664" s="38">
        <v>6.8077645044819164</v>
      </c>
      <c r="J664" s="10">
        <v>0</v>
      </c>
      <c r="K664" s="39">
        <v>0</v>
      </c>
      <c r="L664" s="39">
        <v>0</v>
      </c>
      <c r="M664" s="39">
        <v>0</v>
      </c>
      <c r="N664" s="39">
        <v>0</v>
      </c>
      <c r="O664" s="39">
        <v>0</v>
      </c>
      <c r="P664" s="39">
        <v>0</v>
      </c>
      <c r="Q664" s="39">
        <v>0</v>
      </c>
      <c r="R664" s="39">
        <v>0</v>
      </c>
      <c r="S664" s="39">
        <v>0</v>
      </c>
      <c r="T664" s="39">
        <v>0</v>
      </c>
      <c r="U664" s="29" cm="1">
        <f t="array" aca="1" ref="U664" ca="1">+fair_value_gap(OFFSET(T663,0,0,-1*$J$5,-1*$AA$1),OFFSET(E663,0,0,-1*$J$5,1),F664:T664,0)</f>
        <v>19.120038637265868</v>
      </c>
      <c r="V664" s="9" cm="1">
        <f t="array" aca="1" ref="V664" ca="1">z_score_diff(OFFSET(U664,0,0,$J$5*-1,1),OFFSET(E664,0,0,$J$5*-1,1))</f>
        <v>-5.4118352926362912E-2</v>
      </c>
      <c r="W664" s="9">
        <f t="shared" ca="1" si="706"/>
        <v>-9.5438163344880714E-2</v>
      </c>
      <c r="X664" s="17">
        <f t="shared" ca="1" si="701"/>
        <v>-1.3179156914179981E-2</v>
      </c>
      <c r="Y664" s="13">
        <f t="shared" ref="Y664:Z664" ca="1" si="724">+Y663</f>
        <v>0</v>
      </c>
      <c r="Z664" s="13">
        <f t="shared" ca="1" si="724"/>
        <v>0</v>
      </c>
      <c r="AA664">
        <f t="shared" ca="1" si="708"/>
        <v>1</v>
      </c>
      <c r="AB664">
        <f t="shared" ca="1" si="709"/>
        <v>0</v>
      </c>
      <c r="AC664" s="24">
        <f t="shared" ca="1" si="710"/>
        <v>-1.3179156914179981E-2</v>
      </c>
      <c r="AD664" s="24">
        <f t="shared" ca="1" si="711"/>
        <v>0</v>
      </c>
    </row>
    <row r="665" spans="3:30" x14ac:dyDescent="0.25">
      <c r="C665" s="6">
        <v>759</v>
      </c>
      <c r="D665" s="36">
        <v>43082</v>
      </c>
      <c r="E665" s="38">
        <v>18.841999999999999</v>
      </c>
      <c r="F665" s="38">
        <v>48.863938182664029</v>
      </c>
      <c r="G665" s="38">
        <v>43.81</v>
      </c>
      <c r="H665" s="38">
        <v>2.4118527219127213</v>
      </c>
      <c r="I665" s="38">
        <v>6.7431244875637821</v>
      </c>
      <c r="J665" s="10">
        <v>0</v>
      </c>
      <c r="K665" s="39">
        <v>0</v>
      </c>
      <c r="L665" s="39">
        <v>0</v>
      </c>
      <c r="M665" s="39">
        <v>0</v>
      </c>
      <c r="N665" s="39">
        <v>0</v>
      </c>
      <c r="O665" s="39">
        <v>0</v>
      </c>
      <c r="P665" s="39">
        <v>0</v>
      </c>
      <c r="Q665" s="39">
        <v>0</v>
      </c>
      <c r="R665" s="39">
        <v>0</v>
      </c>
      <c r="S665" s="39">
        <v>0</v>
      </c>
      <c r="T665" s="39">
        <v>0</v>
      </c>
      <c r="U665" s="29" cm="1">
        <f t="array" aca="1" ref="U665" ca="1">+fair_value_gap(OFFSET(T664,0,0,-1*$J$5,-1*$AA$1),OFFSET(E664,0,0,-1*$J$5,1),F665:T665,0)</f>
        <v>18.981501620037736</v>
      </c>
      <c r="V665" s="9" cm="1">
        <f t="array" aca="1" ref="V665" ca="1">z_score_diff(OFFSET(U665,0,0,$J$5*-1,1),OFFSET(E665,0,0,$J$5*-1,1))</f>
        <v>7.1274460445023058E-2</v>
      </c>
      <c r="W665" s="9">
        <f t="shared" ca="1" si="706"/>
        <v>-9.8235103845292604E-2</v>
      </c>
      <c r="X665" s="17">
        <f t="shared" ca="1" si="701"/>
        <v>-3.5622229762775773E-3</v>
      </c>
      <c r="Y665" s="13">
        <f t="shared" ref="Y665:Z665" ca="1" si="725">+Y664</f>
        <v>0</v>
      </c>
      <c r="Z665" s="13">
        <f t="shared" ca="1" si="725"/>
        <v>0</v>
      </c>
      <c r="AA665">
        <f t="shared" ca="1" si="708"/>
        <v>1</v>
      </c>
      <c r="AB665">
        <f t="shared" ca="1" si="709"/>
        <v>0</v>
      </c>
      <c r="AC665" s="24">
        <f t="shared" ca="1" si="710"/>
        <v>-3.5622229762775773E-3</v>
      </c>
      <c r="AD665" s="24">
        <f t="shared" ca="1" si="711"/>
        <v>0</v>
      </c>
    </row>
    <row r="666" spans="3:30" x14ac:dyDescent="0.25">
      <c r="C666" s="6">
        <v>760</v>
      </c>
      <c r="D666" s="36">
        <v>43083</v>
      </c>
      <c r="E666" s="38">
        <v>19.224</v>
      </c>
      <c r="F666" s="38">
        <v>49.620976154961724</v>
      </c>
      <c r="G666" s="38">
        <v>43.77</v>
      </c>
      <c r="H666" s="38">
        <v>2.4198291972868127</v>
      </c>
      <c r="I666" s="38">
        <v>6.7837946727356799</v>
      </c>
      <c r="J666" s="10">
        <v>0</v>
      </c>
      <c r="K666" s="39">
        <v>0</v>
      </c>
      <c r="L666" s="39">
        <v>0</v>
      </c>
      <c r="M666" s="39">
        <v>0</v>
      </c>
      <c r="N666" s="39">
        <v>0</v>
      </c>
      <c r="O666" s="39">
        <v>0</v>
      </c>
      <c r="P666" s="39">
        <v>0</v>
      </c>
      <c r="Q666" s="39">
        <v>0</v>
      </c>
      <c r="R666" s="39">
        <v>0</v>
      </c>
      <c r="S666" s="39">
        <v>0</v>
      </c>
      <c r="T666" s="39">
        <v>0</v>
      </c>
      <c r="U666" s="29" cm="1">
        <f t="array" aca="1" ref="U666" ca="1">+fair_value_gap(OFFSET(T665,0,0,-1*$J$5,-1*$AA$1),OFFSET(E665,0,0,-1*$J$5,1),F666:T666,0)</f>
        <v>19.047528335261486</v>
      </c>
      <c r="V666" s="9" cm="1">
        <f t="array" aca="1" ref="V666" ca="1">z_score_diff(OFFSET(U666,0,0,$J$5*-1,1),OFFSET(E666,0,0,$J$5*-1,1))</f>
        <v>-0.13478654048747751</v>
      </c>
      <c r="W666" s="9">
        <f t="shared" ca="1" si="706"/>
        <v>-0.11027873771702204</v>
      </c>
      <c r="X666" s="17">
        <f t="shared" ca="1" si="701"/>
        <v>-2.726171306740029E-2</v>
      </c>
      <c r="Y666" s="13">
        <f t="shared" ref="Y666:Z666" ca="1" si="726">+Y665</f>
        <v>0</v>
      </c>
      <c r="Z666" s="13">
        <f t="shared" ca="1" si="726"/>
        <v>0</v>
      </c>
      <c r="AA666">
        <f t="shared" ca="1" si="708"/>
        <v>1</v>
      </c>
      <c r="AB666">
        <f t="shared" ca="1" si="709"/>
        <v>0</v>
      </c>
      <c r="AC666" s="24">
        <f t="shared" ca="1" si="710"/>
        <v>-2.726171306740029E-2</v>
      </c>
      <c r="AD666" s="24">
        <f t="shared" ca="1" si="711"/>
        <v>0</v>
      </c>
    </row>
    <row r="667" spans="3:30" x14ac:dyDescent="0.25">
      <c r="C667" s="6">
        <v>761</v>
      </c>
      <c r="D667" s="36">
        <v>43084</v>
      </c>
      <c r="E667" s="38">
        <v>19.148</v>
      </c>
      <c r="F667" s="38">
        <v>49.653972069122702</v>
      </c>
      <c r="G667" s="38">
        <v>44.3</v>
      </c>
      <c r="H667" s="38">
        <v>2.3844846877460526</v>
      </c>
      <c r="I667" s="38">
        <v>6.816957440636525</v>
      </c>
      <c r="J667" s="10">
        <v>0</v>
      </c>
      <c r="K667" s="39">
        <v>0</v>
      </c>
      <c r="L667" s="39">
        <v>0</v>
      </c>
      <c r="M667" s="39">
        <v>0</v>
      </c>
      <c r="N667" s="39">
        <v>0</v>
      </c>
      <c r="O667" s="39">
        <v>0</v>
      </c>
      <c r="P667" s="39">
        <v>0</v>
      </c>
      <c r="Q667" s="39">
        <v>0</v>
      </c>
      <c r="R667" s="39">
        <v>0</v>
      </c>
      <c r="S667" s="39">
        <v>0</v>
      </c>
      <c r="T667" s="39">
        <v>0</v>
      </c>
      <c r="U667" s="29" cm="1">
        <f t="array" aca="1" ref="U667" ca="1">+fair_value_gap(OFFSET(T666,0,0,-1*$J$5,-1*$AA$1),OFFSET(E666,0,0,-1*$J$5,1),F667:T667,0)</f>
        <v>19.170205155124904</v>
      </c>
      <c r="V667" s="9" cm="1">
        <f t="array" aca="1" ref="V667" ca="1">z_score_diff(OFFSET(U667,0,0,$J$5*-1,1),OFFSET(E667,0,0,$J$5*-1,1))</f>
        <v>-1.0240581012128658E-3</v>
      </c>
      <c r="W667" s="9">
        <f t="shared" ca="1" si="706"/>
        <v>-0.1182764523986216</v>
      </c>
      <c r="X667" s="17">
        <f t="shared" ca="1" si="701"/>
        <v>-2.5655317329270091E-2</v>
      </c>
      <c r="Y667" s="13">
        <f t="shared" ref="Y667:Z667" ca="1" si="727">+Y666</f>
        <v>0</v>
      </c>
      <c r="Z667" s="13">
        <f t="shared" ca="1" si="727"/>
        <v>0</v>
      </c>
      <c r="AA667">
        <f t="shared" ca="1" si="708"/>
        <v>1</v>
      </c>
      <c r="AB667">
        <f t="shared" ca="1" si="709"/>
        <v>0</v>
      </c>
      <c r="AC667" s="24">
        <f t="shared" ca="1" si="710"/>
        <v>-2.5655317329270091E-2</v>
      </c>
      <c r="AD667" s="24">
        <f t="shared" ca="1" si="711"/>
        <v>0</v>
      </c>
    </row>
    <row r="668" spans="3:30" x14ac:dyDescent="0.25">
      <c r="C668" s="6">
        <v>762</v>
      </c>
      <c r="D668" s="36">
        <v>43087</v>
      </c>
      <c r="E668" s="38">
        <v>19.105</v>
      </c>
      <c r="F668" s="38">
        <v>49.982710383200782</v>
      </c>
      <c r="G668" s="38">
        <v>44.62</v>
      </c>
      <c r="H668" s="38">
        <v>2.4205463518908554</v>
      </c>
      <c r="I668" s="38">
        <v>6.9282555355727666</v>
      </c>
      <c r="J668" s="10">
        <v>0</v>
      </c>
      <c r="K668" s="39">
        <v>0</v>
      </c>
      <c r="L668" s="39">
        <v>0</v>
      </c>
      <c r="M668" s="39">
        <v>0</v>
      </c>
      <c r="N668" s="39">
        <v>0</v>
      </c>
      <c r="O668" s="39">
        <v>0</v>
      </c>
      <c r="P668" s="39">
        <v>0</v>
      </c>
      <c r="Q668" s="39">
        <v>0</v>
      </c>
      <c r="R668" s="39">
        <v>0</v>
      </c>
      <c r="S668" s="39">
        <v>0</v>
      </c>
      <c r="T668" s="39">
        <v>0</v>
      </c>
      <c r="U668" s="29" cm="1">
        <f t="array" aca="1" ref="U668" ca="1">+fair_value_gap(OFFSET(T667,0,0,-1*$J$5,-1*$AA$1),OFFSET(E667,0,0,-1*$J$5,1),F668:T668,0)</f>
        <v>19.341685332781697</v>
      </c>
      <c r="V668" s="9" cm="1">
        <f t="array" aca="1" ref="V668" ca="1">z_score_diff(OFFSET(U668,0,0,$J$5*-1,1),OFFSET(E668,0,0,$J$5*-1,1))</f>
        <v>0.14094938301595406</v>
      </c>
      <c r="W668" s="9">
        <f t="shared" ca="1" si="706"/>
        <v>-0.11805926783166144</v>
      </c>
      <c r="X668" s="17">
        <f t="shared" ca="1" si="701"/>
        <v>-2.9103004536661585E-2</v>
      </c>
      <c r="Y668" s="13">
        <f t="shared" ref="Y668:Z668" ca="1" si="728">+Y667</f>
        <v>0</v>
      </c>
      <c r="Z668" s="13">
        <f t="shared" ca="1" si="728"/>
        <v>0</v>
      </c>
      <c r="AA668">
        <f t="shared" ca="1" si="708"/>
        <v>1</v>
      </c>
      <c r="AB668">
        <f t="shared" ca="1" si="709"/>
        <v>0</v>
      </c>
      <c r="AC668" s="24">
        <f t="shared" ca="1" si="710"/>
        <v>-2.9103004536661585E-2</v>
      </c>
      <c r="AD668" s="24">
        <f t="shared" ca="1" si="711"/>
        <v>0</v>
      </c>
    </row>
    <row r="669" spans="3:30" x14ac:dyDescent="0.25">
      <c r="C669" s="6">
        <v>763</v>
      </c>
      <c r="D669" s="36">
        <v>43088</v>
      </c>
      <c r="E669" s="38">
        <v>19.140999999999998</v>
      </c>
      <c r="F669" s="38">
        <v>50.146132630798995</v>
      </c>
      <c r="G669" s="38">
        <v>44.58</v>
      </c>
      <c r="H669" s="38">
        <v>2.3973984275305642</v>
      </c>
      <c r="I669" s="38">
        <v>6.8949903264314827</v>
      </c>
      <c r="J669" s="10">
        <v>0</v>
      </c>
      <c r="K669" s="39">
        <v>0</v>
      </c>
      <c r="L669" s="39">
        <v>0</v>
      </c>
      <c r="M669" s="39">
        <v>0</v>
      </c>
      <c r="N669" s="39">
        <v>0</v>
      </c>
      <c r="O669" s="39">
        <v>0</v>
      </c>
      <c r="P669" s="39">
        <v>0</v>
      </c>
      <c r="Q669" s="39">
        <v>0</v>
      </c>
      <c r="R669" s="39">
        <v>0</v>
      </c>
      <c r="S669" s="39">
        <v>0</v>
      </c>
      <c r="T669" s="39">
        <v>0</v>
      </c>
      <c r="U669" s="29" cm="1">
        <f t="array" aca="1" ref="U669" ca="1">+fair_value_gap(OFFSET(T668,0,0,-1*$J$5,-1*$AA$1),OFFSET(E668,0,0,-1*$J$5,1),F669:T669,0)</f>
        <v>19.29300442827968</v>
      </c>
      <c r="V669" s="9" cm="1">
        <f t="array" aca="1" ref="V669" ca="1">z_score_diff(OFFSET(U669,0,0,$J$5*-1,1),OFFSET(E669,0,0,$J$5*-1,1))</f>
        <v>7.8433381183113271E-2</v>
      </c>
      <c r="W669" s="9">
        <f t="shared" ca="1" si="706"/>
        <v>-0.11312081068170837</v>
      </c>
      <c r="X669" s="17">
        <f t="shared" ca="1" si="701"/>
        <v>-3.8287028697928688E-2</v>
      </c>
      <c r="Y669" s="13">
        <f t="shared" ref="Y669:Z669" ca="1" si="729">+Y668</f>
        <v>0</v>
      </c>
      <c r="Z669" s="13">
        <f t="shared" ca="1" si="729"/>
        <v>0</v>
      </c>
      <c r="AA669">
        <f t="shared" ca="1" si="708"/>
        <v>1</v>
      </c>
      <c r="AB669">
        <f t="shared" ca="1" si="709"/>
        <v>0</v>
      </c>
      <c r="AC669" s="24">
        <f t="shared" ca="1" si="710"/>
        <v>-3.8287028697928688E-2</v>
      </c>
      <c r="AD669" s="24">
        <f t="shared" ca="1" si="711"/>
        <v>0</v>
      </c>
    </row>
    <row r="670" spans="3:30" x14ac:dyDescent="0.25">
      <c r="C670" s="6">
        <v>764</v>
      </c>
      <c r="D670" s="36">
        <v>43089</v>
      </c>
      <c r="E670" s="38">
        <v>19.286000000000001</v>
      </c>
      <c r="F670" s="38">
        <v>50.315209019953663</v>
      </c>
      <c r="G670" s="38">
        <v>44.83</v>
      </c>
      <c r="H670" s="38">
        <v>2.3466198984828259</v>
      </c>
      <c r="I670" s="38">
        <v>6.8969934035184526</v>
      </c>
      <c r="J670" s="10">
        <v>0</v>
      </c>
      <c r="K670" s="39">
        <v>0</v>
      </c>
      <c r="L670" s="39">
        <v>0</v>
      </c>
      <c r="M670" s="39">
        <v>0</v>
      </c>
      <c r="N670" s="39">
        <v>0</v>
      </c>
      <c r="O670" s="39">
        <v>0</v>
      </c>
      <c r="P670" s="39">
        <v>0</v>
      </c>
      <c r="Q670" s="39">
        <v>0</v>
      </c>
      <c r="R670" s="39">
        <v>0</v>
      </c>
      <c r="S670" s="39">
        <v>0</v>
      </c>
      <c r="T670" s="39">
        <v>0</v>
      </c>
      <c r="U670" s="29" cm="1">
        <f t="array" aca="1" ref="U670" ca="1">+fair_value_gap(OFFSET(T669,0,0,-1*$J$5,-1*$AA$1),OFFSET(E669,0,0,-1*$J$5,1),F670:T670,0)</f>
        <v>19.370049629476327</v>
      </c>
      <c r="V670" s="9" cm="1">
        <f t="array" aca="1" ref="V670" ca="1">z_score_diff(OFFSET(U670,0,0,$J$5*-1,1),OFFSET(E670,0,0,$J$5*-1,1))</f>
        <v>3.0496589480077718E-2</v>
      </c>
      <c r="W670" s="9">
        <f t="shared" ca="1" si="706"/>
        <v>-0.1090858847628921</v>
      </c>
      <c r="X670" s="17">
        <f t="shared" ca="1" si="701"/>
        <v>-6.5126339484055648E-2</v>
      </c>
      <c r="Y670" s="13">
        <f t="shared" ref="Y670:Z670" ca="1" si="730">+Y669</f>
        <v>0</v>
      </c>
      <c r="Z670" s="13">
        <f t="shared" ca="1" si="730"/>
        <v>0</v>
      </c>
      <c r="AA670">
        <f t="shared" ca="1" si="708"/>
        <v>1</v>
      </c>
      <c r="AB670">
        <f t="shared" ca="1" si="709"/>
        <v>0</v>
      </c>
      <c r="AC670" s="24">
        <f t="shared" ca="1" si="710"/>
        <v>-6.5126339484055648E-2</v>
      </c>
      <c r="AD670" s="24">
        <f t="shared" ca="1" si="711"/>
        <v>0</v>
      </c>
    </row>
    <row r="671" spans="3:30" x14ac:dyDescent="0.25">
      <c r="C671" s="6">
        <v>765</v>
      </c>
      <c r="D671" s="36">
        <v>43090</v>
      </c>
      <c r="E671" s="38">
        <v>19.202999999999999</v>
      </c>
      <c r="F671" s="38">
        <v>50.545918903303743</v>
      </c>
      <c r="G671" s="38">
        <v>44.82</v>
      </c>
      <c r="H671" s="38">
        <v>2.3233560060927569</v>
      </c>
      <c r="I671" s="38">
        <v>6.8937444193497557</v>
      </c>
      <c r="J671" s="10">
        <v>0</v>
      </c>
      <c r="K671" s="39">
        <v>0</v>
      </c>
      <c r="L671" s="39">
        <v>0</v>
      </c>
      <c r="M671" s="39">
        <v>0</v>
      </c>
      <c r="N671" s="39">
        <v>0</v>
      </c>
      <c r="O671" s="39">
        <v>0</v>
      </c>
      <c r="P671" s="39">
        <v>0</v>
      </c>
      <c r="Q671" s="39">
        <v>0</v>
      </c>
      <c r="R671" s="39">
        <v>0</v>
      </c>
      <c r="S671" s="39">
        <v>0</v>
      </c>
      <c r="T671" s="39">
        <v>0</v>
      </c>
      <c r="U671" s="29" cm="1">
        <f t="array" aca="1" ref="U671" ca="1">+fair_value_gap(OFFSET(T670,0,0,-1*$J$5,-1*$AA$1),OFFSET(E670,0,0,-1*$J$5,1),F671:T671,0)</f>
        <v>19.36708792435897</v>
      </c>
      <c r="V671" s="9" cm="1">
        <f t="array" aca="1" ref="V671" ca="1">z_score_diff(OFFSET(U671,0,0,$J$5*-1,1),OFFSET(E671,0,0,$J$5*-1,1))</f>
        <v>8.2276050804155787E-2</v>
      </c>
      <c r="W671" s="9">
        <f t="shared" ca="1" si="706"/>
        <v>-9.9201217609579145E-2</v>
      </c>
      <c r="X671" s="17">
        <f t="shared" ca="1" si="701"/>
        <v>-5.6891946868790524E-2</v>
      </c>
      <c r="Y671" s="13">
        <f t="shared" ref="Y671:Z671" ca="1" si="731">+Y670</f>
        <v>0</v>
      </c>
      <c r="Z671" s="13">
        <f t="shared" ca="1" si="731"/>
        <v>0</v>
      </c>
      <c r="AA671">
        <f t="shared" ca="1" si="708"/>
        <v>1</v>
      </c>
      <c r="AB671">
        <f t="shared" ca="1" si="709"/>
        <v>0</v>
      </c>
      <c r="AC671" s="24">
        <f t="shared" ca="1" si="710"/>
        <v>-5.6891946868790524E-2</v>
      </c>
      <c r="AD671" s="24">
        <f t="shared" ca="1" si="711"/>
        <v>0</v>
      </c>
    </row>
    <row r="672" spans="3:30" x14ac:dyDescent="0.25">
      <c r="C672" s="6">
        <v>766</v>
      </c>
      <c r="D672" s="36">
        <v>43091</v>
      </c>
      <c r="E672" s="38">
        <v>19.187000000000001</v>
      </c>
      <c r="F672" s="38">
        <v>50.872499104328476</v>
      </c>
      <c r="G672" s="38">
        <v>44.96</v>
      </c>
      <c r="H672" s="38">
        <v>2.3517540370955921</v>
      </c>
      <c r="I672" s="38">
        <v>6.9435086000900599</v>
      </c>
      <c r="J672" s="10">
        <v>0</v>
      </c>
      <c r="K672" s="39">
        <v>0</v>
      </c>
      <c r="L672" s="39">
        <v>0</v>
      </c>
      <c r="M672" s="39">
        <v>0</v>
      </c>
      <c r="N672" s="39">
        <v>0</v>
      </c>
      <c r="O672" s="39">
        <v>0</v>
      </c>
      <c r="P672" s="39">
        <v>0</v>
      </c>
      <c r="Q672" s="39">
        <v>0</v>
      </c>
      <c r="R672" s="39">
        <v>0</v>
      </c>
      <c r="S672" s="39">
        <v>0</v>
      </c>
      <c r="T672" s="39">
        <v>0</v>
      </c>
      <c r="U672" s="29" cm="1">
        <f t="array" aca="1" ref="U672" ca="1">+fair_value_gap(OFFSET(T671,0,0,-1*$J$5,-1*$AA$1),OFFSET(E671,0,0,-1*$J$5,1),F672:T672,0)</f>
        <v>19.445077106931159</v>
      </c>
      <c r="V672" s="9" cm="1">
        <f t="array" aca="1" ref="V672" ca="1">z_score_diff(OFFSET(U672,0,0,$J$5*-1,1),OFFSET(E672,0,0,$J$5*-1,1))</f>
        <v>0.1416104255330517</v>
      </c>
      <c r="W672" s="9">
        <f t="shared" ca="1" si="706"/>
        <v>-8.3459631907697049E-2</v>
      </c>
      <c r="X672" s="17">
        <f t="shared" ca="1" si="701"/>
        <v>-4.9191558106474992E-2</v>
      </c>
      <c r="Y672" s="13">
        <f t="shared" ref="Y672:Z672" ca="1" si="732">+Y671</f>
        <v>0</v>
      </c>
      <c r="Z672" s="13">
        <f t="shared" ca="1" si="732"/>
        <v>0</v>
      </c>
      <c r="AA672">
        <f t="shared" ca="1" si="708"/>
        <v>1</v>
      </c>
      <c r="AB672">
        <f t="shared" ca="1" si="709"/>
        <v>0</v>
      </c>
      <c r="AC672" s="24">
        <f t="shared" ca="1" si="710"/>
        <v>-4.9191558106474992E-2</v>
      </c>
      <c r="AD672" s="24">
        <f t="shared" ca="1" si="711"/>
        <v>0</v>
      </c>
    </row>
    <row r="673" spans="3:30" x14ac:dyDescent="0.25">
      <c r="C673" s="6">
        <v>767</v>
      </c>
      <c r="D673" s="36">
        <v>43096</v>
      </c>
      <c r="E673" s="38">
        <v>19.015999999999998</v>
      </c>
      <c r="F673" s="38">
        <v>51.544743837870143</v>
      </c>
      <c r="G673" s="38">
        <v>44.92</v>
      </c>
      <c r="H673" s="38">
        <v>2.3968961670154627</v>
      </c>
      <c r="I673" s="38">
        <v>6.9472281174610275</v>
      </c>
      <c r="J673" s="10">
        <v>0</v>
      </c>
      <c r="K673" s="39">
        <v>0</v>
      </c>
      <c r="L673" s="39">
        <v>0</v>
      </c>
      <c r="M673" s="39">
        <v>0</v>
      </c>
      <c r="N673" s="39">
        <v>0</v>
      </c>
      <c r="O673" s="39">
        <v>0</v>
      </c>
      <c r="P673" s="39">
        <v>0</v>
      </c>
      <c r="Q673" s="39">
        <v>0</v>
      </c>
      <c r="R673" s="39">
        <v>0</v>
      </c>
      <c r="S673" s="39">
        <v>0</v>
      </c>
      <c r="T673" s="39">
        <v>0</v>
      </c>
      <c r="U673" s="29" cm="1">
        <f t="array" aca="1" ref="U673" ca="1">+fair_value_gap(OFFSET(T672,0,0,-1*$J$5,-1*$AA$1),OFFSET(E672,0,0,-1*$J$5,1),F673:T673,0)</f>
        <v>19.496052295319508</v>
      </c>
      <c r="V673" s="9" cm="1">
        <f t="array" aca="1" ref="V673" ca="1">z_score_diff(OFFSET(U673,0,0,$J$5*-1,1),OFFSET(E673,0,0,$J$5*-1,1))</f>
        <v>0.28497538445729109</v>
      </c>
      <c r="W673" s="9">
        <f t="shared" ca="1" si="706"/>
        <v>-6.1095130925450408E-2</v>
      </c>
      <c r="X673" s="17">
        <f t="shared" ca="1" si="701"/>
        <v>-4.876124157549392E-2</v>
      </c>
      <c r="Y673" s="13">
        <f t="shared" ref="Y673:Z673" ca="1" si="733">+Y672</f>
        <v>0</v>
      </c>
      <c r="Z673" s="13">
        <f t="shared" ca="1" si="733"/>
        <v>0</v>
      </c>
      <c r="AA673">
        <f t="shared" ca="1" si="708"/>
        <v>1</v>
      </c>
      <c r="AB673">
        <f t="shared" ca="1" si="709"/>
        <v>0</v>
      </c>
      <c r="AC673" s="24">
        <f t="shared" ca="1" si="710"/>
        <v>-4.876124157549392E-2</v>
      </c>
      <c r="AD673" s="24">
        <f t="shared" ca="1" si="711"/>
        <v>0</v>
      </c>
    </row>
    <row r="674" spans="3:30" x14ac:dyDescent="0.25">
      <c r="C674" s="6">
        <v>768</v>
      </c>
      <c r="D674" s="36">
        <v>43097</v>
      </c>
      <c r="E674" s="38">
        <v>19.215</v>
      </c>
      <c r="F674" s="38">
        <v>51.431371748274593</v>
      </c>
      <c r="G674" s="38">
        <v>44.99</v>
      </c>
      <c r="H674" s="38">
        <v>2.4968350553354841</v>
      </c>
      <c r="I674" s="38">
        <v>6.922040266263731</v>
      </c>
      <c r="J674" s="10">
        <v>0</v>
      </c>
      <c r="K674" s="39">
        <v>0</v>
      </c>
      <c r="L674" s="39">
        <v>0</v>
      </c>
      <c r="M674" s="39">
        <v>0</v>
      </c>
      <c r="N674" s="39">
        <v>0</v>
      </c>
      <c r="O674" s="39">
        <v>0</v>
      </c>
      <c r="P674" s="39">
        <v>0</v>
      </c>
      <c r="Q674" s="39">
        <v>0</v>
      </c>
      <c r="R674" s="39">
        <v>0</v>
      </c>
      <c r="S674" s="39">
        <v>0</v>
      </c>
      <c r="T674" s="39">
        <v>0</v>
      </c>
      <c r="U674" s="29" cm="1">
        <f t="array" aca="1" ref="U674" ca="1">+fair_value_gap(OFFSET(T673,0,0,-1*$J$5,-1*$AA$1),OFFSET(E673,0,0,-1*$J$5,1),F674:T674,0)</f>
        <v>19.512209663411916</v>
      </c>
      <c r="V674" s="9" cm="1">
        <f t="array" aca="1" ref="V674" ca="1">z_score_diff(OFFSET(U674,0,0,$J$5*-1,1),OFFSET(E674,0,0,$J$5*-1,1))</f>
        <v>0.1610403372279583</v>
      </c>
      <c r="W674" s="9">
        <f t="shared" ca="1" si="706"/>
        <v>-4.5559585225871009E-2</v>
      </c>
      <c r="X674" s="17">
        <f t="shared" ca="1" si="701"/>
        <v>-6.5486146677741552E-2</v>
      </c>
      <c r="Y674" s="13">
        <f t="shared" ref="Y674:Z674" ca="1" si="734">+Y673</f>
        <v>0</v>
      </c>
      <c r="Z674" s="13">
        <f t="shared" ca="1" si="734"/>
        <v>0</v>
      </c>
      <c r="AA674">
        <f t="shared" ca="1" si="708"/>
        <v>1</v>
      </c>
      <c r="AB674">
        <f t="shared" ca="1" si="709"/>
        <v>0</v>
      </c>
      <c r="AC674" s="24">
        <f t="shared" ca="1" si="710"/>
        <v>-6.5486146677741552E-2</v>
      </c>
      <c r="AD674" s="24">
        <f t="shared" ca="1" si="711"/>
        <v>0</v>
      </c>
    </row>
    <row r="675" spans="3:30" x14ac:dyDescent="0.25">
      <c r="C675" s="6">
        <v>769</v>
      </c>
      <c r="D675" s="36">
        <v>43098</v>
      </c>
      <c r="E675" s="38">
        <v>19.783999999999999</v>
      </c>
      <c r="F675" s="38">
        <v>51.227908066321348</v>
      </c>
      <c r="G675" s="38">
        <v>44.9</v>
      </c>
      <c r="H675" s="38">
        <v>2.5060842291574481</v>
      </c>
      <c r="I675" s="38">
        <v>6.9342317603269219</v>
      </c>
      <c r="J675" s="10">
        <v>0</v>
      </c>
      <c r="K675" s="39">
        <v>0</v>
      </c>
      <c r="L675" s="39">
        <v>0</v>
      </c>
      <c r="M675" s="39">
        <v>0</v>
      </c>
      <c r="N675" s="39">
        <v>0</v>
      </c>
      <c r="O675" s="39">
        <v>0</v>
      </c>
      <c r="P675" s="39">
        <v>0</v>
      </c>
      <c r="Q675" s="39">
        <v>0</v>
      </c>
      <c r="R675" s="39">
        <v>0</v>
      </c>
      <c r="S675" s="39">
        <v>0</v>
      </c>
      <c r="T675" s="39">
        <v>0</v>
      </c>
      <c r="U675" s="29" cm="1">
        <f t="array" aca="1" ref="U675" ca="1">+fair_value_gap(OFFSET(T674,0,0,-1*$J$5,-1*$AA$1),OFFSET(E674,0,0,-1*$J$5,1),F675:T675,0)</f>
        <v>19.466662345605151</v>
      </c>
      <c r="V675" s="9" cm="1">
        <f t="array" aca="1" ref="V675" ca="1">z_score_diff(OFFSET(U675,0,0,$J$5*-1,1),OFFSET(E675,0,0,$J$5*-1,1))</f>
        <v>-0.24670391836996775</v>
      </c>
      <c r="W675" s="9">
        <f t="shared" ca="1" si="706"/>
        <v>-4.6699025631389994E-2</v>
      </c>
      <c r="X675" s="17">
        <f t="shared" ca="1" si="701"/>
        <v>-9.6670789607790464E-2</v>
      </c>
      <c r="Y675" s="13">
        <f t="shared" ref="Y675:Z675" ca="1" si="735">+Y674</f>
        <v>0</v>
      </c>
      <c r="Z675" s="13">
        <f t="shared" ca="1" si="735"/>
        <v>0</v>
      </c>
      <c r="AA675">
        <f t="shared" ca="1" si="708"/>
        <v>1</v>
      </c>
      <c r="AB675">
        <f t="shared" ca="1" si="709"/>
        <v>0</v>
      </c>
      <c r="AC675" s="24">
        <f t="shared" ca="1" si="710"/>
        <v>-9.6670789607790464E-2</v>
      </c>
      <c r="AD675" s="24">
        <f t="shared" ca="1" si="711"/>
        <v>0</v>
      </c>
    </row>
    <row r="676" spans="3:30" x14ac:dyDescent="0.25">
      <c r="C676" s="6">
        <v>770</v>
      </c>
      <c r="D676" s="36">
        <v>43102</v>
      </c>
      <c r="E676" s="38">
        <v>19.728000000000002</v>
      </c>
      <c r="F676" s="38">
        <v>50.899601103094341</v>
      </c>
      <c r="G676" s="38">
        <v>44.85</v>
      </c>
      <c r="H676" s="38">
        <v>2.512621758204244</v>
      </c>
      <c r="I676" s="38">
        <v>6.916585973163647</v>
      </c>
      <c r="J676" s="10">
        <v>1</v>
      </c>
      <c r="K676" s="39">
        <v>0</v>
      </c>
      <c r="L676" s="39">
        <v>0</v>
      </c>
      <c r="M676" s="39">
        <v>0</v>
      </c>
      <c r="N676" s="39">
        <v>0</v>
      </c>
      <c r="O676" s="39">
        <v>0</v>
      </c>
      <c r="P676" s="39">
        <v>0</v>
      </c>
      <c r="Q676" s="39">
        <v>0</v>
      </c>
      <c r="R676" s="39">
        <v>0</v>
      </c>
      <c r="S676" s="39">
        <v>0</v>
      </c>
      <c r="T676" s="39">
        <v>0</v>
      </c>
      <c r="U676" s="29" cm="1">
        <f t="array" aca="1" ref="U676" ca="1">+fair_value_gap(OFFSET(T675,0,0,-1*$J$5,-1*$AA$1),OFFSET(E675,0,0,-1*$J$5,1),F676:T676,0)</f>
        <v>20.455271908045557</v>
      </c>
      <c r="V676" s="9" cm="1">
        <f t="array" aca="1" ref="V676" ca="1">z_score_diff(OFFSET(U676,0,0,$J$5*-1,1),OFFSET(E676,0,0,$J$5*-1,1))</f>
        <v>0.43982687876911686</v>
      </c>
      <c r="W676" s="9">
        <f t="shared" ca="1" si="706"/>
        <v>-2.1939549789902084E-2</v>
      </c>
      <c r="X676" s="17">
        <f t="shared" ca="1" si="701"/>
        <v>-8.9281148495827273E-2</v>
      </c>
      <c r="Y676" s="13">
        <f t="shared" ref="Y676:Z676" ca="1" si="736">+Y675</f>
        <v>0</v>
      </c>
      <c r="Z676" s="13">
        <f t="shared" ca="1" si="736"/>
        <v>0</v>
      </c>
      <c r="AA676">
        <f t="shared" ca="1" si="708"/>
        <v>1</v>
      </c>
      <c r="AB676">
        <f t="shared" ca="1" si="709"/>
        <v>0</v>
      </c>
      <c r="AC676" s="24">
        <f t="shared" ca="1" si="710"/>
        <v>-8.9281148495827273E-2</v>
      </c>
      <c r="AD676" s="24">
        <f t="shared" ca="1" si="711"/>
        <v>0</v>
      </c>
    </row>
    <row r="677" spans="3:30" x14ac:dyDescent="0.25">
      <c r="C677" s="6">
        <v>771</v>
      </c>
      <c r="D677" s="36">
        <v>43103</v>
      </c>
      <c r="E677" s="38">
        <v>19.763000000000002</v>
      </c>
      <c r="F677" s="38">
        <v>51.610703660560993</v>
      </c>
      <c r="G677" s="38">
        <v>44.57</v>
      </c>
      <c r="H677" s="38">
        <v>2.5115369161021657</v>
      </c>
      <c r="I677" s="38">
        <v>7.009412175353007</v>
      </c>
      <c r="J677" s="10">
        <v>1</v>
      </c>
      <c r="K677" s="39">
        <v>0</v>
      </c>
      <c r="L677" s="39">
        <v>0</v>
      </c>
      <c r="M677" s="39">
        <v>0</v>
      </c>
      <c r="N677" s="39">
        <v>0</v>
      </c>
      <c r="O677" s="39">
        <v>0</v>
      </c>
      <c r="P677" s="39">
        <v>0</v>
      </c>
      <c r="Q677" s="39">
        <v>0</v>
      </c>
      <c r="R677" s="39">
        <v>0</v>
      </c>
      <c r="S677" s="39">
        <v>0</v>
      </c>
      <c r="T677" s="39">
        <v>0</v>
      </c>
      <c r="U677" s="29" cm="1">
        <f t="array" aca="1" ref="U677" ca="1">+fair_value_gap(OFFSET(T676,0,0,-1*$J$5,-1*$AA$1),OFFSET(E676,0,0,-1*$J$5,1),F677:T677,0)</f>
        <v>20.074307359284013</v>
      </c>
      <c r="V677" s="9" cm="1">
        <f t="array" aca="1" ref="V677" ca="1">z_score_diff(OFFSET(U677,0,0,$J$5*-1,1),OFFSET(E677,0,0,$J$5*-1,1))</f>
        <v>0.15687577185403545</v>
      </c>
      <c r="W677" s="9">
        <f t="shared" ca="1" si="706"/>
        <v>-1.1138925712942904E-2</v>
      </c>
      <c r="X677" s="17">
        <f t="shared" ca="1" si="701"/>
        <v>-8.8286379521337957E-2</v>
      </c>
      <c r="Y677" s="13">
        <f t="shared" ref="Y677:Z677" ca="1" si="737">+Y676</f>
        <v>0</v>
      </c>
      <c r="Z677" s="13">
        <f t="shared" ca="1" si="737"/>
        <v>0</v>
      </c>
      <c r="AA677">
        <f t="shared" ca="1" si="708"/>
        <v>1</v>
      </c>
      <c r="AB677">
        <f t="shared" ca="1" si="709"/>
        <v>0</v>
      </c>
      <c r="AC677" s="24">
        <f t="shared" ca="1" si="710"/>
        <v>-8.8286379521337957E-2</v>
      </c>
      <c r="AD677" s="24">
        <f t="shared" ca="1" si="711"/>
        <v>0</v>
      </c>
    </row>
    <row r="678" spans="3:30" x14ac:dyDescent="0.25">
      <c r="C678" s="6">
        <v>772</v>
      </c>
      <c r="D678" s="36">
        <v>43104</v>
      </c>
      <c r="E678" s="38">
        <v>19.73</v>
      </c>
      <c r="F678" s="38">
        <v>51.512420163017666</v>
      </c>
      <c r="G678" s="38">
        <v>44.23</v>
      </c>
      <c r="H678" s="38">
        <v>2.4577029563509369</v>
      </c>
      <c r="I678" s="38">
        <v>7.0064321874283211</v>
      </c>
      <c r="J678" s="10">
        <v>1</v>
      </c>
      <c r="K678" s="39">
        <v>0</v>
      </c>
      <c r="L678" s="39">
        <v>0</v>
      </c>
      <c r="M678" s="39">
        <v>0</v>
      </c>
      <c r="N678" s="39">
        <v>0</v>
      </c>
      <c r="O678" s="39">
        <v>0</v>
      </c>
      <c r="P678" s="39">
        <v>0</v>
      </c>
      <c r="Q678" s="39">
        <v>0</v>
      </c>
      <c r="R678" s="39">
        <v>0</v>
      </c>
      <c r="S678" s="39">
        <v>0</v>
      </c>
      <c r="T678" s="39">
        <v>0</v>
      </c>
      <c r="U678" s="29" cm="1">
        <f t="array" aca="1" ref="U678" ca="1">+fair_value_gap(OFFSET(T677,0,0,-1*$J$5,-1*$AA$1),OFFSET(E677,0,0,-1*$J$5,1),F678:T678,0)</f>
        <v>19.819871753039482</v>
      </c>
      <c r="V678" s="9" cm="1">
        <f t="array" aca="1" ref="V678" ca="1">z_score_diff(OFFSET(U678,0,0,$J$5*-1,1),OFFSET(E678,0,0,$J$5*-1,1))</f>
        <v>9.1938776452260562E-3</v>
      </c>
      <c r="W678" s="9">
        <f t="shared" ca="1" si="706"/>
        <v>-7.3254883293455788E-4</v>
      </c>
      <c r="X678" s="17">
        <f t="shared" ca="1" si="701"/>
        <v>-9.3492269090207303E-2</v>
      </c>
      <c r="Y678" s="13">
        <f t="shared" ref="Y678:Z678" ca="1" si="738">+Y677</f>
        <v>0</v>
      </c>
      <c r="Z678" s="13">
        <f t="shared" ca="1" si="738"/>
        <v>0</v>
      </c>
      <c r="AA678">
        <f t="shared" ca="1" si="708"/>
        <v>1</v>
      </c>
      <c r="AB678">
        <f t="shared" ca="1" si="709"/>
        <v>0</v>
      </c>
      <c r="AC678" s="24">
        <f t="shared" ca="1" si="710"/>
        <v>-9.3492269090207303E-2</v>
      </c>
      <c r="AD678" s="24">
        <f t="shared" ca="1" si="711"/>
        <v>0</v>
      </c>
    </row>
    <row r="679" spans="3:30" x14ac:dyDescent="0.25">
      <c r="C679" s="6">
        <v>773</v>
      </c>
      <c r="D679" s="36">
        <v>43105</v>
      </c>
      <c r="E679" s="38">
        <v>19.661000000000001</v>
      </c>
      <c r="F679" s="38">
        <v>51.556157187987289</v>
      </c>
      <c r="G679" s="38">
        <v>44.04</v>
      </c>
      <c r="H679" s="38">
        <v>2.4417928718431163</v>
      </c>
      <c r="I679" s="38">
        <v>7.047681349268677</v>
      </c>
      <c r="J679" s="10">
        <v>1</v>
      </c>
      <c r="K679" s="39">
        <v>0</v>
      </c>
      <c r="L679" s="39">
        <v>0</v>
      </c>
      <c r="M679" s="39">
        <v>0</v>
      </c>
      <c r="N679" s="39">
        <v>0</v>
      </c>
      <c r="O679" s="39">
        <v>0</v>
      </c>
      <c r="P679" s="39">
        <v>0</v>
      </c>
      <c r="Q679" s="39">
        <v>0</v>
      </c>
      <c r="R679" s="39">
        <v>0</v>
      </c>
      <c r="S679" s="39">
        <v>0</v>
      </c>
      <c r="T679" s="39">
        <v>0</v>
      </c>
      <c r="U679" s="29" cm="1">
        <f t="array" aca="1" ref="U679" ca="1">+fair_value_gap(OFFSET(T678,0,0,-1*$J$5,-1*$AA$1),OFFSET(E678,0,0,-1*$J$5,1),F679:T679,0)</f>
        <v>19.759540491143682</v>
      </c>
      <c r="V679" s="9" cm="1">
        <f t="array" aca="1" ref="V679" ca="1">z_score_diff(OFFSET(U679,0,0,$J$5*-1,1),OFFSET(E679,0,0,$J$5*-1,1))</f>
        <v>1.6035119148722687E-2</v>
      </c>
      <c r="W679" s="9">
        <f t="shared" ca="1" si="706"/>
        <v>1.0728138960263301E-2</v>
      </c>
      <c r="X679" s="17">
        <f t="shared" ca="1" si="701"/>
        <v>-8.2448834907749347E-2</v>
      </c>
      <c r="Y679" s="13">
        <f t="shared" ref="Y679:Z679" ca="1" si="739">+Y678</f>
        <v>0</v>
      </c>
      <c r="Z679" s="13">
        <f t="shared" ca="1" si="739"/>
        <v>0</v>
      </c>
      <c r="AA679">
        <f t="shared" ca="1" si="708"/>
        <v>0</v>
      </c>
      <c r="AB679">
        <f t="shared" ca="1" si="709"/>
        <v>1</v>
      </c>
      <c r="AC679" s="24">
        <f t="shared" ca="1" si="710"/>
        <v>0</v>
      </c>
      <c r="AD679" s="24">
        <f t="shared" ca="1" si="711"/>
        <v>-8.2448834907749347E-2</v>
      </c>
    </row>
    <row r="680" spans="3:30" x14ac:dyDescent="0.25">
      <c r="C680" s="6">
        <v>774</v>
      </c>
      <c r="D680" s="36">
        <v>43108</v>
      </c>
      <c r="E680" s="38">
        <v>19.791</v>
      </c>
      <c r="F680" s="38">
        <v>52.141551276327412</v>
      </c>
      <c r="G680" s="38">
        <v>43.97</v>
      </c>
      <c r="H680" s="38">
        <v>2.4718354151933961</v>
      </c>
      <c r="I680" s="38">
        <v>7.0879921266257568</v>
      </c>
      <c r="J680" s="10">
        <v>1</v>
      </c>
      <c r="K680" s="39">
        <v>0</v>
      </c>
      <c r="L680" s="39">
        <v>0</v>
      </c>
      <c r="M680" s="39">
        <v>0</v>
      </c>
      <c r="N680" s="39">
        <v>0</v>
      </c>
      <c r="O680" s="39">
        <v>0</v>
      </c>
      <c r="P680" s="39">
        <v>0</v>
      </c>
      <c r="Q680" s="39">
        <v>0</v>
      </c>
      <c r="R680" s="39">
        <v>0</v>
      </c>
      <c r="S680" s="39">
        <v>0</v>
      </c>
      <c r="T680" s="39">
        <v>0</v>
      </c>
      <c r="U680" s="29" cm="1">
        <f t="array" aca="1" ref="U680" ca="1">+fair_value_gap(OFFSET(T679,0,0,-1*$J$5,-1*$AA$1),OFFSET(E679,0,0,-1*$J$5,1),F680:T680,0)</f>
        <v>19.824536500647291</v>
      </c>
      <c r="V680" s="9" cm="1">
        <f t="array" aca="1" ref="V680" ca="1">z_score_diff(OFFSET(U680,0,0,$J$5*-1,1),OFFSET(E680,0,0,$J$5*-1,1))</f>
        <v>-2.2485375146208408E-2</v>
      </c>
      <c r="W680" s="9">
        <f t="shared" ca="1" si="706"/>
        <v>2.0164810093225904E-2</v>
      </c>
      <c r="X680" s="17">
        <f t="shared" ca="1" si="701"/>
        <v>-6.6160100290338017E-2</v>
      </c>
      <c r="Y680" s="13">
        <f t="shared" ref="Y680:Z680" ca="1" si="740">+Y679</f>
        <v>0</v>
      </c>
      <c r="Z680" s="13">
        <f t="shared" ca="1" si="740"/>
        <v>0</v>
      </c>
      <c r="AA680">
        <f t="shared" ca="1" si="708"/>
        <v>0</v>
      </c>
      <c r="AB680">
        <f t="shared" ca="1" si="709"/>
        <v>1</v>
      </c>
      <c r="AC680" s="24">
        <f t="shared" ca="1" si="710"/>
        <v>0</v>
      </c>
      <c r="AD680" s="24">
        <f t="shared" ca="1" si="711"/>
        <v>-6.6160100290338017E-2</v>
      </c>
    </row>
    <row r="681" spans="3:30" x14ac:dyDescent="0.25">
      <c r="C681" s="6">
        <v>775</v>
      </c>
      <c r="D681" s="36">
        <v>43109</v>
      </c>
      <c r="E681" s="38">
        <v>19.995000000000001</v>
      </c>
      <c r="F681" s="38">
        <v>52.871823383943656</v>
      </c>
      <c r="G681" s="38">
        <v>44.47</v>
      </c>
      <c r="H681" s="38">
        <v>2.5080642593495197</v>
      </c>
      <c r="I681" s="38">
        <v>7.1437377178737949</v>
      </c>
      <c r="J681" s="10">
        <v>1</v>
      </c>
      <c r="K681" s="39">
        <v>0</v>
      </c>
      <c r="L681" s="39">
        <v>0</v>
      </c>
      <c r="M681" s="39">
        <v>0</v>
      </c>
      <c r="N681" s="39">
        <v>0</v>
      </c>
      <c r="O681" s="39">
        <v>0</v>
      </c>
      <c r="P681" s="39">
        <v>0</v>
      </c>
      <c r="Q681" s="39">
        <v>0</v>
      </c>
      <c r="R681" s="39">
        <v>0</v>
      </c>
      <c r="S681" s="39">
        <v>0</v>
      </c>
      <c r="T681" s="39">
        <v>0</v>
      </c>
      <c r="U681" s="29" cm="1">
        <f t="array" aca="1" ref="U681" ca="1">+fair_value_gap(OFFSET(T680,0,0,-1*$J$5,-1*$AA$1),OFFSET(E680,0,0,-1*$J$5,1),F681:T681,0)</f>
        <v>20.05148648481925</v>
      </c>
      <c r="V681" s="9" cm="1">
        <f t="array" aca="1" ref="V681" ca="1">z_score_diff(OFFSET(U681,0,0,$J$5*-1,1),OFFSET(E681,0,0,$J$5*-1,1))</f>
        <v>-3.662623172926871E-3</v>
      </c>
      <c r="W681" s="9">
        <f t="shared" ca="1" si="706"/>
        <v>3.0175684579985932E-2</v>
      </c>
      <c r="X681" s="17">
        <f t="shared" ca="1" si="701"/>
        <v>-6.7172645062224853E-2</v>
      </c>
      <c r="Y681" s="13">
        <f t="shared" ref="Y681:Z681" ca="1" si="741">+Y680</f>
        <v>0</v>
      </c>
      <c r="Z681" s="13">
        <f t="shared" ca="1" si="741"/>
        <v>0</v>
      </c>
      <c r="AA681">
        <f t="shared" ca="1" si="708"/>
        <v>0</v>
      </c>
      <c r="AB681">
        <f t="shared" ca="1" si="709"/>
        <v>1</v>
      </c>
      <c r="AC681" s="24">
        <f t="shared" ca="1" si="710"/>
        <v>0</v>
      </c>
      <c r="AD681" s="24">
        <f t="shared" ca="1" si="711"/>
        <v>-6.7172645062224853E-2</v>
      </c>
    </row>
    <row r="682" spans="3:30" x14ac:dyDescent="0.25">
      <c r="C682" s="6">
        <v>776</v>
      </c>
      <c r="D682" s="36">
        <v>43110</v>
      </c>
      <c r="E682" s="38">
        <v>20.327000000000002</v>
      </c>
      <c r="F682" s="38">
        <v>52.945630477643583</v>
      </c>
      <c r="G682" s="38">
        <v>44.33</v>
      </c>
      <c r="H682" s="38">
        <v>2.49731237351447</v>
      </c>
      <c r="I682" s="38">
        <v>7.1316851397688028</v>
      </c>
      <c r="J682" s="10">
        <v>1</v>
      </c>
      <c r="K682" s="39">
        <v>0</v>
      </c>
      <c r="L682" s="39">
        <v>0</v>
      </c>
      <c r="M682" s="39">
        <v>0</v>
      </c>
      <c r="N682" s="39">
        <v>0</v>
      </c>
      <c r="O682" s="39">
        <v>0</v>
      </c>
      <c r="P682" s="39">
        <v>0</v>
      </c>
      <c r="Q682" s="39">
        <v>0</v>
      </c>
      <c r="R682" s="39">
        <v>0</v>
      </c>
      <c r="S682" s="39">
        <v>0</v>
      </c>
      <c r="T682" s="39">
        <v>0</v>
      </c>
      <c r="U682" s="29" cm="1">
        <f t="array" aca="1" ref="U682" ca="1">+fair_value_gap(OFFSET(T681,0,0,-1*$J$5,-1*$AA$1),OFFSET(E681,0,0,-1*$J$5,1),F682:T682,0)</f>
        <v>20.007028843525568</v>
      </c>
      <c r="V682" s="9" cm="1">
        <f t="array" aca="1" ref="V682" ca="1">z_score_diff(OFFSET(U682,0,0,$J$5*-1,1),OFFSET(E682,0,0,$J$5*-1,1))</f>
        <v>-0.24276999346911077</v>
      </c>
      <c r="W682" s="9">
        <f t="shared" ca="1" si="706"/>
        <v>3.2794029999627682E-2</v>
      </c>
      <c r="X682" s="17">
        <f t="shared" ca="1" si="701"/>
        <v>-8.4710774468134423E-2</v>
      </c>
      <c r="Y682" s="13">
        <f t="shared" ref="Y682:Z682" ca="1" si="742">+Y681</f>
        <v>0</v>
      </c>
      <c r="Z682" s="13">
        <f t="shared" ca="1" si="742"/>
        <v>0</v>
      </c>
      <c r="AA682">
        <f t="shared" ca="1" si="708"/>
        <v>0</v>
      </c>
      <c r="AB682">
        <f t="shared" ca="1" si="709"/>
        <v>1</v>
      </c>
      <c r="AC682" s="24">
        <f t="shared" ca="1" si="710"/>
        <v>0</v>
      </c>
      <c r="AD682" s="24">
        <f t="shared" ca="1" si="711"/>
        <v>-8.4710774468134423E-2</v>
      </c>
    </row>
    <row r="683" spans="3:30" x14ac:dyDescent="0.25">
      <c r="C683" s="6">
        <v>777</v>
      </c>
      <c r="D683" s="36">
        <v>43111</v>
      </c>
      <c r="E683" s="38">
        <v>20.082999999999998</v>
      </c>
      <c r="F683" s="38">
        <v>52.579233308604145</v>
      </c>
      <c r="G683" s="38">
        <v>44.39</v>
      </c>
      <c r="H683" s="38">
        <v>2.496946646494556</v>
      </c>
      <c r="I683" s="38">
        <v>7.2122315559630295</v>
      </c>
      <c r="J683" s="10">
        <v>1</v>
      </c>
      <c r="K683" s="39">
        <v>0</v>
      </c>
      <c r="L683" s="39">
        <v>0</v>
      </c>
      <c r="M683" s="39">
        <v>0</v>
      </c>
      <c r="N683" s="39">
        <v>0</v>
      </c>
      <c r="O683" s="39">
        <v>0</v>
      </c>
      <c r="P683" s="39">
        <v>0</v>
      </c>
      <c r="Q683" s="39">
        <v>0</v>
      </c>
      <c r="R683" s="39">
        <v>0</v>
      </c>
      <c r="S683" s="39">
        <v>0</v>
      </c>
      <c r="T683" s="39">
        <v>0</v>
      </c>
      <c r="U683" s="29" cm="1">
        <f t="array" aca="1" ref="U683" ca="1">+fair_value_gap(OFFSET(T682,0,0,-1*$J$5,-1*$AA$1),OFFSET(E682,0,0,-1*$J$5,1),F683:T683,0)</f>
        <v>20.052973347260156</v>
      </c>
      <c r="V683" s="9" cm="1">
        <f t="array" aca="1" ref="V683" ca="1">z_score_diff(OFFSET(U683,0,0,$J$5*-1,1),OFFSET(E683,0,0,$J$5*-1,1))</f>
        <v>-5.2895132424166658E-2</v>
      </c>
      <c r="W683" s="9">
        <f t="shared" ca="1" si="706"/>
        <v>3.4949195249365593E-2</v>
      </c>
      <c r="X683" s="17">
        <f t="shared" ca="1" si="701"/>
        <v>-7.6067152072138947E-2</v>
      </c>
      <c r="Y683" s="13">
        <f t="shared" ref="Y683:Z683" ca="1" si="743">+Y682</f>
        <v>0</v>
      </c>
      <c r="Z683" s="13">
        <f t="shared" ca="1" si="743"/>
        <v>0</v>
      </c>
      <c r="AA683">
        <f t="shared" ca="1" si="708"/>
        <v>0</v>
      </c>
      <c r="AB683">
        <f t="shared" ca="1" si="709"/>
        <v>1</v>
      </c>
      <c r="AC683" s="24">
        <f t="shared" ca="1" si="710"/>
        <v>0</v>
      </c>
      <c r="AD683" s="24">
        <f t="shared" ca="1" si="711"/>
        <v>-7.6067152072138947E-2</v>
      </c>
    </row>
    <row r="684" spans="3:30" x14ac:dyDescent="0.25">
      <c r="C684" s="6">
        <v>778</v>
      </c>
      <c r="D684" s="36">
        <v>43112</v>
      </c>
      <c r="E684" s="38">
        <v>20.138999999999999</v>
      </c>
      <c r="F684" s="38">
        <v>52.311553247658928</v>
      </c>
      <c r="G684" s="38">
        <v>44.38</v>
      </c>
      <c r="H684" s="38">
        <v>2.4784207845053516</v>
      </c>
      <c r="I684" s="38">
        <v>7.137755889548326</v>
      </c>
      <c r="J684" s="10">
        <v>1</v>
      </c>
      <c r="K684" s="39">
        <v>0</v>
      </c>
      <c r="L684" s="39">
        <v>0</v>
      </c>
      <c r="M684" s="39">
        <v>0</v>
      </c>
      <c r="N684" s="39">
        <v>0</v>
      </c>
      <c r="O684" s="39">
        <v>0</v>
      </c>
      <c r="P684" s="39">
        <v>0</v>
      </c>
      <c r="Q684" s="39">
        <v>0</v>
      </c>
      <c r="R684" s="39">
        <v>0</v>
      </c>
      <c r="S684" s="39">
        <v>0</v>
      </c>
      <c r="T684" s="39">
        <v>0</v>
      </c>
      <c r="U684" s="29" cm="1">
        <f t="array" aca="1" ref="U684" ca="1">+fair_value_gap(OFFSET(T683,0,0,-1*$J$5,-1*$AA$1),OFFSET(E683,0,0,-1*$J$5,1),F684:T684,0)</f>
        <v>19.980731573337543</v>
      </c>
      <c r="V684" s="9" cm="1">
        <f t="array" aca="1" ref="V684" ca="1">z_score_diff(OFFSET(U684,0,0,$J$5*-1,1),OFFSET(E684,0,0,$J$5*-1,1))</f>
        <v>-0.13376469505342636</v>
      </c>
      <c r="W684" s="9">
        <f t="shared" ca="1" si="706"/>
        <v>2.8786426290055619E-2</v>
      </c>
      <c r="X684" s="17">
        <f t="shared" ca="1" si="701"/>
        <v>-7.4509111394529454E-2</v>
      </c>
      <c r="Y684" s="13">
        <f t="shared" ref="Y684:Z684" ca="1" si="744">+Y683</f>
        <v>0</v>
      </c>
      <c r="Z684" s="13">
        <f t="shared" ca="1" si="744"/>
        <v>0</v>
      </c>
      <c r="AA684">
        <f t="shared" ca="1" si="708"/>
        <v>0</v>
      </c>
      <c r="AB684">
        <f t="shared" ca="1" si="709"/>
        <v>1</v>
      </c>
      <c r="AC684" s="24">
        <f t="shared" ca="1" si="710"/>
        <v>0</v>
      </c>
      <c r="AD684" s="24">
        <f t="shared" ca="1" si="711"/>
        <v>-7.4509111394529454E-2</v>
      </c>
    </row>
    <row r="685" spans="3:30" x14ac:dyDescent="0.25">
      <c r="C685" s="6">
        <v>779</v>
      </c>
      <c r="D685" s="36">
        <v>43115</v>
      </c>
      <c r="E685" s="38">
        <v>19.917999999999999</v>
      </c>
      <c r="F685" s="38">
        <v>52.435319579850287</v>
      </c>
      <c r="G685" s="38">
        <v>44.05</v>
      </c>
      <c r="H685" s="38">
        <v>2.4613307388360504</v>
      </c>
      <c r="I685" s="38">
        <v>7.0885372197843663</v>
      </c>
      <c r="J685" s="10">
        <v>1</v>
      </c>
      <c r="K685" s="39">
        <v>0</v>
      </c>
      <c r="L685" s="39">
        <v>0</v>
      </c>
      <c r="M685" s="39">
        <v>0</v>
      </c>
      <c r="N685" s="39">
        <v>0</v>
      </c>
      <c r="O685" s="39">
        <v>0</v>
      </c>
      <c r="P685" s="39">
        <v>0</v>
      </c>
      <c r="Q685" s="39">
        <v>0</v>
      </c>
      <c r="R685" s="39">
        <v>0</v>
      </c>
      <c r="S685" s="39">
        <v>0</v>
      </c>
      <c r="T685" s="39">
        <v>0</v>
      </c>
      <c r="U685" s="29" cm="1">
        <f t="array" aca="1" ref="U685" ca="1">+fair_value_gap(OFFSET(T684,0,0,-1*$J$5,-1*$AA$1),OFFSET(E684,0,0,-1*$J$5,1),F685:T685,0)</f>
        <v>19.9038053654211</v>
      </c>
      <c r="V685" s="9" cm="1">
        <f t="array" aca="1" ref="V685" ca="1">z_score_diff(OFFSET(U685,0,0,$J$5*-1,1),OFFSET(E685,0,0,$J$5*-1,1))</f>
        <v>-4.1638279421806201E-2</v>
      </c>
      <c r="W685" s="9">
        <f t="shared" ca="1" si="706"/>
        <v>2.8688305589801098E-2</v>
      </c>
      <c r="X685" s="17">
        <f t="shared" ca="1" si="701"/>
        <v>-8.2266787702202471E-2</v>
      </c>
      <c r="Y685" s="13">
        <f t="shared" ref="Y685:Z685" ca="1" si="745">+Y684</f>
        <v>0</v>
      </c>
      <c r="Z685" s="13">
        <f t="shared" ca="1" si="745"/>
        <v>0</v>
      </c>
      <c r="AA685">
        <f t="shared" ca="1" si="708"/>
        <v>0</v>
      </c>
      <c r="AB685">
        <f t="shared" ca="1" si="709"/>
        <v>1</v>
      </c>
      <c r="AC685" s="24">
        <f t="shared" ca="1" si="710"/>
        <v>0</v>
      </c>
      <c r="AD685" s="24">
        <f t="shared" ca="1" si="711"/>
        <v>-8.2266787702202471E-2</v>
      </c>
    </row>
    <row r="686" spans="3:30" x14ac:dyDescent="0.25">
      <c r="C686" s="6">
        <v>780</v>
      </c>
      <c r="D686" s="36">
        <v>43116</v>
      </c>
      <c r="E686" s="38">
        <v>19.771999999999998</v>
      </c>
      <c r="F686" s="38">
        <v>51.818452676531926</v>
      </c>
      <c r="G686" s="38">
        <v>43.9</v>
      </c>
      <c r="H686" s="38">
        <v>2.4574436388916472</v>
      </c>
      <c r="I686" s="38">
        <v>6.9718939318700963</v>
      </c>
      <c r="J686" s="10">
        <v>1</v>
      </c>
      <c r="K686" s="39">
        <v>0</v>
      </c>
      <c r="L686" s="39">
        <v>0</v>
      </c>
      <c r="M686" s="39">
        <v>0</v>
      </c>
      <c r="N686" s="39">
        <v>0</v>
      </c>
      <c r="O686" s="39">
        <v>0</v>
      </c>
      <c r="P686" s="39">
        <v>0</v>
      </c>
      <c r="Q686" s="39">
        <v>0</v>
      </c>
      <c r="R686" s="39">
        <v>0</v>
      </c>
      <c r="S686" s="39">
        <v>0</v>
      </c>
      <c r="T686" s="39">
        <v>0</v>
      </c>
      <c r="U686" s="29" cm="1">
        <f t="array" aca="1" ref="U686" ca="1">+fair_value_gap(OFFSET(T685,0,0,-1*$J$5,-1*$AA$1),OFFSET(E685,0,0,-1*$J$5,1),F686:T686,0)</f>
        <v>19.75658488369077</v>
      </c>
      <c r="V686" s="9" cm="1">
        <f t="array" aca="1" ref="V686" ca="1">z_score_diff(OFFSET(U686,0,0,$J$5*-1,1),OFFSET(E686,0,0,$J$5*-1,1))</f>
        <v>-4.2515513330974919E-2</v>
      </c>
      <c r="W686" s="9">
        <f t="shared" ca="1" si="706"/>
        <v>3.4684932471829945E-2</v>
      </c>
      <c r="X686" s="17">
        <f t="shared" ca="1" si="701"/>
        <v>-7.3547896217678474E-2</v>
      </c>
      <c r="Y686" s="13">
        <f t="shared" ref="Y686:Z686" ca="1" si="746">+Y685</f>
        <v>0</v>
      </c>
      <c r="Z686" s="13">
        <f t="shared" ca="1" si="746"/>
        <v>0</v>
      </c>
      <c r="AA686">
        <f t="shared" ca="1" si="708"/>
        <v>0</v>
      </c>
      <c r="AB686">
        <f t="shared" ca="1" si="709"/>
        <v>1</v>
      </c>
      <c r="AC686" s="24">
        <f t="shared" ca="1" si="710"/>
        <v>0</v>
      </c>
      <c r="AD686" s="24">
        <f t="shared" ca="1" si="711"/>
        <v>-7.3547896217678474E-2</v>
      </c>
    </row>
    <row r="687" spans="3:30" x14ac:dyDescent="0.25">
      <c r="C687" s="6">
        <v>781</v>
      </c>
      <c r="D687" s="36">
        <v>43117</v>
      </c>
      <c r="E687" s="38">
        <v>19.558</v>
      </c>
      <c r="F687" s="38">
        <v>52.160525832981023</v>
      </c>
      <c r="G687" s="38">
        <v>43.44</v>
      </c>
      <c r="H687" s="38">
        <v>2.4807957690865723</v>
      </c>
      <c r="I687" s="38">
        <v>6.9597887734020398</v>
      </c>
      <c r="J687" s="10">
        <v>1</v>
      </c>
      <c r="K687" s="39">
        <v>0</v>
      </c>
      <c r="L687" s="39">
        <v>0</v>
      </c>
      <c r="M687" s="39">
        <v>0</v>
      </c>
      <c r="N687" s="39">
        <v>0</v>
      </c>
      <c r="O687" s="39">
        <v>0</v>
      </c>
      <c r="P687" s="39">
        <v>0</v>
      </c>
      <c r="Q687" s="39">
        <v>0</v>
      </c>
      <c r="R687" s="39">
        <v>0</v>
      </c>
      <c r="S687" s="39">
        <v>0</v>
      </c>
      <c r="T687" s="39">
        <v>0</v>
      </c>
      <c r="U687" s="29" cm="1">
        <f t="array" aca="1" ref="U687" ca="1">+fair_value_gap(OFFSET(T686,0,0,-1*$J$5,-1*$AA$1),OFFSET(E686,0,0,-1*$J$5,1),F687:T687,0)</f>
        <v>19.708248534613915</v>
      </c>
      <c r="V687" s="9" cm="1">
        <f t="array" aca="1" ref="V687" ca="1">z_score_diff(OFFSET(U687,0,0,$J$5*-1,1),OFFSET(E687,0,0,$J$5*-1,1))</f>
        <v>6.4186327005747001E-2</v>
      </c>
      <c r="W687" s="9">
        <f t="shared" ca="1" si="706"/>
        <v>3.7375958171199271E-2</v>
      </c>
      <c r="X687" s="17">
        <f t="shared" ca="1" si="701"/>
        <v>-0.11101211508138485</v>
      </c>
      <c r="Y687" s="13">
        <f t="shared" ref="Y687:Z687" ca="1" si="747">+Y686</f>
        <v>0</v>
      </c>
      <c r="Z687" s="13">
        <f t="shared" ca="1" si="747"/>
        <v>0</v>
      </c>
      <c r="AA687">
        <f t="shared" ca="1" si="708"/>
        <v>0</v>
      </c>
      <c r="AB687">
        <f t="shared" ca="1" si="709"/>
        <v>1</v>
      </c>
      <c r="AC687" s="24">
        <f t="shared" ca="1" si="710"/>
        <v>0</v>
      </c>
      <c r="AD687" s="24">
        <f t="shared" ca="1" si="711"/>
        <v>-0.11101211508138485</v>
      </c>
    </row>
    <row r="688" spans="3:30" x14ac:dyDescent="0.25">
      <c r="C688" s="6">
        <v>782</v>
      </c>
      <c r="D688" s="36">
        <v>43118</v>
      </c>
      <c r="E688" s="38">
        <v>19.577999999999999</v>
      </c>
      <c r="F688" s="38">
        <v>52.087975046151882</v>
      </c>
      <c r="G688" s="38">
        <v>43.77</v>
      </c>
      <c r="H688" s="38">
        <v>2.4786746451078998</v>
      </c>
      <c r="I688" s="38">
        <v>6.9426761728945188</v>
      </c>
      <c r="J688" s="10">
        <v>1</v>
      </c>
      <c r="K688" s="39">
        <v>0</v>
      </c>
      <c r="L688" s="39">
        <v>0</v>
      </c>
      <c r="M688" s="39">
        <v>0</v>
      </c>
      <c r="N688" s="39">
        <v>0</v>
      </c>
      <c r="O688" s="39">
        <v>0</v>
      </c>
      <c r="P688" s="39">
        <v>0</v>
      </c>
      <c r="Q688" s="39">
        <v>0</v>
      </c>
      <c r="R688" s="39">
        <v>0</v>
      </c>
      <c r="S688" s="39">
        <v>0</v>
      </c>
      <c r="T688" s="39">
        <v>0</v>
      </c>
      <c r="U688" s="29" cm="1">
        <f t="array" aca="1" ref="U688" ca="1">+fair_value_gap(OFFSET(T687,0,0,-1*$J$5,-1*$AA$1),OFFSET(E687,0,0,-1*$J$5,1),F688:T688,0)</f>
        <v>19.747487363004751</v>
      </c>
      <c r="V688" s="9" cm="1">
        <f t="array" aca="1" ref="V688" ca="1">z_score_diff(OFFSET(U688,0,0,$J$5*-1,1),OFFSET(E688,0,0,$J$5*-1,1))</f>
        <v>7.785589828595274E-2</v>
      </c>
      <c r="W688" s="9">
        <f t="shared" ca="1" si="706"/>
        <v>3.9086412091128495E-2</v>
      </c>
      <c r="X688" s="17">
        <f t="shared" ca="1" si="701"/>
        <v>-0.11518145793991055</v>
      </c>
      <c r="Y688" s="13">
        <f t="shared" ref="Y688:Z688" ca="1" si="748">+Y687</f>
        <v>0</v>
      </c>
      <c r="Z688" s="13">
        <f t="shared" ca="1" si="748"/>
        <v>0</v>
      </c>
      <c r="AA688">
        <f t="shared" ca="1" si="708"/>
        <v>0</v>
      </c>
      <c r="AB688">
        <f t="shared" ca="1" si="709"/>
        <v>1</v>
      </c>
      <c r="AC688" s="24">
        <f t="shared" ca="1" si="710"/>
        <v>0</v>
      </c>
      <c r="AD688" s="24">
        <f t="shared" ca="1" si="711"/>
        <v>-0.11518145793991055</v>
      </c>
    </row>
    <row r="689" spans="3:30" x14ac:dyDescent="0.25">
      <c r="C689" s="6">
        <v>783</v>
      </c>
      <c r="D689" s="36">
        <v>43119</v>
      </c>
      <c r="E689" s="38">
        <v>19.561</v>
      </c>
      <c r="F689" s="38">
        <v>51.75694714496089</v>
      </c>
      <c r="G689" s="38">
        <v>43.8</v>
      </c>
      <c r="H689" s="38">
        <v>2.4711053594537908</v>
      </c>
      <c r="I689" s="38">
        <v>6.9527230768249995</v>
      </c>
      <c r="J689" s="10">
        <v>1</v>
      </c>
      <c r="K689" s="39">
        <v>0</v>
      </c>
      <c r="L689" s="39">
        <v>0</v>
      </c>
      <c r="M689" s="39">
        <v>0</v>
      </c>
      <c r="N689" s="39">
        <v>0</v>
      </c>
      <c r="O689" s="39">
        <v>0</v>
      </c>
      <c r="P689" s="39">
        <v>0</v>
      </c>
      <c r="Q689" s="39">
        <v>0</v>
      </c>
      <c r="R689" s="39">
        <v>0</v>
      </c>
      <c r="S689" s="39">
        <v>0</v>
      </c>
      <c r="T689" s="39">
        <v>0</v>
      </c>
      <c r="U689" s="29" cm="1">
        <f t="array" aca="1" ref="U689" ca="1">+fair_value_gap(OFFSET(T688,0,0,-1*$J$5,-1*$AA$1),OFFSET(E688,0,0,-1*$J$5,1),F689:T689,0)</f>
        <v>19.707167052197565</v>
      </c>
      <c r="V689" s="9" cm="1">
        <f t="array" aca="1" ref="V689" ca="1">z_score_diff(OFFSET(U689,0,0,$J$5*-1,1),OFFSET(E689,0,0,$J$5*-1,1))</f>
        <v>6.3395649688187339E-2</v>
      </c>
      <c r="W689" s="9">
        <f t="shared" ca="1" si="706"/>
        <v>4.0754948912788191E-2</v>
      </c>
      <c r="X689" s="17">
        <f t="shared" ca="1" si="701"/>
        <v>-0.10178269430994236</v>
      </c>
      <c r="Y689" s="13">
        <f t="shared" ref="Y689:Z689" ca="1" si="749">+Y688</f>
        <v>0</v>
      </c>
      <c r="Z689" s="13">
        <f t="shared" ca="1" si="749"/>
        <v>0</v>
      </c>
      <c r="AA689">
        <f t="shared" ca="1" si="708"/>
        <v>0</v>
      </c>
      <c r="AB689">
        <f t="shared" ca="1" si="709"/>
        <v>1</v>
      </c>
      <c r="AC689" s="24">
        <f t="shared" ca="1" si="710"/>
        <v>0</v>
      </c>
      <c r="AD689" s="24">
        <f t="shared" ca="1" si="711"/>
        <v>-0.10178269430994236</v>
      </c>
    </row>
    <row r="690" spans="3:30" x14ac:dyDescent="0.25">
      <c r="C690" s="6">
        <v>784</v>
      </c>
      <c r="D690" s="36">
        <v>43122</v>
      </c>
      <c r="E690" s="38">
        <v>19.641999999999999</v>
      </c>
      <c r="F690" s="38">
        <v>51.781451929988997</v>
      </c>
      <c r="G690" s="38">
        <v>43.87</v>
      </c>
      <c r="H690" s="38">
        <v>2.4727053207248928</v>
      </c>
      <c r="I690" s="38">
        <v>6.9304060145598099</v>
      </c>
      <c r="J690" s="10">
        <v>1</v>
      </c>
      <c r="K690" s="39">
        <v>0</v>
      </c>
      <c r="L690" s="39">
        <v>0</v>
      </c>
      <c r="M690" s="39">
        <v>0</v>
      </c>
      <c r="N690" s="39">
        <v>0</v>
      </c>
      <c r="O690" s="39">
        <v>0</v>
      </c>
      <c r="P690" s="39">
        <v>0</v>
      </c>
      <c r="Q690" s="39">
        <v>0</v>
      </c>
      <c r="R690" s="39">
        <v>0</v>
      </c>
      <c r="S690" s="39">
        <v>0</v>
      </c>
      <c r="T690" s="39">
        <v>0</v>
      </c>
      <c r="U690" s="29" cm="1">
        <f t="array" aca="1" ref="U690" ca="1">+fair_value_gap(OFFSET(T689,0,0,-1*$J$5,-1*$AA$1),OFFSET(E689,0,0,-1*$J$5,1),F690:T690,0)</f>
        <v>19.707597576624384</v>
      </c>
      <c r="V690" s="9" cm="1">
        <f t="array" aca="1" ref="V690" ca="1">z_score_diff(OFFSET(U690,0,0,$J$5*-1,1),OFFSET(E690,0,0,$J$5*-1,1))</f>
        <v>1.267060646244822E-2</v>
      </c>
      <c r="W690" s="9">
        <f t="shared" ca="1" si="706"/>
        <v>3.9959937429562345E-2</v>
      </c>
      <c r="X690" s="17">
        <f t="shared" ca="1" si="701"/>
        <v>-0.10484022428292576</v>
      </c>
      <c r="Y690" s="13">
        <f t="shared" ref="Y690:Z690" ca="1" si="750">+Y689</f>
        <v>0</v>
      </c>
      <c r="Z690" s="13">
        <f t="shared" ca="1" si="750"/>
        <v>0</v>
      </c>
      <c r="AA690">
        <f t="shared" ca="1" si="708"/>
        <v>0</v>
      </c>
      <c r="AB690">
        <f t="shared" ca="1" si="709"/>
        <v>1</v>
      </c>
      <c r="AC690" s="24">
        <f t="shared" ca="1" si="710"/>
        <v>0</v>
      </c>
      <c r="AD690" s="24">
        <f t="shared" ca="1" si="711"/>
        <v>-0.10484022428292576</v>
      </c>
    </row>
    <row r="691" spans="3:30" x14ac:dyDescent="0.25">
      <c r="C691" s="6">
        <v>785</v>
      </c>
      <c r="D691" s="36">
        <v>43123</v>
      </c>
      <c r="E691" s="38">
        <v>19.497</v>
      </c>
      <c r="F691" s="38">
        <v>52.126230692228731</v>
      </c>
      <c r="G691" s="38">
        <v>43.82</v>
      </c>
      <c r="H691" s="38">
        <v>2.4914786046452688</v>
      </c>
      <c r="I691" s="38">
        <v>6.9097745789987197</v>
      </c>
      <c r="J691" s="10">
        <v>1</v>
      </c>
      <c r="K691" s="39">
        <v>0</v>
      </c>
      <c r="L691" s="39">
        <v>0</v>
      </c>
      <c r="M691" s="39">
        <v>0</v>
      </c>
      <c r="N691" s="39">
        <v>0</v>
      </c>
      <c r="O691" s="39">
        <v>0</v>
      </c>
      <c r="P691" s="39">
        <v>0</v>
      </c>
      <c r="Q691" s="39">
        <v>0</v>
      </c>
      <c r="R691" s="39">
        <v>0</v>
      </c>
      <c r="S691" s="39">
        <v>0</v>
      </c>
      <c r="T691" s="39">
        <v>0</v>
      </c>
      <c r="U691" s="29" cm="1">
        <f t="array" aca="1" ref="U691" ca="1">+fair_value_gap(OFFSET(T690,0,0,-1*$J$5,-1*$AA$1),OFFSET(E690,0,0,-1*$J$5,1),F691:T691,0)</f>
        <v>19.731019414109454</v>
      </c>
      <c r="V691" s="9" cm="1">
        <f t="array" aca="1" ref="V691" ca="1">z_score_diff(OFFSET(U691,0,0,$J$5*-1,1),OFFSET(E691,0,0,$J$5*-1,1))</f>
        <v>0.11964187516881286</v>
      </c>
      <c r="W691" s="9">
        <f t="shared" ca="1" si="706"/>
        <v>4.0266435641283516E-2</v>
      </c>
      <c r="X691" s="17">
        <f t="shared" ca="1" si="701"/>
        <v>-8.904172081509143E-2</v>
      </c>
      <c r="Y691" s="13">
        <f t="shared" ref="Y691:Z691" ca="1" si="751">+Y690</f>
        <v>0</v>
      </c>
      <c r="Z691" s="13">
        <f t="shared" ca="1" si="751"/>
        <v>0</v>
      </c>
      <c r="AA691">
        <f t="shared" ca="1" si="708"/>
        <v>0</v>
      </c>
      <c r="AB691">
        <f t="shared" ca="1" si="709"/>
        <v>1</v>
      </c>
      <c r="AC691" s="24">
        <f t="shared" ca="1" si="710"/>
        <v>0</v>
      </c>
      <c r="AD691" s="24">
        <f t="shared" ca="1" si="711"/>
        <v>-8.904172081509143E-2</v>
      </c>
    </row>
    <row r="692" spans="3:30" x14ac:dyDescent="0.25">
      <c r="C692" s="6">
        <v>786</v>
      </c>
      <c r="D692" s="36">
        <v>43124</v>
      </c>
      <c r="E692" s="38">
        <v>19.21</v>
      </c>
      <c r="F692" s="38">
        <v>51.804642236214086</v>
      </c>
      <c r="G692" s="38">
        <v>43.54</v>
      </c>
      <c r="H692" s="38">
        <v>2.4885389002055849</v>
      </c>
      <c r="I692" s="38">
        <v>6.8122672638950625</v>
      </c>
      <c r="J692" s="10">
        <v>1</v>
      </c>
      <c r="K692" s="39">
        <v>0</v>
      </c>
      <c r="L692" s="39">
        <v>0</v>
      </c>
      <c r="M692" s="39">
        <v>0</v>
      </c>
      <c r="N692" s="39">
        <v>0</v>
      </c>
      <c r="O692" s="39">
        <v>0</v>
      </c>
      <c r="P692" s="39">
        <v>0</v>
      </c>
      <c r="Q692" s="39">
        <v>0</v>
      </c>
      <c r="R692" s="39">
        <v>0</v>
      </c>
      <c r="S692" s="39">
        <v>0</v>
      </c>
      <c r="T692" s="39">
        <v>0</v>
      </c>
      <c r="U692" s="29" cm="1">
        <f t="array" aca="1" ref="U692" ca="1">+fair_value_gap(OFFSET(T691,0,0,-1*$J$5,-1*$AA$1),OFFSET(E691,0,0,-1*$J$5,1),F692:T692,0)</f>
        <v>19.554371827619761</v>
      </c>
      <c r="V692" s="9" cm="1">
        <f t="array" aca="1" ref="V692" ca="1">z_score_diff(OFFSET(U692,0,0,$J$5*-1,1),OFFSET(E692,0,0,$J$5*-1,1))</f>
        <v>0.1849109394066788</v>
      </c>
      <c r="W692" s="9">
        <f t="shared" ca="1" si="706"/>
        <v>3.8990350663120801E-2</v>
      </c>
      <c r="X692" s="17">
        <f t="shared" ca="1" si="701"/>
        <v>-7.5558589321009326E-2</v>
      </c>
      <c r="Y692" s="13">
        <f t="shared" ref="Y692:Z692" ca="1" si="752">+Y691</f>
        <v>0</v>
      </c>
      <c r="Z692" s="13">
        <f t="shared" ca="1" si="752"/>
        <v>0</v>
      </c>
      <c r="AA692">
        <f t="shared" ca="1" si="708"/>
        <v>0</v>
      </c>
      <c r="AB692">
        <f t="shared" ca="1" si="709"/>
        <v>1</v>
      </c>
      <c r="AC692" s="24">
        <f t="shared" ca="1" si="710"/>
        <v>0</v>
      </c>
      <c r="AD692" s="24">
        <f t="shared" ca="1" si="711"/>
        <v>-7.5558589321009326E-2</v>
      </c>
    </row>
    <row r="693" spans="3:30" x14ac:dyDescent="0.25">
      <c r="C693" s="6">
        <v>787</v>
      </c>
      <c r="D693" s="36">
        <v>43125</v>
      </c>
      <c r="E693" s="38">
        <v>19.114999999999998</v>
      </c>
      <c r="F693" s="38">
        <v>51.839278626906228</v>
      </c>
      <c r="G693" s="38">
        <v>43.77</v>
      </c>
      <c r="H693" s="38">
        <v>2.4966624885677486</v>
      </c>
      <c r="I693" s="38">
        <v>6.8240539272822538</v>
      </c>
      <c r="J693" s="10">
        <v>1</v>
      </c>
      <c r="K693" s="39">
        <v>0</v>
      </c>
      <c r="L693" s="39">
        <v>0</v>
      </c>
      <c r="M693" s="39">
        <v>0</v>
      </c>
      <c r="N693" s="39">
        <v>0</v>
      </c>
      <c r="O693" s="39">
        <v>0</v>
      </c>
      <c r="P693" s="39">
        <v>0</v>
      </c>
      <c r="Q693" s="39">
        <v>0</v>
      </c>
      <c r="R693" s="39">
        <v>0</v>
      </c>
      <c r="S693" s="39">
        <v>0</v>
      </c>
      <c r="T693" s="39">
        <v>0</v>
      </c>
      <c r="U693" s="29" cm="1">
        <f t="array" aca="1" ref="U693" ca="1">+fair_value_gap(OFFSET(T692,0,0,-1*$J$5,-1*$AA$1),OFFSET(E692,0,0,-1*$J$5,1),F693:T693,0)</f>
        <v>19.595878140342474</v>
      </c>
      <c r="V693" s="9" cm="1">
        <f t="array" aca="1" ref="V693" ca="1">z_score_diff(OFFSET(U693,0,0,$J$5*-1,1),OFFSET(E693,0,0,$J$5*-1,1))</f>
        <v>0.26774228427185287</v>
      </c>
      <c r="W693" s="9">
        <f t="shared" ca="1" si="706"/>
        <v>4.7567558598325489E-2</v>
      </c>
      <c r="X693" s="17">
        <f t="shared" ca="1" si="701"/>
        <v>-5.5169348428878218E-2</v>
      </c>
      <c r="Y693" s="13">
        <f t="shared" ref="Y693:Z693" ca="1" si="753">+Y692</f>
        <v>0</v>
      </c>
      <c r="Z693" s="13">
        <f t="shared" ca="1" si="753"/>
        <v>0</v>
      </c>
      <c r="AA693">
        <f t="shared" ca="1" si="708"/>
        <v>0</v>
      </c>
      <c r="AB693">
        <f t="shared" ca="1" si="709"/>
        <v>1</v>
      </c>
      <c r="AC693" s="24">
        <f t="shared" ca="1" si="710"/>
        <v>0</v>
      </c>
      <c r="AD693" s="24">
        <f t="shared" ca="1" si="711"/>
        <v>-5.5169348428878218E-2</v>
      </c>
    </row>
    <row r="694" spans="3:30" x14ac:dyDescent="0.25">
      <c r="C694" s="6">
        <v>788</v>
      </c>
      <c r="D694" s="36">
        <v>43126</v>
      </c>
      <c r="E694" s="38">
        <v>18.920000000000002</v>
      </c>
      <c r="F694" s="38">
        <v>51.850957694635099</v>
      </c>
      <c r="G694" s="38">
        <v>43.77</v>
      </c>
      <c r="H694" s="38">
        <v>2.505933662127716</v>
      </c>
      <c r="I694" s="38">
        <v>6.7998043537560013</v>
      </c>
      <c r="J694" s="10">
        <v>1</v>
      </c>
      <c r="K694" s="39">
        <v>0</v>
      </c>
      <c r="L694" s="39">
        <v>0</v>
      </c>
      <c r="M694" s="39">
        <v>0</v>
      </c>
      <c r="N694" s="39">
        <v>0</v>
      </c>
      <c r="O694" s="39">
        <v>0</v>
      </c>
      <c r="P694" s="39">
        <v>0</v>
      </c>
      <c r="Q694" s="39">
        <v>0</v>
      </c>
      <c r="R694" s="39">
        <v>0</v>
      </c>
      <c r="S694" s="39">
        <v>0</v>
      </c>
      <c r="T694" s="39">
        <v>0</v>
      </c>
      <c r="U694" s="29" cm="1">
        <f t="array" aca="1" ref="U694" ca="1">+fair_value_gap(OFFSET(T693,0,0,-1*$J$5,-1*$AA$1),OFFSET(E693,0,0,-1*$J$5,1),F694:T694,0)</f>
        <v>19.560529697217714</v>
      </c>
      <c r="V694" s="9" cm="1">
        <f t="array" aca="1" ref="V694" ca="1">z_score_diff(OFFSET(U694,0,0,$J$5*-1,1),OFFSET(E694,0,0,$J$5*-1,1))</f>
        <v>0.36302663259445178</v>
      </c>
      <c r="W694" s="9">
        <f t="shared" ca="1" si="706"/>
        <v>6.1472391449019309E-2</v>
      </c>
      <c r="X694" s="17">
        <f t="shared" ca="1" si="701"/>
        <v>-3.4411997597728318E-2</v>
      </c>
      <c r="Y694" s="13">
        <f t="shared" ref="Y694:Z694" ca="1" si="754">+Y693</f>
        <v>0</v>
      </c>
      <c r="Z694" s="13">
        <f t="shared" ca="1" si="754"/>
        <v>0</v>
      </c>
      <c r="AA694">
        <f t="shared" ca="1" si="708"/>
        <v>0</v>
      </c>
      <c r="AB694">
        <f t="shared" ca="1" si="709"/>
        <v>1</v>
      </c>
      <c r="AC694" s="24">
        <f t="shared" ca="1" si="710"/>
        <v>0</v>
      </c>
      <c r="AD694" s="24">
        <f t="shared" ca="1" si="711"/>
        <v>-3.4411997597728318E-2</v>
      </c>
    </row>
    <row r="695" spans="3:30" x14ac:dyDescent="0.25">
      <c r="C695" s="6">
        <v>789</v>
      </c>
      <c r="D695" s="36">
        <v>43129</v>
      </c>
      <c r="E695" s="38">
        <v>18.774999999999999</v>
      </c>
      <c r="F695" s="38">
        <v>51.563089696817208</v>
      </c>
      <c r="G695" s="38">
        <v>43.45</v>
      </c>
      <c r="H695" s="38">
        <v>2.5278336897722982</v>
      </c>
      <c r="I695" s="38">
        <v>6.8208265190590014</v>
      </c>
      <c r="J695" s="10">
        <v>1</v>
      </c>
      <c r="K695" s="39">
        <v>0</v>
      </c>
      <c r="L695" s="39">
        <v>0</v>
      </c>
      <c r="M695" s="39">
        <v>0</v>
      </c>
      <c r="N695" s="39">
        <v>0</v>
      </c>
      <c r="O695" s="39">
        <v>0</v>
      </c>
      <c r="P695" s="39">
        <v>0</v>
      </c>
      <c r="Q695" s="39">
        <v>0</v>
      </c>
      <c r="R695" s="39">
        <v>0</v>
      </c>
      <c r="S695" s="39">
        <v>0</v>
      </c>
      <c r="T695" s="39">
        <v>0</v>
      </c>
      <c r="U695" s="29" cm="1">
        <f t="array" aca="1" ref="U695" ca="1">+fair_value_gap(OFFSET(T694,0,0,-1*$J$5,-1*$AA$1),OFFSET(E694,0,0,-1*$J$5,1),F695:T695,0)</f>
        <v>19.447847676810433</v>
      </c>
      <c r="V695" s="9" cm="1">
        <f t="array" aca="1" ref="V695" ca="1">z_score_diff(OFFSET(U695,0,0,$J$5*-1,1),OFFSET(E695,0,0,$J$5*-1,1))</f>
        <v>0.37796366744052246</v>
      </c>
      <c r="W695" s="9">
        <f t="shared" ca="1" si="706"/>
        <v>7.1695365015535958E-2</v>
      </c>
      <c r="X695" s="17">
        <f t="shared" ca="1" si="701"/>
        <v>-1.5187991524219352E-2</v>
      </c>
      <c r="Y695" s="13">
        <f t="shared" ref="Y695:Z695" ca="1" si="755">+Y694</f>
        <v>0</v>
      </c>
      <c r="Z695" s="13">
        <f t="shared" ca="1" si="755"/>
        <v>0</v>
      </c>
      <c r="AA695">
        <f t="shared" ca="1" si="708"/>
        <v>0</v>
      </c>
      <c r="AB695">
        <f t="shared" ca="1" si="709"/>
        <v>1</v>
      </c>
      <c r="AC695" s="24">
        <f t="shared" ca="1" si="710"/>
        <v>0</v>
      </c>
      <c r="AD695" s="24">
        <f t="shared" ca="1" si="711"/>
        <v>-1.5187991524219352E-2</v>
      </c>
    </row>
    <row r="696" spans="3:30" x14ac:dyDescent="0.25">
      <c r="C696" s="6">
        <v>790</v>
      </c>
      <c r="D696" s="36">
        <v>43130</v>
      </c>
      <c r="E696" s="38">
        <v>18.707000000000001</v>
      </c>
      <c r="F696" s="38">
        <v>50.911620253482553</v>
      </c>
      <c r="G696" s="38">
        <v>42.91</v>
      </c>
      <c r="H696" s="38">
        <v>2.5114305812010902</v>
      </c>
      <c r="I696" s="38">
        <v>6.9085930336260066</v>
      </c>
      <c r="J696" s="10">
        <v>1</v>
      </c>
      <c r="K696" s="39">
        <v>0</v>
      </c>
      <c r="L696" s="39">
        <v>0</v>
      </c>
      <c r="M696" s="39">
        <v>0</v>
      </c>
      <c r="N696" s="39">
        <v>0</v>
      </c>
      <c r="O696" s="39">
        <v>0</v>
      </c>
      <c r="P696" s="39">
        <v>0</v>
      </c>
      <c r="Q696" s="39">
        <v>0</v>
      </c>
      <c r="R696" s="39">
        <v>0</v>
      </c>
      <c r="S696" s="39">
        <v>0</v>
      </c>
      <c r="T696" s="39">
        <v>0</v>
      </c>
      <c r="U696" s="29" cm="1">
        <f t="array" aca="1" ref="U696" ca="1">+fair_value_gap(OFFSET(T695,0,0,-1*$J$5,-1*$AA$1),OFFSET(E695,0,0,-1*$J$5,1),F696:T696,0)</f>
        <v>19.266330197397892</v>
      </c>
      <c r="V696" s="9" cm="1">
        <f t="array" aca="1" ref="V696" ca="1">z_score_diff(OFFSET(U696,0,0,$J$5*-1,1),OFFSET(E696,0,0,$J$5*-1,1))</f>
        <v>0.30116760542648469</v>
      </c>
      <c r="W696" s="9">
        <f t="shared" ca="1" si="706"/>
        <v>8.6227169879334681E-2</v>
      </c>
      <c r="X696" s="17">
        <f t="shared" ca="1" si="701"/>
        <v>-1.5243622848383542E-2</v>
      </c>
      <c r="Y696" s="13">
        <f t="shared" ref="Y696:Z696" ca="1" si="756">+Y695</f>
        <v>0</v>
      </c>
      <c r="Z696" s="13">
        <f t="shared" ca="1" si="756"/>
        <v>0</v>
      </c>
      <c r="AA696">
        <f t="shared" ca="1" si="708"/>
        <v>0</v>
      </c>
      <c r="AB696">
        <f t="shared" ca="1" si="709"/>
        <v>1</v>
      </c>
      <c r="AC696" s="24">
        <f t="shared" ca="1" si="710"/>
        <v>0</v>
      </c>
      <c r="AD696" s="24">
        <f t="shared" ca="1" si="711"/>
        <v>-1.5243622848383542E-2</v>
      </c>
    </row>
    <row r="697" spans="3:30" x14ac:dyDescent="0.25">
      <c r="C697" s="6">
        <v>791</v>
      </c>
      <c r="D697" s="36">
        <v>43131</v>
      </c>
      <c r="E697" s="38">
        <v>18.663</v>
      </c>
      <c r="F697" s="38">
        <v>51.01812871868389</v>
      </c>
      <c r="G697" s="38">
        <v>42.59</v>
      </c>
      <c r="H697" s="38">
        <v>2.4674307759474097</v>
      </c>
      <c r="I697" s="38">
        <v>6.956304998898748</v>
      </c>
      <c r="J697" s="10">
        <v>1</v>
      </c>
      <c r="K697" s="39">
        <v>0</v>
      </c>
      <c r="L697" s="39">
        <v>0</v>
      </c>
      <c r="M697" s="39">
        <v>0</v>
      </c>
      <c r="N697" s="39">
        <v>0</v>
      </c>
      <c r="O697" s="39">
        <v>0</v>
      </c>
      <c r="P697" s="39">
        <v>0</v>
      </c>
      <c r="Q697" s="39">
        <v>0</v>
      </c>
      <c r="R697" s="39">
        <v>0</v>
      </c>
      <c r="S697" s="39">
        <v>0</v>
      </c>
      <c r="T697" s="39">
        <v>0</v>
      </c>
      <c r="U697" s="29" cm="1">
        <f t="array" aca="1" ref="U697" ca="1">+fair_value_gap(OFFSET(T696,0,0,-1*$J$5,-1*$AA$1),OFFSET(E696,0,0,-1*$J$5,1),F697:T697,0)</f>
        <v>19.177761880074186</v>
      </c>
      <c r="V697" s="9" cm="1">
        <f t="array" aca="1" ref="V697" ca="1">z_score_diff(OFFSET(U697,0,0,$J$5*-1,1),OFFSET(E697,0,0,$J$5*-1,1))</f>
        <v>0.27006731537441508</v>
      </c>
      <c r="W697" s="9">
        <f t="shared" ca="1" si="706"/>
        <v>9.5263548995188949E-2</v>
      </c>
      <c r="X697" s="17">
        <f t="shared" ca="1" si="701"/>
        <v>-2.8974929434232743E-2</v>
      </c>
      <c r="Y697" s="13">
        <f t="shared" ref="Y697:Z697" ca="1" si="757">+Y696</f>
        <v>0</v>
      </c>
      <c r="Z697" s="13">
        <f t="shared" ca="1" si="757"/>
        <v>0</v>
      </c>
      <c r="AA697">
        <f t="shared" ca="1" si="708"/>
        <v>0</v>
      </c>
      <c r="AB697">
        <f t="shared" ca="1" si="709"/>
        <v>1</v>
      </c>
      <c r="AC697" s="24">
        <f t="shared" ca="1" si="710"/>
        <v>0</v>
      </c>
      <c r="AD697" s="24">
        <f t="shared" ca="1" si="711"/>
        <v>-2.8974929434232743E-2</v>
      </c>
    </row>
    <row r="698" spans="3:30" x14ac:dyDescent="0.25">
      <c r="C698" s="6">
        <v>792</v>
      </c>
      <c r="D698" s="36">
        <v>43132</v>
      </c>
      <c r="E698" s="38">
        <v>18.556999999999999</v>
      </c>
      <c r="F698" s="38">
        <v>50.766710287626196</v>
      </c>
      <c r="G698" s="38">
        <v>42.8</v>
      </c>
      <c r="H698" s="38">
        <v>2.4244233830114634</v>
      </c>
      <c r="I698" s="38">
        <v>7.153526338584177</v>
      </c>
      <c r="J698" s="10">
        <v>0</v>
      </c>
      <c r="K698" s="39">
        <v>1</v>
      </c>
      <c r="L698" s="39">
        <v>0</v>
      </c>
      <c r="M698" s="39">
        <v>0</v>
      </c>
      <c r="N698" s="39">
        <v>0</v>
      </c>
      <c r="O698" s="39">
        <v>0</v>
      </c>
      <c r="P698" s="39">
        <v>0</v>
      </c>
      <c r="Q698" s="39">
        <v>0</v>
      </c>
      <c r="R698" s="39">
        <v>0</v>
      </c>
      <c r="S698" s="39">
        <v>0</v>
      </c>
      <c r="T698" s="39">
        <v>0</v>
      </c>
      <c r="U698" s="29" cm="1">
        <f t="array" aca="1" ref="U698" ca="1">+fair_value_gap(OFFSET(T697,0,0,-1*$J$5,-1*$AA$1),OFFSET(E697,0,0,-1*$J$5,1),F698:T698,0)</f>
        <v>19.975282954902003</v>
      </c>
      <c r="V698" s="9" cm="1">
        <f t="array" aca="1" ref="V698" ca="1">z_score_diff(OFFSET(U698,0,0,$J$5*-1,1),OFFSET(E698,0,0,$J$5*-1,1))</f>
        <v>0.84240646858271151</v>
      </c>
      <c r="W698" s="9">
        <f t="shared" ca="1" si="706"/>
        <v>0.11864545184741419</v>
      </c>
      <c r="X698" s="17">
        <f t="shared" ca="1" si="701"/>
        <v>-1.0781629565302471E-2</v>
      </c>
      <c r="Y698" s="13">
        <f t="shared" ref="Y698:Z698" ca="1" si="758">+Y697</f>
        <v>0</v>
      </c>
      <c r="Z698" s="13">
        <f t="shared" ca="1" si="758"/>
        <v>0</v>
      </c>
      <c r="AA698">
        <f t="shared" ca="1" si="708"/>
        <v>0</v>
      </c>
      <c r="AB698">
        <f t="shared" ca="1" si="709"/>
        <v>1</v>
      </c>
      <c r="AC698" s="24">
        <f t="shared" ca="1" si="710"/>
        <v>0</v>
      </c>
      <c r="AD698" s="24">
        <f t="shared" ca="1" si="711"/>
        <v>-1.0781629565302471E-2</v>
      </c>
    </row>
    <row r="699" spans="3:30" x14ac:dyDescent="0.25">
      <c r="C699" s="6">
        <v>793</v>
      </c>
      <c r="D699" s="36">
        <v>43133</v>
      </c>
      <c r="E699" s="38">
        <v>18.422000000000001</v>
      </c>
      <c r="F699" s="38">
        <v>50.146723284102812</v>
      </c>
      <c r="G699" s="38">
        <v>42.4</v>
      </c>
      <c r="H699" s="38">
        <v>2.431592904183995</v>
      </c>
      <c r="I699" s="38">
        <v>7.1448539092111609</v>
      </c>
      <c r="J699" s="10">
        <v>0</v>
      </c>
      <c r="K699" s="39">
        <v>1</v>
      </c>
      <c r="L699" s="39">
        <v>0</v>
      </c>
      <c r="M699" s="39">
        <v>0</v>
      </c>
      <c r="N699" s="39">
        <v>0</v>
      </c>
      <c r="O699" s="39">
        <v>0</v>
      </c>
      <c r="P699" s="39">
        <v>0</v>
      </c>
      <c r="Q699" s="39">
        <v>0</v>
      </c>
      <c r="R699" s="39">
        <v>0</v>
      </c>
      <c r="S699" s="39">
        <v>0</v>
      </c>
      <c r="T699" s="39">
        <v>0</v>
      </c>
      <c r="U699" s="29" cm="1">
        <f t="array" aca="1" ref="U699" ca="1">+fair_value_gap(OFFSET(T698,0,0,-1*$J$5,-1*$AA$1),OFFSET(E698,0,0,-1*$J$5,1),F699:T699,0)</f>
        <v>19.05744726088275</v>
      </c>
      <c r="V699" s="9" cm="1">
        <f t="array" aca="1" ref="V699" ca="1">z_score_diff(OFFSET(U699,0,0,$J$5*-1,1),OFFSET(E699,0,0,$J$5*-1,1))</f>
        <v>0.33816729426475722</v>
      </c>
      <c r="W699" s="9">
        <f t="shared" ca="1" si="706"/>
        <v>0.12730324895013567</v>
      </c>
      <c r="X699" s="17">
        <f t="shared" ca="1" si="701"/>
        <v>-9.1613684713582177E-3</v>
      </c>
      <c r="Y699" s="13">
        <f t="shared" ref="Y699:Z699" ca="1" si="759">+Y698</f>
        <v>0</v>
      </c>
      <c r="Z699" s="13">
        <f t="shared" ca="1" si="759"/>
        <v>0</v>
      </c>
      <c r="AA699">
        <f t="shared" ca="1" si="708"/>
        <v>0</v>
      </c>
      <c r="AB699">
        <f t="shared" ca="1" si="709"/>
        <v>1</v>
      </c>
      <c r="AC699" s="24">
        <f t="shared" ca="1" si="710"/>
        <v>0</v>
      </c>
      <c r="AD699" s="24">
        <f t="shared" ca="1" si="711"/>
        <v>-9.1613684713582177E-3</v>
      </c>
    </row>
    <row r="700" spans="3:30" x14ac:dyDescent="0.25">
      <c r="C700" s="6">
        <v>794</v>
      </c>
      <c r="D700" s="36">
        <v>43136</v>
      </c>
      <c r="E700" s="38">
        <v>18.07</v>
      </c>
      <c r="F700" s="38">
        <v>49.925512455448903</v>
      </c>
      <c r="G700" s="38">
        <v>41.99</v>
      </c>
      <c r="H700" s="38">
        <v>2.4114163948028438</v>
      </c>
      <c r="I700" s="38">
        <v>7.1501756900312401</v>
      </c>
      <c r="J700" s="10">
        <v>0</v>
      </c>
      <c r="K700" s="39">
        <v>1</v>
      </c>
      <c r="L700" s="39">
        <v>0</v>
      </c>
      <c r="M700" s="39">
        <v>0</v>
      </c>
      <c r="N700" s="39">
        <v>0</v>
      </c>
      <c r="O700" s="39">
        <v>0</v>
      </c>
      <c r="P700" s="39">
        <v>0</v>
      </c>
      <c r="Q700" s="39">
        <v>0</v>
      </c>
      <c r="R700" s="39">
        <v>0</v>
      </c>
      <c r="S700" s="39">
        <v>0</v>
      </c>
      <c r="T700" s="39">
        <v>0</v>
      </c>
      <c r="U700" s="29" cm="1">
        <f t="array" aca="1" ref="U700" ca="1">+fair_value_gap(OFFSET(T699,0,0,-1*$J$5,-1*$AA$1),OFFSET(E699,0,0,-1*$J$5,1),F700:T700,0)</f>
        <v>18.711306235902033</v>
      </c>
      <c r="V700" s="9" cm="1">
        <f t="array" aca="1" ref="V700" ca="1">z_score_diff(OFFSET(U700,0,0,$J$5*-1,1),OFFSET(E700,0,0,$J$5*-1,1))</f>
        <v>0.34223781179045509</v>
      </c>
      <c r="W700" s="9">
        <f t="shared" ca="1" si="706"/>
        <v>0.13769462302714824</v>
      </c>
      <c r="X700" s="17">
        <f t="shared" ca="1" si="701"/>
        <v>9.7475783502609416E-3</v>
      </c>
      <c r="Y700" s="13">
        <f t="shared" ref="Y700:Z700" ca="1" si="760">+Y699</f>
        <v>0</v>
      </c>
      <c r="Z700" s="13">
        <f t="shared" ca="1" si="760"/>
        <v>0</v>
      </c>
      <c r="AA700">
        <f t="shared" ca="1" si="708"/>
        <v>0</v>
      </c>
      <c r="AB700">
        <f t="shared" ca="1" si="709"/>
        <v>1</v>
      </c>
      <c r="AC700" s="24">
        <f t="shared" ca="1" si="710"/>
        <v>0</v>
      </c>
      <c r="AD700" s="24">
        <f t="shared" ca="1" si="711"/>
        <v>9.7475783502609416E-3</v>
      </c>
    </row>
    <row r="701" spans="3:30" x14ac:dyDescent="0.25">
      <c r="C701" s="6">
        <v>795</v>
      </c>
      <c r="D701" s="36">
        <v>43137</v>
      </c>
      <c r="E701" s="38">
        <v>18.140999999999998</v>
      </c>
      <c r="F701" s="38">
        <v>49.340837858536872</v>
      </c>
      <c r="G701" s="38">
        <v>41.82</v>
      </c>
      <c r="H701" s="38">
        <v>2.4092482422080792</v>
      </c>
      <c r="I701" s="38">
        <v>7.1554043747041511</v>
      </c>
      <c r="J701" s="10">
        <v>0</v>
      </c>
      <c r="K701" s="39">
        <v>1</v>
      </c>
      <c r="L701" s="39">
        <v>0</v>
      </c>
      <c r="M701" s="39">
        <v>0</v>
      </c>
      <c r="N701" s="39">
        <v>0</v>
      </c>
      <c r="O701" s="39">
        <v>0</v>
      </c>
      <c r="P701" s="39">
        <v>0</v>
      </c>
      <c r="Q701" s="39">
        <v>0</v>
      </c>
      <c r="R701" s="39">
        <v>0</v>
      </c>
      <c r="S701" s="39">
        <v>0</v>
      </c>
      <c r="T701" s="39">
        <v>0</v>
      </c>
      <c r="U701" s="29" cm="1">
        <f t="array" aca="1" ref="U701" ca="1">+fair_value_gap(OFFSET(T700,0,0,-1*$J$5,-1*$AA$1),OFFSET(E700,0,0,-1*$J$5,1),F701:T701,0)</f>
        <v>18.440907543262806</v>
      </c>
      <c r="V701" s="9" cm="1">
        <f t="array" aca="1" ref="V701" ca="1">z_score_diff(OFFSET(U701,0,0,$J$5*-1,1),OFFSET(E701,0,0,$J$5*-1,1))</f>
        <v>0.12212184975927998</v>
      </c>
      <c r="W701" s="9">
        <f t="shared" ca="1" si="706"/>
        <v>0.13902281632565236</v>
      </c>
      <c r="X701" s="17">
        <f t="shared" ca="1" si="701"/>
        <v>2.0190580018362492E-2</v>
      </c>
      <c r="Y701" s="13">
        <f t="shared" ref="Y701:Z701" ca="1" si="761">+Y700</f>
        <v>0</v>
      </c>
      <c r="Z701" s="13">
        <f t="shared" ca="1" si="761"/>
        <v>0</v>
      </c>
      <c r="AA701">
        <f t="shared" ca="1" si="708"/>
        <v>0</v>
      </c>
      <c r="AB701">
        <f t="shared" ca="1" si="709"/>
        <v>1</v>
      </c>
      <c r="AC701" s="24">
        <f t="shared" ca="1" si="710"/>
        <v>0</v>
      </c>
      <c r="AD701" s="24">
        <f t="shared" ca="1" si="711"/>
        <v>2.0190580018362492E-2</v>
      </c>
    </row>
    <row r="702" spans="3:30" x14ac:dyDescent="0.25">
      <c r="C702" s="6">
        <v>796</v>
      </c>
      <c r="D702" s="36">
        <v>43138</v>
      </c>
      <c r="E702" s="38">
        <v>18.265999999999998</v>
      </c>
      <c r="F702" s="38">
        <v>48.871491920426053</v>
      </c>
      <c r="G702" s="38">
        <v>42.26</v>
      </c>
      <c r="H702" s="38">
        <v>2.4142390152124809</v>
      </c>
      <c r="I702" s="38">
        <v>7.1356818183620128</v>
      </c>
      <c r="J702" s="10">
        <v>0</v>
      </c>
      <c r="K702" s="39">
        <v>1</v>
      </c>
      <c r="L702" s="39">
        <v>0</v>
      </c>
      <c r="M702" s="39">
        <v>0</v>
      </c>
      <c r="N702" s="39">
        <v>0</v>
      </c>
      <c r="O702" s="39">
        <v>0</v>
      </c>
      <c r="P702" s="39">
        <v>0</v>
      </c>
      <c r="Q702" s="39">
        <v>0</v>
      </c>
      <c r="R702" s="39">
        <v>0</v>
      </c>
      <c r="S702" s="39">
        <v>0</v>
      </c>
      <c r="T702" s="39">
        <v>0</v>
      </c>
      <c r="U702" s="29" cm="1">
        <f t="array" aca="1" ref="U702" ca="1">+fair_value_gap(OFFSET(T701,0,0,-1*$J$5,-1*$AA$1),OFFSET(E701,0,0,-1*$J$5,1),F702:T702,0)</f>
        <v>18.402368536415175</v>
      </c>
      <c r="V702" s="9" cm="1">
        <f t="array" aca="1" ref="V702" ca="1">z_score_diff(OFFSET(U702,0,0,$J$5*-1,1),OFFSET(E702,0,0,$J$5*-1,1))</f>
        <v>1.6061278784301081E-2</v>
      </c>
      <c r="W702" s="9">
        <f t="shared" ca="1" si="706"/>
        <v>0.13483784476736072</v>
      </c>
      <c r="X702" s="17">
        <f t="shared" ca="1" si="701"/>
        <v>2.5618868540789031E-2</v>
      </c>
      <c r="Y702" s="13">
        <f t="shared" ref="Y702:Z702" ca="1" si="762">+Y701</f>
        <v>0</v>
      </c>
      <c r="Z702" s="13">
        <f t="shared" ca="1" si="762"/>
        <v>0</v>
      </c>
      <c r="AA702">
        <f t="shared" ca="1" si="708"/>
        <v>0</v>
      </c>
      <c r="AB702">
        <f t="shared" ca="1" si="709"/>
        <v>1</v>
      </c>
      <c r="AC702" s="24">
        <f t="shared" ca="1" si="710"/>
        <v>0</v>
      </c>
      <c r="AD702" s="24">
        <f t="shared" ca="1" si="711"/>
        <v>2.5618868540789031E-2</v>
      </c>
    </row>
    <row r="703" spans="3:30" x14ac:dyDescent="0.25">
      <c r="C703" s="6">
        <v>797</v>
      </c>
      <c r="D703" s="36">
        <v>43139</v>
      </c>
      <c r="E703" s="38">
        <v>18.111000000000001</v>
      </c>
      <c r="F703" s="38">
        <v>48.60790549822309</v>
      </c>
      <c r="G703" s="38">
        <v>41.73</v>
      </c>
      <c r="H703" s="38">
        <v>2.4176831714791249</v>
      </c>
      <c r="I703" s="38">
        <v>7.0711075340664511</v>
      </c>
      <c r="J703" s="10">
        <v>0</v>
      </c>
      <c r="K703" s="39">
        <v>1</v>
      </c>
      <c r="L703" s="39">
        <v>0</v>
      </c>
      <c r="M703" s="39">
        <v>0</v>
      </c>
      <c r="N703" s="39">
        <v>0</v>
      </c>
      <c r="O703" s="39">
        <v>0</v>
      </c>
      <c r="P703" s="39">
        <v>0</v>
      </c>
      <c r="Q703" s="39">
        <v>0</v>
      </c>
      <c r="R703" s="39">
        <v>0</v>
      </c>
      <c r="S703" s="39">
        <v>0</v>
      </c>
      <c r="T703" s="39">
        <v>0</v>
      </c>
      <c r="U703" s="29" cm="1">
        <f t="array" aca="1" ref="U703" ca="1">+fair_value_gap(OFFSET(T702,0,0,-1*$J$5,-1*$AA$1),OFFSET(E702,0,0,-1*$J$5,1),F703:T703,0)</f>
        <v>18.235630275790413</v>
      </c>
      <c r="V703" s="9" cm="1">
        <f t="array" aca="1" ref="V703" ca="1">z_score_diff(OFFSET(U703,0,0,$J$5*-1,1),OFFSET(E703,0,0,$J$5*-1,1))</f>
        <v>8.7083953600525232E-3</v>
      </c>
      <c r="W703" s="9">
        <f t="shared" ca="1" si="706"/>
        <v>0.1256289451307861</v>
      </c>
      <c r="X703" s="17">
        <f t="shared" ca="1" si="701"/>
        <v>3.5900178859826243E-2</v>
      </c>
      <c r="Y703" s="13">
        <f t="shared" ref="Y703:Z703" ca="1" si="763">+Y702</f>
        <v>0</v>
      </c>
      <c r="Z703" s="13">
        <f t="shared" ca="1" si="763"/>
        <v>0</v>
      </c>
      <c r="AA703">
        <f t="shared" ca="1" si="708"/>
        <v>0</v>
      </c>
      <c r="AB703">
        <f t="shared" ca="1" si="709"/>
        <v>1</v>
      </c>
      <c r="AC703" s="24">
        <f t="shared" ca="1" si="710"/>
        <v>0</v>
      </c>
      <c r="AD703" s="24">
        <f t="shared" ca="1" si="711"/>
        <v>3.5900178859826243E-2</v>
      </c>
    </row>
    <row r="704" spans="3:30" x14ac:dyDescent="0.25">
      <c r="C704" s="6">
        <v>798</v>
      </c>
      <c r="D704" s="36">
        <v>43140</v>
      </c>
      <c r="E704" s="38">
        <v>17.997</v>
      </c>
      <c r="F704" s="38">
        <v>47.210300429184549</v>
      </c>
      <c r="G704" s="38">
        <v>41.63</v>
      </c>
      <c r="H704" s="38">
        <v>2.3740263869019236</v>
      </c>
      <c r="I704" s="38">
        <v>7.0338578922269903</v>
      </c>
      <c r="J704" s="10">
        <v>0</v>
      </c>
      <c r="K704" s="39">
        <v>1</v>
      </c>
      <c r="L704" s="39">
        <v>0</v>
      </c>
      <c r="M704" s="39">
        <v>0</v>
      </c>
      <c r="N704" s="39">
        <v>0</v>
      </c>
      <c r="O704" s="39">
        <v>0</v>
      </c>
      <c r="P704" s="39">
        <v>0</v>
      </c>
      <c r="Q704" s="39">
        <v>0</v>
      </c>
      <c r="R704" s="39">
        <v>0</v>
      </c>
      <c r="S704" s="39">
        <v>0</v>
      </c>
      <c r="T704" s="39">
        <v>0</v>
      </c>
      <c r="U704" s="29" cm="1">
        <f t="array" aca="1" ref="U704" ca="1">+fair_value_gap(OFFSET(T703,0,0,-1*$J$5,-1*$AA$1),OFFSET(E703,0,0,-1*$J$5,1),F704:T704,0)</f>
        <v>17.962799525082204</v>
      </c>
      <c r="V704" s="9" cm="1">
        <f t="array" aca="1" ref="V704" ca="1">z_score_diff(OFFSET(U704,0,0,$J$5*-1,1),OFFSET(E704,0,0,$J$5*-1,1))</f>
        <v>-9.3174729345365859E-2</v>
      </c>
      <c r="W704" s="9">
        <f t="shared" ca="1" si="706"/>
        <v>0.11715510957834198</v>
      </c>
      <c r="X704" s="17">
        <f t="shared" ca="1" si="701"/>
        <v>3.2687650037967635E-2</v>
      </c>
      <c r="Y704" s="13">
        <f t="shared" ref="Y704:Z704" ca="1" si="764">+Y703</f>
        <v>0</v>
      </c>
      <c r="Z704" s="13">
        <f t="shared" ca="1" si="764"/>
        <v>0</v>
      </c>
      <c r="AA704">
        <f t="shared" ca="1" si="708"/>
        <v>0</v>
      </c>
      <c r="AB704">
        <f t="shared" ca="1" si="709"/>
        <v>1</v>
      </c>
      <c r="AC704" s="24">
        <f t="shared" ca="1" si="710"/>
        <v>0</v>
      </c>
      <c r="AD704" s="24">
        <f t="shared" ca="1" si="711"/>
        <v>3.2687650037967635E-2</v>
      </c>
    </row>
    <row r="705" spans="3:30" x14ac:dyDescent="0.25">
      <c r="C705" s="6">
        <v>799</v>
      </c>
      <c r="D705" s="36">
        <v>43143</v>
      </c>
      <c r="E705" s="38">
        <v>17.960999999999999</v>
      </c>
      <c r="F705" s="38">
        <v>46.959978046328892</v>
      </c>
      <c r="G705" s="38">
        <v>41.66</v>
      </c>
      <c r="H705" s="38">
        <v>2.3551164469849688</v>
      </c>
      <c r="I705" s="38">
        <v>6.9989189240486809</v>
      </c>
      <c r="J705" s="10">
        <v>0</v>
      </c>
      <c r="K705" s="39">
        <v>1</v>
      </c>
      <c r="L705" s="39">
        <v>0</v>
      </c>
      <c r="M705" s="39">
        <v>0</v>
      </c>
      <c r="N705" s="39">
        <v>0</v>
      </c>
      <c r="O705" s="39">
        <v>0</v>
      </c>
      <c r="P705" s="39">
        <v>0</v>
      </c>
      <c r="Q705" s="39">
        <v>0</v>
      </c>
      <c r="R705" s="39">
        <v>0</v>
      </c>
      <c r="S705" s="39">
        <v>0</v>
      </c>
      <c r="T705" s="39">
        <v>0</v>
      </c>
      <c r="U705" s="29" cm="1">
        <f t="array" aca="1" ref="U705" ca="1">+fair_value_gap(OFFSET(T704,0,0,-1*$J$5,-1*$AA$1),OFFSET(E704,0,0,-1*$J$5,1),F705:T705,0)</f>
        <v>17.909287313445152</v>
      </c>
      <c r="V705" s="9" cm="1">
        <f t="array" aca="1" ref="V705" ca="1">z_score_diff(OFFSET(U705,0,0,$J$5*-1,1),OFFSET(E705,0,0,$J$5*-1,1))</f>
        <v>-0.10447853528817175</v>
      </c>
      <c r="W705" s="9">
        <f t="shared" ca="1" si="706"/>
        <v>0.12189595568106851</v>
      </c>
      <c r="X705" s="17">
        <f t="shared" ca="1" si="701"/>
        <v>3.3667684344211128E-2</v>
      </c>
      <c r="Y705" s="13">
        <f t="shared" ref="Y705:Z705" ca="1" si="765">+Y704</f>
        <v>0</v>
      </c>
      <c r="Z705" s="13">
        <f t="shared" ca="1" si="765"/>
        <v>0</v>
      </c>
      <c r="AA705">
        <f t="shared" ca="1" si="708"/>
        <v>0</v>
      </c>
      <c r="AB705">
        <f t="shared" ca="1" si="709"/>
        <v>1</v>
      </c>
      <c r="AC705" s="24">
        <f t="shared" ca="1" si="710"/>
        <v>0</v>
      </c>
      <c r="AD705" s="24">
        <f t="shared" ca="1" si="711"/>
        <v>3.3667684344211128E-2</v>
      </c>
    </row>
    <row r="706" spans="3:30" x14ac:dyDescent="0.25">
      <c r="C706" s="6">
        <v>800</v>
      </c>
      <c r="D706" s="36">
        <v>43144</v>
      </c>
      <c r="E706" s="38">
        <v>18.042999999999999</v>
      </c>
      <c r="F706" s="38">
        <v>46.892976362288572</v>
      </c>
      <c r="G706" s="38">
        <v>42.1</v>
      </c>
      <c r="H706" s="38">
        <v>2.3647154550877185</v>
      </c>
      <c r="I706" s="38">
        <v>6.9446302466386403</v>
      </c>
      <c r="J706" s="10">
        <v>0</v>
      </c>
      <c r="K706" s="39">
        <v>1</v>
      </c>
      <c r="L706" s="39">
        <v>0</v>
      </c>
      <c r="M706" s="39">
        <v>0</v>
      </c>
      <c r="N706" s="39">
        <v>0</v>
      </c>
      <c r="O706" s="39">
        <v>0</v>
      </c>
      <c r="P706" s="39">
        <v>0</v>
      </c>
      <c r="Q706" s="39">
        <v>0</v>
      </c>
      <c r="R706" s="39">
        <v>0</v>
      </c>
      <c r="S706" s="39">
        <v>0</v>
      </c>
      <c r="T706" s="39">
        <v>0</v>
      </c>
      <c r="U706" s="29" cm="1">
        <f t="array" aca="1" ref="U706" ca="1">+fair_value_gap(OFFSET(T705,0,0,-1*$J$5,-1*$AA$1),OFFSET(E705,0,0,-1*$J$5,1),F706:T706,0)</f>
        <v>17.984702565228062</v>
      </c>
      <c r="V706" s="9" cm="1">
        <f t="array" aca="1" ref="V706" ca="1">z_score_diff(OFFSET(U706,0,0,$J$5*-1,1),OFFSET(E706,0,0,$J$5*-1,1))</f>
        <v>-0.10959871609312888</v>
      </c>
      <c r="W706" s="9">
        <f t="shared" ca="1" si="706"/>
        <v>0.1035817691856603</v>
      </c>
      <c r="X706" s="17">
        <f t="shared" ca="1" si="701"/>
        <v>4.5821944123521162E-2</v>
      </c>
      <c r="Y706" s="13">
        <f t="shared" ref="Y706:Z706" ca="1" si="766">+Y705</f>
        <v>0</v>
      </c>
      <c r="Z706" s="13">
        <f t="shared" ca="1" si="766"/>
        <v>0</v>
      </c>
      <c r="AA706">
        <f t="shared" ca="1" si="708"/>
        <v>0</v>
      </c>
      <c r="AB706">
        <f t="shared" ca="1" si="709"/>
        <v>1</v>
      </c>
      <c r="AC706" s="24">
        <f t="shared" ca="1" si="710"/>
        <v>0</v>
      </c>
      <c r="AD706" s="24">
        <f t="shared" ca="1" si="711"/>
        <v>4.5821944123521162E-2</v>
      </c>
    </row>
    <row r="707" spans="3:30" x14ac:dyDescent="0.25">
      <c r="C707" s="6">
        <v>801</v>
      </c>
      <c r="D707" s="36">
        <v>43145</v>
      </c>
      <c r="E707" s="38">
        <v>18.093</v>
      </c>
      <c r="F707" s="38">
        <v>47.27960941100509</v>
      </c>
      <c r="G707" s="38">
        <v>42.02</v>
      </c>
      <c r="H707" s="38">
        <v>2.3339579575645426</v>
      </c>
      <c r="I707" s="38">
        <v>6.8817838207507807</v>
      </c>
      <c r="J707" s="10">
        <v>0</v>
      </c>
      <c r="K707" s="39">
        <v>1</v>
      </c>
      <c r="L707" s="39">
        <v>0</v>
      </c>
      <c r="M707" s="39">
        <v>0</v>
      </c>
      <c r="N707" s="39">
        <v>0</v>
      </c>
      <c r="O707" s="39">
        <v>0</v>
      </c>
      <c r="P707" s="39">
        <v>0</v>
      </c>
      <c r="Q707" s="39">
        <v>0</v>
      </c>
      <c r="R707" s="39">
        <v>0</v>
      </c>
      <c r="S707" s="39">
        <v>0</v>
      </c>
      <c r="T707" s="39">
        <v>0</v>
      </c>
      <c r="U707" s="29" cm="1">
        <f t="array" aca="1" ref="U707" ca="1">+fair_value_gap(OFFSET(T706,0,0,-1*$J$5,-1*$AA$1),OFFSET(E706,0,0,-1*$J$5,1),F707:T707,0)</f>
        <v>17.964934442134329</v>
      </c>
      <c r="V707" s="9" cm="1">
        <f t="array" aca="1" ref="V707" ca="1">z_score_diff(OFFSET(U707,0,0,$J$5*-1,1),OFFSET(E707,0,0,$J$5*-1,1))</f>
        <v>-0.15604781921438149</v>
      </c>
      <c r="W707" s="9">
        <f t="shared" ca="1" si="706"/>
        <v>9.3150982816713093E-2</v>
      </c>
      <c r="X707" s="17">
        <f t="shared" ca="1" si="701"/>
        <v>4.2789879547081015E-2</v>
      </c>
      <c r="Y707" s="13">
        <f t="shared" ref="Y707:Z707" ca="1" si="767">+Y706</f>
        <v>0</v>
      </c>
      <c r="Z707" s="13">
        <f t="shared" ca="1" si="767"/>
        <v>0</v>
      </c>
      <c r="AA707">
        <f t="shared" ca="1" si="708"/>
        <v>0</v>
      </c>
      <c r="AB707">
        <f t="shared" ca="1" si="709"/>
        <v>1</v>
      </c>
      <c r="AC707" s="24">
        <f t="shared" ca="1" si="710"/>
        <v>0</v>
      </c>
      <c r="AD707" s="24">
        <f t="shared" ca="1" si="711"/>
        <v>4.2789879547081015E-2</v>
      </c>
    </row>
    <row r="708" spans="3:30" x14ac:dyDescent="0.25">
      <c r="C708" s="6">
        <v>802</v>
      </c>
      <c r="D708" s="36">
        <v>43146</v>
      </c>
      <c r="E708" s="38">
        <v>17.969000000000001</v>
      </c>
      <c r="F708" s="38">
        <v>47.079017497597853</v>
      </c>
      <c r="G708" s="38">
        <v>41.89</v>
      </c>
      <c r="H708" s="38">
        <v>2.3166359336664728</v>
      </c>
      <c r="I708" s="38">
        <v>6.8022028253629649</v>
      </c>
      <c r="J708" s="10">
        <v>0</v>
      </c>
      <c r="K708" s="39">
        <v>1</v>
      </c>
      <c r="L708" s="39">
        <v>0</v>
      </c>
      <c r="M708" s="39">
        <v>0</v>
      </c>
      <c r="N708" s="39">
        <v>0</v>
      </c>
      <c r="O708" s="39">
        <v>0</v>
      </c>
      <c r="P708" s="39">
        <v>0</v>
      </c>
      <c r="Q708" s="39">
        <v>0</v>
      </c>
      <c r="R708" s="39">
        <v>0</v>
      </c>
      <c r="S708" s="39">
        <v>0</v>
      </c>
      <c r="T708" s="39">
        <v>0</v>
      </c>
      <c r="U708" s="29" cm="1">
        <f t="array" aca="1" ref="U708" ca="1">+fair_value_gap(OFFSET(T707,0,0,-1*$J$5,-1*$AA$1),OFFSET(E707,0,0,-1*$J$5,1),F708:T708,0)</f>
        <v>17.879671987496423</v>
      </c>
      <c r="V708" s="9" cm="1">
        <f t="array" aca="1" ref="V708" ca="1">z_score_diff(OFFSET(U708,0,0,$J$5*-1,1),OFFSET(E708,0,0,$J$5*-1,1))</f>
        <v>-0.13089301901397432</v>
      </c>
      <c r="W708" s="9">
        <f t="shared" ca="1" si="706"/>
        <v>8.8481419594739721E-2</v>
      </c>
      <c r="X708" s="17">
        <f t="shared" ca="1" si="701"/>
        <v>-4.5193212835903669E-2</v>
      </c>
      <c r="Y708" s="13">
        <f t="shared" ref="Y708:Z708" ca="1" si="768">+Y707</f>
        <v>0</v>
      </c>
      <c r="Z708" s="13">
        <f t="shared" ca="1" si="768"/>
        <v>0</v>
      </c>
      <c r="AA708">
        <f t="shared" ca="1" si="708"/>
        <v>0</v>
      </c>
      <c r="AB708">
        <f t="shared" ca="1" si="709"/>
        <v>1</v>
      </c>
      <c r="AC708" s="24">
        <f t="shared" ca="1" si="710"/>
        <v>0</v>
      </c>
      <c r="AD708" s="24">
        <f t="shared" ca="1" si="711"/>
        <v>-4.5193212835903669E-2</v>
      </c>
    </row>
    <row r="709" spans="3:30" x14ac:dyDescent="0.25">
      <c r="C709" s="6">
        <v>803</v>
      </c>
      <c r="D709" s="36">
        <v>43147</v>
      </c>
      <c r="E709" s="38">
        <v>18.105</v>
      </c>
      <c r="F709" s="38">
        <v>47.808995893580921</v>
      </c>
      <c r="G709" s="38">
        <v>41.7</v>
      </c>
      <c r="H709" s="38">
        <v>2.3305220839489307</v>
      </c>
      <c r="I709" s="38">
        <v>6.7761398407254623</v>
      </c>
      <c r="J709" s="10">
        <v>0</v>
      </c>
      <c r="K709" s="39">
        <v>1</v>
      </c>
      <c r="L709" s="39">
        <v>0</v>
      </c>
      <c r="M709" s="39">
        <v>0</v>
      </c>
      <c r="N709" s="39">
        <v>0</v>
      </c>
      <c r="O709" s="39">
        <v>0</v>
      </c>
      <c r="P709" s="39">
        <v>0</v>
      </c>
      <c r="Q709" s="39">
        <v>0</v>
      </c>
      <c r="R709" s="39">
        <v>0</v>
      </c>
      <c r="S709" s="39">
        <v>0</v>
      </c>
      <c r="T709" s="39">
        <v>0</v>
      </c>
      <c r="U709" s="29" cm="1">
        <f t="array" aca="1" ref="U709" ca="1">+fair_value_gap(OFFSET(T708,0,0,-1*$J$5,-1*$AA$1),OFFSET(E708,0,0,-1*$J$5,1),F709:T709,0)</f>
        <v>17.930391717594315</v>
      </c>
      <c r="V709" s="9" cm="1">
        <f t="array" aca="1" ref="V709" ca="1">z_score_diff(OFFSET(U709,0,0,$J$5*-1,1),OFFSET(E709,0,0,$J$5*-1,1))</f>
        <v>-0.18666762353422484</v>
      </c>
      <c r="W709" s="9">
        <f t="shared" ca="1" si="706"/>
        <v>8.172466150530816E-2</v>
      </c>
      <c r="X709" s="17">
        <f t="shared" ca="1" si="701"/>
        <v>-5.3024468308220316E-2</v>
      </c>
      <c r="Y709" s="13">
        <f t="shared" ref="Y709:Z709" ca="1" si="769">+Y708</f>
        <v>0</v>
      </c>
      <c r="Z709" s="13">
        <f t="shared" ca="1" si="769"/>
        <v>0</v>
      </c>
      <c r="AA709">
        <f t="shared" ca="1" si="708"/>
        <v>0</v>
      </c>
      <c r="AB709">
        <f t="shared" ca="1" si="709"/>
        <v>1</v>
      </c>
      <c r="AC709" s="24">
        <f t="shared" ca="1" si="710"/>
        <v>0</v>
      </c>
      <c r="AD709" s="24">
        <f t="shared" ca="1" si="711"/>
        <v>-5.3024468308220316E-2</v>
      </c>
    </row>
    <row r="710" spans="3:30" x14ac:dyDescent="0.25">
      <c r="C710" s="6">
        <v>804</v>
      </c>
      <c r="D710" s="36">
        <v>43150</v>
      </c>
      <c r="E710" s="38">
        <v>18.524000000000001</v>
      </c>
      <c r="F710" s="38">
        <v>48.397304350822886</v>
      </c>
      <c r="G710" s="38">
        <v>42.71</v>
      </c>
      <c r="H710" s="38">
        <v>2.3301825609920392</v>
      </c>
      <c r="I710" s="38">
        <v>6.7751526563297944</v>
      </c>
      <c r="J710" s="10">
        <v>0</v>
      </c>
      <c r="K710" s="39">
        <v>1</v>
      </c>
      <c r="L710" s="39">
        <v>0</v>
      </c>
      <c r="M710" s="39">
        <v>0</v>
      </c>
      <c r="N710" s="39">
        <v>0</v>
      </c>
      <c r="O710" s="39">
        <v>0</v>
      </c>
      <c r="P710" s="39">
        <v>0</v>
      </c>
      <c r="Q710" s="39">
        <v>0</v>
      </c>
      <c r="R710" s="39">
        <v>0</v>
      </c>
      <c r="S710" s="39">
        <v>0</v>
      </c>
      <c r="T710" s="39">
        <v>0</v>
      </c>
      <c r="U710" s="29" cm="1">
        <f t="array" aca="1" ref="U710" ca="1">+fair_value_gap(OFFSET(T709,0,0,-1*$J$5,-1*$AA$1),OFFSET(E709,0,0,-1*$J$5,1),F710:T710,0)</f>
        <v>18.199142853830413</v>
      </c>
      <c r="V710" s="9" cm="1">
        <f t="array" aca="1" ref="V710" ca="1">z_score_diff(OFFSET(U710,0,0,$J$5*-1,1),OFFSET(E710,0,0,$J$5*-1,1))</f>
        <v>-0.28461605199779594</v>
      </c>
      <c r="W710" s="9">
        <f t="shared" ca="1" si="706"/>
        <v>7.2986972276921913E-2</v>
      </c>
      <c r="X710" s="17">
        <f t="shared" ca="1" si="701"/>
        <v>-7.8060760267670032E-2</v>
      </c>
      <c r="Y710" s="13">
        <f t="shared" ref="Y710:Z710" ca="1" si="770">+Y709</f>
        <v>0</v>
      </c>
      <c r="Z710" s="13">
        <f t="shared" ca="1" si="770"/>
        <v>0</v>
      </c>
      <c r="AA710">
        <f t="shared" ca="1" si="708"/>
        <v>0</v>
      </c>
      <c r="AB710">
        <f t="shared" ca="1" si="709"/>
        <v>1</v>
      </c>
      <c r="AC710" s="24">
        <f t="shared" ca="1" si="710"/>
        <v>0</v>
      </c>
      <c r="AD710" s="24">
        <f t="shared" ca="1" si="711"/>
        <v>-7.8060760267670032E-2</v>
      </c>
    </row>
    <row r="711" spans="3:30" x14ac:dyDescent="0.25">
      <c r="C711" s="6">
        <v>805</v>
      </c>
      <c r="D711" s="36">
        <v>43151</v>
      </c>
      <c r="E711" s="38">
        <v>18.696000000000002</v>
      </c>
      <c r="F711" s="38">
        <v>48.648865765516724</v>
      </c>
      <c r="G711" s="38">
        <v>43.1</v>
      </c>
      <c r="H711" s="38">
        <v>2.3627423878347118</v>
      </c>
      <c r="I711" s="38">
        <v>6.8519529247206643</v>
      </c>
      <c r="J711" s="10">
        <v>0</v>
      </c>
      <c r="K711" s="39">
        <v>1</v>
      </c>
      <c r="L711" s="39">
        <v>0</v>
      </c>
      <c r="M711" s="39">
        <v>0</v>
      </c>
      <c r="N711" s="39">
        <v>0</v>
      </c>
      <c r="O711" s="39">
        <v>0</v>
      </c>
      <c r="P711" s="39">
        <v>0</v>
      </c>
      <c r="Q711" s="39">
        <v>0</v>
      </c>
      <c r="R711" s="39">
        <v>0</v>
      </c>
      <c r="S711" s="39">
        <v>0</v>
      </c>
      <c r="T711" s="39">
        <v>0</v>
      </c>
      <c r="U711" s="29" cm="1">
        <f t="array" aca="1" ref="U711" ca="1">+fair_value_gap(OFFSET(T710,0,0,-1*$J$5,-1*$AA$1),OFFSET(E710,0,0,-1*$J$5,1),F711:T711,0)</f>
        <v>18.374675117378576</v>
      </c>
      <c r="V711" s="9" cm="1">
        <f t="array" aca="1" ref="V711" ca="1">z_score_diff(OFFSET(U711,0,0,$J$5*-1,1),OFFSET(E711,0,0,$J$5*-1,1))</f>
        <v>-0.28059635957589901</v>
      </c>
      <c r="W711" s="9">
        <f t="shared" ca="1" si="706"/>
        <v>6.3755847730156176E-2</v>
      </c>
      <c r="X711" s="17">
        <f t="shared" ref="X711:X774" ca="1" si="771">+LN(OFFSET(E711,$X$3,0,1,1)/E711)</f>
        <v>-8.8763406871894698E-2</v>
      </c>
      <c r="Y711" s="13">
        <f t="shared" ref="Y711:Z711" ca="1" si="772">+Y710</f>
        <v>0</v>
      </c>
      <c r="Z711" s="13">
        <f t="shared" ca="1" si="772"/>
        <v>0</v>
      </c>
      <c r="AA711">
        <f t="shared" ca="1" si="708"/>
        <v>0</v>
      </c>
      <c r="AB711">
        <f t="shared" ca="1" si="709"/>
        <v>1</v>
      </c>
      <c r="AC711" s="24">
        <f t="shared" ca="1" si="710"/>
        <v>0</v>
      </c>
      <c r="AD711" s="24">
        <f t="shared" ca="1" si="711"/>
        <v>-8.8763406871894698E-2</v>
      </c>
    </row>
    <row r="712" spans="3:30" x14ac:dyDescent="0.25">
      <c r="C712" s="6">
        <v>806</v>
      </c>
      <c r="D712" s="36">
        <v>43152</v>
      </c>
      <c r="E712" s="38">
        <v>18.675999999999998</v>
      </c>
      <c r="F712" s="38">
        <v>48.887586203082577</v>
      </c>
      <c r="G712" s="38">
        <v>42.78</v>
      </c>
      <c r="H712" s="38">
        <v>2.3843363794586816</v>
      </c>
      <c r="I712" s="38">
        <v>6.853584523460591</v>
      </c>
      <c r="J712" s="10">
        <v>0</v>
      </c>
      <c r="K712" s="39">
        <v>1</v>
      </c>
      <c r="L712" s="39">
        <v>0</v>
      </c>
      <c r="M712" s="39">
        <v>0</v>
      </c>
      <c r="N712" s="39">
        <v>0</v>
      </c>
      <c r="O712" s="39">
        <v>0</v>
      </c>
      <c r="P712" s="39">
        <v>0</v>
      </c>
      <c r="Q712" s="39">
        <v>0</v>
      </c>
      <c r="R712" s="39">
        <v>0</v>
      </c>
      <c r="S712" s="39">
        <v>0</v>
      </c>
      <c r="T712" s="39">
        <v>0</v>
      </c>
      <c r="U712" s="29" cm="1">
        <f t="array" aca="1" ref="U712" ca="1">+fair_value_gap(OFFSET(T711,0,0,-1*$J$5,-1*$AA$1),OFFSET(E711,0,0,-1*$J$5,1),F712:T712,0)</f>
        <v>18.339399040781746</v>
      </c>
      <c r="V712" s="9" cm="1">
        <f t="array" aca="1" ref="V712" ca="1">z_score_diff(OFFSET(U712,0,0,$J$5*-1,1),OFFSET(E712,0,0,$J$5*-1,1))</f>
        <v>-0.2863256453376406</v>
      </c>
      <c r="W712" s="9">
        <f t="shared" ca="1" si="706"/>
        <v>6.2303992667871851E-2</v>
      </c>
      <c r="X712" s="17">
        <f t="shared" ca="1" si="771"/>
        <v>-8.6933496886009834E-2</v>
      </c>
      <c r="Y712" s="13">
        <f t="shared" ref="Y712:Z712" ca="1" si="773">+Y711</f>
        <v>0</v>
      </c>
      <c r="Z712" s="13">
        <f t="shared" ca="1" si="773"/>
        <v>0</v>
      </c>
      <c r="AA712">
        <f t="shared" ca="1" si="708"/>
        <v>0</v>
      </c>
      <c r="AB712">
        <f t="shared" ca="1" si="709"/>
        <v>1</v>
      </c>
      <c r="AC712" s="24">
        <f t="shared" ca="1" si="710"/>
        <v>0</v>
      </c>
      <c r="AD712" s="24">
        <f t="shared" ca="1" si="711"/>
        <v>-8.6933496886009834E-2</v>
      </c>
    </row>
    <row r="713" spans="3:30" x14ac:dyDescent="0.25">
      <c r="C713" s="6">
        <v>807</v>
      </c>
      <c r="D713" s="36">
        <v>43153</v>
      </c>
      <c r="E713" s="38">
        <v>18.611999999999998</v>
      </c>
      <c r="F713" s="38">
        <v>49.299637759975788</v>
      </c>
      <c r="G713" s="38">
        <v>43.01</v>
      </c>
      <c r="H713" s="38">
        <v>2.3794661294543071</v>
      </c>
      <c r="I713" s="38">
        <v>6.8373198651924856</v>
      </c>
      <c r="J713" s="10">
        <v>0</v>
      </c>
      <c r="K713" s="39">
        <v>1</v>
      </c>
      <c r="L713" s="39">
        <v>0</v>
      </c>
      <c r="M713" s="39">
        <v>0</v>
      </c>
      <c r="N713" s="39">
        <v>0</v>
      </c>
      <c r="O713" s="39">
        <v>0</v>
      </c>
      <c r="P713" s="39">
        <v>0</v>
      </c>
      <c r="Q713" s="39">
        <v>0</v>
      </c>
      <c r="R713" s="39">
        <v>0</v>
      </c>
      <c r="S713" s="39">
        <v>0</v>
      </c>
      <c r="T713" s="39">
        <v>0</v>
      </c>
      <c r="U713" s="29" cm="1">
        <f t="array" aca="1" ref="U713" ca="1">+fair_value_gap(OFFSET(T712,0,0,-1*$J$5,-1*$AA$1),OFFSET(E712,0,0,-1*$J$5,1),F713:T713,0)</f>
        <v>18.446013064088721</v>
      </c>
      <c r="V713" s="9" cm="1">
        <f t="array" aca="1" ref="V713" ca="1">z_score_diff(OFFSET(U713,0,0,$J$5*-1,1),OFFSET(E713,0,0,$J$5*-1,1))</f>
        <v>-0.17000288271178654</v>
      </c>
      <c r="W713" s="9">
        <f t="shared" ca="1" si="706"/>
        <v>5.8400400991617835E-2</v>
      </c>
      <c r="X713" s="17">
        <f t="shared" ca="1" si="771"/>
        <v>-6.9695430095989774E-2</v>
      </c>
      <c r="Y713" s="13">
        <f t="shared" ref="Y713:Z713" ca="1" si="774">+Y712</f>
        <v>0</v>
      </c>
      <c r="Z713" s="13">
        <f t="shared" ca="1" si="774"/>
        <v>0</v>
      </c>
      <c r="AA713">
        <f t="shared" ca="1" si="708"/>
        <v>0</v>
      </c>
      <c r="AB713">
        <f t="shared" ca="1" si="709"/>
        <v>1</v>
      </c>
      <c r="AC713" s="24">
        <f t="shared" ca="1" si="710"/>
        <v>0</v>
      </c>
      <c r="AD713" s="24">
        <f t="shared" ca="1" si="711"/>
        <v>-6.9695430095989774E-2</v>
      </c>
    </row>
    <row r="714" spans="3:30" x14ac:dyDescent="0.25">
      <c r="C714" s="6">
        <v>808</v>
      </c>
      <c r="D714" s="36">
        <v>43154</v>
      </c>
      <c r="E714" s="38">
        <v>18.693000000000001</v>
      </c>
      <c r="F714" s="38">
        <v>50.109211370626404</v>
      </c>
      <c r="G714" s="38">
        <v>43.12</v>
      </c>
      <c r="H714" s="38">
        <v>2.3754658473443144</v>
      </c>
      <c r="I714" s="38">
        <v>6.8948567924414981</v>
      </c>
      <c r="J714" s="10">
        <v>0</v>
      </c>
      <c r="K714" s="39">
        <v>1</v>
      </c>
      <c r="L714" s="39">
        <v>0</v>
      </c>
      <c r="M714" s="39">
        <v>0</v>
      </c>
      <c r="N714" s="39">
        <v>0</v>
      </c>
      <c r="O714" s="39">
        <v>0</v>
      </c>
      <c r="P714" s="39">
        <v>0</v>
      </c>
      <c r="Q714" s="39">
        <v>0</v>
      </c>
      <c r="R714" s="39">
        <v>0</v>
      </c>
      <c r="S714" s="39">
        <v>0</v>
      </c>
      <c r="T714" s="39">
        <v>0</v>
      </c>
      <c r="U714" s="29" cm="1">
        <f t="array" aca="1" ref="U714" ca="1">+fair_value_gap(OFFSET(T713,0,0,-1*$J$5,-1*$AA$1),OFFSET(E713,0,0,-1*$J$5,1),F714:T714,0)</f>
        <v>18.589703189595578</v>
      </c>
      <c r="V714" s="9" cm="1">
        <f t="array" aca="1" ref="V714" ca="1">z_score_diff(OFFSET(U714,0,0,$J$5*-1,1),OFFSET(E714,0,0,$J$5*-1,1))</f>
        <v>-0.12625512922517901</v>
      </c>
      <c r="W714" s="9">
        <f t="shared" ca="1" si="706"/>
        <v>5.8650719852559416E-2</v>
      </c>
      <c r="X714" s="17">
        <f t="shared" ca="1" si="771"/>
        <v>-6.7034545401147824E-2</v>
      </c>
      <c r="Y714" s="13">
        <f t="shared" ref="Y714:Z714" ca="1" si="775">+Y713</f>
        <v>0</v>
      </c>
      <c r="Z714" s="13">
        <f t="shared" ca="1" si="775"/>
        <v>0</v>
      </c>
      <c r="AA714">
        <f t="shared" ca="1" si="708"/>
        <v>0</v>
      </c>
      <c r="AB714">
        <f t="shared" ca="1" si="709"/>
        <v>1</v>
      </c>
      <c r="AC714" s="24">
        <f t="shared" ca="1" si="710"/>
        <v>0</v>
      </c>
      <c r="AD714" s="24">
        <f t="shared" ca="1" si="711"/>
        <v>-6.7034545401147824E-2</v>
      </c>
    </row>
    <row r="715" spans="3:30" x14ac:dyDescent="0.25">
      <c r="C715" s="6">
        <v>809</v>
      </c>
      <c r="D715" s="36">
        <v>43157</v>
      </c>
      <c r="E715" s="38">
        <v>18.344999999999999</v>
      </c>
      <c r="F715" s="38">
        <v>50.315745302470269</v>
      </c>
      <c r="G715" s="38">
        <v>42.39</v>
      </c>
      <c r="H715" s="38">
        <v>2.3852455525108969</v>
      </c>
      <c r="I715" s="38">
        <v>6.8820328854687745</v>
      </c>
      <c r="J715" s="10">
        <v>0</v>
      </c>
      <c r="K715" s="39">
        <v>1</v>
      </c>
      <c r="L715" s="39">
        <v>0</v>
      </c>
      <c r="M715" s="39">
        <v>0</v>
      </c>
      <c r="N715" s="39">
        <v>0</v>
      </c>
      <c r="O715" s="39">
        <v>0</v>
      </c>
      <c r="P715" s="39">
        <v>0</v>
      </c>
      <c r="Q715" s="39">
        <v>0</v>
      </c>
      <c r="R715" s="39">
        <v>0</v>
      </c>
      <c r="S715" s="39">
        <v>0</v>
      </c>
      <c r="T715" s="39">
        <v>0</v>
      </c>
      <c r="U715" s="29" cm="1">
        <f t="array" aca="1" ref="U715" ca="1">+fair_value_gap(OFFSET(T714,0,0,-1*$J$5,-1*$AA$1),OFFSET(E714,0,0,-1*$J$5,1),F715:T715,0)</f>
        <v>18.439725039603463</v>
      </c>
      <c r="V715" s="9" cm="1">
        <f t="array" aca="1" ref="V715" ca="1">z_score_diff(OFFSET(U715,0,0,$J$5*-1,1),OFFSET(E715,0,0,$J$5*-1,1))</f>
        <v>4.5259964506026984E-3</v>
      </c>
      <c r="W715" s="9">
        <f t="shared" ref="W715:W778" ca="1" si="776">+IF(ISERROR(AVERAGE(OFFSET(V715,0,0,$W$5*-1,1))),"",AVERAGE(OFFSET(V715,0,0,$W$5*-1,1)))</f>
        <v>6.0189529048306385E-2</v>
      </c>
      <c r="X715" s="17">
        <f t="shared" ca="1" si="771"/>
        <v>-2.5171058998166858E-2</v>
      </c>
      <c r="Y715" s="13">
        <f t="shared" ref="Y715:Z715" ca="1" si="777">+Y714</f>
        <v>0</v>
      </c>
      <c r="Z715" s="13">
        <f t="shared" ca="1" si="777"/>
        <v>0</v>
      </c>
      <c r="AA715">
        <f t="shared" ref="AA715:AA778" ca="1" si="778">+IF(W715="","",IF(W715&lt;Y715,1,0))</f>
        <v>0</v>
      </c>
      <c r="AB715">
        <f t="shared" ref="AB715:AB778" ca="1" si="779">+IF(W715="","",IF(W715&gt;Z715,1,0))</f>
        <v>1</v>
      </c>
      <c r="AC715" s="24">
        <f t="shared" ref="AC715:AC778" ca="1" si="780">+IF(ISERROR(AA715*X715),"",AA715*X715)</f>
        <v>0</v>
      </c>
      <c r="AD715" s="24">
        <f t="shared" ref="AD715:AD778" ca="1" si="781">+IF(ISERROR(AB715*X715),"",AB715*X715)</f>
        <v>-2.5171058998166858E-2</v>
      </c>
    </row>
    <row r="716" spans="3:30" x14ac:dyDescent="0.25">
      <c r="C716" s="6">
        <v>810</v>
      </c>
      <c r="D716" s="36">
        <v>43158</v>
      </c>
      <c r="E716" s="38">
        <v>18.37</v>
      </c>
      <c r="F716" s="38">
        <v>50.166135118994681</v>
      </c>
      <c r="G716" s="38">
        <v>42.6</v>
      </c>
      <c r="H716" s="38">
        <v>2.3363743789786664</v>
      </c>
      <c r="I716" s="38">
        <v>6.9289144991804426</v>
      </c>
      <c r="J716" s="10">
        <v>0</v>
      </c>
      <c r="K716" s="39">
        <v>1</v>
      </c>
      <c r="L716" s="39">
        <v>0</v>
      </c>
      <c r="M716" s="39">
        <v>0</v>
      </c>
      <c r="N716" s="39">
        <v>0</v>
      </c>
      <c r="O716" s="39">
        <v>0</v>
      </c>
      <c r="P716" s="39">
        <v>0</v>
      </c>
      <c r="Q716" s="39">
        <v>0</v>
      </c>
      <c r="R716" s="39">
        <v>0</v>
      </c>
      <c r="S716" s="39">
        <v>0</v>
      </c>
      <c r="T716" s="39">
        <v>0</v>
      </c>
      <c r="U716" s="29" cm="1">
        <f t="array" aca="1" ref="U716" ca="1">+fair_value_gap(OFFSET(T715,0,0,-1*$J$5,-1*$AA$1),OFFSET(E715,0,0,-1*$J$5,1),F716:T716,0)</f>
        <v>18.481985684653708</v>
      </c>
      <c r="V716" s="9" cm="1">
        <f t="array" aca="1" ref="V716" ca="1">z_score_diff(OFFSET(U716,0,0,$J$5*-1,1),OFFSET(E716,0,0,$J$5*-1,1))</f>
        <v>1.7046852798928813E-2</v>
      </c>
      <c r="W716" s="9">
        <f t="shared" ca="1" si="776"/>
        <v>6.2174941252636513E-2</v>
      </c>
      <c r="X716" s="17">
        <f t="shared" ca="1" si="771"/>
        <v>-2.938788598301861E-2</v>
      </c>
      <c r="Y716" s="13">
        <f t="shared" ref="Y716:Z716" ca="1" si="782">+Y715</f>
        <v>0</v>
      </c>
      <c r="Z716" s="13">
        <f t="shared" ca="1" si="782"/>
        <v>0</v>
      </c>
      <c r="AA716">
        <f t="shared" ca="1" si="778"/>
        <v>0</v>
      </c>
      <c r="AB716">
        <f t="shared" ca="1" si="779"/>
        <v>1</v>
      </c>
      <c r="AC716" s="24">
        <f t="shared" ca="1" si="780"/>
        <v>0</v>
      </c>
      <c r="AD716" s="24">
        <f t="shared" ca="1" si="781"/>
        <v>-2.938788598301861E-2</v>
      </c>
    </row>
    <row r="717" spans="3:30" x14ac:dyDescent="0.25">
      <c r="C717" s="6">
        <v>811</v>
      </c>
      <c r="D717" s="36">
        <v>43159</v>
      </c>
      <c r="E717" s="38">
        <v>17.503</v>
      </c>
      <c r="F717" s="38">
        <v>48.886894046828914</v>
      </c>
      <c r="G717" s="38">
        <v>39.840000000000003</v>
      </c>
      <c r="H717" s="38">
        <v>2.3301452998390859</v>
      </c>
      <c r="I717" s="38">
        <v>6.9235874687841692</v>
      </c>
      <c r="J717" s="10">
        <v>0</v>
      </c>
      <c r="K717" s="39">
        <v>1</v>
      </c>
      <c r="L717" s="39">
        <v>0</v>
      </c>
      <c r="M717" s="39">
        <v>0</v>
      </c>
      <c r="N717" s="39">
        <v>0</v>
      </c>
      <c r="O717" s="39">
        <v>0</v>
      </c>
      <c r="P717" s="39">
        <v>0</v>
      </c>
      <c r="Q717" s="39">
        <v>0</v>
      </c>
      <c r="R717" s="39">
        <v>0</v>
      </c>
      <c r="S717" s="39">
        <v>0</v>
      </c>
      <c r="T717" s="39">
        <v>0</v>
      </c>
      <c r="U717" s="29" cm="1">
        <f t="array" aca="1" ref="U717" ca="1">+fair_value_gap(OFFSET(T716,0,0,-1*$J$5,-1*$AA$1),OFFSET(E716,0,0,-1*$J$5,1),F717:T717,0)</f>
        <v>17.698369061077088</v>
      </c>
      <c r="V717" s="9" cm="1">
        <f t="array" aca="1" ref="V717" ca="1">z_score_diff(OFFSET(U717,0,0,$J$5*-1,1),OFFSET(E717,0,0,$J$5*-1,1))</f>
        <v>7.1824946489621788E-2</v>
      </c>
      <c r="W717" s="9">
        <f t="shared" ca="1" si="776"/>
        <v>6.2429561902098994E-2</v>
      </c>
      <c r="X717" s="17">
        <f t="shared" ca="1" si="771"/>
        <v>3.1216505076588949E-2</v>
      </c>
      <c r="Y717" s="13">
        <f t="shared" ref="Y717:Z717" ca="1" si="783">+Y716</f>
        <v>0</v>
      </c>
      <c r="Z717" s="13">
        <f t="shared" ca="1" si="783"/>
        <v>0</v>
      </c>
      <c r="AA717">
        <f t="shared" ca="1" si="778"/>
        <v>0</v>
      </c>
      <c r="AB717">
        <f t="shared" ca="1" si="779"/>
        <v>1</v>
      </c>
      <c r="AC717" s="24">
        <f t="shared" ca="1" si="780"/>
        <v>0</v>
      </c>
      <c r="AD717" s="24">
        <f t="shared" ca="1" si="781"/>
        <v>3.1216505076588949E-2</v>
      </c>
    </row>
    <row r="718" spans="3:30" x14ac:dyDescent="0.25">
      <c r="C718" s="6">
        <v>812</v>
      </c>
      <c r="D718" s="36">
        <v>43160</v>
      </c>
      <c r="E718" s="38">
        <v>17.448</v>
      </c>
      <c r="F718" s="38">
        <v>47.960376838322674</v>
      </c>
      <c r="G718" s="38">
        <v>39.56</v>
      </c>
      <c r="H718" s="38">
        <v>2.3401875318864418</v>
      </c>
      <c r="I718" s="38">
        <v>6.8922246199769939</v>
      </c>
      <c r="J718" s="10">
        <v>0</v>
      </c>
      <c r="K718" s="39">
        <v>0</v>
      </c>
      <c r="L718" s="39">
        <v>1</v>
      </c>
      <c r="M718" s="39">
        <v>0</v>
      </c>
      <c r="N718" s="39">
        <v>0</v>
      </c>
      <c r="O718" s="39">
        <v>0</v>
      </c>
      <c r="P718" s="39">
        <v>0</v>
      </c>
      <c r="Q718" s="39">
        <v>0</v>
      </c>
      <c r="R718" s="39">
        <v>0</v>
      </c>
      <c r="S718" s="39">
        <v>0</v>
      </c>
      <c r="T718" s="39">
        <v>0</v>
      </c>
      <c r="U718" s="29" cm="1">
        <f t="array" aca="1" ref="U718" ca="1">+fair_value_gap(OFFSET(T717,0,0,-1*$J$5,-1*$AA$1),OFFSET(E717,0,0,-1*$J$5,1),F718:T718,0)</f>
        <v>18.403667393296693</v>
      </c>
      <c r="V718" s="9" cm="1">
        <f t="array" aca="1" ref="V718" ca="1">z_score_diff(OFFSET(U718,0,0,$J$5*-1,1),OFFSET(E718,0,0,$J$5*-1,1))</f>
        <v>0.56650955408645243</v>
      </c>
      <c r="W718" s="9">
        <f t="shared" ca="1" si="776"/>
        <v>7.8718017095448983E-2</v>
      </c>
      <c r="X718" s="17">
        <f t="shared" ca="1" si="771"/>
        <v>2.9478671896139751E-2</v>
      </c>
      <c r="Y718" s="13">
        <f t="shared" ref="Y718:Z718" ca="1" si="784">+Y717</f>
        <v>0</v>
      </c>
      <c r="Z718" s="13">
        <f t="shared" ca="1" si="784"/>
        <v>0</v>
      </c>
      <c r="AA718">
        <f t="shared" ca="1" si="778"/>
        <v>0</v>
      </c>
      <c r="AB718">
        <f t="shared" ca="1" si="779"/>
        <v>1</v>
      </c>
      <c r="AC718" s="24">
        <f t="shared" ca="1" si="780"/>
        <v>0</v>
      </c>
      <c r="AD718" s="24">
        <f t="shared" ca="1" si="781"/>
        <v>2.9478671896139751E-2</v>
      </c>
    </row>
    <row r="719" spans="3:30" x14ac:dyDescent="0.25">
      <c r="C719" s="6">
        <v>813</v>
      </c>
      <c r="D719" s="36">
        <v>43161</v>
      </c>
      <c r="E719" s="38">
        <v>17.667999999999999</v>
      </c>
      <c r="F719" s="38">
        <v>48.035976953445989</v>
      </c>
      <c r="G719" s="38">
        <v>40.01</v>
      </c>
      <c r="H719" s="38">
        <v>2.3226186658809049</v>
      </c>
      <c r="I719" s="38">
        <v>6.8544037968669853</v>
      </c>
      <c r="J719" s="10">
        <v>0</v>
      </c>
      <c r="K719" s="39">
        <v>0</v>
      </c>
      <c r="L719" s="39">
        <v>1</v>
      </c>
      <c r="M719" s="39">
        <v>0</v>
      </c>
      <c r="N719" s="39">
        <v>0</v>
      </c>
      <c r="O719" s="39">
        <v>0</v>
      </c>
      <c r="P719" s="39">
        <v>0</v>
      </c>
      <c r="Q719" s="39">
        <v>0</v>
      </c>
      <c r="R719" s="39">
        <v>0</v>
      </c>
      <c r="S719" s="39">
        <v>0</v>
      </c>
      <c r="T719" s="39">
        <v>0</v>
      </c>
      <c r="U719" s="29" cm="1">
        <f t="array" aca="1" ref="U719" ca="1">+fair_value_gap(OFFSET(T718,0,0,-1*$J$5,-1*$AA$1),OFFSET(E718,0,0,-1*$J$5,1),F719:T719,0)</f>
        <v>17.945376460422903</v>
      </c>
      <c r="V719" s="9" cm="1">
        <f t="array" aca="1" ref="V719" ca="1">z_score_diff(OFFSET(U719,0,0,$J$5*-1,1),OFFSET(E719,0,0,$J$5*-1,1))</f>
        <v>0.12284135834591325</v>
      </c>
      <c r="W719" s="9">
        <f t="shared" ca="1" si="776"/>
        <v>8.0699540717373175E-2</v>
      </c>
      <c r="X719" s="17">
        <f t="shared" ca="1" si="771"/>
        <v>5.0926581946603481E-4</v>
      </c>
      <c r="Y719" s="13">
        <f t="shared" ref="Y719:Z719" ca="1" si="785">+Y718</f>
        <v>0</v>
      </c>
      <c r="Z719" s="13">
        <f t="shared" ca="1" si="785"/>
        <v>0</v>
      </c>
      <c r="AA719">
        <f t="shared" ca="1" si="778"/>
        <v>0</v>
      </c>
      <c r="AB719">
        <f t="shared" ca="1" si="779"/>
        <v>1</v>
      </c>
      <c r="AC719" s="24">
        <f t="shared" ca="1" si="780"/>
        <v>0</v>
      </c>
      <c r="AD719" s="24">
        <f t="shared" ca="1" si="781"/>
        <v>5.0926581946603481E-4</v>
      </c>
    </row>
    <row r="720" spans="3:30" x14ac:dyDescent="0.25">
      <c r="C720" s="6">
        <v>814</v>
      </c>
      <c r="D720" s="36">
        <v>43164</v>
      </c>
      <c r="E720" s="38">
        <v>17.687000000000001</v>
      </c>
      <c r="F720" s="38">
        <v>48.866897341725817</v>
      </c>
      <c r="G720" s="38">
        <v>40.11</v>
      </c>
      <c r="H720" s="38">
        <v>2.3232836161661492</v>
      </c>
      <c r="I720" s="38">
        <v>6.8887602986966474</v>
      </c>
      <c r="J720" s="10">
        <v>0</v>
      </c>
      <c r="K720" s="39">
        <v>0</v>
      </c>
      <c r="L720" s="39">
        <v>1</v>
      </c>
      <c r="M720" s="39">
        <v>0</v>
      </c>
      <c r="N720" s="39">
        <v>0</v>
      </c>
      <c r="O720" s="39">
        <v>0</v>
      </c>
      <c r="P720" s="39">
        <v>0</v>
      </c>
      <c r="Q720" s="39">
        <v>0</v>
      </c>
      <c r="R720" s="39">
        <v>0</v>
      </c>
      <c r="S720" s="39">
        <v>0</v>
      </c>
      <c r="T720" s="39">
        <v>0</v>
      </c>
      <c r="U720" s="29" cm="1">
        <f t="array" aca="1" ref="U720" ca="1">+fair_value_gap(OFFSET(T719,0,0,-1*$J$5,-1*$AA$1),OFFSET(E719,0,0,-1*$J$5,1),F720:T720,0)</f>
        <v>17.961649121303708</v>
      </c>
      <c r="V720" s="9" cm="1">
        <f t="array" aca="1" ref="V720" ca="1">z_score_diff(OFFSET(U720,0,0,$J$5*-1,1),OFFSET(E720,0,0,$J$5*-1,1))</f>
        <v>0.120986234735107</v>
      </c>
      <c r="W720" s="9">
        <f t="shared" ca="1" si="776"/>
        <v>8.4310061659795141E-2</v>
      </c>
      <c r="X720" s="17">
        <f t="shared" ca="1" si="771"/>
        <v>7.4915155900065443E-3</v>
      </c>
      <c r="Y720" s="13">
        <f t="shared" ref="Y720:Z720" ca="1" si="786">+Y719</f>
        <v>0</v>
      </c>
      <c r="Z720" s="13">
        <f t="shared" ca="1" si="786"/>
        <v>0</v>
      </c>
      <c r="AA720">
        <f t="shared" ca="1" si="778"/>
        <v>0</v>
      </c>
      <c r="AB720">
        <f t="shared" ca="1" si="779"/>
        <v>1</v>
      </c>
      <c r="AC720" s="24">
        <f t="shared" ca="1" si="780"/>
        <v>0</v>
      </c>
      <c r="AD720" s="24">
        <f t="shared" ca="1" si="781"/>
        <v>7.4915155900065443E-3</v>
      </c>
    </row>
    <row r="721" spans="3:30" x14ac:dyDescent="0.25">
      <c r="C721" s="6">
        <v>815</v>
      </c>
      <c r="D721" s="36">
        <v>43165</v>
      </c>
      <c r="E721" s="38">
        <v>17.835999999999999</v>
      </c>
      <c r="F721" s="38">
        <v>48.739939120082468</v>
      </c>
      <c r="G721" s="38">
        <v>40.46</v>
      </c>
      <c r="H721" s="38">
        <v>2.3309384727734956</v>
      </c>
      <c r="I721" s="38">
        <v>6.848795042568196</v>
      </c>
      <c r="J721" s="10">
        <v>0</v>
      </c>
      <c r="K721" s="39">
        <v>0</v>
      </c>
      <c r="L721" s="39">
        <v>1</v>
      </c>
      <c r="M721" s="39">
        <v>0</v>
      </c>
      <c r="N721" s="39">
        <v>0</v>
      </c>
      <c r="O721" s="39">
        <v>0</v>
      </c>
      <c r="P721" s="39">
        <v>0</v>
      </c>
      <c r="Q721" s="39">
        <v>0</v>
      </c>
      <c r="R721" s="39">
        <v>0</v>
      </c>
      <c r="S721" s="39">
        <v>0</v>
      </c>
      <c r="T721" s="39">
        <v>0</v>
      </c>
      <c r="U721" s="29" cm="1">
        <f t="array" aca="1" ref="U721" ca="1">+fair_value_gap(OFFSET(T720,0,0,-1*$J$5,-1*$AA$1),OFFSET(E720,0,0,-1*$J$5,1),F721:T721,0)</f>
        <v>17.938562510115464</v>
      </c>
      <c r="V721" s="9" cm="1">
        <f t="array" aca="1" ref="V721" ca="1">z_score_diff(OFFSET(U721,0,0,$J$5*-1,1),OFFSET(E721,0,0,$J$5*-1,1))</f>
        <v>8.8409939526704617E-3</v>
      </c>
      <c r="W721" s="9">
        <f t="shared" ca="1" si="776"/>
        <v>8.061669895259041E-2</v>
      </c>
      <c r="X721" s="17">
        <f t="shared" ca="1" si="771"/>
        <v>1.6293979282301068E-2</v>
      </c>
      <c r="Y721" s="13">
        <f t="shared" ref="Y721:Z721" ca="1" si="787">+Y720</f>
        <v>0</v>
      </c>
      <c r="Z721" s="13">
        <f t="shared" ca="1" si="787"/>
        <v>0</v>
      </c>
      <c r="AA721">
        <f t="shared" ca="1" si="778"/>
        <v>0</v>
      </c>
      <c r="AB721">
        <f t="shared" ca="1" si="779"/>
        <v>1</v>
      </c>
      <c r="AC721" s="24">
        <f t="shared" ca="1" si="780"/>
        <v>0</v>
      </c>
      <c r="AD721" s="24">
        <f t="shared" ca="1" si="781"/>
        <v>1.6293979282301068E-2</v>
      </c>
    </row>
    <row r="722" spans="3:30" x14ac:dyDescent="0.25">
      <c r="C722" s="6">
        <v>816</v>
      </c>
      <c r="D722" s="36">
        <v>43166</v>
      </c>
      <c r="E722" s="38">
        <v>17.812000000000001</v>
      </c>
      <c r="F722" s="38">
        <v>47.823985206947853</v>
      </c>
      <c r="G722" s="38">
        <v>40.64</v>
      </c>
      <c r="H722" s="38">
        <v>2.3466136019110824</v>
      </c>
      <c r="I722" s="38">
        <v>6.8442896722406568</v>
      </c>
      <c r="J722" s="10">
        <v>0</v>
      </c>
      <c r="K722" s="39">
        <v>0</v>
      </c>
      <c r="L722" s="39">
        <v>1</v>
      </c>
      <c r="M722" s="39">
        <v>0</v>
      </c>
      <c r="N722" s="39">
        <v>0</v>
      </c>
      <c r="O722" s="39">
        <v>0</v>
      </c>
      <c r="P722" s="39">
        <v>0</v>
      </c>
      <c r="Q722" s="39">
        <v>0</v>
      </c>
      <c r="R722" s="39">
        <v>0</v>
      </c>
      <c r="S722" s="39">
        <v>0</v>
      </c>
      <c r="T722" s="39">
        <v>0</v>
      </c>
      <c r="U722" s="29" cm="1">
        <f t="array" aca="1" ref="U722" ca="1">+fair_value_gap(OFFSET(T721,0,0,-1*$J$5,-1*$AA$1),OFFSET(E721,0,0,-1*$J$5,1),F722:T722,0)</f>
        <v>17.872732927681042</v>
      </c>
      <c r="V722" s="9" cm="1">
        <f t="array" aca="1" ref="V722" ca="1">z_score_diff(OFFSET(U722,0,0,$J$5*-1,1),OFFSET(E722,0,0,$J$5*-1,1))</f>
        <v>-1.8457494903558969E-2</v>
      </c>
      <c r="W722" s="9">
        <f t="shared" ca="1" si="776"/>
        <v>7.383775114224915E-2</v>
      </c>
      <c r="X722" s="17">
        <f t="shared" ca="1" si="771"/>
        <v>1.7309462365257926E-2</v>
      </c>
      <c r="Y722" s="13">
        <f t="shared" ref="Y722:Z722" ca="1" si="788">+Y721</f>
        <v>0</v>
      </c>
      <c r="Z722" s="13">
        <f t="shared" ca="1" si="788"/>
        <v>0</v>
      </c>
      <c r="AA722">
        <f t="shared" ca="1" si="778"/>
        <v>0</v>
      </c>
      <c r="AB722">
        <f t="shared" ca="1" si="779"/>
        <v>1</v>
      </c>
      <c r="AC722" s="24">
        <f t="shared" ca="1" si="780"/>
        <v>0</v>
      </c>
      <c r="AD722" s="24">
        <f t="shared" ca="1" si="781"/>
        <v>1.7309462365257926E-2</v>
      </c>
    </row>
    <row r="723" spans="3:30" x14ac:dyDescent="0.25">
      <c r="C723" s="6">
        <v>817</v>
      </c>
      <c r="D723" s="36">
        <v>43167</v>
      </c>
      <c r="E723" s="38">
        <v>18.088999999999999</v>
      </c>
      <c r="F723" s="38">
        <v>47.853569811630308</v>
      </c>
      <c r="G723" s="38">
        <v>41</v>
      </c>
      <c r="H723" s="38">
        <v>2.3646778027899731</v>
      </c>
      <c r="I723" s="38">
        <v>6.9015779767886132</v>
      </c>
      <c r="J723" s="10">
        <v>0</v>
      </c>
      <c r="K723" s="39">
        <v>0</v>
      </c>
      <c r="L723" s="39">
        <v>1</v>
      </c>
      <c r="M723" s="39">
        <v>0</v>
      </c>
      <c r="N723" s="39">
        <v>0</v>
      </c>
      <c r="O723" s="39">
        <v>0</v>
      </c>
      <c r="P723" s="39">
        <v>0</v>
      </c>
      <c r="Q723" s="39">
        <v>0</v>
      </c>
      <c r="R723" s="39">
        <v>0</v>
      </c>
      <c r="S723" s="39">
        <v>0</v>
      </c>
      <c r="T723" s="39">
        <v>0</v>
      </c>
      <c r="U723" s="29" cm="1">
        <f t="array" aca="1" ref="U723" ca="1">+fair_value_gap(OFFSET(T722,0,0,-1*$J$5,-1*$AA$1),OFFSET(E722,0,0,-1*$J$5,1),F723:T723,0)</f>
        <v>17.975302316970915</v>
      </c>
      <c r="V723" s="9" cm="1">
        <f t="array" aca="1" ref="V723" ca="1">z_score_diff(OFFSET(U723,0,0,$J$5*-1,1),OFFSET(E723,0,0,$J$5*-1,1))</f>
        <v>-0.13173524954770899</v>
      </c>
      <c r="W723" s="9">
        <f t="shared" ca="1" si="776"/>
        <v>6.0521833348263762E-2</v>
      </c>
      <c r="X723" s="17">
        <f t="shared" ca="1" si="771"/>
        <v>2.0433529130921228E-3</v>
      </c>
      <c r="Y723" s="13">
        <f t="shared" ref="Y723:Z723" ca="1" si="789">+Y722</f>
        <v>0</v>
      </c>
      <c r="Z723" s="13">
        <f t="shared" ca="1" si="789"/>
        <v>0</v>
      </c>
      <c r="AA723">
        <f t="shared" ca="1" si="778"/>
        <v>0</v>
      </c>
      <c r="AB723">
        <f t="shared" ca="1" si="779"/>
        <v>1</v>
      </c>
      <c r="AC723" s="24">
        <f t="shared" ca="1" si="780"/>
        <v>0</v>
      </c>
      <c r="AD723" s="24">
        <f t="shared" ca="1" si="781"/>
        <v>2.0433529130921228E-3</v>
      </c>
    </row>
    <row r="724" spans="3:30" x14ac:dyDescent="0.25">
      <c r="C724" s="6">
        <v>818</v>
      </c>
      <c r="D724" s="36">
        <v>43168</v>
      </c>
      <c r="E724" s="38">
        <v>18.28</v>
      </c>
      <c r="F724" s="38">
        <v>49.033956113228591</v>
      </c>
      <c r="G724" s="38">
        <v>41.45</v>
      </c>
      <c r="H724" s="38">
        <v>2.351894178174327</v>
      </c>
      <c r="I724" s="38">
        <v>6.9231370055282531</v>
      </c>
      <c r="J724" s="10">
        <v>0</v>
      </c>
      <c r="K724" s="39">
        <v>0</v>
      </c>
      <c r="L724" s="39">
        <v>1</v>
      </c>
      <c r="M724" s="39">
        <v>0</v>
      </c>
      <c r="N724" s="39">
        <v>0</v>
      </c>
      <c r="O724" s="39">
        <v>0</v>
      </c>
      <c r="P724" s="39">
        <v>0</v>
      </c>
      <c r="Q724" s="39">
        <v>0</v>
      </c>
      <c r="R724" s="39">
        <v>0</v>
      </c>
      <c r="S724" s="39">
        <v>0</v>
      </c>
      <c r="T724" s="39">
        <v>0</v>
      </c>
      <c r="U724" s="29" cm="1">
        <f t="array" aca="1" ref="U724" ca="1">+fair_value_gap(OFFSET(T723,0,0,-1*$J$5,-1*$AA$1),OFFSET(E723,0,0,-1*$J$5,1),F724:T724,0)</f>
        <v>18.202924644234102</v>
      </c>
      <c r="V724" s="9" cm="1">
        <f t="array" aca="1" ref="V724" ca="1">z_score_diff(OFFSET(U724,0,0,$J$5*-1,1),OFFSET(E724,0,0,$J$5*-1,1))</f>
        <v>-0.10732762250868422</v>
      </c>
      <c r="W724" s="9">
        <f t="shared" ca="1" si="776"/>
        <v>4.4843358178159202E-2</v>
      </c>
      <c r="X724" s="17">
        <f t="shared" ca="1" si="771"/>
        <v>-1.3105192791556891E-2</v>
      </c>
      <c r="Y724" s="13">
        <f t="shared" ref="Y724:Z724" ca="1" si="790">+Y723</f>
        <v>0</v>
      </c>
      <c r="Z724" s="13">
        <f t="shared" ca="1" si="790"/>
        <v>0</v>
      </c>
      <c r="AA724">
        <f t="shared" ca="1" si="778"/>
        <v>0</v>
      </c>
      <c r="AB724">
        <f t="shared" ca="1" si="779"/>
        <v>1</v>
      </c>
      <c r="AC724" s="24">
        <f t="shared" ca="1" si="780"/>
        <v>0</v>
      </c>
      <c r="AD724" s="24">
        <f t="shared" ca="1" si="781"/>
        <v>-1.3105192791556891E-2</v>
      </c>
    </row>
    <row r="725" spans="3:30" x14ac:dyDescent="0.25">
      <c r="C725" s="6">
        <v>819</v>
      </c>
      <c r="D725" s="36">
        <v>43171</v>
      </c>
      <c r="E725" s="38">
        <v>18.492000000000001</v>
      </c>
      <c r="F725" s="38">
        <v>48.733165854053837</v>
      </c>
      <c r="G725" s="38">
        <v>41.8</v>
      </c>
      <c r="H725" s="38">
        <v>2.363487733703225</v>
      </c>
      <c r="I725" s="38">
        <v>6.9039962926916774</v>
      </c>
      <c r="J725" s="10">
        <v>0</v>
      </c>
      <c r="K725" s="39">
        <v>0</v>
      </c>
      <c r="L725" s="39">
        <v>1</v>
      </c>
      <c r="M725" s="39">
        <v>0</v>
      </c>
      <c r="N725" s="39">
        <v>0</v>
      </c>
      <c r="O725" s="39">
        <v>0</v>
      </c>
      <c r="P725" s="39">
        <v>0</v>
      </c>
      <c r="Q725" s="39">
        <v>0</v>
      </c>
      <c r="R725" s="39">
        <v>0</v>
      </c>
      <c r="S725" s="39">
        <v>0</v>
      </c>
      <c r="T725" s="39">
        <v>0</v>
      </c>
      <c r="U725" s="29" cm="1">
        <f t="array" aca="1" ref="U725" ca="1">+fair_value_gap(OFFSET(T724,0,0,-1*$J$5,-1*$AA$1),OFFSET(E724,0,0,-1*$J$5,1),F725:T725,0)</f>
        <v>18.256663975080283</v>
      </c>
      <c r="V725" s="9" cm="1">
        <f t="array" aca="1" ref="V725" ca="1">z_score_diff(OFFSET(U725,0,0,$J$5*-1,1),OFFSET(E725,0,0,$J$5*-1,1))</f>
        <v>-0.20856104955013932</v>
      </c>
      <c r="W725" s="9">
        <f t="shared" ca="1" si="776"/>
        <v>2.5292534278470457E-2</v>
      </c>
      <c r="X725" s="17">
        <f t="shared" ca="1" si="771"/>
        <v>-1.9880501840328541E-2</v>
      </c>
      <c r="Y725" s="13">
        <f t="shared" ref="Y725:Z725" ca="1" si="791">+Y724</f>
        <v>0</v>
      </c>
      <c r="Z725" s="13">
        <f t="shared" ca="1" si="791"/>
        <v>0</v>
      </c>
      <c r="AA725">
        <f t="shared" ca="1" si="778"/>
        <v>0</v>
      </c>
      <c r="AB725">
        <f t="shared" ca="1" si="779"/>
        <v>1</v>
      </c>
      <c r="AC725" s="24">
        <f t="shared" ca="1" si="780"/>
        <v>0</v>
      </c>
      <c r="AD725" s="24">
        <f t="shared" ca="1" si="781"/>
        <v>-1.9880501840328541E-2</v>
      </c>
    </row>
    <row r="726" spans="3:30" x14ac:dyDescent="0.25">
      <c r="C726" s="6">
        <v>820</v>
      </c>
      <c r="D726" s="36">
        <v>43172</v>
      </c>
      <c r="E726" s="38">
        <v>18.423999999999999</v>
      </c>
      <c r="F726" s="38">
        <v>48.433298303699097</v>
      </c>
      <c r="G726" s="38">
        <v>41.81</v>
      </c>
      <c r="H726" s="38">
        <v>2.3586272350968742</v>
      </c>
      <c r="I726" s="38">
        <v>6.8714986679864118</v>
      </c>
      <c r="J726" s="10">
        <v>0</v>
      </c>
      <c r="K726" s="39">
        <v>0</v>
      </c>
      <c r="L726" s="39">
        <v>1</v>
      </c>
      <c r="M726" s="39">
        <v>0</v>
      </c>
      <c r="N726" s="39">
        <v>0</v>
      </c>
      <c r="O726" s="39">
        <v>0</v>
      </c>
      <c r="P726" s="39">
        <v>0</v>
      </c>
      <c r="Q726" s="39">
        <v>0</v>
      </c>
      <c r="R726" s="39">
        <v>0</v>
      </c>
      <c r="S726" s="39">
        <v>0</v>
      </c>
      <c r="T726" s="39">
        <v>0</v>
      </c>
      <c r="U726" s="29" cm="1">
        <f t="array" aca="1" ref="U726" ca="1">+fair_value_gap(OFFSET(T725,0,0,-1*$J$5,-1*$AA$1),OFFSET(E725,0,0,-1*$J$5,1),F726:T726,0)</f>
        <v>18.24101575742716</v>
      </c>
      <c r="V726" s="9" cm="1">
        <f t="array" aca="1" ref="V726" ca="1">z_score_diff(OFFSET(U726,0,0,$J$5*-1,1),OFFSET(E726,0,0,$J$5*-1,1))</f>
        <v>-0.17309478547639412</v>
      </c>
      <c r="W726" s="9">
        <f t="shared" ca="1" si="776"/>
        <v>9.4837879150411648E-3</v>
      </c>
      <c r="X726" s="17">
        <f t="shared" ca="1" si="771"/>
        <v>4.8190254886555737E-3</v>
      </c>
      <c r="Y726" s="13">
        <f t="shared" ref="Y726:Z726" ca="1" si="792">+Y725</f>
        <v>0</v>
      </c>
      <c r="Z726" s="13">
        <f t="shared" ca="1" si="792"/>
        <v>0</v>
      </c>
      <c r="AA726">
        <f t="shared" ca="1" si="778"/>
        <v>0</v>
      </c>
      <c r="AB726">
        <f t="shared" ca="1" si="779"/>
        <v>1</v>
      </c>
      <c r="AC726" s="24">
        <f t="shared" ca="1" si="780"/>
        <v>0</v>
      </c>
      <c r="AD726" s="24">
        <f t="shared" ca="1" si="781"/>
        <v>4.8190254886555737E-3</v>
      </c>
    </row>
    <row r="727" spans="3:30" x14ac:dyDescent="0.25">
      <c r="C727" s="6">
        <v>821</v>
      </c>
      <c r="D727" s="36">
        <v>43173</v>
      </c>
      <c r="E727" s="38">
        <v>18.13</v>
      </c>
      <c r="F727" s="38">
        <v>48.67617747226015</v>
      </c>
      <c r="G727" s="38">
        <v>41.13</v>
      </c>
      <c r="H727" s="38">
        <v>2.3502362006999702</v>
      </c>
      <c r="I727" s="38">
        <v>6.9447714110833836</v>
      </c>
      <c r="J727" s="10">
        <v>0</v>
      </c>
      <c r="K727" s="39">
        <v>0</v>
      </c>
      <c r="L727" s="39">
        <v>1</v>
      </c>
      <c r="M727" s="39">
        <v>0</v>
      </c>
      <c r="N727" s="39">
        <v>0</v>
      </c>
      <c r="O727" s="39">
        <v>0</v>
      </c>
      <c r="P727" s="39">
        <v>0</v>
      </c>
      <c r="Q727" s="39">
        <v>0</v>
      </c>
      <c r="R727" s="39">
        <v>0</v>
      </c>
      <c r="S727" s="39">
        <v>0</v>
      </c>
      <c r="T727" s="39">
        <v>0</v>
      </c>
      <c r="U727" s="29" cm="1">
        <f t="array" aca="1" ref="U727" ca="1">+fair_value_gap(OFFSET(T726,0,0,-1*$J$5,-1*$AA$1),OFFSET(E726,0,0,-1*$J$5,1),F727:T727,0)</f>
        <v>18.163144157820597</v>
      </c>
      <c r="V727" s="9" cm="1">
        <f t="array" aca="1" ref="V727" ca="1">z_score_diff(OFFSET(U727,0,0,$J$5*-1,1),OFFSET(E727,0,0,$J$5*-1,1))</f>
        <v>-3.29188117199537E-2</v>
      </c>
      <c r="W727" s="9">
        <f t="shared" ca="1" si="776"/>
        <v>-6.1574965477112866E-4</v>
      </c>
      <c r="X727" s="17">
        <f t="shared" ca="1" si="771"/>
        <v>2.9349932786871657E-2</v>
      </c>
      <c r="Y727" s="13">
        <f t="shared" ref="Y727:Z727" ca="1" si="793">+Y726</f>
        <v>0</v>
      </c>
      <c r="Z727" s="13">
        <f t="shared" ca="1" si="793"/>
        <v>0</v>
      </c>
      <c r="AA727">
        <f t="shared" ca="1" si="778"/>
        <v>1</v>
      </c>
      <c r="AB727">
        <f t="shared" ca="1" si="779"/>
        <v>0</v>
      </c>
      <c r="AC727" s="24">
        <f t="shared" ca="1" si="780"/>
        <v>2.9349932786871657E-2</v>
      </c>
      <c r="AD727" s="24">
        <f t="shared" ca="1" si="781"/>
        <v>0</v>
      </c>
    </row>
    <row r="728" spans="3:30" x14ac:dyDescent="0.25">
      <c r="C728" s="6">
        <v>822</v>
      </c>
      <c r="D728" s="36">
        <v>43174</v>
      </c>
      <c r="E728" s="38">
        <v>18.358000000000001</v>
      </c>
      <c r="F728" s="38">
        <v>48.970206242636728</v>
      </c>
      <c r="G728" s="38">
        <v>41.47</v>
      </c>
      <c r="H728" s="38">
        <v>2.3396876315926436</v>
      </c>
      <c r="I728" s="38">
        <v>6.9788458171873584</v>
      </c>
      <c r="J728" s="10">
        <v>0</v>
      </c>
      <c r="K728" s="39">
        <v>0</v>
      </c>
      <c r="L728" s="39">
        <v>1</v>
      </c>
      <c r="M728" s="39">
        <v>0</v>
      </c>
      <c r="N728" s="39">
        <v>0</v>
      </c>
      <c r="O728" s="39">
        <v>0</v>
      </c>
      <c r="P728" s="39">
        <v>0</v>
      </c>
      <c r="Q728" s="39">
        <v>0</v>
      </c>
      <c r="R728" s="39">
        <v>0</v>
      </c>
      <c r="S728" s="39">
        <v>0</v>
      </c>
      <c r="T728" s="39">
        <v>0</v>
      </c>
      <c r="U728" s="29" cm="1">
        <f t="array" aca="1" ref="U728" ca="1">+fair_value_gap(OFFSET(T727,0,0,-1*$J$5,-1*$AA$1),OFFSET(E727,0,0,-1*$J$5,1),F728:T728,0)</f>
        <v>18.267527388309919</v>
      </c>
      <c r="V728" s="9" cm="1">
        <f t="array" aca="1" ref="V728" ca="1">z_score_diff(OFFSET(U728,0,0,$J$5*-1,1),OFFSET(E728,0,0,$J$5*-1,1))</f>
        <v>-0.11239165049467548</v>
      </c>
      <c r="W728" s="9">
        <f t="shared" ca="1" si="776"/>
        <v>-3.2442353624017366E-2</v>
      </c>
      <c r="X728" s="17">
        <f t="shared" ca="1" si="771"/>
        <v>-6.1195688736167021E-3</v>
      </c>
      <c r="Y728" s="13">
        <f t="shared" ref="Y728:Z728" ca="1" si="794">+Y727</f>
        <v>0</v>
      </c>
      <c r="Z728" s="13">
        <f t="shared" ca="1" si="794"/>
        <v>0</v>
      </c>
      <c r="AA728">
        <f t="shared" ca="1" si="778"/>
        <v>1</v>
      </c>
      <c r="AB728">
        <f t="shared" ca="1" si="779"/>
        <v>0</v>
      </c>
      <c r="AC728" s="24">
        <f t="shared" ca="1" si="780"/>
        <v>-6.1195688736167021E-3</v>
      </c>
      <c r="AD728" s="24">
        <f t="shared" ca="1" si="781"/>
        <v>0</v>
      </c>
    </row>
    <row r="729" spans="3:30" x14ac:dyDescent="0.25">
      <c r="C729" s="6">
        <v>823</v>
      </c>
      <c r="D729" s="36">
        <v>43175</v>
      </c>
      <c r="E729" s="38">
        <v>18.254000000000001</v>
      </c>
      <c r="F729" s="38">
        <v>49.590953599292462</v>
      </c>
      <c r="G729" s="38">
        <v>41.49</v>
      </c>
      <c r="H729" s="38">
        <v>2.3429356581066996</v>
      </c>
      <c r="I729" s="38">
        <v>5.6066205502384792</v>
      </c>
      <c r="J729" s="10">
        <v>0</v>
      </c>
      <c r="K729" s="39">
        <v>0</v>
      </c>
      <c r="L729" s="39">
        <v>1</v>
      </c>
      <c r="M729" s="39">
        <v>0</v>
      </c>
      <c r="N729" s="39">
        <v>0</v>
      </c>
      <c r="O729" s="39">
        <v>0</v>
      </c>
      <c r="P729" s="39">
        <v>0</v>
      </c>
      <c r="Q729" s="39">
        <v>0</v>
      </c>
      <c r="R729" s="39">
        <v>0</v>
      </c>
      <c r="S729" s="39">
        <v>0</v>
      </c>
      <c r="T729" s="39">
        <v>0</v>
      </c>
      <c r="U729" s="29" cm="1">
        <f t="array" aca="1" ref="U729" ca="1">+fair_value_gap(OFFSET(T728,0,0,-1*$J$5,-1*$AA$1),OFFSET(E728,0,0,-1*$J$5,1),F729:T729,0)</f>
        <v>17.80530410594297</v>
      </c>
      <c r="V729" s="9" cm="1">
        <f t="array" aca="1" ref="V729" ca="1">z_score_diff(OFFSET(U729,0,0,$J$5*-1,1),OFFSET(E729,0,0,$J$5*-1,1))</f>
        <v>-0.34212873470094396</v>
      </c>
      <c r="W729" s="9">
        <f t="shared" ca="1" si="776"/>
        <v>-5.5118887922874053E-2</v>
      </c>
      <c r="X729" s="17">
        <f t="shared" ca="1" si="771"/>
        <v>-1.4957366911625788E-2</v>
      </c>
      <c r="Y729" s="13">
        <f t="shared" ref="Y729:Z729" ca="1" si="795">+Y728</f>
        <v>0</v>
      </c>
      <c r="Z729" s="13">
        <f t="shared" ca="1" si="795"/>
        <v>0</v>
      </c>
      <c r="AA729">
        <f t="shared" ca="1" si="778"/>
        <v>1</v>
      </c>
      <c r="AB729">
        <f t="shared" ca="1" si="779"/>
        <v>0</v>
      </c>
      <c r="AC729" s="24">
        <f t="shared" ca="1" si="780"/>
        <v>-1.4957366911625788E-2</v>
      </c>
      <c r="AD729" s="24">
        <f t="shared" ca="1" si="781"/>
        <v>0</v>
      </c>
    </row>
    <row r="730" spans="3:30" x14ac:dyDescent="0.25">
      <c r="C730" s="6">
        <v>824</v>
      </c>
      <c r="D730" s="36">
        <v>43178</v>
      </c>
      <c r="E730" s="38">
        <v>18.247</v>
      </c>
      <c r="F730" s="38">
        <v>49.129939840408333</v>
      </c>
      <c r="G730" s="38">
        <v>41.17</v>
      </c>
      <c r="H730" s="38">
        <v>2.3168562502802645</v>
      </c>
      <c r="I730" s="38">
        <v>5.585629669606071</v>
      </c>
      <c r="J730" s="10">
        <v>0</v>
      </c>
      <c r="K730" s="39">
        <v>0</v>
      </c>
      <c r="L730" s="39">
        <v>1</v>
      </c>
      <c r="M730" s="39">
        <v>0</v>
      </c>
      <c r="N730" s="39">
        <v>0</v>
      </c>
      <c r="O730" s="39">
        <v>0</v>
      </c>
      <c r="P730" s="39">
        <v>0</v>
      </c>
      <c r="Q730" s="39">
        <v>0</v>
      </c>
      <c r="R730" s="39">
        <v>0</v>
      </c>
      <c r="S730" s="39">
        <v>0</v>
      </c>
      <c r="T730" s="39">
        <v>0</v>
      </c>
      <c r="U730" s="29" cm="1">
        <f t="array" aca="1" ref="U730" ca="1">+fair_value_gap(OFFSET(T729,0,0,-1*$J$5,-1*$AA$1),OFFSET(E729,0,0,-1*$J$5,1),F730:T730,0)</f>
        <v>17.763191011217266</v>
      </c>
      <c r="V730" s="9" cm="1">
        <f t="array" aca="1" ref="V730" ca="1">z_score_diff(OFFSET(U730,0,0,$J$5*-1,1),OFFSET(E730,0,0,$J$5*-1,1))</f>
        <v>-0.36251665921521686</v>
      </c>
      <c r="W730" s="9">
        <f t="shared" ca="1" si="776"/>
        <v>-7.8610703623063133E-2</v>
      </c>
      <c r="X730" s="17">
        <f t="shared" ca="1" si="771"/>
        <v>-2.6601596362271811E-2</v>
      </c>
      <c r="Y730" s="13">
        <f t="shared" ref="Y730:Z730" ca="1" si="796">+Y729</f>
        <v>0</v>
      </c>
      <c r="Z730" s="13">
        <f t="shared" ca="1" si="796"/>
        <v>0</v>
      </c>
      <c r="AA730">
        <f t="shared" ca="1" si="778"/>
        <v>1</v>
      </c>
      <c r="AB730">
        <f t="shared" ca="1" si="779"/>
        <v>0</v>
      </c>
      <c r="AC730" s="24">
        <f t="shared" ca="1" si="780"/>
        <v>-2.6601596362271811E-2</v>
      </c>
      <c r="AD730" s="24">
        <f t="shared" ca="1" si="781"/>
        <v>0</v>
      </c>
    </row>
    <row r="731" spans="3:30" x14ac:dyDescent="0.25">
      <c r="C731" s="6">
        <v>825</v>
      </c>
      <c r="D731" s="36">
        <v>43179</v>
      </c>
      <c r="E731" s="38">
        <v>18.510999999999999</v>
      </c>
      <c r="F731" s="38">
        <v>50.282043904847725</v>
      </c>
      <c r="G731" s="38">
        <v>41.66</v>
      </c>
      <c r="H731" s="38">
        <v>2.3476578506645489</v>
      </c>
      <c r="I731" s="38">
        <v>5.6709965974020413</v>
      </c>
      <c r="J731" s="10">
        <v>0</v>
      </c>
      <c r="K731" s="39">
        <v>0</v>
      </c>
      <c r="L731" s="39">
        <v>1</v>
      </c>
      <c r="M731" s="39">
        <v>0</v>
      </c>
      <c r="N731" s="39">
        <v>0</v>
      </c>
      <c r="O731" s="39">
        <v>0</v>
      </c>
      <c r="P731" s="39">
        <v>0</v>
      </c>
      <c r="Q731" s="39">
        <v>0</v>
      </c>
      <c r="R731" s="39">
        <v>0</v>
      </c>
      <c r="S731" s="39">
        <v>0</v>
      </c>
      <c r="T731" s="39">
        <v>0</v>
      </c>
      <c r="U731" s="29" cm="1">
        <f t="array" aca="1" ref="U731" ca="1">+fair_value_gap(OFFSET(T730,0,0,-1*$J$5,-1*$AA$1),OFFSET(E730,0,0,-1*$J$5,1),F731:T731,0)</f>
        <v>18.132684364884796</v>
      </c>
      <c r="V731" s="9" cm="1">
        <f t="array" aca="1" ref="V731" ca="1">z_score_diff(OFFSET(U731,0,0,$J$5*-1,1),OFFSET(E731,0,0,$J$5*-1,1))</f>
        <v>-0.291289178844925</v>
      </c>
      <c r="W731" s="9">
        <f t="shared" ca="1" si="776"/>
        <v>-9.2391071243203282E-2</v>
      </c>
      <c r="X731" s="17">
        <f t="shared" ca="1" si="771"/>
        <v>-3.6305620912132984E-2</v>
      </c>
      <c r="Y731" s="13">
        <f t="shared" ref="Y731:Z731" ca="1" si="797">+Y730</f>
        <v>0</v>
      </c>
      <c r="Z731" s="13">
        <f t="shared" ca="1" si="797"/>
        <v>0</v>
      </c>
      <c r="AA731">
        <f t="shared" ca="1" si="778"/>
        <v>1</v>
      </c>
      <c r="AB731">
        <f t="shared" ca="1" si="779"/>
        <v>0</v>
      </c>
      <c r="AC731" s="24">
        <f t="shared" ca="1" si="780"/>
        <v>-3.6305620912132984E-2</v>
      </c>
      <c r="AD731" s="24">
        <f t="shared" ca="1" si="781"/>
        <v>0</v>
      </c>
    </row>
    <row r="732" spans="3:30" x14ac:dyDescent="0.25">
      <c r="C732" s="6">
        <v>826</v>
      </c>
      <c r="D732" s="36">
        <v>43180</v>
      </c>
      <c r="E732" s="38">
        <v>18.739999999999998</v>
      </c>
      <c r="F732" s="38">
        <v>51.251230147523309</v>
      </c>
      <c r="G732" s="38">
        <v>42.38</v>
      </c>
      <c r="H732" s="38">
        <v>2.3065020229092608</v>
      </c>
      <c r="I732" s="38">
        <v>5.648255294846007</v>
      </c>
      <c r="J732" s="10">
        <v>0</v>
      </c>
      <c r="K732" s="39">
        <v>0</v>
      </c>
      <c r="L732" s="39">
        <v>1</v>
      </c>
      <c r="M732" s="39">
        <v>0</v>
      </c>
      <c r="N732" s="39">
        <v>0</v>
      </c>
      <c r="O732" s="39">
        <v>0</v>
      </c>
      <c r="P732" s="39">
        <v>0</v>
      </c>
      <c r="Q732" s="39">
        <v>0</v>
      </c>
      <c r="R732" s="39">
        <v>0</v>
      </c>
      <c r="S732" s="39">
        <v>0</v>
      </c>
      <c r="T732" s="39">
        <v>0</v>
      </c>
      <c r="U732" s="29" cm="1">
        <f t="array" aca="1" ref="U732" ca="1">+fair_value_gap(OFFSET(T731,0,0,-1*$J$5,-1*$AA$1),OFFSET(E731,0,0,-1*$J$5,1),F732:T732,0)</f>
        <v>18.405110589720486</v>
      </c>
      <c r="V732" s="9" cm="1">
        <f t="array" aca="1" ref="V732" ca="1">z_score_diff(OFFSET(U732,0,0,$J$5*-1,1),OFFSET(E732,0,0,$J$5*-1,1))</f>
        <v>-0.26024769272425696</v>
      </c>
      <c r="W732" s="9">
        <f t="shared" ca="1" si="776"/>
        <v>-0.10160137029348855</v>
      </c>
      <c r="X732" s="17">
        <f t="shared" ca="1" si="771"/>
        <v>-2.7098118228415374E-2</v>
      </c>
      <c r="Y732" s="13">
        <f t="shared" ref="Y732:Z732" ca="1" si="798">+Y731</f>
        <v>0</v>
      </c>
      <c r="Z732" s="13">
        <f t="shared" ca="1" si="798"/>
        <v>0</v>
      </c>
      <c r="AA732">
        <f t="shared" ca="1" si="778"/>
        <v>1</v>
      </c>
      <c r="AB732">
        <f t="shared" ca="1" si="779"/>
        <v>0</v>
      </c>
      <c r="AC732" s="24">
        <f t="shared" ca="1" si="780"/>
        <v>-2.7098118228415374E-2</v>
      </c>
      <c r="AD732" s="24">
        <f t="shared" ca="1" si="781"/>
        <v>0</v>
      </c>
    </row>
    <row r="733" spans="3:30" x14ac:dyDescent="0.25">
      <c r="C733" s="6">
        <v>827</v>
      </c>
      <c r="D733" s="36">
        <v>43181</v>
      </c>
      <c r="E733" s="38">
        <v>18.773</v>
      </c>
      <c r="F733" s="38">
        <v>50.951767342606274</v>
      </c>
      <c r="G733" s="38">
        <v>42.45</v>
      </c>
      <c r="H733" s="38">
        <v>2.3074581526770772</v>
      </c>
      <c r="I733" s="38">
        <v>5.6818988345995702</v>
      </c>
      <c r="J733" s="10">
        <v>0</v>
      </c>
      <c r="K733" s="39">
        <v>0</v>
      </c>
      <c r="L733" s="39">
        <v>1</v>
      </c>
      <c r="M733" s="39">
        <v>0</v>
      </c>
      <c r="N733" s="39">
        <v>0</v>
      </c>
      <c r="O733" s="39">
        <v>0</v>
      </c>
      <c r="P733" s="39">
        <v>0</v>
      </c>
      <c r="Q733" s="39">
        <v>0</v>
      </c>
      <c r="R733" s="39">
        <v>0</v>
      </c>
      <c r="S733" s="39">
        <v>0</v>
      </c>
      <c r="T733" s="39">
        <v>0</v>
      </c>
      <c r="U733" s="29" cm="1">
        <f t="array" aca="1" ref="U733" ca="1">+fair_value_gap(OFFSET(T732,0,0,-1*$J$5,-1*$AA$1),OFFSET(E732,0,0,-1*$J$5,1),F733:T733,0)</f>
        <v>18.430515186459338</v>
      </c>
      <c r="V733" s="9" cm="1">
        <f t="array" aca="1" ref="V733" ca="1">z_score_diff(OFFSET(U733,0,0,$J$5*-1,1),OFFSET(E733,0,0,$J$5*-1,1))</f>
        <v>-0.26401822349375459</v>
      </c>
      <c r="W733" s="9">
        <f t="shared" ca="1" si="776"/>
        <v>-0.11069225758861546</v>
      </c>
      <c r="X733" s="17">
        <f t="shared" ca="1" si="771"/>
        <v>-1.2920699787823156E-2</v>
      </c>
      <c r="Y733" s="13">
        <f t="shared" ref="Y733:Z733" ca="1" si="799">+Y732</f>
        <v>0</v>
      </c>
      <c r="Z733" s="13">
        <f t="shared" ca="1" si="799"/>
        <v>0</v>
      </c>
      <c r="AA733">
        <f t="shared" ca="1" si="778"/>
        <v>1</v>
      </c>
      <c r="AB733">
        <f t="shared" ca="1" si="779"/>
        <v>0</v>
      </c>
      <c r="AC733" s="24">
        <f t="shared" ca="1" si="780"/>
        <v>-1.2920699787823156E-2</v>
      </c>
      <c r="AD733" s="24">
        <f t="shared" ca="1" si="781"/>
        <v>0</v>
      </c>
    </row>
    <row r="734" spans="3:30" x14ac:dyDescent="0.25">
      <c r="C734" s="6">
        <v>828</v>
      </c>
      <c r="D734" s="36">
        <v>43182</v>
      </c>
      <c r="E734" s="38">
        <v>18.594999999999999</v>
      </c>
      <c r="F734" s="38">
        <v>51.591267671148486</v>
      </c>
      <c r="G734" s="38">
        <v>42.46</v>
      </c>
      <c r="H734" s="38">
        <v>2.2809846184791969</v>
      </c>
      <c r="I734" s="38">
        <v>5.7004972122172139</v>
      </c>
      <c r="J734" s="10">
        <v>0</v>
      </c>
      <c r="K734" s="39">
        <v>0</v>
      </c>
      <c r="L734" s="39">
        <v>1</v>
      </c>
      <c r="M734" s="39">
        <v>0</v>
      </c>
      <c r="N734" s="39">
        <v>0</v>
      </c>
      <c r="O734" s="39">
        <v>0</v>
      </c>
      <c r="P734" s="39">
        <v>0</v>
      </c>
      <c r="Q734" s="39">
        <v>0</v>
      </c>
      <c r="R734" s="39">
        <v>0</v>
      </c>
      <c r="S734" s="39">
        <v>0</v>
      </c>
      <c r="T734" s="39">
        <v>0</v>
      </c>
      <c r="U734" s="29" cm="1">
        <f t="array" aca="1" ref="U734" ca="1">+fair_value_gap(OFFSET(T733,0,0,-1*$J$5,-1*$AA$1),OFFSET(E733,0,0,-1*$J$5,1),F734:T734,0)</f>
        <v>18.50807485261997</v>
      </c>
      <c r="V734" s="9" cm="1">
        <f t="array" aca="1" ref="V734" ca="1">z_score_diff(OFFSET(U734,0,0,$J$5*-1,1),OFFSET(E734,0,0,$J$5*-1,1))</f>
        <v>-0.10034589744183064</v>
      </c>
      <c r="W734" s="9">
        <f t="shared" ca="1" si="776"/>
        <v>-0.11093129652516429</v>
      </c>
      <c r="X734" s="17">
        <f t="shared" ca="1" si="771"/>
        <v>-1.1466402876298709E-2</v>
      </c>
      <c r="Y734" s="13">
        <f t="shared" ref="Y734:Z734" ca="1" si="800">+Y733</f>
        <v>0</v>
      </c>
      <c r="Z734" s="13">
        <f t="shared" ca="1" si="800"/>
        <v>0</v>
      </c>
      <c r="AA734">
        <f t="shared" ca="1" si="778"/>
        <v>1</v>
      </c>
      <c r="AB734">
        <f t="shared" ca="1" si="779"/>
        <v>0</v>
      </c>
      <c r="AC734" s="24">
        <f t="shared" ca="1" si="780"/>
        <v>-1.1466402876298709E-2</v>
      </c>
      <c r="AD734" s="24">
        <f t="shared" ca="1" si="781"/>
        <v>0</v>
      </c>
    </row>
    <row r="735" spans="3:30" x14ac:dyDescent="0.25">
      <c r="C735" s="6">
        <v>829</v>
      </c>
      <c r="D735" s="36">
        <v>43185</v>
      </c>
      <c r="E735" s="38">
        <v>18.576000000000001</v>
      </c>
      <c r="F735" s="38">
        <v>50.980187280840944</v>
      </c>
      <c r="G735" s="38">
        <v>42.22</v>
      </c>
      <c r="H735" s="38">
        <v>2.2760961559005004</v>
      </c>
      <c r="I735" s="38">
        <v>5.6532021686463274</v>
      </c>
      <c r="J735" s="10">
        <v>0</v>
      </c>
      <c r="K735" s="39">
        <v>0</v>
      </c>
      <c r="L735" s="39">
        <v>1</v>
      </c>
      <c r="M735" s="39">
        <v>0</v>
      </c>
      <c r="N735" s="39">
        <v>0</v>
      </c>
      <c r="O735" s="39">
        <v>0</v>
      </c>
      <c r="P735" s="39">
        <v>0</v>
      </c>
      <c r="Q735" s="39">
        <v>0</v>
      </c>
      <c r="R735" s="39">
        <v>0</v>
      </c>
      <c r="S735" s="39">
        <v>0</v>
      </c>
      <c r="T735" s="39">
        <v>0</v>
      </c>
      <c r="U735" s="29" cm="1">
        <f t="array" aca="1" ref="U735" ca="1">+fair_value_gap(OFFSET(T734,0,0,-1*$J$5,-1*$AA$1),OFFSET(E734,0,0,-1*$J$5,1),F735:T735,0)</f>
        <v>18.387310195717731</v>
      </c>
      <c r="V735" s="9" cm="1">
        <f t="array" aca="1" ref="V735" ca="1">z_score_diff(OFFSET(U735,0,0,$J$5*-1,1),OFFSET(E735,0,0,$J$5*-1,1))</f>
        <v>-0.16585116920244114</v>
      </c>
      <c r="W735" s="9">
        <f t="shared" ca="1" si="776"/>
        <v>-0.11297705098897329</v>
      </c>
      <c r="X735" s="17">
        <f t="shared" ca="1" si="771"/>
        <v>8.6297536608396491E-3</v>
      </c>
      <c r="Y735" s="13">
        <f t="shared" ref="Y735:Z735" ca="1" si="801">+Y734</f>
        <v>0</v>
      </c>
      <c r="Z735" s="13">
        <f t="shared" ca="1" si="801"/>
        <v>0</v>
      </c>
      <c r="AA735">
        <f t="shared" ca="1" si="778"/>
        <v>1</v>
      </c>
      <c r="AB735">
        <f t="shared" ca="1" si="779"/>
        <v>0</v>
      </c>
      <c r="AC735" s="24">
        <f t="shared" ca="1" si="780"/>
        <v>8.6297536608396491E-3</v>
      </c>
      <c r="AD735" s="24">
        <f t="shared" ca="1" si="781"/>
        <v>0</v>
      </c>
    </row>
    <row r="736" spans="3:30" x14ac:dyDescent="0.25">
      <c r="C736" s="6">
        <v>830</v>
      </c>
      <c r="D736" s="36">
        <v>43186</v>
      </c>
      <c r="E736" s="38">
        <v>18.888999999999999</v>
      </c>
      <c r="F736" s="38">
        <v>51.24830704542947</v>
      </c>
      <c r="G736" s="38">
        <v>42.69</v>
      </c>
      <c r="H736" s="38">
        <v>2.3073474423965115</v>
      </c>
      <c r="I736" s="38">
        <v>5.715555465142935</v>
      </c>
      <c r="J736" s="10">
        <v>0</v>
      </c>
      <c r="K736" s="39">
        <v>0</v>
      </c>
      <c r="L736" s="39">
        <v>1</v>
      </c>
      <c r="M736" s="39">
        <v>0</v>
      </c>
      <c r="N736" s="39">
        <v>0</v>
      </c>
      <c r="O736" s="39">
        <v>0</v>
      </c>
      <c r="P736" s="39">
        <v>0</v>
      </c>
      <c r="Q736" s="39">
        <v>0</v>
      </c>
      <c r="R736" s="39">
        <v>0</v>
      </c>
      <c r="S736" s="39">
        <v>0</v>
      </c>
      <c r="T736" s="39">
        <v>0</v>
      </c>
      <c r="U736" s="29" cm="1">
        <f t="array" aca="1" ref="U736" ca="1">+fair_value_gap(OFFSET(T735,0,0,-1*$J$5,-1*$AA$1),OFFSET(E735,0,0,-1*$J$5,1),F736:T736,0)</f>
        <v>18.591595599481725</v>
      </c>
      <c r="V736" s="9" cm="1">
        <f t="array" aca="1" ref="V736" ca="1">z_score_diff(OFFSET(U736,0,0,$J$5*-1,1),OFFSET(E736,0,0,$J$5*-1,1))</f>
        <v>-0.23252651642675903</v>
      </c>
      <c r="W736" s="9">
        <f t="shared" ca="1" si="776"/>
        <v>-0.1170746443334276</v>
      </c>
      <c r="X736" s="17">
        <f t="shared" ca="1" si="771"/>
        <v>7.4089757834545282E-4</v>
      </c>
      <c r="Y736" s="13">
        <f t="shared" ref="Y736:Z736" ca="1" si="802">+Y735</f>
        <v>0</v>
      </c>
      <c r="Z736" s="13">
        <f t="shared" ca="1" si="802"/>
        <v>0</v>
      </c>
      <c r="AA736">
        <f t="shared" ca="1" si="778"/>
        <v>1</v>
      </c>
      <c r="AB736">
        <f t="shared" ca="1" si="779"/>
        <v>0</v>
      </c>
      <c r="AC736" s="24">
        <f t="shared" ca="1" si="780"/>
        <v>7.4089757834545282E-4</v>
      </c>
      <c r="AD736" s="24">
        <f t="shared" ca="1" si="781"/>
        <v>0</v>
      </c>
    </row>
    <row r="737" spans="3:30" x14ac:dyDescent="0.25">
      <c r="C737" s="6">
        <v>831</v>
      </c>
      <c r="D737" s="36">
        <v>43187</v>
      </c>
      <c r="E737" s="38">
        <v>18.884</v>
      </c>
      <c r="F737" s="38">
        <v>51.165838346229265</v>
      </c>
      <c r="G737" s="38">
        <v>42.92</v>
      </c>
      <c r="H737" s="38">
        <v>2.0982015077718614</v>
      </c>
      <c r="I737" s="38">
        <v>5.7560582513095024</v>
      </c>
      <c r="J737" s="10">
        <v>0</v>
      </c>
      <c r="K737" s="39">
        <v>0</v>
      </c>
      <c r="L737" s="39">
        <v>1</v>
      </c>
      <c r="M737" s="39">
        <v>0</v>
      </c>
      <c r="N737" s="39">
        <v>0</v>
      </c>
      <c r="O737" s="39">
        <v>0</v>
      </c>
      <c r="P737" s="39">
        <v>0</v>
      </c>
      <c r="Q737" s="39">
        <v>0</v>
      </c>
      <c r="R737" s="39">
        <v>0</v>
      </c>
      <c r="S737" s="39">
        <v>0</v>
      </c>
      <c r="T737" s="39">
        <v>0</v>
      </c>
      <c r="U737" s="29" cm="1">
        <f t="array" aca="1" ref="U737" ca="1">+fair_value_gap(OFFSET(T736,0,0,-1*$J$5,-1*$AA$1),OFFSET(E736,0,0,-1*$J$5,1),F737:T737,0)</f>
        <v>18.485365889858738</v>
      </c>
      <c r="V737" s="9" cm="1">
        <f t="array" aca="1" ref="V737" ca="1">z_score_diff(OFFSET(U737,0,0,$J$5*-1,1),OFFSET(E737,0,0,$J$5*-1,1))</f>
        <v>-0.29541412917437437</v>
      </c>
      <c r="W737" s="9">
        <f t="shared" ca="1" si="776"/>
        <v>-0.12172018799876071</v>
      </c>
      <c r="X737" s="17">
        <f t="shared" ca="1" si="771"/>
        <v>2.1634640730178414E-2</v>
      </c>
      <c r="Y737" s="13">
        <f t="shared" ref="Y737:Z737" ca="1" si="803">+Y736</f>
        <v>0</v>
      </c>
      <c r="Z737" s="13">
        <f t="shared" ca="1" si="803"/>
        <v>0</v>
      </c>
      <c r="AA737">
        <f t="shared" ca="1" si="778"/>
        <v>1</v>
      </c>
      <c r="AB737">
        <f t="shared" ca="1" si="779"/>
        <v>0</v>
      </c>
      <c r="AC737" s="24">
        <f t="shared" ca="1" si="780"/>
        <v>2.1634640730178414E-2</v>
      </c>
      <c r="AD737" s="24">
        <f t="shared" ca="1" si="781"/>
        <v>0</v>
      </c>
    </row>
    <row r="738" spans="3:30" x14ac:dyDescent="0.25">
      <c r="C738" s="6">
        <v>832</v>
      </c>
      <c r="D738" s="36">
        <v>43188</v>
      </c>
      <c r="E738" s="38">
        <v>17.175000000000001</v>
      </c>
      <c r="F738" s="38">
        <v>51.450871990514486</v>
      </c>
      <c r="G738" s="38">
        <v>38.25</v>
      </c>
      <c r="H738" s="38">
        <v>2.1023700376375514</v>
      </c>
      <c r="I738" s="38">
        <v>5.7785592966960841</v>
      </c>
      <c r="J738" s="10">
        <v>0</v>
      </c>
      <c r="K738" s="39">
        <v>0</v>
      </c>
      <c r="L738" s="39">
        <v>1</v>
      </c>
      <c r="M738" s="39">
        <v>0</v>
      </c>
      <c r="N738" s="39">
        <v>0</v>
      </c>
      <c r="O738" s="39">
        <v>0</v>
      </c>
      <c r="P738" s="39">
        <v>0</v>
      </c>
      <c r="Q738" s="39">
        <v>0</v>
      </c>
      <c r="R738" s="39">
        <v>0</v>
      </c>
      <c r="S738" s="39">
        <v>0</v>
      </c>
      <c r="T738" s="39">
        <v>0</v>
      </c>
      <c r="U738" s="29" cm="1">
        <f t="array" aca="1" ref="U738" ca="1">+fair_value_gap(OFFSET(T737,0,0,-1*$J$5,-1*$AA$1),OFFSET(E737,0,0,-1*$J$5,1),F738:T738,0)</f>
        <v>17.412673764291235</v>
      </c>
      <c r="V738" s="9" cm="1">
        <f t="array" aca="1" ref="V738" ca="1">z_score_diff(OFFSET(U738,0,0,$J$5*-1,1),OFFSET(E738,0,0,$J$5*-1,1))</f>
        <v>0.1001465778768081</v>
      </c>
      <c r="W738" s="9">
        <f t="shared" ca="1" si="776"/>
        <v>-0.11401886810240131</v>
      </c>
      <c r="X738" s="17">
        <f t="shared" ca="1" si="771"/>
        <v>0.12885526550108525</v>
      </c>
      <c r="Y738" s="13">
        <f t="shared" ref="Y738:Z738" ca="1" si="804">+Y737</f>
        <v>0</v>
      </c>
      <c r="Z738" s="13">
        <f t="shared" ca="1" si="804"/>
        <v>0</v>
      </c>
      <c r="AA738">
        <f t="shared" ca="1" si="778"/>
        <v>1</v>
      </c>
      <c r="AB738">
        <f t="shared" ca="1" si="779"/>
        <v>0</v>
      </c>
      <c r="AC738" s="24">
        <f t="shared" ca="1" si="780"/>
        <v>0.12885526550108525</v>
      </c>
      <c r="AD738" s="24">
        <f t="shared" ca="1" si="781"/>
        <v>0</v>
      </c>
    </row>
    <row r="739" spans="3:30" x14ac:dyDescent="0.25">
      <c r="C739" s="6">
        <v>833</v>
      </c>
      <c r="D739" s="36">
        <v>43193</v>
      </c>
      <c r="E739" s="38">
        <v>17.170000000000002</v>
      </c>
      <c r="F739" s="38">
        <v>50.620096178182735</v>
      </c>
      <c r="G739" s="38">
        <v>38.340000000000003</v>
      </c>
      <c r="H739" s="38">
        <v>2.1205074664641863</v>
      </c>
      <c r="I739" s="38">
        <v>5.7738547203239676</v>
      </c>
      <c r="J739" s="10">
        <v>0</v>
      </c>
      <c r="K739" s="39">
        <v>0</v>
      </c>
      <c r="L739" s="39">
        <v>0</v>
      </c>
      <c r="M739" s="39">
        <v>1</v>
      </c>
      <c r="N739" s="39">
        <v>0</v>
      </c>
      <c r="O739" s="39">
        <v>0</v>
      </c>
      <c r="P739" s="39">
        <v>0</v>
      </c>
      <c r="Q739" s="39">
        <v>0</v>
      </c>
      <c r="R739" s="39">
        <v>0</v>
      </c>
      <c r="S739" s="39">
        <v>0</v>
      </c>
      <c r="T739" s="39">
        <v>0</v>
      </c>
      <c r="U739" s="29" cm="1">
        <f t="array" aca="1" ref="U739" ca="1">+fair_value_gap(OFFSET(T738,0,0,-1*$J$5,-1*$AA$1),OFFSET(E738,0,0,-1*$J$5,1),F739:T739,0)</f>
        <v>18.055541939574852</v>
      </c>
      <c r="V739" s="9" cm="1">
        <f t="array" aca="1" ref="V739" ca="1">z_score_diff(OFFSET(U739,0,0,$J$5*-1,1),OFFSET(E739,0,0,$J$5*-1,1))</f>
        <v>0.51487020623744095</v>
      </c>
      <c r="W739" s="9">
        <f t="shared" ca="1" si="776"/>
        <v>-9.0634273776679111E-2</v>
      </c>
      <c r="X739" s="17">
        <f t="shared" ca="1" si="771"/>
        <v>0.13811464167445631</v>
      </c>
      <c r="Y739" s="13">
        <f t="shared" ref="Y739:Z739" ca="1" si="805">+Y738</f>
        <v>0</v>
      </c>
      <c r="Z739" s="13">
        <f t="shared" ca="1" si="805"/>
        <v>0</v>
      </c>
      <c r="AA739">
        <f t="shared" ca="1" si="778"/>
        <v>1</v>
      </c>
      <c r="AB739">
        <f t="shared" ca="1" si="779"/>
        <v>0</v>
      </c>
      <c r="AC739" s="24">
        <f t="shared" ca="1" si="780"/>
        <v>0.13811464167445631</v>
      </c>
      <c r="AD739" s="24">
        <f t="shared" ca="1" si="781"/>
        <v>0</v>
      </c>
    </row>
    <row r="740" spans="3:30" x14ac:dyDescent="0.25">
      <c r="C740" s="6">
        <v>834</v>
      </c>
      <c r="D740" s="36">
        <v>43194</v>
      </c>
      <c r="E740" s="38">
        <v>17.132999999999999</v>
      </c>
      <c r="F740" s="38">
        <v>50.530626884726807</v>
      </c>
      <c r="G740" s="38">
        <v>38.36</v>
      </c>
      <c r="H740" s="38">
        <v>2.1149232046656294</v>
      </c>
      <c r="I740" s="38">
        <v>5.8502078186585678</v>
      </c>
      <c r="J740" s="10">
        <v>0</v>
      </c>
      <c r="K740" s="39">
        <v>0</v>
      </c>
      <c r="L740" s="39">
        <v>0</v>
      </c>
      <c r="M740" s="39">
        <v>1</v>
      </c>
      <c r="N740" s="39">
        <v>0</v>
      </c>
      <c r="O740" s="39">
        <v>0</v>
      </c>
      <c r="P740" s="39">
        <v>0</v>
      </c>
      <c r="Q740" s="39">
        <v>0</v>
      </c>
      <c r="R740" s="39">
        <v>0</v>
      </c>
      <c r="S740" s="39">
        <v>0</v>
      </c>
      <c r="T740" s="39">
        <v>0</v>
      </c>
      <c r="U740" s="29" cm="1">
        <f t="array" aca="1" ref="U740" ca="1">+fair_value_gap(OFFSET(T739,0,0,-1*$J$5,-1*$AA$1),OFFSET(E739,0,0,-1*$J$5,1),F740:T740,0)</f>
        <v>17.570020741440608</v>
      </c>
      <c r="V740" s="9" cm="1">
        <f t="array" aca="1" ref="V740" ca="1">z_score_diff(OFFSET(U740,0,0,$J$5*-1,1),OFFSET(E740,0,0,$J$5*-1,1))</f>
        <v>0.2256344438631534</v>
      </c>
      <c r="W740" s="9">
        <f t="shared" ca="1" si="776"/>
        <v>-7.3625923914647465E-2</v>
      </c>
      <c r="X740" s="17">
        <f t="shared" ca="1" si="771"/>
        <v>0.13834236595263152</v>
      </c>
      <c r="Y740" s="13">
        <f t="shared" ref="Y740:Z740" ca="1" si="806">+Y739</f>
        <v>0</v>
      </c>
      <c r="Z740" s="13">
        <f t="shared" ca="1" si="806"/>
        <v>0</v>
      </c>
      <c r="AA740">
        <f t="shared" ca="1" si="778"/>
        <v>1</v>
      </c>
      <c r="AB740">
        <f t="shared" ca="1" si="779"/>
        <v>0</v>
      </c>
      <c r="AC740" s="24">
        <f t="shared" ca="1" si="780"/>
        <v>0.13834236595263152</v>
      </c>
      <c r="AD740" s="24">
        <f t="shared" ca="1" si="781"/>
        <v>0</v>
      </c>
    </row>
    <row r="741" spans="3:30" x14ac:dyDescent="0.25">
      <c r="C741" s="6">
        <v>835</v>
      </c>
      <c r="D741" s="36">
        <v>43195</v>
      </c>
      <c r="E741" s="38">
        <v>17.108000000000001</v>
      </c>
      <c r="F741" s="38">
        <v>51.024655310060396</v>
      </c>
      <c r="G741" s="38">
        <v>38.630000000000003</v>
      </c>
      <c r="H741" s="38">
        <v>2.1143995604712722</v>
      </c>
      <c r="I741" s="38">
        <v>5.9103294800574933</v>
      </c>
      <c r="J741" s="10">
        <v>0</v>
      </c>
      <c r="K741" s="39">
        <v>0</v>
      </c>
      <c r="L741" s="39">
        <v>0</v>
      </c>
      <c r="M741" s="39">
        <v>1</v>
      </c>
      <c r="N741" s="39">
        <v>0</v>
      </c>
      <c r="O741" s="39">
        <v>0</v>
      </c>
      <c r="P741" s="39">
        <v>0</v>
      </c>
      <c r="Q741" s="39">
        <v>0</v>
      </c>
      <c r="R741" s="39">
        <v>0</v>
      </c>
      <c r="S741" s="39">
        <v>0</v>
      </c>
      <c r="T741" s="39">
        <v>0</v>
      </c>
      <c r="U741" s="29" cm="1">
        <f t="array" aca="1" ref="U741" ca="1">+fair_value_gap(OFFSET(T740,0,0,-1*$J$5,-1*$AA$1),OFFSET(E740,0,0,-1*$J$5,1),F741:T741,0)</f>
        <v>17.531744913578219</v>
      </c>
      <c r="V741" s="9" cm="1">
        <f t="array" aca="1" ref="V741" ca="1">z_score_diff(OFFSET(U741,0,0,$J$5*-1,1),OFFSET(E741,0,0,$J$5*-1,1))</f>
        <v>0.21609526992833075</v>
      </c>
      <c r="W741" s="9">
        <f t="shared" ca="1" si="776"/>
        <v>-5.7069536264506469E-2</v>
      </c>
      <c r="X741" s="17">
        <f t="shared" ca="1" si="771"/>
        <v>0.16900358689994308</v>
      </c>
      <c r="Y741" s="13">
        <f t="shared" ref="Y741:Z741" ca="1" si="807">+Y740</f>
        <v>0</v>
      </c>
      <c r="Z741" s="13">
        <f t="shared" ca="1" si="807"/>
        <v>0</v>
      </c>
      <c r="AA741">
        <f t="shared" ca="1" si="778"/>
        <v>1</v>
      </c>
      <c r="AB741">
        <f t="shared" ca="1" si="779"/>
        <v>0</v>
      </c>
      <c r="AC741" s="24">
        <f t="shared" ca="1" si="780"/>
        <v>0.16900358689994308</v>
      </c>
      <c r="AD741" s="24">
        <f t="shared" ca="1" si="781"/>
        <v>0</v>
      </c>
    </row>
    <row r="742" spans="3:30" x14ac:dyDescent="0.25">
      <c r="C742" s="6">
        <v>836</v>
      </c>
      <c r="D742" s="36">
        <v>43196</v>
      </c>
      <c r="E742" s="38">
        <v>17.120999999999999</v>
      </c>
      <c r="F742" s="38">
        <v>49.983207222869787</v>
      </c>
      <c r="G742" s="38">
        <v>38.78</v>
      </c>
      <c r="H742" s="38">
        <v>2.1068020625481556</v>
      </c>
      <c r="I742" s="38">
        <v>5.8833988580911551</v>
      </c>
      <c r="J742" s="10">
        <v>0</v>
      </c>
      <c r="K742" s="39">
        <v>0</v>
      </c>
      <c r="L742" s="39">
        <v>0</v>
      </c>
      <c r="M742" s="39">
        <v>1</v>
      </c>
      <c r="N742" s="39">
        <v>0</v>
      </c>
      <c r="O742" s="39">
        <v>0</v>
      </c>
      <c r="P742" s="39">
        <v>0</v>
      </c>
      <c r="Q742" s="39">
        <v>0</v>
      </c>
      <c r="R742" s="39">
        <v>0</v>
      </c>
      <c r="S742" s="39">
        <v>0</v>
      </c>
      <c r="T742" s="39">
        <v>0</v>
      </c>
      <c r="U742" s="29" cm="1">
        <f t="array" aca="1" ref="U742" ca="1">+fair_value_gap(OFFSET(T741,0,0,-1*$J$5,-1*$AA$1),OFFSET(E741,0,0,-1*$J$5,1),F742:T742,0)</f>
        <v>17.32895008270031</v>
      </c>
      <c r="V742" s="9" cm="1">
        <f t="array" aca="1" ref="V742" ca="1">z_score_diff(OFFSET(U742,0,0,$J$5*-1,1),OFFSET(E742,0,0,$J$5*-1,1))</f>
        <v>7.7146044537977382E-2</v>
      </c>
      <c r="W742" s="9">
        <f t="shared" ca="1" si="776"/>
        <v>-4.4953813268652512E-2</v>
      </c>
      <c r="X742" s="17">
        <f t="shared" ca="1" si="771"/>
        <v>0.16076223292082947</v>
      </c>
      <c r="Y742" s="13">
        <f t="shared" ref="Y742:Z742" ca="1" si="808">+Y741</f>
        <v>0</v>
      </c>
      <c r="Z742" s="13">
        <f t="shared" ca="1" si="808"/>
        <v>0</v>
      </c>
      <c r="AA742">
        <f t="shared" ca="1" si="778"/>
        <v>1</v>
      </c>
      <c r="AB742">
        <f t="shared" ca="1" si="779"/>
        <v>0</v>
      </c>
      <c r="AC742" s="24">
        <f t="shared" ca="1" si="780"/>
        <v>0.16076223292082947</v>
      </c>
      <c r="AD742" s="24">
        <f t="shared" ca="1" si="781"/>
        <v>0</v>
      </c>
    </row>
    <row r="743" spans="3:30" x14ac:dyDescent="0.25">
      <c r="C743" s="6">
        <v>837</v>
      </c>
      <c r="D743" s="36">
        <v>43199</v>
      </c>
      <c r="E743" s="38">
        <v>17.359000000000002</v>
      </c>
      <c r="F743" s="38">
        <v>50.582263127010947</v>
      </c>
      <c r="G743" s="38">
        <v>39.43</v>
      </c>
      <c r="H743" s="38">
        <v>2.0990615265257579</v>
      </c>
      <c r="I743" s="38">
        <v>5.9506228266049161</v>
      </c>
      <c r="J743" s="10">
        <v>0</v>
      </c>
      <c r="K743" s="39">
        <v>0</v>
      </c>
      <c r="L743" s="39">
        <v>0</v>
      </c>
      <c r="M743" s="39">
        <v>1</v>
      </c>
      <c r="N743" s="39">
        <v>0</v>
      </c>
      <c r="O743" s="39">
        <v>0</v>
      </c>
      <c r="P743" s="39">
        <v>0</v>
      </c>
      <c r="Q743" s="39">
        <v>0</v>
      </c>
      <c r="R743" s="39">
        <v>0</v>
      </c>
      <c r="S743" s="39">
        <v>0</v>
      </c>
      <c r="T743" s="39">
        <v>0</v>
      </c>
      <c r="U743" s="29" cm="1">
        <f t="array" aca="1" ref="U743" ca="1">+fair_value_gap(OFFSET(T742,0,0,-1*$J$5,-1*$AA$1),OFFSET(E742,0,0,-1*$J$5,1),F743:T743,0)</f>
        <v>17.47646050954069</v>
      </c>
      <c r="V743" s="9" cm="1">
        <f t="array" aca="1" ref="V743" ca="1">z_score_diff(OFFSET(U743,0,0,$J$5*-1,1),OFFSET(E743,0,0,$J$5*-1,1))</f>
        <v>2.0681051194125361E-2</v>
      </c>
      <c r="W743" s="9">
        <f t="shared" ca="1" si="776"/>
        <v>-3.859768213845545E-2</v>
      </c>
      <c r="X743" s="17">
        <f t="shared" ca="1" si="771"/>
        <v>0.15842912131694614</v>
      </c>
      <c r="Y743" s="13">
        <f t="shared" ref="Y743:Z743" ca="1" si="809">+Y742</f>
        <v>0</v>
      </c>
      <c r="Z743" s="13">
        <f t="shared" ca="1" si="809"/>
        <v>0</v>
      </c>
      <c r="AA743">
        <f t="shared" ca="1" si="778"/>
        <v>1</v>
      </c>
      <c r="AB743">
        <f t="shared" ca="1" si="779"/>
        <v>0</v>
      </c>
      <c r="AC743" s="24">
        <f t="shared" ca="1" si="780"/>
        <v>0.15842912131694614</v>
      </c>
      <c r="AD743" s="24">
        <f t="shared" ca="1" si="781"/>
        <v>0</v>
      </c>
    </row>
    <row r="744" spans="3:30" x14ac:dyDescent="0.25">
      <c r="C744" s="6">
        <v>838</v>
      </c>
      <c r="D744" s="36">
        <v>43200</v>
      </c>
      <c r="E744" s="38">
        <v>17.481000000000002</v>
      </c>
      <c r="F744" s="38">
        <v>51.595671556786272</v>
      </c>
      <c r="G744" s="38">
        <v>39.67</v>
      </c>
      <c r="H744" s="38">
        <v>2.0864510300673622</v>
      </c>
      <c r="I744" s="38">
        <v>6.0213279915159372</v>
      </c>
      <c r="J744" s="10">
        <v>0</v>
      </c>
      <c r="K744" s="39">
        <v>0</v>
      </c>
      <c r="L744" s="39">
        <v>0</v>
      </c>
      <c r="M744" s="39">
        <v>1</v>
      </c>
      <c r="N744" s="39">
        <v>0</v>
      </c>
      <c r="O744" s="39">
        <v>0</v>
      </c>
      <c r="P744" s="39">
        <v>0</v>
      </c>
      <c r="Q744" s="39">
        <v>0</v>
      </c>
      <c r="R744" s="39">
        <v>0</v>
      </c>
      <c r="S744" s="39">
        <v>0</v>
      </c>
      <c r="T744" s="39">
        <v>0</v>
      </c>
      <c r="U744" s="29" cm="1">
        <f t="array" aca="1" ref="U744" ca="1">+fair_value_gap(OFFSET(T743,0,0,-1*$J$5,-1*$AA$1),OFFSET(E743,0,0,-1*$J$5,1),F744:T744,0)</f>
        <v>17.600543084393024</v>
      </c>
      <c r="V744" s="9" cm="1">
        <f t="array" aca="1" ref="V744" ca="1">z_score_diff(OFFSET(U744,0,0,$J$5*-1,1),OFFSET(E744,0,0,$J$5*-1,1))</f>
        <v>2.1299388245304751E-2</v>
      </c>
      <c r="W744" s="9">
        <f t="shared" ca="1" si="776"/>
        <v>-3.3679198222772655E-2</v>
      </c>
      <c r="X744" s="17">
        <f t="shared" ca="1" si="771"/>
        <v>0.16814917993373626</v>
      </c>
      <c r="Y744" s="13">
        <f t="shared" ref="Y744:Z744" ca="1" si="810">+Y743</f>
        <v>0</v>
      </c>
      <c r="Z744" s="13">
        <f t="shared" ca="1" si="810"/>
        <v>0</v>
      </c>
      <c r="AA744">
        <f t="shared" ca="1" si="778"/>
        <v>1</v>
      </c>
      <c r="AB744">
        <f t="shared" ca="1" si="779"/>
        <v>0</v>
      </c>
      <c r="AC744" s="24">
        <f t="shared" ca="1" si="780"/>
        <v>0.16814917993373626</v>
      </c>
      <c r="AD744" s="24">
        <f t="shared" ca="1" si="781"/>
        <v>0</v>
      </c>
    </row>
    <row r="745" spans="3:30" x14ac:dyDescent="0.25">
      <c r="C745" s="6">
        <v>839</v>
      </c>
      <c r="D745" s="36">
        <v>43201</v>
      </c>
      <c r="E745" s="38">
        <v>17.888999999999999</v>
      </c>
      <c r="F745" s="38">
        <v>52.377586221776241</v>
      </c>
      <c r="G745" s="38">
        <v>39.950000000000003</v>
      </c>
      <c r="H745" s="38">
        <v>2.091651361103287</v>
      </c>
      <c r="I745" s="38">
        <v>6.1078416527340931</v>
      </c>
      <c r="J745" s="10">
        <v>0</v>
      </c>
      <c r="K745" s="39">
        <v>0</v>
      </c>
      <c r="L745" s="39">
        <v>0</v>
      </c>
      <c r="M745" s="39">
        <v>1</v>
      </c>
      <c r="N745" s="39">
        <v>0</v>
      </c>
      <c r="O745" s="39">
        <v>0</v>
      </c>
      <c r="P745" s="39">
        <v>0</v>
      </c>
      <c r="Q745" s="39">
        <v>0</v>
      </c>
      <c r="R745" s="39">
        <v>0</v>
      </c>
      <c r="S745" s="39">
        <v>0</v>
      </c>
      <c r="T745" s="39">
        <v>0</v>
      </c>
      <c r="U745" s="29" cm="1">
        <f t="array" aca="1" ref="U745" ca="1">+fair_value_gap(OFFSET(T744,0,0,-1*$J$5,-1*$AA$1),OFFSET(E744,0,0,-1*$J$5,1),F745:T745,0)</f>
        <v>17.737719928931853</v>
      </c>
      <c r="V745" s="9" cm="1">
        <f t="array" aca="1" ref="V745" ca="1">z_score_diff(OFFSET(U745,0,0,$J$5*-1,1),OFFSET(E745,0,0,$J$5*-1,1))</f>
        <v>-0.14995076053732131</v>
      </c>
      <c r="W745" s="9">
        <f t="shared" ca="1" si="776"/>
        <v>-3.8828423455703455E-2</v>
      </c>
      <c r="X745" s="17">
        <f t="shared" ca="1" si="771"/>
        <v>0.13599495514722251</v>
      </c>
      <c r="Y745" s="13">
        <f t="shared" ref="Y745:Z745" ca="1" si="811">+Y744</f>
        <v>0</v>
      </c>
      <c r="Z745" s="13">
        <f t="shared" ca="1" si="811"/>
        <v>0</v>
      </c>
      <c r="AA745">
        <f t="shared" ca="1" si="778"/>
        <v>1</v>
      </c>
      <c r="AB745">
        <f t="shared" ca="1" si="779"/>
        <v>0</v>
      </c>
      <c r="AC745" s="24">
        <f t="shared" ca="1" si="780"/>
        <v>0.13599495514722251</v>
      </c>
      <c r="AD745" s="24">
        <f t="shared" ca="1" si="781"/>
        <v>0</v>
      </c>
    </row>
    <row r="746" spans="3:30" x14ac:dyDescent="0.25">
      <c r="C746" s="6">
        <v>840</v>
      </c>
      <c r="D746" s="36">
        <v>43202</v>
      </c>
      <c r="E746" s="38">
        <v>17.838000000000001</v>
      </c>
      <c r="F746" s="38">
        <v>52.30022612272333</v>
      </c>
      <c r="G746" s="38">
        <v>40.130000000000003</v>
      </c>
      <c r="H746" s="38">
        <v>2.1085373330741279</v>
      </c>
      <c r="I746" s="38">
        <v>6.1469490747700402</v>
      </c>
      <c r="J746" s="10">
        <v>0</v>
      </c>
      <c r="K746" s="39">
        <v>0</v>
      </c>
      <c r="L746" s="39">
        <v>0</v>
      </c>
      <c r="M746" s="39">
        <v>1</v>
      </c>
      <c r="N746" s="39">
        <v>0</v>
      </c>
      <c r="O746" s="39">
        <v>0</v>
      </c>
      <c r="P746" s="39">
        <v>0</v>
      </c>
      <c r="Q746" s="39">
        <v>0</v>
      </c>
      <c r="R746" s="39">
        <v>0</v>
      </c>
      <c r="S746" s="39">
        <v>0</v>
      </c>
      <c r="T746" s="39">
        <v>0</v>
      </c>
      <c r="U746" s="29" cm="1">
        <f t="array" aca="1" ref="U746" ca="1">+fair_value_gap(OFFSET(T745,0,0,-1*$J$5,-1*$AA$1),OFFSET(E745,0,0,-1*$J$5,1),F746:T746,0)</f>
        <v>17.819565648798971</v>
      </c>
      <c r="V746" s="9" cm="1">
        <f t="array" aca="1" ref="V746" ca="1">z_score_diff(OFFSET(U746,0,0,$J$5*-1,1),OFFSET(E746,0,0,$J$5*-1,1))</f>
        <v>-6.4779088338314139E-2</v>
      </c>
      <c r="W746" s="9">
        <f t="shared" ca="1" si="776"/>
        <v>-4.1555954826944887E-2</v>
      </c>
      <c r="X746" s="17">
        <f t="shared" ca="1" si="771"/>
        <v>0.12598392155304194</v>
      </c>
      <c r="Y746" s="13">
        <f t="shared" ref="Y746:Z746" ca="1" si="812">+Y745</f>
        <v>0</v>
      </c>
      <c r="Z746" s="13">
        <f t="shared" ca="1" si="812"/>
        <v>0</v>
      </c>
      <c r="AA746">
        <f t="shared" ca="1" si="778"/>
        <v>1</v>
      </c>
      <c r="AB746">
        <f t="shared" ca="1" si="779"/>
        <v>0</v>
      </c>
      <c r="AC746" s="24">
        <f t="shared" ca="1" si="780"/>
        <v>0.12598392155304194</v>
      </c>
      <c r="AD746" s="24">
        <f t="shared" ca="1" si="781"/>
        <v>0</v>
      </c>
    </row>
    <row r="747" spans="3:30" x14ac:dyDescent="0.25">
      <c r="C747" s="6">
        <v>841</v>
      </c>
      <c r="D747" s="36">
        <v>43203</v>
      </c>
      <c r="E747" s="38">
        <v>18.058</v>
      </c>
      <c r="F747" s="38">
        <v>52.671950907696242</v>
      </c>
      <c r="G747" s="38">
        <v>40.57</v>
      </c>
      <c r="H747" s="38">
        <v>2.1029443581220622</v>
      </c>
      <c r="I747" s="38">
        <v>6.1562063607576265</v>
      </c>
      <c r="J747" s="10">
        <v>0</v>
      </c>
      <c r="K747" s="39">
        <v>0</v>
      </c>
      <c r="L747" s="39">
        <v>0</v>
      </c>
      <c r="M747" s="39">
        <v>1</v>
      </c>
      <c r="N747" s="39">
        <v>0</v>
      </c>
      <c r="O747" s="39">
        <v>0</v>
      </c>
      <c r="P747" s="39">
        <v>0</v>
      </c>
      <c r="Q747" s="39">
        <v>0</v>
      </c>
      <c r="R747" s="39">
        <v>0</v>
      </c>
      <c r="S747" s="39">
        <v>0</v>
      </c>
      <c r="T747" s="39">
        <v>0</v>
      </c>
      <c r="U747" s="29" cm="1">
        <f t="array" aca="1" ref="U747" ca="1">+fair_value_gap(OFFSET(T746,0,0,-1*$J$5,-1*$AA$1),OFFSET(E746,0,0,-1*$J$5,1),F747:T747,0)</f>
        <v>17.942591237499734</v>
      </c>
      <c r="V747" s="9" cm="1">
        <f t="array" aca="1" ref="V747" ca="1">z_score_diff(OFFSET(U747,0,0,$J$5*-1,1),OFFSET(E747,0,0,$J$5*-1,1))</f>
        <v>-0.12534831031108806</v>
      </c>
      <c r="W747" s="9">
        <f t="shared" ca="1" si="776"/>
        <v>-4.8128396720301878E-2</v>
      </c>
      <c r="X747" s="17">
        <f t="shared" ca="1" si="771"/>
        <v>6.8276404157126228E-2</v>
      </c>
      <c r="Y747" s="13">
        <f t="shared" ref="Y747:Z747" ca="1" si="813">+Y746</f>
        <v>0</v>
      </c>
      <c r="Z747" s="13">
        <f t="shared" ca="1" si="813"/>
        <v>0</v>
      </c>
      <c r="AA747">
        <f t="shared" ca="1" si="778"/>
        <v>1</v>
      </c>
      <c r="AB747">
        <f t="shared" ca="1" si="779"/>
        <v>0</v>
      </c>
      <c r="AC747" s="24">
        <f t="shared" ca="1" si="780"/>
        <v>6.8276404157126228E-2</v>
      </c>
      <c r="AD747" s="24">
        <f t="shared" ca="1" si="781"/>
        <v>0</v>
      </c>
    </row>
    <row r="748" spans="3:30" x14ac:dyDescent="0.25">
      <c r="C748" s="6">
        <v>842</v>
      </c>
      <c r="D748" s="36">
        <v>43206</v>
      </c>
      <c r="E748" s="38">
        <v>17.97</v>
      </c>
      <c r="F748" s="38">
        <v>51.950290702230028</v>
      </c>
      <c r="G748" s="38">
        <v>41.07</v>
      </c>
      <c r="H748" s="38">
        <v>2.1015185469589883</v>
      </c>
      <c r="I748" s="38">
        <v>5.7004278259234304</v>
      </c>
      <c r="J748" s="10">
        <v>0</v>
      </c>
      <c r="K748" s="39">
        <v>0</v>
      </c>
      <c r="L748" s="39">
        <v>0</v>
      </c>
      <c r="M748" s="39">
        <v>1</v>
      </c>
      <c r="N748" s="39">
        <v>0</v>
      </c>
      <c r="O748" s="39">
        <v>0</v>
      </c>
      <c r="P748" s="39">
        <v>0</v>
      </c>
      <c r="Q748" s="39">
        <v>0</v>
      </c>
      <c r="R748" s="39">
        <v>0</v>
      </c>
      <c r="S748" s="39">
        <v>0</v>
      </c>
      <c r="T748" s="39">
        <v>0</v>
      </c>
      <c r="U748" s="29" cm="1">
        <f t="array" aca="1" ref="U748" ca="1">+fair_value_gap(OFFSET(T747,0,0,-1*$J$5,-1*$AA$1),OFFSET(E747,0,0,-1*$J$5,1),F748:T748,0)</f>
        <v>17.924174489192534</v>
      </c>
      <c r="V748" s="9" cm="1">
        <f t="array" aca="1" ref="V748" ca="1">z_score_diff(OFFSET(U748,0,0,$J$5*-1,1),OFFSET(E748,0,0,$J$5*-1,1))</f>
        <v>-8.1679992221523112E-2</v>
      </c>
      <c r="W748" s="9">
        <f t="shared" ca="1" si="776"/>
        <v>-6.9734714930567765E-2</v>
      </c>
      <c r="X748" s="17">
        <f t="shared" ca="1" si="771"/>
        <v>7.1453207244603217E-2</v>
      </c>
      <c r="Y748" s="13">
        <f t="shared" ref="Y748:Z748" ca="1" si="814">+Y747</f>
        <v>0</v>
      </c>
      <c r="Z748" s="13">
        <f t="shared" ca="1" si="814"/>
        <v>0</v>
      </c>
      <c r="AA748">
        <f t="shared" ca="1" si="778"/>
        <v>1</v>
      </c>
      <c r="AB748">
        <f t="shared" ca="1" si="779"/>
        <v>0</v>
      </c>
      <c r="AC748" s="24">
        <f t="shared" ca="1" si="780"/>
        <v>7.1453207244603217E-2</v>
      </c>
      <c r="AD748" s="24">
        <f t="shared" ca="1" si="781"/>
        <v>0</v>
      </c>
    </row>
    <row r="749" spans="3:30" x14ac:dyDescent="0.25">
      <c r="C749" s="6">
        <v>843</v>
      </c>
      <c r="D749" s="36">
        <v>43207</v>
      </c>
      <c r="E749" s="38">
        <v>17.677</v>
      </c>
      <c r="F749" s="38">
        <v>52.119674549950382</v>
      </c>
      <c r="G749" s="38">
        <v>40.08</v>
      </c>
      <c r="H749" s="38">
        <v>2.0971740285968297</v>
      </c>
      <c r="I749" s="38">
        <v>5.6839296102157073</v>
      </c>
      <c r="J749" s="10">
        <v>0</v>
      </c>
      <c r="K749" s="39">
        <v>0</v>
      </c>
      <c r="L749" s="39">
        <v>0</v>
      </c>
      <c r="M749" s="39">
        <v>1</v>
      </c>
      <c r="N749" s="39">
        <v>0</v>
      </c>
      <c r="O749" s="39">
        <v>0</v>
      </c>
      <c r="P749" s="39">
        <v>0</v>
      </c>
      <c r="Q749" s="39">
        <v>0</v>
      </c>
      <c r="R749" s="39">
        <v>0</v>
      </c>
      <c r="S749" s="39">
        <v>0</v>
      </c>
      <c r="T749" s="39">
        <v>0</v>
      </c>
      <c r="U749" s="29" cm="1">
        <f t="array" aca="1" ref="U749" ca="1">+fair_value_gap(OFFSET(T748,0,0,-1*$J$5,-1*$AA$1),OFFSET(E748,0,0,-1*$J$5,1),F749:T749,0)</f>
        <v>17.736912118635633</v>
      </c>
      <c r="V749" s="9" cm="1">
        <f t="array" aca="1" ref="V749" ca="1">z_score_diff(OFFSET(U749,0,0,$J$5*-1,1),OFFSET(E749,0,0,$J$5*-1,1))</f>
        <v>-1.6289652130564714E-2</v>
      </c>
      <c r="W749" s="9">
        <f t="shared" ca="1" si="776"/>
        <v>-7.4372415279783693E-2</v>
      </c>
      <c r="X749" s="17">
        <f t="shared" ca="1" si="771"/>
        <v>9.1770827256990373E-2</v>
      </c>
      <c r="Y749" s="13">
        <f t="shared" ref="Y749:Z749" ca="1" si="815">+Y748</f>
        <v>0</v>
      </c>
      <c r="Z749" s="13">
        <f t="shared" ca="1" si="815"/>
        <v>0</v>
      </c>
      <c r="AA749">
        <f t="shared" ca="1" si="778"/>
        <v>1</v>
      </c>
      <c r="AB749">
        <f t="shared" ca="1" si="779"/>
        <v>0</v>
      </c>
      <c r="AC749" s="24">
        <f t="shared" ca="1" si="780"/>
        <v>9.1770827256990373E-2</v>
      </c>
      <c r="AD749" s="24">
        <f t="shared" ca="1" si="781"/>
        <v>0</v>
      </c>
    </row>
    <row r="750" spans="3:30" x14ac:dyDescent="0.25">
      <c r="C750" s="6">
        <v>844</v>
      </c>
      <c r="D750" s="36">
        <v>43208</v>
      </c>
      <c r="E750" s="38">
        <v>17.82</v>
      </c>
      <c r="F750" s="38">
        <v>53.030801580661034</v>
      </c>
      <c r="G750" s="38">
        <v>39.979999999999997</v>
      </c>
      <c r="H750" s="38">
        <v>2.0839404964479002</v>
      </c>
      <c r="I750" s="38">
        <v>5.7190848210788232</v>
      </c>
      <c r="J750" s="10">
        <v>0</v>
      </c>
      <c r="K750" s="39">
        <v>0</v>
      </c>
      <c r="L750" s="39">
        <v>0</v>
      </c>
      <c r="M750" s="39">
        <v>1</v>
      </c>
      <c r="N750" s="39">
        <v>0</v>
      </c>
      <c r="O750" s="39">
        <v>0</v>
      </c>
      <c r="P750" s="39">
        <v>0</v>
      </c>
      <c r="Q750" s="39">
        <v>0</v>
      </c>
      <c r="R750" s="39">
        <v>0</v>
      </c>
      <c r="S750" s="39">
        <v>0</v>
      </c>
      <c r="T750" s="39">
        <v>0</v>
      </c>
      <c r="U750" s="29" cm="1">
        <f t="array" aca="1" ref="U750" ca="1">+fair_value_gap(OFFSET(T749,0,0,-1*$J$5,-1*$AA$1),OFFSET(E749,0,0,-1*$J$5,1),F750:T750,0)</f>
        <v>17.794256749253222</v>
      </c>
      <c r="V750" s="9" cm="1">
        <f t="array" aca="1" ref="V750" ca="1">z_score_diff(OFFSET(U750,0,0,$J$5*-1,1),OFFSET(E750,0,0,$J$5*-1,1))</f>
        <v>-7.0540300970913072E-2</v>
      </c>
      <c r="W750" s="9">
        <f t="shared" ca="1" si="776"/>
        <v>-8.0756633136651004E-2</v>
      </c>
      <c r="X750" s="17">
        <f t="shared" ca="1" si="771"/>
        <v>7.9576398502111567E-2</v>
      </c>
      <c r="Y750" s="13">
        <f t="shared" ref="Y750:Z750" ca="1" si="816">+Y749</f>
        <v>0</v>
      </c>
      <c r="Z750" s="13">
        <f t="shared" ca="1" si="816"/>
        <v>0</v>
      </c>
      <c r="AA750">
        <f t="shared" ca="1" si="778"/>
        <v>1</v>
      </c>
      <c r="AB750">
        <f t="shared" ca="1" si="779"/>
        <v>0</v>
      </c>
      <c r="AC750" s="24">
        <f t="shared" ca="1" si="780"/>
        <v>7.9576398502111567E-2</v>
      </c>
      <c r="AD750" s="24">
        <f t="shared" ca="1" si="781"/>
        <v>0</v>
      </c>
    </row>
    <row r="751" spans="3:30" x14ac:dyDescent="0.25">
      <c r="C751" s="6">
        <v>845</v>
      </c>
      <c r="D751" s="36">
        <v>43209</v>
      </c>
      <c r="E751" s="38">
        <v>18.129000000000001</v>
      </c>
      <c r="F751" s="38">
        <v>53.515426143684053</v>
      </c>
      <c r="G751" s="38">
        <v>40.58</v>
      </c>
      <c r="H751" s="38">
        <v>2.030789438952191</v>
      </c>
      <c r="I751" s="38">
        <v>5.8134784712751317</v>
      </c>
      <c r="J751" s="10">
        <v>0</v>
      </c>
      <c r="K751" s="39">
        <v>0</v>
      </c>
      <c r="L751" s="39">
        <v>0</v>
      </c>
      <c r="M751" s="39">
        <v>1</v>
      </c>
      <c r="N751" s="39">
        <v>0</v>
      </c>
      <c r="O751" s="39">
        <v>0</v>
      </c>
      <c r="P751" s="39">
        <v>0</v>
      </c>
      <c r="Q751" s="39">
        <v>0</v>
      </c>
      <c r="R751" s="39">
        <v>0</v>
      </c>
      <c r="S751" s="39">
        <v>0</v>
      </c>
      <c r="T751" s="39">
        <v>0</v>
      </c>
      <c r="U751" s="29" cm="1">
        <f t="array" aca="1" ref="U751" ca="1">+fair_value_gap(OFFSET(T750,0,0,-1*$J$5,-1*$AA$1),OFFSET(E750,0,0,-1*$J$5,1),F751:T751,0)</f>
        <v>17.912166041520507</v>
      </c>
      <c r="V751" s="9" cm="1">
        <f t="array" aca="1" ref="V751" ca="1">z_score_diff(OFFSET(U751,0,0,$J$5*-1,1),OFFSET(E751,0,0,$J$5*-1,1))</f>
        <v>-0.19018276074810936</v>
      </c>
      <c r="W751" s="9">
        <f t="shared" ca="1" si="776"/>
        <v>-8.7390758293343682E-2</v>
      </c>
      <c r="X751" s="17">
        <f t="shared" ca="1" si="771"/>
        <v>8.4588002988367494E-3</v>
      </c>
      <c r="Y751" s="13">
        <f t="shared" ref="Y751:Z751" ca="1" si="817">+Y750</f>
        <v>0</v>
      </c>
      <c r="Z751" s="13">
        <f t="shared" ca="1" si="817"/>
        <v>0</v>
      </c>
      <c r="AA751">
        <f t="shared" ca="1" si="778"/>
        <v>1</v>
      </c>
      <c r="AB751">
        <f t="shared" ca="1" si="779"/>
        <v>0</v>
      </c>
      <c r="AC751" s="24">
        <f t="shared" ca="1" si="780"/>
        <v>8.4588002988367494E-3</v>
      </c>
      <c r="AD751" s="24">
        <f t="shared" ca="1" si="781"/>
        <v>0</v>
      </c>
    </row>
    <row r="752" spans="3:30" x14ac:dyDescent="0.25">
      <c r="C752" s="6">
        <v>846</v>
      </c>
      <c r="D752" s="36">
        <v>43210</v>
      </c>
      <c r="E752" s="38">
        <v>18.123000000000001</v>
      </c>
      <c r="F752" s="38">
        <v>53.984675267061924</v>
      </c>
      <c r="G752" s="38">
        <v>40.07</v>
      </c>
      <c r="H752" s="38">
        <v>2.0539278409839907</v>
      </c>
      <c r="I752" s="38">
        <v>5.9162909946867837</v>
      </c>
      <c r="J752" s="10">
        <v>0</v>
      </c>
      <c r="K752" s="39">
        <v>0</v>
      </c>
      <c r="L752" s="39">
        <v>0</v>
      </c>
      <c r="M752" s="39">
        <v>1</v>
      </c>
      <c r="N752" s="39">
        <v>0</v>
      </c>
      <c r="O752" s="39">
        <v>0</v>
      </c>
      <c r="P752" s="39">
        <v>0</v>
      </c>
      <c r="Q752" s="39">
        <v>0</v>
      </c>
      <c r="R752" s="39">
        <v>0</v>
      </c>
      <c r="S752" s="39">
        <v>0</v>
      </c>
      <c r="T752" s="39">
        <v>0</v>
      </c>
      <c r="U752" s="29" cm="1">
        <f t="array" aca="1" ref="U752" ca="1">+fair_value_gap(OFFSET(T751,0,0,-1*$J$5,-1*$AA$1),OFFSET(E751,0,0,-1*$J$5,1),F752:T752,0)</f>
        <v>17.929999781305902</v>
      </c>
      <c r="V752" s="9" cm="1">
        <f t="array" aca="1" ref="V752" ca="1">z_score_diff(OFFSET(U752,0,0,$J$5*-1,1),OFFSET(E752,0,0,$J$5*-1,1))</f>
        <v>-0.17414073176874073</v>
      </c>
      <c r="W752" s="9">
        <f t="shared" ca="1" si="776"/>
        <v>-9.2580199522183076E-2</v>
      </c>
      <c r="X752" s="17">
        <f t="shared" ca="1" si="771"/>
        <v>9.44594864645628E-3</v>
      </c>
      <c r="Y752" s="13">
        <f t="shared" ref="Y752:Z752" ca="1" si="818">+Y751</f>
        <v>0</v>
      </c>
      <c r="Z752" s="13">
        <f t="shared" ca="1" si="818"/>
        <v>0</v>
      </c>
      <c r="AA752">
        <f t="shared" ca="1" si="778"/>
        <v>1</v>
      </c>
      <c r="AB752">
        <f t="shared" ca="1" si="779"/>
        <v>0</v>
      </c>
      <c r="AC752" s="24">
        <f t="shared" ca="1" si="780"/>
        <v>9.44594864645628E-3</v>
      </c>
      <c r="AD752" s="24">
        <f t="shared" ca="1" si="781"/>
        <v>0</v>
      </c>
    </row>
    <row r="753" spans="3:30" x14ac:dyDescent="0.25">
      <c r="C753" s="6">
        <v>847</v>
      </c>
      <c r="D753" s="36">
        <v>43213</v>
      </c>
      <c r="E753" s="38">
        <v>18.126000000000001</v>
      </c>
      <c r="F753" s="38">
        <v>54.786359411862826</v>
      </c>
      <c r="G753" s="38">
        <v>39.869999999999997</v>
      </c>
      <c r="H753" s="38">
        <v>2.065311504579431</v>
      </c>
      <c r="I753" s="38">
        <v>5.9179118111987545</v>
      </c>
      <c r="J753" s="10">
        <v>0</v>
      </c>
      <c r="K753" s="39">
        <v>0</v>
      </c>
      <c r="L753" s="39">
        <v>0</v>
      </c>
      <c r="M753" s="39">
        <v>1</v>
      </c>
      <c r="N753" s="39">
        <v>0</v>
      </c>
      <c r="O753" s="39">
        <v>0</v>
      </c>
      <c r="P753" s="39">
        <v>0</v>
      </c>
      <c r="Q753" s="39">
        <v>0</v>
      </c>
      <c r="R753" s="39">
        <v>0</v>
      </c>
      <c r="S753" s="39">
        <v>0</v>
      </c>
      <c r="T753" s="39">
        <v>0</v>
      </c>
      <c r="U753" s="29" cm="1">
        <f t="array" aca="1" ref="U753" ca="1">+fair_value_gap(OFFSET(T752,0,0,-1*$J$5,-1*$AA$1),OFFSET(E752,0,0,-1*$J$5,1),F753:T753,0)</f>
        <v>18.005771305247769</v>
      </c>
      <c r="V753" s="9" cm="1">
        <f t="array" aca="1" ref="V753" ca="1">z_score_diff(OFFSET(U753,0,0,$J$5*-1,1),OFFSET(E753,0,0,$J$5*-1,1))</f>
        <v>-0.12725978281613504</v>
      </c>
      <c r="W753" s="9">
        <f t="shared" ca="1" si="776"/>
        <v>-9.2431017297797277E-2</v>
      </c>
      <c r="X753" s="17">
        <f t="shared" ca="1" si="771"/>
        <v>1.9287580562698442E-2</v>
      </c>
      <c r="Y753" s="13">
        <f t="shared" ref="Y753:Z753" ca="1" si="819">+Y752</f>
        <v>0</v>
      </c>
      <c r="Z753" s="13">
        <f t="shared" ca="1" si="819"/>
        <v>0</v>
      </c>
      <c r="AA753">
        <f t="shared" ca="1" si="778"/>
        <v>1</v>
      </c>
      <c r="AB753">
        <f t="shared" ca="1" si="779"/>
        <v>0</v>
      </c>
      <c r="AC753" s="24">
        <f t="shared" ca="1" si="780"/>
        <v>1.9287580562698442E-2</v>
      </c>
      <c r="AD753" s="24">
        <f t="shared" ca="1" si="781"/>
        <v>0</v>
      </c>
    </row>
    <row r="754" spans="3:30" x14ac:dyDescent="0.25">
      <c r="C754" s="6">
        <v>848</v>
      </c>
      <c r="D754" s="36">
        <v>43214</v>
      </c>
      <c r="E754" s="38">
        <v>18.042000000000002</v>
      </c>
      <c r="F754" s="38">
        <v>54.066050784516541</v>
      </c>
      <c r="G754" s="38">
        <v>39.86</v>
      </c>
      <c r="H754" s="38">
        <v>2.0735491695102666</v>
      </c>
      <c r="I754" s="38">
        <v>5.9646244268213904</v>
      </c>
      <c r="J754" s="10">
        <v>0</v>
      </c>
      <c r="K754" s="39">
        <v>0</v>
      </c>
      <c r="L754" s="39">
        <v>0</v>
      </c>
      <c r="M754" s="39">
        <v>1</v>
      </c>
      <c r="N754" s="39">
        <v>0</v>
      </c>
      <c r="O754" s="39">
        <v>0</v>
      </c>
      <c r="P754" s="39">
        <v>0</v>
      </c>
      <c r="Q754" s="39">
        <v>0</v>
      </c>
      <c r="R754" s="39">
        <v>0</v>
      </c>
      <c r="S754" s="39">
        <v>0</v>
      </c>
      <c r="T754" s="39">
        <v>0</v>
      </c>
      <c r="U754" s="29" cm="1">
        <f t="array" aca="1" ref="U754" ca="1">+fair_value_gap(OFFSET(T753,0,0,-1*$J$5,-1*$AA$1),OFFSET(E753,0,0,-1*$J$5,1),F754:T754,0)</f>
        <v>17.942305059991522</v>
      </c>
      <c r="V754" s="9" cm="1">
        <f t="array" aca="1" ref="V754" ca="1">z_score_diff(OFFSET(U754,0,0,$J$5*-1,1),OFFSET(E754,0,0,$J$5*-1,1))</f>
        <v>-0.11537938095111805</v>
      </c>
      <c r="W754" s="9">
        <f t="shared" ca="1" si="776"/>
        <v>-9.2699409245878397E-2</v>
      </c>
      <c r="X754" s="17">
        <f t="shared" ca="1" si="771"/>
        <v>1.1955735920148841E-2</v>
      </c>
      <c r="Y754" s="13">
        <f t="shared" ref="Y754:Z754" ca="1" si="820">+Y753</f>
        <v>0</v>
      </c>
      <c r="Z754" s="13">
        <f t="shared" ca="1" si="820"/>
        <v>0</v>
      </c>
      <c r="AA754">
        <f t="shared" ca="1" si="778"/>
        <v>1</v>
      </c>
      <c r="AB754">
        <f t="shared" ca="1" si="779"/>
        <v>0</v>
      </c>
      <c r="AC754" s="24">
        <f t="shared" ca="1" si="780"/>
        <v>1.1955735920148841E-2</v>
      </c>
      <c r="AD754" s="24">
        <f t="shared" ca="1" si="781"/>
        <v>0</v>
      </c>
    </row>
    <row r="755" spans="3:30" x14ac:dyDescent="0.25">
      <c r="C755" s="6">
        <v>849</v>
      </c>
      <c r="D755" s="36">
        <v>43215</v>
      </c>
      <c r="E755" s="38">
        <v>18.128</v>
      </c>
      <c r="F755" s="38">
        <v>54.547049022187146</v>
      </c>
      <c r="G755" s="38">
        <v>39.9</v>
      </c>
      <c r="H755" s="38">
        <v>2.0895617580700456</v>
      </c>
      <c r="I755" s="38">
        <v>5.8597019922986773</v>
      </c>
      <c r="J755" s="10">
        <v>0</v>
      </c>
      <c r="K755" s="39">
        <v>0</v>
      </c>
      <c r="L755" s="39">
        <v>0</v>
      </c>
      <c r="M755" s="39">
        <v>1</v>
      </c>
      <c r="N755" s="39">
        <v>0</v>
      </c>
      <c r="O755" s="39">
        <v>0</v>
      </c>
      <c r="P755" s="39">
        <v>0</v>
      </c>
      <c r="Q755" s="39">
        <v>0</v>
      </c>
      <c r="R755" s="39">
        <v>0</v>
      </c>
      <c r="S755" s="39">
        <v>0</v>
      </c>
      <c r="T755" s="39">
        <v>0</v>
      </c>
      <c r="U755" s="29" cm="1">
        <f t="array" aca="1" ref="U755" ca="1">+fair_value_gap(OFFSET(T754,0,0,-1*$J$5,-1*$AA$1),OFFSET(E754,0,0,-1*$J$5,1),F755:T755,0)</f>
        <v>18.009105425742206</v>
      </c>
      <c r="V755" s="9" cm="1">
        <f t="array" aca="1" ref="V755" ca="1">z_score_diff(OFFSET(U755,0,0,$J$5*-1,1),OFFSET(E755,0,0,$J$5*-1,1))</f>
        <v>-0.12691993529258627</v>
      </c>
      <c r="W755" s="9">
        <f t="shared" ca="1" si="776"/>
        <v>-8.99780387706266E-2</v>
      </c>
      <c r="X755" s="17">
        <f t="shared" ca="1" si="771"/>
        <v>4.2935057974465085E-3</v>
      </c>
      <c r="Y755" s="13">
        <f t="shared" ref="Y755:Z755" ca="1" si="821">+Y754</f>
        <v>0</v>
      </c>
      <c r="Z755" s="13">
        <f t="shared" ca="1" si="821"/>
        <v>0</v>
      </c>
      <c r="AA755">
        <f t="shared" ca="1" si="778"/>
        <v>1</v>
      </c>
      <c r="AB755">
        <f t="shared" ca="1" si="779"/>
        <v>0</v>
      </c>
      <c r="AC755" s="24">
        <f t="shared" ca="1" si="780"/>
        <v>4.2935057974465085E-3</v>
      </c>
      <c r="AD755" s="24">
        <f t="shared" ca="1" si="781"/>
        <v>0</v>
      </c>
    </row>
    <row r="756" spans="3:30" x14ac:dyDescent="0.25">
      <c r="C756" s="6">
        <v>850</v>
      </c>
      <c r="D756" s="36">
        <v>43216</v>
      </c>
      <c r="E756" s="38">
        <v>18.513000000000002</v>
      </c>
      <c r="F756" s="38">
        <v>55.136824718087652</v>
      </c>
      <c r="G756" s="38">
        <v>40.33</v>
      </c>
      <c r="H756" s="38">
        <v>2.0987720581343843</v>
      </c>
      <c r="I756" s="38">
        <v>5.9078030262370547</v>
      </c>
      <c r="J756" s="10">
        <v>0</v>
      </c>
      <c r="K756" s="39">
        <v>0</v>
      </c>
      <c r="L756" s="39">
        <v>0</v>
      </c>
      <c r="M756" s="39">
        <v>1</v>
      </c>
      <c r="N756" s="39">
        <v>0</v>
      </c>
      <c r="O756" s="39">
        <v>0</v>
      </c>
      <c r="P756" s="39">
        <v>0</v>
      </c>
      <c r="Q756" s="39">
        <v>0</v>
      </c>
      <c r="R756" s="39">
        <v>0</v>
      </c>
      <c r="S756" s="39">
        <v>0</v>
      </c>
      <c r="T756" s="39">
        <v>0</v>
      </c>
      <c r="U756" s="29" cm="1">
        <f t="array" aca="1" ref="U756" ca="1">+fair_value_gap(OFFSET(T755,0,0,-1*$J$5,-1*$AA$1),OFFSET(E755,0,0,-1*$J$5,1),F756:T756,0)</f>
        <v>18.206645144978353</v>
      </c>
      <c r="V756" s="9" cm="1">
        <f t="array" aca="1" ref="V756" ca="1">z_score_diff(OFFSET(U756,0,0,$J$5*-1,1),OFFSET(E756,0,0,$J$5*-1,1))</f>
        <v>-0.24262747584088495</v>
      </c>
      <c r="W756" s="9">
        <f t="shared" ca="1" si="776"/>
        <v>-9.2295795116109636E-2</v>
      </c>
      <c r="X756" s="17">
        <f t="shared" ca="1" si="771"/>
        <v>-1.1890607821904659E-3</v>
      </c>
      <c r="Y756" s="13">
        <f t="shared" ref="Y756:Z756" ca="1" si="822">+Y755</f>
        <v>0</v>
      </c>
      <c r="Z756" s="13">
        <f t="shared" ca="1" si="822"/>
        <v>0</v>
      </c>
      <c r="AA756">
        <f t="shared" ca="1" si="778"/>
        <v>1</v>
      </c>
      <c r="AB756">
        <f t="shared" ca="1" si="779"/>
        <v>0</v>
      </c>
      <c r="AC756" s="24">
        <f t="shared" ca="1" si="780"/>
        <v>-1.1890607821904659E-3</v>
      </c>
      <c r="AD756" s="24">
        <f t="shared" ca="1" si="781"/>
        <v>0</v>
      </c>
    </row>
    <row r="757" spans="3:30" x14ac:dyDescent="0.25">
      <c r="C757" s="6">
        <v>851</v>
      </c>
      <c r="D757" s="36">
        <v>43217</v>
      </c>
      <c r="E757" s="38">
        <v>18.670000000000002</v>
      </c>
      <c r="F757" s="38">
        <v>54.984988466504888</v>
      </c>
      <c r="G757" s="38">
        <v>40.35</v>
      </c>
      <c r="H757" s="38">
        <v>2.0420482847673913</v>
      </c>
      <c r="I757" s="38">
        <v>5.8966742757085004</v>
      </c>
      <c r="J757" s="10">
        <v>0</v>
      </c>
      <c r="K757" s="39">
        <v>0</v>
      </c>
      <c r="L757" s="39">
        <v>0</v>
      </c>
      <c r="M757" s="39">
        <v>1</v>
      </c>
      <c r="N757" s="39">
        <v>0</v>
      </c>
      <c r="O757" s="39">
        <v>0</v>
      </c>
      <c r="P757" s="39">
        <v>0</v>
      </c>
      <c r="Q757" s="39">
        <v>0</v>
      </c>
      <c r="R757" s="39">
        <v>0</v>
      </c>
      <c r="S757" s="39">
        <v>0</v>
      </c>
      <c r="T757" s="39">
        <v>0</v>
      </c>
      <c r="U757" s="29" cm="1">
        <f t="array" aca="1" ref="U757" ca="1">+fair_value_gap(OFFSET(T756,0,0,-1*$J$5,-1*$AA$1),OFFSET(E756,0,0,-1*$J$5,1),F757:T757,0)</f>
        <v>18.191776038250453</v>
      </c>
      <c r="V757" s="9" cm="1">
        <f t="array" aca="1" ref="V757" ca="1">z_score_diff(OFFSET(U757,0,0,$J$5*-1,1),OFFSET(E757,0,0,$J$5*-1,1))</f>
        <v>-0.35007232335477378</v>
      </c>
      <c r="W757" s="9">
        <f t="shared" ca="1" si="776"/>
        <v>-0.1028675788372703</v>
      </c>
      <c r="X757" s="17">
        <f t="shared" ca="1" si="771"/>
        <v>-8.7148865088782189E-3</v>
      </c>
      <c r="Y757" s="13">
        <f t="shared" ref="Y757:Z757" ca="1" si="823">+Y756</f>
        <v>0</v>
      </c>
      <c r="Z757" s="13">
        <f t="shared" ca="1" si="823"/>
        <v>0</v>
      </c>
      <c r="AA757">
        <f t="shared" ca="1" si="778"/>
        <v>1</v>
      </c>
      <c r="AB757">
        <f t="shared" ca="1" si="779"/>
        <v>0</v>
      </c>
      <c r="AC757" s="24">
        <f t="shared" ca="1" si="780"/>
        <v>-8.7148865088782189E-3</v>
      </c>
      <c r="AD757" s="24">
        <f t="shared" ca="1" si="781"/>
        <v>0</v>
      </c>
    </row>
    <row r="758" spans="3:30" x14ac:dyDescent="0.25">
      <c r="C758" s="6">
        <v>852</v>
      </c>
      <c r="D758" s="36">
        <v>43220</v>
      </c>
      <c r="E758" s="38">
        <v>18.245999999999999</v>
      </c>
      <c r="F758" s="38">
        <v>55.859371863130079</v>
      </c>
      <c r="G758" s="38">
        <v>40.159999999999997</v>
      </c>
      <c r="H758" s="38">
        <v>2.0493547584058076</v>
      </c>
      <c r="I758" s="38">
        <v>5.9224104009572214</v>
      </c>
      <c r="J758" s="10">
        <v>0</v>
      </c>
      <c r="K758" s="39">
        <v>0</v>
      </c>
      <c r="L758" s="39">
        <v>0</v>
      </c>
      <c r="M758" s="39">
        <v>1</v>
      </c>
      <c r="N758" s="39">
        <v>0</v>
      </c>
      <c r="O758" s="39">
        <v>0</v>
      </c>
      <c r="P758" s="39">
        <v>0</v>
      </c>
      <c r="Q758" s="39">
        <v>0</v>
      </c>
      <c r="R758" s="39">
        <v>0</v>
      </c>
      <c r="S758" s="39">
        <v>0</v>
      </c>
      <c r="T758" s="39">
        <v>0</v>
      </c>
      <c r="U758" s="29" cm="1">
        <f t="array" aca="1" ref="U758" ca="1">+fair_value_gap(OFFSET(T757,0,0,-1*$J$5,-1*$AA$1),OFFSET(E757,0,0,-1*$J$5,1),F758:T758,0)</f>
        <v>18.311220526943451</v>
      </c>
      <c r="V758" s="9" cm="1">
        <f t="array" aca="1" ref="V758" ca="1">z_score_diff(OFFSET(U758,0,0,$J$5*-1,1),OFFSET(E758,0,0,$J$5*-1,1))</f>
        <v>-3.6419620992996782E-3</v>
      </c>
      <c r="W758" s="9">
        <f t="shared" ca="1" si="776"/>
        <v>-9.9242589224091099E-2</v>
      </c>
      <c r="X758" s="17">
        <f t="shared" ca="1" si="771"/>
        <v>8.948117321703912E-3</v>
      </c>
      <c r="Y758" s="13">
        <f t="shared" ref="Y758:Z758" ca="1" si="824">+Y757</f>
        <v>0</v>
      </c>
      <c r="Z758" s="13">
        <f t="shared" ca="1" si="824"/>
        <v>0</v>
      </c>
      <c r="AA758">
        <f t="shared" ca="1" si="778"/>
        <v>1</v>
      </c>
      <c r="AB758">
        <f t="shared" ca="1" si="779"/>
        <v>0</v>
      </c>
      <c r="AC758" s="24">
        <f t="shared" ca="1" si="780"/>
        <v>8.948117321703912E-3</v>
      </c>
      <c r="AD758" s="24">
        <f t="shared" ca="1" si="781"/>
        <v>0</v>
      </c>
    </row>
    <row r="759" spans="3:30" x14ac:dyDescent="0.25">
      <c r="C759" s="6">
        <v>853</v>
      </c>
      <c r="D759" s="36">
        <v>43221</v>
      </c>
      <c r="E759" s="38">
        <v>17.983000000000001</v>
      </c>
      <c r="F759" s="38">
        <v>55.06784235283844</v>
      </c>
      <c r="G759" s="38">
        <v>40.020000000000003</v>
      </c>
      <c r="H759" s="38">
        <v>2.0770707238943174</v>
      </c>
      <c r="I759" s="38">
        <v>5.9223600827270824</v>
      </c>
      <c r="J759" s="10">
        <v>0</v>
      </c>
      <c r="K759" s="39">
        <v>0</v>
      </c>
      <c r="L759" s="39">
        <v>0</v>
      </c>
      <c r="M759" s="39">
        <v>0</v>
      </c>
      <c r="N759" s="39">
        <v>1</v>
      </c>
      <c r="O759" s="39">
        <v>0</v>
      </c>
      <c r="P759" s="39">
        <v>0</v>
      </c>
      <c r="Q759" s="39">
        <v>0</v>
      </c>
      <c r="R759" s="39">
        <v>0</v>
      </c>
      <c r="S759" s="39">
        <v>0</v>
      </c>
      <c r="T759" s="39">
        <v>0</v>
      </c>
      <c r="U759" s="29" cm="1">
        <f t="array" aca="1" ref="U759" ca="1">+fair_value_gap(OFFSET(T758,0,0,-1*$J$5,-1*$AA$1),OFFSET(E758,0,0,-1*$J$5,1),F759:T759,0)</f>
        <v>19.082231085039211</v>
      </c>
      <c r="V759" s="9" cm="1">
        <f t="array" aca="1" ref="V759" ca="1">z_score_diff(OFFSET(U759,0,0,$J$5*-1,1),OFFSET(E759,0,0,$J$5*-1,1))</f>
        <v>0.66020414946331496</v>
      </c>
      <c r="W759" s="9">
        <f t="shared" ca="1" si="776"/>
        <v>-6.5831493085282494E-2</v>
      </c>
      <c r="X759" s="17">
        <f t="shared" ca="1" si="771"/>
        <v>3.5668326771490518E-2</v>
      </c>
      <c r="Y759" s="13">
        <f t="shared" ref="Y759:Z759" ca="1" si="825">+Y758</f>
        <v>0</v>
      </c>
      <c r="Z759" s="13">
        <f t="shared" ca="1" si="825"/>
        <v>0</v>
      </c>
      <c r="AA759">
        <f t="shared" ca="1" si="778"/>
        <v>1</v>
      </c>
      <c r="AB759">
        <f t="shared" ca="1" si="779"/>
        <v>0</v>
      </c>
      <c r="AC759" s="24">
        <f t="shared" ca="1" si="780"/>
        <v>3.5668326771490518E-2</v>
      </c>
      <c r="AD759" s="24">
        <f t="shared" ca="1" si="781"/>
        <v>0</v>
      </c>
    </row>
    <row r="760" spans="3:30" x14ac:dyDescent="0.25">
      <c r="C760" s="6">
        <v>854</v>
      </c>
      <c r="D760" s="36">
        <v>43222</v>
      </c>
      <c r="E760" s="38">
        <v>17.768000000000001</v>
      </c>
      <c r="F760" s="38">
        <v>55.309976806802048</v>
      </c>
      <c r="G760" s="38">
        <v>39.520000000000003</v>
      </c>
      <c r="H760" s="38">
        <v>2.0800055812942277</v>
      </c>
      <c r="I760" s="38">
        <v>5.9017319048032402</v>
      </c>
      <c r="J760" s="10">
        <v>0</v>
      </c>
      <c r="K760" s="39">
        <v>0</v>
      </c>
      <c r="L760" s="39">
        <v>0</v>
      </c>
      <c r="M760" s="39">
        <v>0</v>
      </c>
      <c r="N760" s="39">
        <v>1</v>
      </c>
      <c r="O760" s="39">
        <v>0</v>
      </c>
      <c r="P760" s="39">
        <v>0</v>
      </c>
      <c r="Q760" s="39">
        <v>0</v>
      </c>
      <c r="R760" s="39">
        <v>0</v>
      </c>
      <c r="S760" s="39">
        <v>0</v>
      </c>
      <c r="T760" s="39">
        <v>0</v>
      </c>
      <c r="U760" s="29" cm="1">
        <f t="array" aca="1" ref="U760" ca="1">+fair_value_gap(OFFSET(T759,0,0,-1*$J$5,-1*$AA$1),OFFSET(E759,0,0,-1*$J$5,1),F760:T760,0)</f>
        <v>18.365760209726638</v>
      </c>
      <c r="V760" s="9" cm="1">
        <f t="array" aca="1" ref="V760" ca="1">z_score_diff(OFFSET(U760,0,0,$J$5*-1,1),OFFSET(E760,0,0,$J$5*-1,1))</f>
        <v>0.33042255534132631</v>
      </c>
      <c r="W760" s="9">
        <f t="shared" ca="1" si="776"/>
        <v>-4.2733519266731079E-2</v>
      </c>
      <c r="X760" s="17">
        <f t="shared" ca="1" si="771"/>
        <v>6.292617969012626E-2</v>
      </c>
      <c r="Y760" s="13">
        <f t="shared" ref="Y760:Z760" ca="1" si="826">+Y759</f>
        <v>0</v>
      </c>
      <c r="Z760" s="13">
        <f t="shared" ca="1" si="826"/>
        <v>0</v>
      </c>
      <c r="AA760">
        <f t="shared" ca="1" si="778"/>
        <v>1</v>
      </c>
      <c r="AB760">
        <f t="shared" ca="1" si="779"/>
        <v>0</v>
      </c>
      <c r="AC760" s="24">
        <f t="shared" ca="1" si="780"/>
        <v>6.292617969012626E-2</v>
      </c>
      <c r="AD760" s="24">
        <f t="shared" ca="1" si="781"/>
        <v>0</v>
      </c>
    </row>
    <row r="761" spans="3:30" x14ac:dyDescent="0.25">
      <c r="C761" s="6">
        <v>855</v>
      </c>
      <c r="D761" s="36">
        <v>43223</v>
      </c>
      <c r="E761" s="38">
        <v>17.850999999999999</v>
      </c>
      <c r="F761" s="38">
        <v>55.293939670954536</v>
      </c>
      <c r="G761" s="38">
        <v>39.770000000000003</v>
      </c>
      <c r="H761" s="38">
        <v>2.0588599336149129</v>
      </c>
      <c r="I761" s="38">
        <v>5.8974809100403602</v>
      </c>
      <c r="J761" s="10">
        <v>0</v>
      </c>
      <c r="K761" s="39">
        <v>0</v>
      </c>
      <c r="L761" s="39">
        <v>0</v>
      </c>
      <c r="M761" s="39">
        <v>0</v>
      </c>
      <c r="N761" s="39">
        <v>1</v>
      </c>
      <c r="O761" s="39">
        <v>0</v>
      </c>
      <c r="P761" s="39">
        <v>0</v>
      </c>
      <c r="Q761" s="39">
        <v>0</v>
      </c>
      <c r="R761" s="39">
        <v>0</v>
      </c>
      <c r="S761" s="39">
        <v>0</v>
      </c>
      <c r="T761" s="39">
        <v>0</v>
      </c>
      <c r="U761" s="29" cm="1">
        <f t="array" aca="1" ref="U761" ca="1">+fair_value_gap(OFFSET(T760,0,0,-1*$J$5,-1*$AA$1),OFFSET(E760,0,0,-1*$J$5,1),F761:T761,0)</f>
        <v>18.171956552322122</v>
      </c>
      <c r="V761" s="9" cm="1">
        <f t="array" aca="1" ref="V761" ca="1">z_score_diff(OFFSET(U761,0,0,$J$5*-1,1),OFFSET(E761,0,0,$J$5*-1,1))</f>
        <v>0.15088740330011796</v>
      </c>
      <c r="W761" s="9">
        <f t="shared" ca="1" si="776"/>
        <v>-2.7994299861896315E-2</v>
      </c>
      <c r="X761" s="17">
        <f t="shared" ca="1" si="771"/>
        <v>5.6520212984267536E-2</v>
      </c>
      <c r="Y761" s="13">
        <f t="shared" ref="Y761:Z761" ca="1" si="827">+Y760</f>
        <v>0</v>
      </c>
      <c r="Z761" s="13">
        <f t="shared" ca="1" si="827"/>
        <v>0</v>
      </c>
      <c r="AA761">
        <f t="shared" ca="1" si="778"/>
        <v>1</v>
      </c>
      <c r="AB761">
        <f t="shared" ca="1" si="779"/>
        <v>0</v>
      </c>
      <c r="AC761" s="24">
        <f t="shared" ca="1" si="780"/>
        <v>5.6520212984267536E-2</v>
      </c>
      <c r="AD761" s="24">
        <f t="shared" ca="1" si="781"/>
        <v>0</v>
      </c>
    </row>
    <row r="762" spans="3:30" x14ac:dyDescent="0.25">
      <c r="C762" s="6">
        <v>856</v>
      </c>
      <c r="D762" s="36">
        <v>43224</v>
      </c>
      <c r="E762" s="38">
        <v>18.239000000000001</v>
      </c>
      <c r="F762" s="38">
        <v>56.576306238721848</v>
      </c>
      <c r="G762" s="38">
        <v>40.119999999999997</v>
      </c>
      <c r="H762" s="38">
        <v>2.0510533038665071</v>
      </c>
      <c r="I762" s="38">
        <v>5.9325642221366151</v>
      </c>
      <c r="J762" s="10">
        <v>0</v>
      </c>
      <c r="K762" s="39">
        <v>0</v>
      </c>
      <c r="L762" s="39">
        <v>0</v>
      </c>
      <c r="M762" s="39">
        <v>0</v>
      </c>
      <c r="N762" s="39">
        <v>1</v>
      </c>
      <c r="O762" s="39">
        <v>0</v>
      </c>
      <c r="P762" s="39">
        <v>0</v>
      </c>
      <c r="Q762" s="39">
        <v>0</v>
      </c>
      <c r="R762" s="39">
        <v>0</v>
      </c>
      <c r="S762" s="39">
        <v>0</v>
      </c>
      <c r="T762" s="39">
        <v>0</v>
      </c>
      <c r="U762" s="29" cm="1">
        <f t="array" aca="1" ref="U762" ca="1">+fair_value_gap(OFFSET(T761,0,0,-1*$J$5,-1*$AA$1),OFFSET(E761,0,0,-1*$J$5,1),F762:T762,0)</f>
        <v>18.301957123334088</v>
      </c>
      <c r="V762" s="9" cm="1">
        <f t="array" aca="1" ref="V762" ca="1">z_score_diff(OFFSET(U762,0,0,$J$5*-1,1),OFFSET(E762,0,0,$J$5*-1,1))</f>
        <v>-1.2166904688385993E-2</v>
      </c>
      <c r="W762" s="9">
        <f t="shared" ca="1" si="776"/>
        <v>-1.9724940260700607E-2</v>
      </c>
      <c r="X762" s="17">
        <f t="shared" ca="1" si="771"/>
        <v>7.5377241314266734E-3</v>
      </c>
      <c r="Y762" s="13">
        <f t="shared" ref="Y762:Z762" ca="1" si="828">+Y761</f>
        <v>0</v>
      </c>
      <c r="Z762" s="13">
        <f t="shared" ca="1" si="828"/>
        <v>0</v>
      </c>
      <c r="AA762">
        <f t="shared" ca="1" si="778"/>
        <v>1</v>
      </c>
      <c r="AB762">
        <f t="shared" ca="1" si="779"/>
        <v>0</v>
      </c>
      <c r="AC762" s="24">
        <f t="shared" ca="1" si="780"/>
        <v>7.5377241314266734E-3</v>
      </c>
      <c r="AD762" s="24">
        <f t="shared" ca="1" si="781"/>
        <v>0</v>
      </c>
    </row>
    <row r="763" spans="3:30" x14ac:dyDescent="0.25">
      <c r="C763" s="6">
        <v>857</v>
      </c>
      <c r="D763" s="36">
        <v>43227</v>
      </c>
      <c r="E763" s="38">
        <v>18.532</v>
      </c>
      <c r="F763" s="38">
        <v>57.65791265180038</v>
      </c>
      <c r="G763" s="38">
        <v>40.909999999999997</v>
      </c>
      <c r="H763" s="38">
        <v>2.0569454238454385</v>
      </c>
      <c r="I763" s="38">
        <v>5.9496068704742529</v>
      </c>
      <c r="J763" s="10">
        <v>0</v>
      </c>
      <c r="K763" s="39">
        <v>0</v>
      </c>
      <c r="L763" s="39">
        <v>0</v>
      </c>
      <c r="M763" s="39">
        <v>0</v>
      </c>
      <c r="N763" s="39">
        <v>1</v>
      </c>
      <c r="O763" s="39">
        <v>0</v>
      </c>
      <c r="P763" s="39">
        <v>0</v>
      </c>
      <c r="Q763" s="39">
        <v>0</v>
      </c>
      <c r="R763" s="39">
        <v>0</v>
      </c>
      <c r="S763" s="39">
        <v>0</v>
      </c>
      <c r="T763" s="39">
        <v>0</v>
      </c>
      <c r="U763" s="29" cm="1">
        <f t="array" aca="1" ref="U763" ca="1">+fair_value_gap(OFFSET(T762,0,0,-1*$J$5,-1*$AA$1),OFFSET(E762,0,0,-1*$J$5,1),F763:T763,0)</f>
        <v>18.587475159671456</v>
      </c>
      <c r="V763" s="9" cm="1">
        <f t="array" aca="1" ref="V763" ca="1">z_score_diff(OFFSET(U763,0,0,$J$5*-1,1),OFFSET(E763,0,0,$J$5*-1,1))</f>
        <v>-1.3211102941731445E-2</v>
      </c>
      <c r="W763" s="9">
        <f t="shared" ca="1" si="776"/>
        <v>-1.1364702908966493E-2</v>
      </c>
      <c r="X763" s="17">
        <f t="shared" ca="1" si="771"/>
        <v>1.260104075473353E-2</v>
      </c>
      <c r="Y763" s="13">
        <f t="shared" ref="Y763:Z763" ca="1" si="829">+Y762</f>
        <v>0</v>
      </c>
      <c r="Z763" s="13">
        <f t="shared" ca="1" si="829"/>
        <v>0</v>
      </c>
      <c r="AA763">
        <f t="shared" ca="1" si="778"/>
        <v>1</v>
      </c>
      <c r="AB763">
        <f t="shared" ca="1" si="779"/>
        <v>0</v>
      </c>
      <c r="AC763" s="24">
        <f t="shared" ca="1" si="780"/>
        <v>1.260104075473353E-2</v>
      </c>
      <c r="AD763" s="24">
        <f t="shared" ca="1" si="781"/>
        <v>0</v>
      </c>
    </row>
    <row r="764" spans="3:30" x14ac:dyDescent="0.25">
      <c r="C764" s="6">
        <v>858</v>
      </c>
      <c r="D764" s="36">
        <v>43228</v>
      </c>
      <c r="E764" s="38">
        <v>18.382999999999999</v>
      </c>
      <c r="F764" s="38">
        <v>56.964803451401721</v>
      </c>
      <c r="G764" s="38">
        <v>41.3</v>
      </c>
      <c r="H764" s="38">
        <v>2.048411500203942</v>
      </c>
      <c r="I764" s="38">
        <v>6.0201718671197257</v>
      </c>
      <c r="J764" s="10">
        <v>0</v>
      </c>
      <c r="K764" s="39">
        <v>0</v>
      </c>
      <c r="L764" s="39">
        <v>0</v>
      </c>
      <c r="M764" s="39">
        <v>0</v>
      </c>
      <c r="N764" s="39">
        <v>1</v>
      </c>
      <c r="O764" s="39">
        <v>0</v>
      </c>
      <c r="P764" s="39">
        <v>0</v>
      </c>
      <c r="Q764" s="39">
        <v>0</v>
      </c>
      <c r="R764" s="39">
        <v>0</v>
      </c>
      <c r="S764" s="39">
        <v>0</v>
      </c>
      <c r="T764" s="39">
        <v>0</v>
      </c>
      <c r="U764" s="29" cm="1">
        <f t="array" aca="1" ref="U764" ca="1">+fair_value_gap(OFFSET(T763,0,0,-1*$J$5,-1*$AA$1),OFFSET(E763,0,0,-1*$J$5,1),F764:T764,0)</f>
        <v>18.566054437515156</v>
      </c>
      <c r="V764" s="9" cm="1">
        <f t="array" aca="1" ref="V764" ca="1">z_score_diff(OFFSET(U764,0,0,$J$5*-1,1),OFFSET(E764,0,0,$J$5*-1,1))</f>
        <v>6.7720195043955211E-2</v>
      </c>
      <c r="W764" s="9">
        <f t="shared" ca="1" si="776"/>
        <v>-5.7624998261069683E-3</v>
      </c>
      <c r="X764" s="17">
        <f t="shared" ca="1" si="771"/>
        <v>5.6414578695737037E-3</v>
      </c>
      <c r="Y764" s="13">
        <f t="shared" ref="Y764:Z764" ca="1" si="830">+Y763</f>
        <v>0</v>
      </c>
      <c r="Z764" s="13">
        <f t="shared" ca="1" si="830"/>
        <v>0</v>
      </c>
      <c r="AA764">
        <f t="shared" ca="1" si="778"/>
        <v>1</v>
      </c>
      <c r="AB764">
        <f t="shared" ca="1" si="779"/>
        <v>0</v>
      </c>
      <c r="AC764" s="24">
        <f t="shared" ca="1" si="780"/>
        <v>5.6414578695737037E-3</v>
      </c>
      <c r="AD764" s="24">
        <f t="shared" ca="1" si="781"/>
        <v>0</v>
      </c>
    </row>
    <row r="765" spans="3:30" x14ac:dyDescent="0.25">
      <c r="C765" s="6">
        <v>859</v>
      </c>
      <c r="D765" s="36">
        <v>43229</v>
      </c>
      <c r="E765" s="38">
        <v>18.736999999999998</v>
      </c>
      <c r="F765" s="38">
        <v>58.781204748663491</v>
      </c>
      <c r="G765" s="38">
        <v>41.64</v>
      </c>
      <c r="H765" s="38">
        <v>2.0521442738462521</v>
      </c>
      <c r="I765" s="38">
        <v>6.1105931409103595</v>
      </c>
      <c r="J765" s="10">
        <v>0</v>
      </c>
      <c r="K765" s="39">
        <v>0</v>
      </c>
      <c r="L765" s="39">
        <v>0</v>
      </c>
      <c r="M765" s="39">
        <v>0</v>
      </c>
      <c r="N765" s="39">
        <v>1</v>
      </c>
      <c r="O765" s="39">
        <v>0</v>
      </c>
      <c r="P765" s="39">
        <v>0</v>
      </c>
      <c r="Q765" s="39">
        <v>0</v>
      </c>
      <c r="R765" s="39">
        <v>0</v>
      </c>
      <c r="S765" s="39">
        <v>0</v>
      </c>
      <c r="T765" s="39">
        <v>0</v>
      </c>
      <c r="U765" s="29" cm="1">
        <f t="array" aca="1" ref="U765" ca="1">+fair_value_gap(OFFSET(T764,0,0,-1*$J$5,-1*$AA$1),OFFSET(E764,0,0,-1*$J$5,1),F765:T765,0)</f>
        <v>18.83754353358426</v>
      </c>
      <c r="V765" s="9" cm="1">
        <f t="array" aca="1" ref="V765" ca="1">z_score_diff(OFFSET(U765,0,0,$J$5*-1,1),OFFSET(E765,0,0,$J$5*-1,1))</f>
        <v>1.8393147103297092E-2</v>
      </c>
      <c r="W765" s="9">
        <f t="shared" ca="1" si="776"/>
        <v>3.789773840842984E-4</v>
      </c>
      <c r="X765" s="17">
        <f t="shared" ca="1" si="771"/>
        <v>-1.3594685608355306E-2</v>
      </c>
      <c r="Y765" s="13">
        <f t="shared" ref="Y765:Z765" ca="1" si="831">+Y764</f>
        <v>0</v>
      </c>
      <c r="Z765" s="13">
        <f t="shared" ca="1" si="831"/>
        <v>0</v>
      </c>
      <c r="AA765">
        <f t="shared" ca="1" si="778"/>
        <v>0</v>
      </c>
      <c r="AB765">
        <f t="shared" ca="1" si="779"/>
        <v>1</v>
      </c>
      <c r="AC765" s="24">
        <f t="shared" ca="1" si="780"/>
        <v>0</v>
      </c>
      <c r="AD765" s="24">
        <f t="shared" ca="1" si="781"/>
        <v>-1.3594685608355306E-2</v>
      </c>
    </row>
    <row r="766" spans="3:30" x14ac:dyDescent="0.25">
      <c r="C766" s="6">
        <v>860</v>
      </c>
      <c r="D766" s="36">
        <v>43230</v>
      </c>
      <c r="E766" s="38">
        <v>18.902999999999999</v>
      </c>
      <c r="F766" s="38">
        <v>58.88234278772719</v>
      </c>
      <c r="G766" s="38">
        <v>41.74</v>
      </c>
      <c r="H766" s="38">
        <v>2.0647901176669823</v>
      </c>
      <c r="I766" s="38">
        <v>6.1390053183000974</v>
      </c>
      <c r="J766" s="10">
        <v>0</v>
      </c>
      <c r="K766" s="39">
        <v>0</v>
      </c>
      <c r="L766" s="39">
        <v>0</v>
      </c>
      <c r="M766" s="39">
        <v>0</v>
      </c>
      <c r="N766" s="39">
        <v>1</v>
      </c>
      <c r="O766" s="39">
        <v>0</v>
      </c>
      <c r="P766" s="39">
        <v>0</v>
      </c>
      <c r="Q766" s="39">
        <v>0</v>
      </c>
      <c r="R766" s="39">
        <v>0</v>
      </c>
      <c r="S766" s="39">
        <v>0</v>
      </c>
      <c r="T766" s="39">
        <v>0</v>
      </c>
      <c r="U766" s="29" cm="1">
        <f t="array" aca="1" ref="U766" ca="1">+fair_value_gap(OFFSET(T765,0,0,-1*$J$5,-1*$AA$1),OFFSET(E765,0,0,-1*$J$5,1),F766:T766,0)</f>
        <v>18.874756197189711</v>
      </c>
      <c r="V766" s="9" cm="1">
        <f t="array" aca="1" ref="V766" ca="1">z_score_diff(OFFSET(U766,0,0,$J$5*-1,1),OFFSET(E766,0,0,$J$5*-1,1))</f>
        <v>-6.3057381182427763E-2</v>
      </c>
      <c r="W766" s="9">
        <f t="shared" ca="1" si="776"/>
        <v>6.0279485588953406E-3</v>
      </c>
      <c r="X766" s="17">
        <f t="shared" ca="1" si="771"/>
        <v>-1.1492544687909839E-2</v>
      </c>
      <c r="Y766" s="13">
        <f t="shared" ref="Y766:Z766" ca="1" si="832">+Y765</f>
        <v>0</v>
      </c>
      <c r="Z766" s="13">
        <f t="shared" ca="1" si="832"/>
        <v>0</v>
      </c>
      <c r="AA766">
        <f t="shared" ca="1" si="778"/>
        <v>0</v>
      </c>
      <c r="AB766">
        <f t="shared" ca="1" si="779"/>
        <v>1</v>
      </c>
      <c r="AC766" s="24">
        <f t="shared" ca="1" si="780"/>
        <v>0</v>
      </c>
      <c r="AD766" s="24">
        <f t="shared" ca="1" si="781"/>
        <v>-1.1492544687909839E-2</v>
      </c>
    </row>
    <row r="767" spans="3:30" x14ac:dyDescent="0.25">
      <c r="C767" s="6">
        <v>861</v>
      </c>
      <c r="D767" s="36">
        <v>43231</v>
      </c>
      <c r="E767" s="38">
        <v>19.297000000000001</v>
      </c>
      <c r="F767" s="38">
        <v>58.762111763391488</v>
      </c>
      <c r="G767" s="38">
        <v>42.31</v>
      </c>
      <c r="H767" s="38">
        <v>2.0605740518799895</v>
      </c>
      <c r="I767" s="38">
        <v>6.1955351520445259</v>
      </c>
      <c r="J767" s="10">
        <v>0</v>
      </c>
      <c r="K767" s="39">
        <v>0</v>
      </c>
      <c r="L767" s="39">
        <v>0</v>
      </c>
      <c r="M767" s="39">
        <v>0</v>
      </c>
      <c r="N767" s="39">
        <v>1</v>
      </c>
      <c r="O767" s="39">
        <v>0</v>
      </c>
      <c r="P767" s="39">
        <v>0</v>
      </c>
      <c r="Q767" s="39">
        <v>0</v>
      </c>
      <c r="R767" s="39">
        <v>0</v>
      </c>
      <c r="S767" s="39">
        <v>0</v>
      </c>
      <c r="T767" s="39">
        <v>0</v>
      </c>
      <c r="U767" s="29" cm="1">
        <f t="array" aca="1" ref="U767" ca="1">+fair_value_gap(OFFSET(T766,0,0,-1*$J$5,-1*$AA$1),OFFSET(E766,0,0,-1*$J$5,1),F767:T767,0)</f>
        <v>18.979354658608159</v>
      </c>
      <c r="V767" s="9" cm="1">
        <f t="array" aca="1" ref="V767" ca="1">z_score_diff(OFFSET(U767,0,0,$J$5*-1,1),OFFSET(E767,0,0,$J$5*-1,1))</f>
        <v>-0.24420204852113492</v>
      </c>
      <c r="W767" s="9">
        <f t="shared" ca="1" si="776"/>
        <v>7.7350179140033316E-3</v>
      </c>
      <c r="X767" s="17">
        <f t="shared" ca="1" si="771"/>
        <v>-2.7583245482047724E-2</v>
      </c>
      <c r="Y767" s="13">
        <f t="shared" ref="Y767:Z767" ca="1" si="833">+Y766</f>
        <v>0</v>
      </c>
      <c r="Z767" s="13">
        <f t="shared" ca="1" si="833"/>
        <v>0</v>
      </c>
      <c r="AA767">
        <f t="shared" ca="1" si="778"/>
        <v>0</v>
      </c>
      <c r="AB767">
        <f t="shared" ca="1" si="779"/>
        <v>1</v>
      </c>
      <c r="AC767" s="24">
        <f t="shared" ca="1" si="780"/>
        <v>0</v>
      </c>
      <c r="AD767" s="24">
        <f t="shared" ca="1" si="781"/>
        <v>-2.7583245482047724E-2</v>
      </c>
    </row>
    <row r="768" spans="3:30" x14ac:dyDescent="0.25">
      <c r="C768" s="6">
        <v>862</v>
      </c>
      <c r="D768" s="36">
        <v>43234</v>
      </c>
      <c r="E768" s="38">
        <v>19.536999999999999</v>
      </c>
      <c r="F768" s="38">
        <v>59.454870863694921</v>
      </c>
      <c r="G768" s="38">
        <v>42.75</v>
      </c>
      <c r="H768" s="38">
        <v>2.0729850251859134</v>
      </c>
      <c r="I768" s="38">
        <v>6.2588358239810269</v>
      </c>
      <c r="J768" s="10">
        <v>0</v>
      </c>
      <c r="K768" s="39">
        <v>0</v>
      </c>
      <c r="L768" s="39">
        <v>0</v>
      </c>
      <c r="M768" s="39">
        <v>0</v>
      </c>
      <c r="N768" s="39">
        <v>1</v>
      </c>
      <c r="O768" s="39">
        <v>0</v>
      </c>
      <c r="P768" s="39">
        <v>0</v>
      </c>
      <c r="Q768" s="39">
        <v>0</v>
      </c>
      <c r="R768" s="39">
        <v>0</v>
      </c>
      <c r="S768" s="39">
        <v>0</v>
      </c>
      <c r="T768" s="39">
        <v>0</v>
      </c>
      <c r="U768" s="29" cm="1">
        <f t="array" aca="1" ref="U768" ca="1">+fair_value_gap(OFFSET(T767,0,0,-1*$J$5,-1*$AA$1),OFFSET(E767,0,0,-1*$J$5,1),F768:T768,0)</f>
        <v>19.21493793042449</v>
      </c>
      <c r="V768" s="9" cm="1">
        <f t="array" aca="1" ref="V768" ca="1">z_score_diff(OFFSET(U768,0,0,$J$5*-1,1),OFFSET(E768,0,0,$J$5*-1,1))</f>
        <v>-0.24041115361790211</v>
      </c>
      <c r="W768" s="9">
        <f t="shared" ca="1" si="776"/>
        <v>-3.6169064691536821E-3</v>
      </c>
      <c r="X768" s="17">
        <f t="shared" ca="1" si="771"/>
        <v>-3.267210441041566E-2</v>
      </c>
      <c r="Y768" s="13">
        <f t="shared" ref="Y768:Z768" ca="1" si="834">+Y767</f>
        <v>0</v>
      </c>
      <c r="Z768" s="13">
        <f t="shared" ca="1" si="834"/>
        <v>0</v>
      </c>
      <c r="AA768">
        <f t="shared" ca="1" si="778"/>
        <v>1</v>
      </c>
      <c r="AB768">
        <f t="shared" ca="1" si="779"/>
        <v>0</v>
      </c>
      <c r="AC768" s="24">
        <f t="shared" ca="1" si="780"/>
        <v>-3.267210441041566E-2</v>
      </c>
      <c r="AD768" s="24">
        <f t="shared" ca="1" si="781"/>
        <v>0</v>
      </c>
    </row>
    <row r="769" spans="3:30" x14ac:dyDescent="0.25">
      <c r="C769" s="6">
        <v>863</v>
      </c>
      <c r="D769" s="36">
        <v>43235</v>
      </c>
      <c r="E769" s="38">
        <v>19.713000000000001</v>
      </c>
      <c r="F769" s="38">
        <v>60.30836470383948</v>
      </c>
      <c r="G769" s="38">
        <v>43.32</v>
      </c>
      <c r="H769" s="38">
        <v>2.0837223931355107</v>
      </c>
      <c r="I769" s="38">
        <v>6.2700058645645971</v>
      </c>
      <c r="J769" s="10">
        <v>0</v>
      </c>
      <c r="K769" s="39">
        <v>0</v>
      </c>
      <c r="L769" s="39">
        <v>0</v>
      </c>
      <c r="M769" s="39">
        <v>0</v>
      </c>
      <c r="N769" s="39">
        <v>1</v>
      </c>
      <c r="O769" s="39">
        <v>0</v>
      </c>
      <c r="P769" s="39">
        <v>0</v>
      </c>
      <c r="Q769" s="39">
        <v>0</v>
      </c>
      <c r="R769" s="39">
        <v>0</v>
      </c>
      <c r="S769" s="39">
        <v>0</v>
      </c>
      <c r="T769" s="39">
        <v>0</v>
      </c>
      <c r="U769" s="29" cm="1">
        <f t="array" aca="1" ref="U769" ca="1">+fair_value_gap(OFFSET(T768,0,0,-1*$J$5,-1*$AA$1),OFFSET(E768,0,0,-1*$J$5,1),F769:T769,0)</f>
        <v>19.488712478006519</v>
      </c>
      <c r="V769" s="9" cm="1">
        <f t="array" aca="1" ref="V769" ca="1">z_score_diff(OFFSET(U769,0,0,$J$5*-1,1),OFFSET(E769,0,0,$J$5*-1,1))</f>
        <v>-0.1711933760421207</v>
      </c>
      <c r="W769" s="9">
        <f t="shared" ca="1" si="776"/>
        <v>-2.6485692545139074E-2</v>
      </c>
      <c r="X769" s="17">
        <f t="shared" ca="1" si="771"/>
        <v>-4.6517600021333087E-2</v>
      </c>
      <c r="Y769" s="13">
        <f t="shared" ref="Y769:Z769" ca="1" si="835">+Y768</f>
        <v>0</v>
      </c>
      <c r="Z769" s="13">
        <f t="shared" ca="1" si="835"/>
        <v>0</v>
      </c>
      <c r="AA769">
        <f t="shared" ca="1" si="778"/>
        <v>1</v>
      </c>
      <c r="AB769">
        <f t="shared" ca="1" si="779"/>
        <v>0</v>
      </c>
      <c r="AC769" s="24">
        <f t="shared" ca="1" si="780"/>
        <v>-4.6517600021333087E-2</v>
      </c>
      <c r="AD769" s="24">
        <f t="shared" ca="1" si="781"/>
        <v>0</v>
      </c>
    </row>
    <row r="770" spans="3:30" x14ac:dyDescent="0.25">
      <c r="C770" s="6">
        <v>864</v>
      </c>
      <c r="D770" s="36">
        <v>43236</v>
      </c>
      <c r="E770" s="38">
        <v>19.675000000000001</v>
      </c>
      <c r="F770" s="38">
        <v>61.144646845309133</v>
      </c>
      <c r="G770" s="38">
        <v>43.27</v>
      </c>
      <c r="H770" s="38">
        <v>2.0929145642376099</v>
      </c>
      <c r="I770" s="38">
        <v>6.1522488564127542</v>
      </c>
      <c r="J770" s="10">
        <v>0</v>
      </c>
      <c r="K770" s="39">
        <v>0</v>
      </c>
      <c r="L770" s="39">
        <v>0</v>
      </c>
      <c r="M770" s="39">
        <v>0</v>
      </c>
      <c r="N770" s="39">
        <v>1</v>
      </c>
      <c r="O770" s="39">
        <v>0</v>
      </c>
      <c r="P770" s="39">
        <v>0</v>
      </c>
      <c r="Q770" s="39">
        <v>0</v>
      </c>
      <c r="R770" s="39">
        <v>0</v>
      </c>
      <c r="S770" s="39">
        <v>0</v>
      </c>
      <c r="T770" s="39">
        <v>0</v>
      </c>
      <c r="U770" s="29" cm="1">
        <f t="array" aca="1" ref="U770" ca="1">+fair_value_gap(OFFSET(T769,0,0,-1*$J$5,-1*$AA$1),OFFSET(E769,0,0,-1*$J$5,1),F770:T770,0)</f>
        <v>19.604982521274977</v>
      </c>
      <c r="V770" s="9" cm="1">
        <f t="array" aca="1" ref="V770" ca="1">z_score_diff(OFFSET(U770,0,0,$J$5*-1,1),OFFSET(E770,0,0,$J$5*-1,1))</f>
        <v>-7.0269816971867183E-2</v>
      </c>
      <c r="W770" s="9">
        <f t="shared" ca="1" si="776"/>
        <v>-3.6349167906306407E-2</v>
      </c>
      <c r="X770" s="17">
        <f t="shared" ca="1" si="771"/>
        <v>-2.1214551164794412E-2</v>
      </c>
      <c r="Y770" s="13">
        <f t="shared" ref="Y770:Z770" ca="1" si="836">+Y769</f>
        <v>0</v>
      </c>
      <c r="Z770" s="13">
        <f t="shared" ca="1" si="836"/>
        <v>0</v>
      </c>
      <c r="AA770">
        <f t="shared" ca="1" si="778"/>
        <v>1</v>
      </c>
      <c r="AB770">
        <f t="shared" ca="1" si="779"/>
        <v>0</v>
      </c>
      <c r="AC770" s="24">
        <f t="shared" ca="1" si="780"/>
        <v>-2.1214551164794412E-2</v>
      </c>
      <c r="AD770" s="24">
        <f t="shared" ca="1" si="781"/>
        <v>0</v>
      </c>
    </row>
    <row r="771" spans="3:30" x14ac:dyDescent="0.25">
      <c r="C771" s="6">
        <v>865</v>
      </c>
      <c r="D771" s="36">
        <v>43237</v>
      </c>
      <c r="E771" s="38">
        <v>20.257999999999999</v>
      </c>
      <c r="F771" s="38">
        <v>61.463461970202466</v>
      </c>
      <c r="G771" s="38">
        <v>43.92</v>
      </c>
      <c r="H771" s="38">
        <v>2.1142970394084903</v>
      </c>
      <c r="I771" s="38">
        <v>6.3650949377758517</v>
      </c>
      <c r="J771" s="10">
        <v>0</v>
      </c>
      <c r="K771" s="39">
        <v>0</v>
      </c>
      <c r="L771" s="39">
        <v>0</v>
      </c>
      <c r="M771" s="39">
        <v>0</v>
      </c>
      <c r="N771" s="39">
        <v>1</v>
      </c>
      <c r="O771" s="39">
        <v>0</v>
      </c>
      <c r="P771" s="39">
        <v>0</v>
      </c>
      <c r="Q771" s="39">
        <v>0</v>
      </c>
      <c r="R771" s="39">
        <v>0</v>
      </c>
      <c r="S771" s="39">
        <v>0</v>
      </c>
      <c r="T771" s="39">
        <v>0</v>
      </c>
      <c r="U771" s="29" cm="1">
        <f t="array" aca="1" ref="U771" ca="1">+fair_value_gap(OFFSET(T770,0,0,-1*$J$5,-1*$AA$1),OFFSET(E770,0,0,-1*$J$5,1),F771:T771,0)</f>
        <v>19.833048402489652</v>
      </c>
      <c r="V771" s="9" cm="1">
        <f t="array" aca="1" ref="V771" ca="1">z_score_diff(OFFSET(U771,0,0,$J$5*-1,1),OFFSET(E771,0,0,$J$5*-1,1))</f>
        <v>-0.28571069665315152</v>
      </c>
      <c r="W771" s="9">
        <f t="shared" ca="1" si="776"/>
        <v>-5.3076033459022495E-2</v>
      </c>
      <c r="X771" s="17">
        <f t="shared" ca="1" si="771"/>
        <v>-4.668457322219173E-2</v>
      </c>
      <c r="Y771" s="13">
        <f t="shared" ref="Y771:Z771" ca="1" si="837">+Y770</f>
        <v>0</v>
      </c>
      <c r="Z771" s="13">
        <f t="shared" ca="1" si="837"/>
        <v>0</v>
      </c>
      <c r="AA771">
        <f t="shared" ca="1" si="778"/>
        <v>1</v>
      </c>
      <c r="AB771">
        <f t="shared" ca="1" si="779"/>
        <v>0</v>
      </c>
      <c r="AC771" s="24">
        <f t="shared" ca="1" si="780"/>
        <v>-4.668457322219173E-2</v>
      </c>
      <c r="AD771" s="24">
        <f t="shared" ca="1" si="781"/>
        <v>0</v>
      </c>
    </row>
    <row r="772" spans="3:30" x14ac:dyDescent="0.25">
      <c r="C772" s="6">
        <v>866</v>
      </c>
      <c r="D772" s="36">
        <v>43238</v>
      </c>
      <c r="E772" s="38">
        <v>20.106999999999999</v>
      </c>
      <c r="F772" s="38">
        <v>61.346256659162108</v>
      </c>
      <c r="G772" s="38">
        <v>44.11</v>
      </c>
      <c r="H772" s="38">
        <v>2.1245064579559432</v>
      </c>
      <c r="I772" s="38">
        <v>6.4089415443572069</v>
      </c>
      <c r="J772" s="10">
        <v>0</v>
      </c>
      <c r="K772" s="39">
        <v>0</v>
      </c>
      <c r="L772" s="39">
        <v>0</v>
      </c>
      <c r="M772" s="39">
        <v>0</v>
      </c>
      <c r="N772" s="39">
        <v>1</v>
      </c>
      <c r="O772" s="39">
        <v>0</v>
      </c>
      <c r="P772" s="39">
        <v>0</v>
      </c>
      <c r="Q772" s="39">
        <v>0</v>
      </c>
      <c r="R772" s="39">
        <v>0</v>
      </c>
      <c r="S772" s="39">
        <v>0</v>
      </c>
      <c r="T772" s="39">
        <v>0</v>
      </c>
      <c r="U772" s="29" cm="1">
        <f t="array" aca="1" ref="U772" ca="1">+fair_value_gap(OFFSET(T771,0,0,-1*$J$5,-1*$AA$1),OFFSET(E771,0,0,-1*$J$5,1),F772:T772,0)</f>
        <v>19.915758702525999</v>
      </c>
      <c r="V772" s="9" cm="1">
        <f t="array" aca="1" ref="V772" ca="1">z_score_diff(OFFSET(U772,0,0,$J$5*-1,1),OFFSET(E772,0,0,$J$5*-1,1))</f>
        <v>-0.13464800454292924</v>
      </c>
      <c r="W772" s="9">
        <f t="shared" ca="1" si="776"/>
        <v>-6.0135835095052714E-2</v>
      </c>
      <c r="X772" s="17">
        <f t="shared" ca="1" si="771"/>
        <v>-4.4856497751802379E-2</v>
      </c>
      <c r="Y772" s="13">
        <f t="shared" ref="Y772:Z772" ca="1" si="838">+Y771</f>
        <v>0</v>
      </c>
      <c r="Z772" s="13">
        <f t="shared" ca="1" si="838"/>
        <v>0</v>
      </c>
      <c r="AA772">
        <f t="shared" ca="1" si="778"/>
        <v>1</v>
      </c>
      <c r="AB772">
        <f t="shared" ca="1" si="779"/>
        <v>0</v>
      </c>
      <c r="AC772" s="24">
        <f t="shared" ca="1" si="780"/>
        <v>-4.4856497751802379E-2</v>
      </c>
      <c r="AD772" s="24">
        <f t="shared" ca="1" si="781"/>
        <v>0</v>
      </c>
    </row>
    <row r="773" spans="3:30" x14ac:dyDescent="0.25">
      <c r="C773" s="6">
        <v>867</v>
      </c>
      <c r="D773" s="36">
        <v>43241</v>
      </c>
      <c r="E773" s="38">
        <v>20.338999999999999</v>
      </c>
      <c r="F773" s="38">
        <v>61.74372979509242</v>
      </c>
      <c r="G773" s="38">
        <v>44.45</v>
      </c>
      <c r="H773" s="38">
        <v>2.1206412924560119</v>
      </c>
      <c r="I773" s="38">
        <v>6.4079890101754584</v>
      </c>
      <c r="J773" s="10">
        <v>0</v>
      </c>
      <c r="K773" s="39">
        <v>0</v>
      </c>
      <c r="L773" s="39">
        <v>0</v>
      </c>
      <c r="M773" s="39">
        <v>0</v>
      </c>
      <c r="N773" s="39">
        <v>1</v>
      </c>
      <c r="O773" s="39">
        <v>0</v>
      </c>
      <c r="P773" s="39">
        <v>0</v>
      </c>
      <c r="Q773" s="39">
        <v>0</v>
      </c>
      <c r="R773" s="39">
        <v>0</v>
      </c>
      <c r="S773" s="39">
        <v>0</v>
      </c>
      <c r="T773" s="39">
        <v>0</v>
      </c>
      <c r="U773" s="29" cm="1">
        <f t="array" aca="1" ref="U773" ca="1">+fair_value_gap(OFFSET(T772,0,0,-1*$J$5,-1*$AA$1),OFFSET(E772,0,0,-1*$J$5,1),F773:T773,0)</f>
        <v>20.052213416484278</v>
      </c>
      <c r="V773" s="9" cm="1">
        <f t="array" aca="1" ref="V773" ca="1">z_score_diff(OFFSET(U773,0,0,$J$5*-1,1),OFFSET(E773,0,0,$J$5*-1,1))</f>
        <v>-0.18841933520934129</v>
      </c>
      <c r="W773" s="9">
        <f t="shared" ca="1" si="776"/>
        <v>-6.7105847975168276E-2</v>
      </c>
      <c r="X773" s="17">
        <f t="shared" ca="1" si="771"/>
        <v>-4.7473365960252388E-2</v>
      </c>
      <c r="Y773" s="13">
        <f t="shared" ref="Y773:Z773" ca="1" si="839">+Y772</f>
        <v>0</v>
      </c>
      <c r="Z773" s="13">
        <f t="shared" ca="1" si="839"/>
        <v>0</v>
      </c>
      <c r="AA773">
        <f t="shared" ca="1" si="778"/>
        <v>1</v>
      </c>
      <c r="AB773">
        <f t="shared" ca="1" si="779"/>
        <v>0</v>
      </c>
      <c r="AC773" s="24">
        <f t="shared" ca="1" si="780"/>
        <v>-4.7473365960252388E-2</v>
      </c>
      <c r="AD773" s="24">
        <f t="shared" ca="1" si="781"/>
        <v>0</v>
      </c>
    </row>
    <row r="774" spans="3:30" x14ac:dyDescent="0.25">
      <c r="C774" s="6">
        <v>868</v>
      </c>
      <c r="D774" s="36">
        <v>43242</v>
      </c>
      <c r="E774" s="38">
        <v>20.681999999999999</v>
      </c>
      <c r="F774" s="38">
        <v>62.058160796333482</v>
      </c>
      <c r="G774" s="38">
        <v>45.33</v>
      </c>
      <c r="H774" s="38">
        <v>2.1503836030780454</v>
      </c>
      <c r="I774" s="38">
        <v>6.5943999466520458</v>
      </c>
      <c r="J774" s="10">
        <v>0</v>
      </c>
      <c r="K774" s="39">
        <v>0</v>
      </c>
      <c r="L774" s="39">
        <v>0</v>
      </c>
      <c r="M774" s="39">
        <v>0</v>
      </c>
      <c r="N774" s="39">
        <v>1</v>
      </c>
      <c r="O774" s="39">
        <v>0</v>
      </c>
      <c r="P774" s="39">
        <v>0</v>
      </c>
      <c r="Q774" s="39">
        <v>0</v>
      </c>
      <c r="R774" s="39">
        <v>0</v>
      </c>
      <c r="S774" s="39">
        <v>0</v>
      </c>
      <c r="T774" s="39">
        <v>0</v>
      </c>
      <c r="U774" s="29" cm="1">
        <f t="array" aca="1" ref="U774" ca="1">+fair_value_gap(OFFSET(T773,0,0,-1*$J$5,-1*$AA$1),OFFSET(E773,0,0,-1*$J$5,1),F774:T774,0)</f>
        <v>20.361509886381775</v>
      </c>
      <c r="V774" s="9" cm="1">
        <f t="array" aca="1" ref="V774" ca="1">z_score_diff(OFFSET(U774,0,0,$J$5*-1,1),OFFSET(E774,0,0,$J$5*-1,1))</f>
        <v>-0.19873304047510709</v>
      </c>
      <c r="W774" s="9">
        <f t="shared" ca="1" si="776"/>
        <v>-7.444026226584867E-2</v>
      </c>
      <c r="X774" s="17">
        <f t="shared" ca="1" si="771"/>
        <v>-6.7502002779945558E-2</v>
      </c>
      <c r="Y774" s="13">
        <f t="shared" ref="Y774:Z774" ca="1" si="840">+Y773</f>
        <v>0</v>
      </c>
      <c r="Z774" s="13">
        <f t="shared" ca="1" si="840"/>
        <v>0</v>
      </c>
      <c r="AA774">
        <f t="shared" ca="1" si="778"/>
        <v>1</v>
      </c>
      <c r="AB774">
        <f t="shared" ca="1" si="779"/>
        <v>0</v>
      </c>
      <c r="AC774" s="24">
        <f t="shared" ca="1" si="780"/>
        <v>-6.7502002779945558E-2</v>
      </c>
      <c r="AD774" s="24">
        <f t="shared" ca="1" si="781"/>
        <v>0</v>
      </c>
    </row>
    <row r="775" spans="3:30" x14ac:dyDescent="0.25">
      <c r="C775" s="6">
        <v>869</v>
      </c>
      <c r="D775" s="36">
        <v>43243</v>
      </c>
      <c r="E775" s="38">
        <v>20.495000000000001</v>
      </c>
      <c r="F775" s="38">
        <v>62.672081013027409</v>
      </c>
      <c r="G775" s="38">
        <v>45.35</v>
      </c>
      <c r="H775" s="38">
        <v>2.1716489203482925</v>
      </c>
      <c r="I775" s="38">
        <v>6.5166038758257612</v>
      </c>
      <c r="J775" s="10">
        <v>0</v>
      </c>
      <c r="K775" s="39">
        <v>0</v>
      </c>
      <c r="L775" s="39">
        <v>0</v>
      </c>
      <c r="M775" s="39">
        <v>0</v>
      </c>
      <c r="N775" s="39">
        <v>1</v>
      </c>
      <c r="O775" s="39">
        <v>0</v>
      </c>
      <c r="P775" s="39">
        <v>0</v>
      </c>
      <c r="Q775" s="39">
        <v>0</v>
      </c>
      <c r="R775" s="39">
        <v>0</v>
      </c>
      <c r="S775" s="39">
        <v>0</v>
      </c>
      <c r="T775" s="39">
        <v>0</v>
      </c>
      <c r="U775" s="29" cm="1">
        <f t="array" aca="1" ref="U775" ca="1">+fair_value_gap(OFFSET(T774,0,0,-1*$J$5,-1*$AA$1),OFFSET(E774,0,0,-1*$J$5,1),F775:T775,0)</f>
        <v>20.490055399904811</v>
      </c>
      <c r="V775" s="9" cm="1">
        <f t="array" aca="1" ref="V775" ca="1">z_score_diff(OFFSET(U775,0,0,$J$5*-1,1),OFFSET(E775,0,0,$J$5*-1,1))</f>
        <v>-1.8671468500104371E-3</v>
      </c>
      <c r="W775" s="9">
        <f t="shared" ca="1" si="776"/>
        <v>-6.9504141809604972E-2</v>
      </c>
      <c r="X775" s="17">
        <f t="shared" ref="X775:X838" ca="1" si="841">+LN(OFFSET(E775,$X$3,0,1,1)/E775)</f>
        <v>-6.028313341152599E-2</v>
      </c>
      <c r="Y775" s="13">
        <f t="shared" ref="Y775:Z775" ca="1" si="842">+Y774</f>
        <v>0</v>
      </c>
      <c r="Z775" s="13">
        <f t="shared" ca="1" si="842"/>
        <v>0</v>
      </c>
      <c r="AA775">
        <f t="shared" ca="1" si="778"/>
        <v>1</v>
      </c>
      <c r="AB775">
        <f t="shared" ca="1" si="779"/>
        <v>0</v>
      </c>
      <c r="AC775" s="24">
        <f t="shared" ca="1" si="780"/>
        <v>-6.028313341152599E-2</v>
      </c>
      <c r="AD775" s="24">
        <f t="shared" ca="1" si="781"/>
        <v>0</v>
      </c>
    </row>
    <row r="776" spans="3:30" x14ac:dyDescent="0.25">
      <c r="C776" s="6">
        <v>870</v>
      </c>
      <c r="D776" s="36">
        <v>43244</v>
      </c>
      <c r="E776" s="38">
        <v>20.233000000000001</v>
      </c>
      <c r="F776" s="38">
        <v>61.94658048587565</v>
      </c>
      <c r="G776" s="38">
        <v>44.73</v>
      </c>
      <c r="H776" s="38">
        <v>2.1702401577995438</v>
      </c>
      <c r="I776" s="38">
        <v>6.5156848046783855</v>
      </c>
      <c r="J776" s="10">
        <v>0</v>
      </c>
      <c r="K776" s="39">
        <v>0</v>
      </c>
      <c r="L776" s="39">
        <v>0</v>
      </c>
      <c r="M776" s="39">
        <v>0</v>
      </c>
      <c r="N776" s="39">
        <v>1</v>
      </c>
      <c r="O776" s="39">
        <v>0</v>
      </c>
      <c r="P776" s="39">
        <v>0</v>
      </c>
      <c r="Q776" s="39">
        <v>0</v>
      </c>
      <c r="R776" s="39">
        <v>0</v>
      </c>
      <c r="S776" s="39">
        <v>0</v>
      </c>
      <c r="T776" s="39">
        <v>0</v>
      </c>
      <c r="U776" s="29" cm="1">
        <f t="array" aca="1" ref="U776" ca="1">+fair_value_gap(OFFSET(T775,0,0,-1*$J$5,-1*$AA$1),OFFSET(E775,0,0,-1*$J$5,1),F776:T776,0)</f>
        <v>20.256548374342756</v>
      </c>
      <c r="V776" s="9" cm="1">
        <f t="array" aca="1" ref="V776" ca="1">z_score_diff(OFFSET(U776,0,0,$J$5*-1,1),OFFSET(E776,0,0,$J$5*-1,1))</f>
        <v>1.0328390376288299E-2</v>
      </c>
      <c r="W776" s="9">
        <f t="shared" ca="1" si="776"/>
        <v>-6.7000559185784903E-2</v>
      </c>
      <c r="X776" s="17">
        <f t="shared" ca="1" si="841"/>
        <v>-3.8594210489916445E-2</v>
      </c>
      <c r="Y776" s="13">
        <f t="shared" ref="Y776:Z776" ca="1" si="843">+Y775</f>
        <v>0</v>
      </c>
      <c r="Z776" s="13">
        <f t="shared" ca="1" si="843"/>
        <v>0</v>
      </c>
      <c r="AA776">
        <f t="shared" ca="1" si="778"/>
        <v>1</v>
      </c>
      <c r="AB776">
        <f t="shared" ca="1" si="779"/>
        <v>0</v>
      </c>
      <c r="AC776" s="24">
        <f t="shared" ca="1" si="780"/>
        <v>-3.8594210489916445E-2</v>
      </c>
      <c r="AD776" s="24">
        <f t="shared" ca="1" si="781"/>
        <v>0</v>
      </c>
    </row>
    <row r="777" spans="3:30" x14ac:dyDescent="0.25">
      <c r="C777" s="6">
        <v>871</v>
      </c>
      <c r="D777" s="36">
        <v>43245</v>
      </c>
      <c r="E777" s="38">
        <v>19.334</v>
      </c>
      <c r="F777" s="38">
        <v>60.623419573845929</v>
      </c>
      <c r="G777" s="38">
        <v>44.13</v>
      </c>
      <c r="H777" s="38">
        <v>2.1839751344897387</v>
      </c>
      <c r="I777" s="38">
        <v>6.4486799148391247</v>
      </c>
      <c r="J777" s="10">
        <v>0</v>
      </c>
      <c r="K777" s="39">
        <v>0</v>
      </c>
      <c r="L777" s="39">
        <v>0</v>
      </c>
      <c r="M777" s="39">
        <v>0</v>
      </c>
      <c r="N777" s="39">
        <v>1</v>
      </c>
      <c r="O777" s="39">
        <v>0</v>
      </c>
      <c r="P777" s="39">
        <v>0</v>
      </c>
      <c r="Q777" s="39">
        <v>0</v>
      </c>
      <c r="R777" s="39">
        <v>0</v>
      </c>
      <c r="S777" s="39">
        <v>0</v>
      </c>
      <c r="T777" s="39">
        <v>0</v>
      </c>
      <c r="U777" s="29" cm="1">
        <f t="array" aca="1" ref="U777" ca="1">+fair_value_gap(OFFSET(T776,0,0,-1*$J$5,-1*$AA$1),OFFSET(E776,0,0,-1*$J$5,1),F777:T777,0)</f>
        <v>19.921278044571039</v>
      </c>
      <c r="V777" s="9" cm="1">
        <f t="array" aca="1" ref="V777" ca="1">z_score_diff(OFFSET(U777,0,0,$J$5*-1,1),OFFSET(E777,0,0,$J$5*-1,1))</f>
        <v>0.34674714965004871</v>
      </c>
      <c r="W777" s="9">
        <f t="shared" ca="1" si="776"/>
        <v>-5.1264043853746992E-2</v>
      </c>
      <c r="X777" s="17">
        <f t="shared" ca="1" si="841"/>
        <v>3.2016552006921516E-3</v>
      </c>
      <c r="Y777" s="13">
        <f t="shared" ref="Y777:Z777" ca="1" si="844">+Y776</f>
        <v>0</v>
      </c>
      <c r="Z777" s="13">
        <f t="shared" ca="1" si="844"/>
        <v>0</v>
      </c>
      <c r="AA777">
        <f t="shared" ca="1" si="778"/>
        <v>1</v>
      </c>
      <c r="AB777">
        <f t="shared" ca="1" si="779"/>
        <v>0</v>
      </c>
      <c r="AC777" s="24">
        <f t="shared" ca="1" si="780"/>
        <v>3.2016552006921516E-3</v>
      </c>
      <c r="AD777" s="24">
        <f t="shared" ca="1" si="781"/>
        <v>0</v>
      </c>
    </row>
    <row r="778" spans="3:30" x14ac:dyDescent="0.25">
      <c r="C778" s="6">
        <v>872</v>
      </c>
      <c r="D778" s="36">
        <v>43248</v>
      </c>
      <c r="E778" s="38">
        <v>19.300999999999998</v>
      </c>
      <c r="F778" s="38">
        <v>59.976596941577483</v>
      </c>
      <c r="G778" s="38">
        <v>44.38</v>
      </c>
      <c r="H778" s="38">
        <v>2.1892375977979093</v>
      </c>
      <c r="I778" s="38">
        <v>6.464218526475336</v>
      </c>
      <c r="J778" s="10">
        <v>0</v>
      </c>
      <c r="K778" s="39">
        <v>0</v>
      </c>
      <c r="L778" s="39">
        <v>0</v>
      </c>
      <c r="M778" s="39">
        <v>0</v>
      </c>
      <c r="N778" s="39">
        <v>1</v>
      </c>
      <c r="O778" s="39">
        <v>0</v>
      </c>
      <c r="P778" s="39">
        <v>0</v>
      </c>
      <c r="Q778" s="39">
        <v>0</v>
      </c>
      <c r="R778" s="39">
        <v>0</v>
      </c>
      <c r="S778" s="39">
        <v>0</v>
      </c>
      <c r="T778" s="39">
        <v>0</v>
      </c>
      <c r="U778" s="29" cm="1">
        <f t="array" aca="1" ref="U778" ca="1">+fair_value_gap(OFFSET(T777,0,0,-1*$J$5,-1*$AA$1),OFFSET(E777,0,0,-1*$J$5,1),F778:T778,0)</f>
        <v>19.872986020908762</v>
      </c>
      <c r="V778" s="9" cm="1">
        <f t="array" aca="1" ref="V778" ca="1">z_score_diff(OFFSET(U778,0,0,$J$5*-1,1),OFFSET(E778,0,0,$J$5*-1,1))</f>
        <v>0.33212682718781883</v>
      </c>
      <c r="W778" s="9">
        <f t="shared" ca="1" si="776"/>
        <v>-3.7470483206768934E-2</v>
      </c>
      <c r="X778" s="17">
        <f t="shared" ca="1" si="841"/>
        <v>2.2186128394904275E-2</v>
      </c>
      <c r="Y778" s="13">
        <f t="shared" ref="Y778:Z778" ca="1" si="845">+Y777</f>
        <v>0</v>
      </c>
      <c r="Z778" s="13">
        <f t="shared" ca="1" si="845"/>
        <v>0</v>
      </c>
      <c r="AA778">
        <f t="shared" ca="1" si="778"/>
        <v>1</v>
      </c>
      <c r="AB778">
        <f t="shared" ca="1" si="779"/>
        <v>0</v>
      </c>
      <c r="AC778" s="24">
        <f t="shared" ca="1" si="780"/>
        <v>2.2186128394904275E-2</v>
      </c>
      <c r="AD778" s="24">
        <f t="shared" ca="1" si="781"/>
        <v>0</v>
      </c>
    </row>
    <row r="779" spans="3:30" x14ac:dyDescent="0.25">
      <c r="C779" s="6">
        <v>873</v>
      </c>
      <c r="D779" s="36">
        <v>43249</v>
      </c>
      <c r="E779" s="38">
        <v>19.376000000000001</v>
      </c>
      <c r="F779" s="38">
        <v>60.670787129612805</v>
      </c>
      <c r="G779" s="38">
        <v>44.52</v>
      </c>
      <c r="H779" s="38">
        <v>2.1856295488362387</v>
      </c>
      <c r="I779" s="38">
        <v>6.5181751466063416</v>
      </c>
      <c r="J779" s="10">
        <v>0</v>
      </c>
      <c r="K779" s="39">
        <v>0</v>
      </c>
      <c r="L779" s="39">
        <v>0</v>
      </c>
      <c r="M779" s="39">
        <v>0</v>
      </c>
      <c r="N779" s="39">
        <v>1</v>
      </c>
      <c r="O779" s="39">
        <v>0</v>
      </c>
      <c r="P779" s="39">
        <v>0</v>
      </c>
      <c r="Q779" s="39">
        <v>0</v>
      </c>
      <c r="R779" s="39">
        <v>0</v>
      </c>
      <c r="S779" s="39">
        <v>0</v>
      </c>
      <c r="T779" s="39">
        <v>0</v>
      </c>
      <c r="U779" s="29" cm="1">
        <f t="array" aca="1" ref="U779" ca="1">+fair_value_gap(OFFSET(T778,0,0,-1*$J$5,-1*$AA$1),OFFSET(E778,0,0,-1*$J$5,1),F779:T779,0)</f>
        <v>19.976743013067146</v>
      </c>
      <c r="V779" s="9" cm="1">
        <f t="array" aca="1" ref="V779" ca="1">z_score_diff(OFFSET(U779,0,0,$J$5*-1,1),OFFSET(E779,0,0,$J$5*-1,1))</f>
        <v>0.34607571627838563</v>
      </c>
      <c r="W779" s="9">
        <f t="shared" ref="W779:W842" ca="1" si="846">+IF(ISERROR(AVERAGE(OFFSET(V779,0,0,$W$5*-1,1))),"",AVERAGE(OFFSET(V779,0,0,$W$5*-1,1)))</f>
        <v>-2.5391637593137242E-2</v>
      </c>
      <c r="X779" s="17">
        <f t="shared" ca="1" si="841"/>
        <v>1.9168936165984279E-2</v>
      </c>
      <c r="Y779" s="13">
        <f t="shared" ref="Y779:Z779" ca="1" si="847">+Y778</f>
        <v>0</v>
      </c>
      <c r="Z779" s="13">
        <f t="shared" ca="1" si="847"/>
        <v>0</v>
      </c>
      <c r="AA779">
        <f t="shared" ref="AA779:AA842" ca="1" si="848">+IF(W779="","",IF(W779&lt;Y779,1,0))</f>
        <v>1</v>
      </c>
      <c r="AB779">
        <f t="shared" ref="AB779:AB842" ca="1" si="849">+IF(W779="","",IF(W779&gt;Z779,1,0))</f>
        <v>0</v>
      </c>
      <c r="AC779" s="24">
        <f t="shared" ref="AC779:AC842" ca="1" si="850">+IF(ISERROR(AA779*X779),"",AA779*X779)</f>
        <v>1.9168936165984279E-2</v>
      </c>
      <c r="AD779" s="24">
        <f t="shared" ref="AD779:AD842" ca="1" si="851">+IF(ISERROR(AB779*X779),"",AB779*X779)</f>
        <v>0</v>
      </c>
    </row>
    <row r="780" spans="3:30" x14ac:dyDescent="0.25">
      <c r="C780" s="6">
        <v>874</v>
      </c>
      <c r="D780" s="36">
        <v>43250</v>
      </c>
      <c r="E780" s="38">
        <v>19.295999999999999</v>
      </c>
      <c r="F780" s="38">
        <v>61.465606964549117</v>
      </c>
      <c r="G780" s="38">
        <v>44.12</v>
      </c>
      <c r="H780" s="38">
        <v>2.1789174964828661</v>
      </c>
      <c r="I780" s="38">
        <v>6.526768904126798</v>
      </c>
      <c r="J780" s="10">
        <v>0</v>
      </c>
      <c r="K780" s="39">
        <v>0</v>
      </c>
      <c r="L780" s="39">
        <v>0</v>
      </c>
      <c r="M780" s="39">
        <v>0</v>
      </c>
      <c r="N780" s="39">
        <v>1</v>
      </c>
      <c r="O780" s="39">
        <v>0</v>
      </c>
      <c r="P780" s="39">
        <v>0</v>
      </c>
      <c r="Q780" s="39">
        <v>0</v>
      </c>
      <c r="R780" s="39">
        <v>0</v>
      </c>
      <c r="S780" s="39">
        <v>0</v>
      </c>
      <c r="T780" s="39">
        <v>0</v>
      </c>
      <c r="U780" s="29" cm="1">
        <f t="array" aca="1" ref="U780" ca="1">+fair_value_gap(OFFSET(T779,0,0,-1*$J$5,-1*$AA$1),OFFSET(E779,0,0,-1*$J$5,1),F780:T780,0)</f>
        <v>19.952974811835141</v>
      </c>
      <c r="V780" s="9" cm="1">
        <f t="array" aca="1" ref="V780" ca="1">z_score_diff(OFFSET(U780,0,0,$J$5*-1,1),OFFSET(E780,0,0,$J$5*-1,1))</f>
        <v>0.37550726618018326</v>
      </c>
      <c r="W780" s="9">
        <f t="shared" ca="1" si="846"/>
        <v>-1.0523385354767371E-2</v>
      </c>
      <c r="X780" s="17">
        <f t="shared" ca="1" si="841"/>
        <v>1.8942585338997925E-2</v>
      </c>
      <c r="Y780" s="13">
        <f t="shared" ref="Y780:Z780" ca="1" si="852">+Y779</f>
        <v>0</v>
      </c>
      <c r="Z780" s="13">
        <f t="shared" ca="1" si="852"/>
        <v>0</v>
      </c>
      <c r="AA780">
        <f t="shared" ca="1" si="848"/>
        <v>1</v>
      </c>
      <c r="AB780">
        <f t="shared" ca="1" si="849"/>
        <v>0</v>
      </c>
      <c r="AC780" s="24">
        <f t="shared" ca="1" si="850"/>
        <v>1.8942585338997925E-2</v>
      </c>
      <c r="AD780" s="24">
        <f t="shared" ca="1" si="851"/>
        <v>0</v>
      </c>
    </row>
    <row r="781" spans="3:30" x14ac:dyDescent="0.25">
      <c r="C781" s="6">
        <v>875</v>
      </c>
      <c r="D781" s="36">
        <v>43251</v>
      </c>
      <c r="E781" s="38">
        <v>18.283000000000001</v>
      </c>
      <c r="F781" s="38">
        <v>61.277446930612768</v>
      </c>
      <c r="G781" s="38">
        <v>42.1</v>
      </c>
      <c r="H781" s="38">
        <v>2.189368790050314</v>
      </c>
      <c r="I781" s="38">
        <v>6.381512439180745</v>
      </c>
      <c r="J781" s="10">
        <v>0</v>
      </c>
      <c r="K781" s="39">
        <v>0</v>
      </c>
      <c r="L781" s="39">
        <v>0</v>
      </c>
      <c r="M781" s="39">
        <v>0</v>
      </c>
      <c r="N781" s="39">
        <v>1</v>
      </c>
      <c r="O781" s="39">
        <v>0</v>
      </c>
      <c r="P781" s="39">
        <v>0</v>
      </c>
      <c r="Q781" s="39">
        <v>0</v>
      </c>
      <c r="R781" s="39">
        <v>0</v>
      </c>
      <c r="S781" s="39">
        <v>0</v>
      </c>
      <c r="T781" s="39">
        <v>0</v>
      </c>
      <c r="U781" s="29" cm="1">
        <f t="array" aca="1" ref="U781" ca="1">+fair_value_gap(OFFSET(T780,0,0,-1*$J$5,-1*$AA$1),OFFSET(E780,0,0,-1*$J$5,1),F781:T781,0)</f>
        <v>19.368344348247845</v>
      </c>
      <c r="V781" s="9" cm="1">
        <f t="array" aca="1" ref="V781" ca="1">z_score_diff(OFFSET(U781,0,0,$J$5*-1,1),OFFSET(E781,0,0,$J$5*-1,1))</f>
        <v>0.63155974533797354</v>
      </c>
      <c r="W781" s="9">
        <f t="shared" ca="1" si="846"/>
        <v>1.6868031514768716E-2</v>
      </c>
      <c r="X781" s="17">
        <f t="shared" ca="1" si="841"/>
        <v>4.4815541164454478E-2</v>
      </c>
      <c r="Y781" s="13">
        <f t="shared" ref="Y781:Z781" ca="1" si="853">+Y780</f>
        <v>0</v>
      </c>
      <c r="Z781" s="13">
        <f t="shared" ca="1" si="853"/>
        <v>0</v>
      </c>
      <c r="AA781">
        <f t="shared" ca="1" si="848"/>
        <v>0</v>
      </c>
      <c r="AB781">
        <f t="shared" ca="1" si="849"/>
        <v>1</v>
      </c>
      <c r="AC781" s="24">
        <f t="shared" ca="1" si="850"/>
        <v>0</v>
      </c>
      <c r="AD781" s="24">
        <f t="shared" ca="1" si="851"/>
        <v>4.4815541164454478E-2</v>
      </c>
    </row>
    <row r="782" spans="3:30" x14ac:dyDescent="0.25">
      <c r="C782" s="6">
        <v>876</v>
      </c>
      <c r="D782" s="36">
        <v>43252</v>
      </c>
      <c r="E782" s="38">
        <v>18.295000000000002</v>
      </c>
      <c r="F782" s="38">
        <v>60.821291194510863</v>
      </c>
      <c r="G782" s="38">
        <v>40.4</v>
      </c>
      <c r="H782" s="38">
        <v>2.2064663686453896</v>
      </c>
      <c r="I782" s="38">
        <v>6.2626052604220819</v>
      </c>
      <c r="J782" s="10">
        <v>0</v>
      </c>
      <c r="K782" s="39">
        <v>0</v>
      </c>
      <c r="L782" s="39">
        <v>0</v>
      </c>
      <c r="M782" s="39">
        <v>0</v>
      </c>
      <c r="N782" s="39">
        <v>0</v>
      </c>
      <c r="O782" s="39">
        <v>1</v>
      </c>
      <c r="P782" s="39">
        <v>0</v>
      </c>
      <c r="Q782" s="39">
        <v>0</v>
      </c>
      <c r="R782" s="39">
        <v>0</v>
      </c>
      <c r="S782" s="39">
        <v>0</v>
      </c>
      <c r="T782" s="39">
        <v>0</v>
      </c>
      <c r="U782" s="29" cm="1">
        <f t="array" aca="1" ref="U782" ca="1">+fair_value_gap(OFFSET(T781,0,0,-1*$J$5,-1*$AA$1),OFFSET(E781,0,0,-1*$J$5,1),F782:T782,0)</f>
        <v>19.54929202528028</v>
      </c>
      <c r="V782" s="9" cm="1">
        <f t="array" aca="1" ref="V782" ca="1">z_score_diff(OFFSET(U782,0,0,$J$5*-1,1),OFFSET(E782,0,0,$J$5*-1,1))</f>
        <v>0.73326533935744975</v>
      </c>
      <c r="W782" s="9">
        <f t="shared" ca="1" si="846"/>
        <v>4.7114900552308402E-2</v>
      </c>
      <c r="X782" s="17">
        <f t="shared" ca="1" si="841"/>
        <v>5.8129670783390174E-2</v>
      </c>
      <c r="Y782" s="13">
        <f t="shared" ref="Y782:Z782" ca="1" si="854">+Y781</f>
        <v>0</v>
      </c>
      <c r="Z782" s="13">
        <f t="shared" ca="1" si="854"/>
        <v>0</v>
      </c>
      <c r="AA782">
        <f t="shared" ca="1" si="848"/>
        <v>0</v>
      </c>
      <c r="AB782">
        <f t="shared" ca="1" si="849"/>
        <v>1</v>
      </c>
      <c r="AC782" s="24">
        <f t="shared" ca="1" si="850"/>
        <v>0</v>
      </c>
      <c r="AD782" s="24">
        <f t="shared" ca="1" si="851"/>
        <v>5.8129670783390174E-2</v>
      </c>
    </row>
    <row r="783" spans="3:30" x14ac:dyDescent="0.25">
      <c r="C783" s="6">
        <v>877</v>
      </c>
      <c r="D783" s="36">
        <v>43255</v>
      </c>
      <c r="E783" s="38">
        <v>18.478999999999999</v>
      </c>
      <c r="F783" s="38">
        <v>59.858647050338952</v>
      </c>
      <c r="G783" s="38">
        <v>42.06</v>
      </c>
      <c r="H783" s="38">
        <v>2.1867762210053199</v>
      </c>
      <c r="I783" s="38">
        <v>6.2047081175984919</v>
      </c>
      <c r="J783" s="10">
        <v>0</v>
      </c>
      <c r="K783" s="39">
        <v>0</v>
      </c>
      <c r="L783" s="39">
        <v>0</v>
      </c>
      <c r="M783" s="39">
        <v>0</v>
      </c>
      <c r="N783" s="39">
        <v>0</v>
      </c>
      <c r="O783" s="39">
        <v>1</v>
      </c>
      <c r="P783" s="39">
        <v>0</v>
      </c>
      <c r="Q783" s="39">
        <v>0</v>
      </c>
      <c r="R783" s="39">
        <v>0</v>
      </c>
      <c r="S783" s="39">
        <v>0</v>
      </c>
      <c r="T783" s="39">
        <v>0</v>
      </c>
      <c r="U783" s="29" cm="1">
        <f t="array" aca="1" ref="U783" ca="1">+fair_value_gap(OFFSET(T782,0,0,-1*$J$5,-1*$AA$1),OFFSET(E782,0,0,-1*$J$5,1),F783:T783,0)</f>
        <v>19.148215720696822</v>
      </c>
      <c r="V783" s="9" cm="1">
        <f t="array" aca="1" ref="V783" ca="1">z_score_diff(OFFSET(U783,0,0,$J$5*-1,1),OFFSET(E783,0,0,$J$5*-1,1))</f>
        <v>0.3664161016622699</v>
      </c>
      <c r="W783" s="9">
        <f t="shared" ca="1" si="846"/>
        <v>6.3570763368255234E-2</v>
      </c>
      <c r="X783" s="17">
        <f t="shared" ca="1" si="841"/>
        <v>2.7014241488477267E-2</v>
      </c>
      <c r="Y783" s="13">
        <f t="shared" ref="Y783:Z783" ca="1" si="855">+Y782</f>
        <v>0</v>
      </c>
      <c r="Z783" s="13">
        <f t="shared" ca="1" si="855"/>
        <v>0</v>
      </c>
      <c r="AA783">
        <f t="shared" ca="1" si="848"/>
        <v>0</v>
      </c>
      <c r="AB783">
        <f t="shared" ca="1" si="849"/>
        <v>1</v>
      </c>
      <c r="AC783" s="24">
        <f t="shared" ca="1" si="850"/>
        <v>0</v>
      </c>
      <c r="AD783" s="24">
        <f t="shared" ca="1" si="851"/>
        <v>2.7014241488477267E-2</v>
      </c>
    </row>
    <row r="784" spans="3:30" x14ac:dyDescent="0.25">
      <c r="C784" s="6">
        <v>878</v>
      </c>
      <c r="D784" s="36">
        <v>43256</v>
      </c>
      <c r="E784" s="38">
        <v>18.259</v>
      </c>
      <c r="F784" s="38">
        <v>59.603635821785126</v>
      </c>
      <c r="G784" s="38">
        <v>41.74</v>
      </c>
      <c r="H784" s="38">
        <v>2.1705657378433414</v>
      </c>
      <c r="I784" s="38">
        <v>6.212851206145797</v>
      </c>
      <c r="J784" s="10">
        <v>0</v>
      </c>
      <c r="K784" s="39">
        <v>0</v>
      </c>
      <c r="L784" s="39">
        <v>0</v>
      </c>
      <c r="M784" s="39">
        <v>0</v>
      </c>
      <c r="N784" s="39">
        <v>0</v>
      </c>
      <c r="O784" s="39">
        <v>1</v>
      </c>
      <c r="P784" s="39">
        <v>0</v>
      </c>
      <c r="Q784" s="39">
        <v>0</v>
      </c>
      <c r="R784" s="39">
        <v>0</v>
      </c>
      <c r="S784" s="39">
        <v>0</v>
      </c>
      <c r="T784" s="39">
        <v>0</v>
      </c>
      <c r="U784" s="29" cm="1">
        <f t="array" aca="1" ref="U784" ca="1">+fair_value_gap(OFFSET(T783,0,0,-1*$J$5,-1*$AA$1),OFFSET(E783,0,0,-1*$J$5,1),F784:T784,0)</f>
        <v>18.773764320593621</v>
      </c>
      <c r="V784" s="9" cm="1">
        <f t="array" aca="1" ref="V784" ca="1">z_score_diff(OFFSET(U784,0,0,$J$5*-1,1),OFFSET(E784,0,0,$J$5*-1,1))</f>
        <v>0.26876453151244012</v>
      </c>
      <c r="W784" s="9">
        <f t="shared" ca="1" si="846"/>
        <v>7.6375560450373844E-2</v>
      </c>
      <c r="X784" s="17">
        <f t="shared" ca="1" si="841"/>
        <v>3.3286140632000742E-2</v>
      </c>
      <c r="Y784" s="13">
        <f t="shared" ref="Y784:Z784" ca="1" si="856">+Y783</f>
        <v>0</v>
      </c>
      <c r="Z784" s="13">
        <f t="shared" ca="1" si="856"/>
        <v>0</v>
      </c>
      <c r="AA784">
        <f t="shared" ca="1" si="848"/>
        <v>0</v>
      </c>
      <c r="AB784">
        <f t="shared" ca="1" si="849"/>
        <v>1</v>
      </c>
      <c r="AC784" s="24">
        <f t="shared" ca="1" si="850"/>
        <v>0</v>
      </c>
      <c r="AD784" s="24">
        <f t="shared" ca="1" si="851"/>
        <v>3.3286140632000742E-2</v>
      </c>
    </row>
    <row r="785" spans="3:30" x14ac:dyDescent="0.25">
      <c r="C785" s="6">
        <v>879</v>
      </c>
      <c r="D785" s="36">
        <v>43257</v>
      </c>
      <c r="E785" s="38">
        <v>18.206</v>
      </c>
      <c r="F785" s="38">
        <v>58.972851073783595</v>
      </c>
      <c r="G785" s="38">
        <v>41.39</v>
      </c>
      <c r="H785" s="38">
        <v>2.1595923954673268</v>
      </c>
      <c r="I785" s="38">
        <v>6.086723036805318</v>
      </c>
      <c r="J785" s="10">
        <v>0</v>
      </c>
      <c r="K785" s="39">
        <v>0</v>
      </c>
      <c r="L785" s="39">
        <v>0</v>
      </c>
      <c r="M785" s="39">
        <v>0</v>
      </c>
      <c r="N785" s="39">
        <v>0</v>
      </c>
      <c r="O785" s="39">
        <v>1</v>
      </c>
      <c r="P785" s="39">
        <v>0</v>
      </c>
      <c r="Q785" s="39">
        <v>0</v>
      </c>
      <c r="R785" s="39">
        <v>0</v>
      </c>
      <c r="S785" s="39">
        <v>0</v>
      </c>
      <c r="T785" s="39">
        <v>0</v>
      </c>
      <c r="U785" s="29" cm="1">
        <f t="array" aca="1" ref="U785" ca="1">+fair_value_gap(OFFSET(T784,0,0,-1*$J$5,-1*$AA$1),OFFSET(E784,0,0,-1*$J$5,1),F785:T785,0)</f>
        <v>18.46469129268408</v>
      </c>
      <c r="V785" s="9" cm="1">
        <f t="array" aca="1" ref="V785" ca="1">z_score_diff(OFFSET(U785,0,0,$J$5*-1,1),OFFSET(E785,0,0,$J$5*-1,1))</f>
        <v>0.10812027209742259</v>
      </c>
      <c r="W785" s="9">
        <f t="shared" ca="1" si="846"/>
        <v>8.4210234030040798E-2</v>
      </c>
      <c r="X785" s="17">
        <f t="shared" ca="1" si="841"/>
        <v>4.9349739325299846E-2</v>
      </c>
      <c r="Y785" s="13">
        <f t="shared" ref="Y785:Z785" ca="1" si="857">+Y784</f>
        <v>0</v>
      </c>
      <c r="Z785" s="13">
        <f t="shared" ca="1" si="857"/>
        <v>0</v>
      </c>
      <c r="AA785">
        <f t="shared" ca="1" si="848"/>
        <v>0</v>
      </c>
      <c r="AB785">
        <f t="shared" ca="1" si="849"/>
        <v>1</v>
      </c>
      <c r="AC785" s="24">
        <f t="shared" ca="1" si="850"/>
        <v>0</v>
      </c>
      <c r="AD785" s="24">
        <f t="shared" ca="1" si="851"/>
        <v>4.9349739325299846E-2</v>
      </c>
    </row>
    <row r="786" spans="3:30" x14ac:dyDescent="0.25">
      <c r="C786" s="6">
        <v>880</v>
      </c>
      <c r="D786" s="36">
        <v>43258</v>
      </c>
      <c r="E786" s="38">
        <v>18.491</v>
      </c>
      <c r="F786" s="38">
        <v>60.221447847272351</v>
      </c>
      <c r="G786" s="38">
        <v>41.66</v>
      </c>
      <c r="H786" s="38">
        <v>2.1690903798621584</v>
      </c>
      <c r="I786" s="38">
        <v>6.2860864116930246</v>
      </c>
      <c r="J786" s="10">
        <v>0</v>
      </c>
      <c r="K786" s="39">
        <v>0</v>
      </c>
      <c r="L786" s="39">
        <v>0</v>
      </c>
      <c r="M786" s="39">
        <v>0</v>
      </c>
      <c r="N786" s="39">
        <v>0</v>
      </c>
      <c r="O786" s="39">
        <v>1</v>
      </c>
      <c r="P786" s="39">
        <v>0</v>
      </c>
      <c r="Q786" s="39">
        <v>0</v>
      </c>
      <c r="R786" s="39">
        <v>0</v>
      </c>
      <c r="S786" s="39">
        <v>0</v>
      </c>
      <c r="T786" s="39">
        <v>0</v>
      </c>
      <c r="U786" s="29" cm="1">
        <f t="array" aca="1" ref="U786" ca="1">+fair_value_gap(OFFSET(T785,0,0,-1*$J$5,-1*$AA$1),OFFSET(E785,0,0,-1*$J$5,1),F786:T786,0)</f>
        <v>18.611612568715177</v>
      </c>
      <c r="V786" s="9" cm="1">
        <f t="array" aca="1" ref="V786" ca="1">z_score_diff(OFFSET(U786,0,0,$J$5*-1,1),OFFSET(E786,0,0,$J$5*-1,1))</f>
        <v>2.1368208215814533E-2</v>
      </c>
      <c r="W786" s="9">
        <f t="shared" ca="1" si="846"/>
        <v>9.3010090165264112E-2</v>
      </c>
      <c r="X786" s="17">
        <f t="shared" ca="1" si="841"/>
        <v>3.2142393452630424E-2</v>
      </c>
      <c r="Y786" s="13">
        <f t="shared" ref="Y786:Z786" ca="1" si="858">+Y785</f>
        <v>0</v>
      </c>
      <c r="Z786" s="13">
        <f t="shared" ca="1" si="858"/>
        <v>0</v>
      </c>
      <c r="AA786">
        <f t="shared" ca="1" si="848"/>
        <v>0</v>
      </c>
      <c r="AB786">
        <f t="shared" ca="1" si="849"/>
        <v>1</v>
      </c>
      <c r="AC786" s="24">
        <f t="shared" ca="1" si="850"/>
        <v>0</v>
      </c>
      <c r="AD786" s="24">
        <f t="shared" ca="1" si="851"/>
        <v>3.2142393452630424E-2</v>
      </c>
    </row>
    <row r="787" spans="3:30" x14ac:dyDescent="0.25">
      <c r="C787" s="6">
        <v>881</v>
      </c>
      <c r="D787" s="36">
        <v>43259</v>
      </c>
      <c r="E787" s="38">
        <v>18.507999999999999</v>
      </c>
      <c r="F787" s="38">
        <v>60.057287695509721</v>
      </c>
      <c r="G787" s="38">
        <v>42.08</v>
      </c>
      <c r="H787" s="38">
        <v>2.1612710449852659</v>
      </c>
      <c r="I787" s="38">
        <v>6.2150967502627408</v>
      </c>
      <c r="J787" s="10">
        <v>0</v>
      </c>
      <c r="K787" s="39">
        <v>0</v>
      </c>
      <c r="L787" s="39">
        <v>0</v>
      </c>
      <c r="M787" s="39">
        <v>0</v>
      </c>
      <c r="N787" s="39">
        <v>0</v>
      </c>
      <c r="O787" s="39">
        <v>1</v>
      </c>
      <c r="P787" s="39">
        <v>0</v>
      </c>
      <c r="Q787" s="39">
        <v>0</v>
      </c>
      <c r="R787" s="39">
        <v>0</v>
      </c>
      <c r="S787" s="39">
        <v>0</v>
      </c>
      <c r="T787" s="39">
        <v>0</v>
      </c>
      <c r="U787" s="29" cm="1">
        <f t="array" aca="1" ref="U787" ca="1">+fair_value_gap(OFFSET(T786,0,0,-1*$J$5,-1*$AA$1),OFFSET(E786,0,0,-1*$J$5,1),F787:T787,0)</f>
        <v>18.671497125534323</v>
      </c>
      <c r="V787" s="9" cm="1">
        <f t="array" aca="1" ref="V787" ca="1">z_score_diff(OFFSET(U787,0,0,$J$5*-1,1),OFFSET(E787,0,0,$J$5*-1,1))</f>
        <v>4.8403828131985738E-2</v>
      </c>
      <c r="W787" s="9">
        <f t="shared" ca="1" si="846"/>
        <v>0.10629262854815609</v>
      </c>
      <c r="X787" s="17">
        <f t="shared" ca="1" si="841"/>
        <v>2.1117568583274932E-2</v>
      </c>
      <c r="Y787" s="13">
        <f t="shared" ref="Y787:Z787" ca="1" si="859">+Y786</f>
        <v>0</v>
      </c>
      <c r="Z787" s="13">
        <f t="shared" ca="1" si="859"/>
        <v>0</v>
      </c>
      <c r="AA787">
        <f t="shared" ca="1" si="848"/>
        <v>0</v>
      </c>
      <c r="AB787">
        <f t="shared" ca="1" si="849"/>
        <v>1</v>
      </c>
      <c r="AC787" s="24">
        <f t="shared" ca="1" si="850"/>
        <v>0</v>
      </c>
      <c r="AD787" s="24">
        <f t="shared" ca="1" si="851"/>
        <v>2.1117568583274932E-2</v>
      </c>
    </row>
    <row r="788" spans="3:30" x14ac:dyDescent="0.25">
      <c r="C788" s="6">
        <v>882</v>
      </c>
      <c r="D788" s="36">
        <v>43262</v>
      </c>
      <c r="E788" s="38">
        <v>18.41</v>
      </c>
      <c r="F788" s="38">
        <v>60.006632658519308</v>
      </c>
      <c r="G788" s="38">
        <v>41.27</v>
      </c>
      <c r="H788" s="38">
        <v>2.1683691313110032</v>
      </c>
      <c r="I788" s="38">
        <v>6.2541196956218696</v>
      </c>
      <c r="J788" s="10">
        <v>0</v>
      </c>
      <c r="K788" s="39">
        <v>0</v>
      </c>
      <c r="L788" s="39">
        <v>0</v>
      </c>
      <c r="M788" s="39">
        <v>0</v>
      </c>
      <c r="N788" s="39">
        <v>0</v>
      </c>
      <c r="O788" s="39">
        <v>1</v>
      </c>
      <c r="P788" s="39">
        <v>0</v>
      </c>
      <c r="Q788" s="39">
        <v>0</v>
      </c>
      <c r="R788" s="39">
        <v>0</v>
      </c>
      <c r="S788" s="39">
        <v>0</v>
      </c>
      <c r="T788" s="39">
        <v>0</v>
      </c>
      <c r="U788" s="29" cm="1">
        <f t="array" aca="1" ref="U788" ca="1">+fair_value_gap(OFFSET(T787,0,0,-1*$J$5,-1*$AA$1),OFFSET(E787,0,0,-1*$J$5,1),F788:T788,0)</f>
        <v>18.440797696092616</v>
      </c>
      <c r="V788" s="9" cm="1">
        <f t="array" aca="1" ref="V788" ca="1">z_score_diff(OFFSET(U788,0,0,$J$5*-1,1),OFFSET(E788,0,0,$J$5*-1,1))</f>
        <v>-3.5652260080177078E-2</v>
      </c>
      <c r="W788" s="9">
        <f t="shared" ca="1" si="846"/>
        <v>0.10522561861546018</v>
      </c>
      <c r="X788" s="17">
        <f t="shared" ca="1" si="841"/>
        <v>3.7213100282728936E-2</v>
      </c>
      <c r="Y788" s="13">
        <f t="shared" ref="Y788:Z788" ca="1" si="860">+Y787</f>
        <v>0</v>
      </c>
      <c r="Z788" s="13">
        <f t="shared" ca="1" si="860"/>
        <v>0</v>
      </c>
      <c r="AA788">
        <f t="shared" ca="1" si="848"/>
        <v>0</v>
      </c>
      <c r="AB788">
        <f t="shared" ca="1" si="849"/>
        <v>1</v>
      </c>
      <c r="AC788" s="24">
        <f t="shared" ca="1" si="850"/>
        <v>0</v>
      </c>
      <c r="AD788" s="24">
        <f t="shared" ca="1" si="851"/>
        <v>3.7213100282728936E-2</v>
      </c>
    </row>
    <row r="789" spans="3:30" x14ac:dyDescent="0.25">
      <c r="C789" s="6">
        <v>883</v>
      </c>
      <c r="D789" s="36">
        <v>43263</v>
      </c>
      <c r="E789" s="38">
        <v>18.635999999999999</v>
      </c>
      <c r="F789" s="38">
        <v>59.894278961216081</v>
      </c>
      <c r="G789" s="38">
        <v>42.27</v>
      </c>
      <c r="H789" s="38">
        <v>2.1794747961076562</v>
      </c>
      <c r="I789" s="38">
        <v>6.3155235569028676</v>
      </c>
      <c r="J789" s="10">
        <v>0</v>
      </c>
      <c r="K789" s="39">
        <v>0</v>
      </c>
      <c r="L789" s="39">
        <v>0</v>
      </c>
      <c r="M789" s="39">
        <v>0</v>
      </c>
      <c r="N789" s="39">
        <v>0</v>
      </c>
      <c r="O789" s="39">
        <v>1</v>
      </c>
      <c r="P789" s="39">
        <v>0</v>
      </c>
      <c r="Q789" s="39">
        <v>0</v>
      </c>
      <c r="R789" s="39">
        <v>0</v>
      </c>
      <c r="S789" s="39">
        <v>0</v>
      </c>
      <c r="T789" s="39">
        <v>0</v>
      </c>
      <c r="U789" s="29" cm="1">
        <f t="array" aca="1" ref="U789" ca="1">+fair_value_gap(OFFSET(T788,0,0,-1*$J$5,-1*$AA$1),OFFSET(E788,0,0,-1*$J$5,1),F789:T789,0)</f>
        <v>18.701221992287252</v>
      </c>
      <c r="V789" s="9" cm="1">
        <f t="array" aca="1" ref="V789" ca="1">z_score_diff(OFFSET(U789,0,0,$J$5*-1,1),OFFSET(E789,0,0,$J$5*-1,1))</f>
        <v>-1.3872803915239706E-2</v>
      </c>
      <c r="W789" s="9">
        <f t="shared" ca="1" si="846"/>
        <v>8.2756386836175019E-2</v>
      </c>
      <c r="X789" s="17">
        <f t="shared" ca="1" si="841"/>
        <v>2.8877145351209131E-2</v>
      </c>
      <c r="Y789" s="13">
        <f t="shared" ref="Y789:Z789" ca="1" si="861">+Y788</f>
        <v>0</v>
      </c>
      <c r="Z789" s="13">
        <f t="shared" ca="1" si="861"/>
        <v>0</v>
      </c>
      <c r="AA789">
        <f t="shared" ca="1" si="848"/>
        <v>0</v>
      </c>
      <c r="AB789">
        <f t="shared" ca="1" si="849"/>
        <v>1</v>
      </c>
      <c r="AC789" s="24">
        <f t="shared" ca="1" si="850"/>
        <v>0</v>
      </c>
      <c r="AD789" s="24">
        <f t="shared" ca="1" si="851"/>
        <v>2.8877145351209131E-2</v>
      </c>
    </row>
    <row r="790" spans="3:30" x14ac:dyDescent="0.25">
      <c r="C790" s="6">
        <v>884</v>
      </c>
      <c r="D790" s="36">
        <v>43264</v>
      </c>
      <c r="E790" s="38">
        <v>18.922000000000001</v>
      </c>
      <c r="F790" s="38">
        <v>60.445840494026143</v>
      </c>
      <c r="G790" s="38">
        <v>42.58</v>
      </c>
      <c r="H790" s="38">
        <v>2.1765765173131162</v>
      </c>
      <c r="I790" s="38">
        <v>6.6070239201401169</v>
      </c>
      <c r="J790" s="10">
        <v>0</v>
      </c>
      <c r="K790" s="39">
        <v>0</v>
      </c>
      <c r="L790" s="39">
        <v>0</v>
      </c>
      <c r="M790" s="39">
        <v>0</v>
      </c>
      <c r="N790" s="39">
        <v>0</v>
      </c>
      <c r="O790" s="39">
        <v>1</v>
      </c>
      <c r="P790" s="39">
        <v>0</v>
      </c>
      <c r="Q790" s="39">
        <v>0</v>
      </c>
      <c r="R790" s="39">
        <v>0</v>
      </c>
      <c r="S790" s="39">
        <v>0</v>
      </c>
      <c r="T790" s="39">
        <v>0</v>
      </c>
      <c r="U790" s="29" cm="1">
        <f t="array" aca="1" ref="U790" ca="1">+fair_value_gap(OFFSET(T789,0,0,-1*$J$5,-1*$AA$1),OFFSET(E789,0,0,-1*$J$5,1),F790:T790,0)</f>
        <v>18.831230521021006</v>
      </c>
      <c r="V790" s="9" cm="1">
        <f t="array" aca="1" ref="V790" ca="1">z_score_diff(OFFSET(U790,0,0,$J$5*-1,1),OFFSET(E790,0,0,$J$5*-1,1))</f>
        <v>-0.1137131222244242</v>
      </c>
      <c r="W790" s="9">
        <f t="shared" ca="1" si="846"/>
        <v>6.7951864250650015E-2</v>
      </c>
      <c r="X790" s="17">
        <f t="shared" ca="1" si="841"/>
        <v>1.6874057554954629E-2</v>
      </c>
      <c r="Y790" s="13">
        <f t="shared" ref="Y790:Z790" ca="1" si="862">+Y789</f>
        <v>0</v>
      </c>
      <c r="Z790" s="13">
        <f t="shared" ca="1" si="862"/>
        <v>0</v>
      </c>
      <c r="AA790">
        <f t="shared" ca="1" si="848"/>
        <v>0</v>
      </c>
      <c r="AB790">
        <f t="shared" ca="1" si="849"/>
        <v>1</v>
      </c>
      <c r="AC790" s="24">
        <f t="shared" ca="1" si="850"/>
        <v>0</v>
      </c>
      <c r="AD790" s="24">
        <f t="shared" ca="1" si="851"/>
        <v>1.6874057554954629E-2</v>
      </c>
    </row>
    <row r="791" spans="3:30" x14ac:dyDescent="0.25">
      <c r="C791" s="6">
        <v>885</v>
      </c>
      <c r="D791" s="36">
        <v>43265</v>
      </c>
      <c r="E791" s="38">
        <v>18.888999999999999</v>
      </c>
      <c r="F791" s="38">
        <v>60.798399045326867</v>
      </c>
      <c r="G791" s="38">
        <v>42.89</v>
      </c>
      <c r="H791" s="38">
        <v>2.2224307962537129</v>
      </c>
      <c r="I791" s="38">
        <v>6.616173128364653</v>
      </c>
      <c r="J791" s="10">
        <v>0</v>
      </c>
      <c r="K791" s="39">
        <v>0</v>
      </c>
      <c r="L791" s="39">
        <v>0</v>
      </c>
      <c r="M791" s="39">
        <v>0</v>
      </c>
      <c r="N791" s="39">
        <v>0</v>
      </c>
      <c r="O791" s="39">
        <v>1</v>
      </c>
      <c r="P791" s="39">
        <v>0</v>
      </c>
      <c r="Q791" s="39">
        <v>0</v>
      </c>
      <c r="R791" s="39">
        <v>0</v>
      </c>
      <c r="S791" s="39">
        <v>0</v>
      </c>
      <c r="T791" s="39">
        <v>0</v>
      </c>
      <c r="U791" s="29" cm="1">
        <f t="array" aca="1" ref="U791" ca="1">+fair_value_gap(OFFSET(T790,0,0,-1*$J$5,-1*$AA$1),OFFSET(E790,0,0,-1*$J$5,1),F791:T791,0)</f>
        <v>19.008128954679933</v>
      </c>
      <c r="V791" s="9" cm="1">
        <f t="array" aca="1" ref="V791" ca="1">z_score_diff(OFFSET(U791,0,0,$J$5*-1,1),OFFSET(E791,0,0,$J$5*-1,1))</f>
        <v>2.1143247251542041E-2</v>
      </c>
      <c r="W791" s="9">
        <f t="shared" ca="1" si="846"/>
        <v>6.3627059049030807E-2</v>
      </c>
      <c r="X791" s="17">
        <f t="shared" ca="1" si="841"/>
        <v>2.147353904729046E-2</v>
      </c>
      <c r="Y791" s="13">
        <f t="shared" ref="Y791:Z791" ca="1" si="863">+Y790</f>
        <v>0</v>
      </c>
      <c r="Z791" s="13">
        <f t="shared" ca="1" si="863"/>
        <v>0</v>
      </c>
      <c r="AA791">
        <f t="shared" ca="1" si="848"/>
        <v>0</v>
      </c>
      <c r="AB791">
        <f t="shared" ca="1" si="849"/>
        <v>1</v>
      </c>
      <c r="AC791" s="24">
        <f t="shared" ca="1" si="850"/>
        <v>0</v>
      </c>
      <c r="AD791" s="24">
        <f t="shared" ca="1" si="851"/>
        <v>2.147353904729046E-2</v>
      </c>
    </row>
    <row r="792" spans="3:30" x14ac:dyDescent="0.25">
      <c r="C792" s="6">
        <v>886</v>
      </c>
      <c r="D792" s="36">
        <v>43266</v>
      </c>
      <c r="E792" s="38">
        <v>18.376999999999999</v>
      </c>
      <c r="F792" s="38">
        <v>58.620822263205156</v>
      </c>
      <c r="G792" s="38">
        <v>42.28</v>
      </c>
      <c r="H792" s="38">
        <v>2.2338111392938416</v>
      </c>
      <c r="I792" s="38">
        <v>6.5542961572094756</v>
      </c>
      <c r="J792" s="10">
        <v>0</v>
      </c>
      <c r="K792" s="39">
        <v>0</v>
      </c>
      <c r="L792" s="39">
        <v>0</v>
      </c>
      <c r="M792" s="39">
        <v>0</v>
      </c>
      <c r="N792" s="39">
        <v>0</v>
      </c>
      <c r="O792" s="39">
        <v>1</v>
      </c>
      <c r="P792" s="39">
        <v>0</v>
      </c>
      <c r="Q792" s="39">
        <v>0</v>
      </c>
      <c r="R792" s="39">
        <v>0</v>
      </c>
      <c r="S792" s="39">
        <v>0</v>
      </c>
      <c r="T792" s="39">
        <v>0</v>
      </c>
      <c r="U792" s="29" cm="1">
        <f t="array" aca="1" ref="U792" ca="1">+fair_value_gap(OFFSET(T791,0,0,-1*$J$5,-1*$AA$1),OFFSET(E791,0,0,-1*$J$5,1),F792:T792,0)</f>
        <v>18.65187970313449</v>
      </c>
      <c r="V792" s="9" cm="1">
        <f t="array" aca="1" ref="V792" ca="1">z_score_diff(OFFSET(U792,0,0,$J$5*-1,1),OFFSET(E792,0,0,$J$5*-1,1))</f>
        <v>0.12220849845490483</v>
      </c>
      <c r="W792" s="9">
        <f t="shared" ca="1" si="846"/>
        <v>6.8106239153807174E-2</v>
      </c>
      <c r="X792" s="17">
        <f t="shared" ca="1" si="841"/>
        <v>4.6411178020505893E-2</v>
      </c>
      <c r="Y792" s="13">
        <f t="shared" ref="Y792:Z792" ca="1" si="864">+Y791</f>
        <v>0</v>
      </c>
      <c r="Z792" s="13">
        <f t="shared" ca="1" si="864"/>
        <v>0</v>
      </c>
      <c r="AA792">
        <f t="shared" ca="1" si="848"/>
        <v>0</v>
      </c>
      <c r="AB792">
        <f t="shared" ca="1" si="849"/>
        <v>1</v>
      </c>
      <c r="AC792" s="24">
        <f t="shared" ca="1" si="850"/>
        <v>0</v>
      </c>
      <c r="AD792" s="24">
        <f t="shared" ca="1" si="851"/>
        <v>4.6411178020505893E-2</v>
      </c>
    </row>
    <row r="793" spans="3:30" x14ac:dyDescent="0.25">
      <c r="C793" s="6">
        <v>887</v>
      </c>
      <c r="D793" s="36">
        <v>43269</v>
      </c>
      <c r="E793" s="38">
        <v>18.766999999999999</v>
      </c>
      <c r="F793" s="38">
        <v>59.794648854547809</v>
      </c>
      <c r="G793" s="38">
        <v>42.62</v>
      </c>
      <c r="H793" s="38">
        <v>2.2237334523774757</v>
      </c>
      <c r="I793" s="38">
        <v>6.5627255545774288</v>
      </c>
      <c r="J793" s="10">
        <v>0</v>
      </c>
      <c r="K793" s="39">
        <v>0</v>
      </c>
      <c r="L793" s="39">
        <v>0</v>
      </c>
      <c r="M793" s="39">
        <v>0</v>
      </c>
      <c r="N793" s="39">
        <v>0</v>
      </c>
      <c r="O793" s="39">
        <v>1</v>
      </c>
      <c r="P793" s="39">
        <v>0</v>
      </c>
      <c r="Q793" s="39">
        <v>0</v>
      </c>
      <c r="R793" s="39">
        <v>0</v>
      </c>
      <c r="S793" s="39">
        <v>0</v>
      </c>
      <c r="T793" s="39">
        <v>0</v>
      </c>
      <c r="U793" s="29" cm="1">
        <f t="array" aca="1" ref="U793" ca="1">+fair_value_gap(OFFSET(T792,0,0,-1*$J$5,-1*$AA$1),OFFSET(E792,0,0,-1*$J$5,1),F793:T793,0)</f>
        <v>18.809618953270192</v>
      </c>
      <c r="V793" s="9" cm="1">
        <f t="array" aca="1" ref="V793" ca="1">z_score_diff(OFFSET(U793,0,0,$J$5*-1,1),OFFSET(E793,0,0,$J$5*-1,1))</f>
        <v>-2.8937745202110343E-2</v>
      </c>
      <c r="W793" s="9">
        <f t="shared" ca="1" si="846"/>
        <v>6.7582017745127884E-2</v>
      </c>
      <c r="X793" s="17">
        <f t="shared" ca="1" si="841"/>
        <v>3.1573841550966548E-2</v>
      </c>
      <c r="Y793" s="13">
        <f t="shared" ref="Y793:Z793" ca="1" si="865">+Y792</f>
        <v>0</v>
      </c>
      <c r="Z793" s="13">
        <f t="shared" ca="1" si="865"/>
        <v>0</v>
      </c>
      <c r="AA793">
        <f t="shared" ca="1" si="848"/>
        <v>0</v>
      </c>
      <c r="AB793">
        <f t="shared" ca="1" si="849"/>
        <v>1</v>
      </c>
      <c r="AC793" s="24">
        <f t="shared" ca="1" si="850"/>
        <v>0</v>
      </c>
      <c r="AD793" s="24">
        <f t="shared" ca="1" si="851"/>
        <v>3.1573841550966548E-2</v>
      </c>
    </row>
    <row r="794" spans="3:30" x14ac:dyDescent="0.25">
      <c r="C794" s="6">
        <v>888</v>
      </c>
      <c r="D794" s="36">
        <v>43270</v>
      </c>
      <c r="E794" s="38">
        <v>18.486999999999998</v>
      </c>
      <c r="F794" s="38">
        <v>59.615349216256874</v>
      </c>
      <c r="G794" s="38">
        <v>42.34</v>
      </c>
      <c r="H794" s="38">
        <v>2.1980283844365864</v>
      </c>
      <c r="I794" s="38">
        <v>6.4133565156857397</v>
      </c>
      <c r="J794" s="10">
        <v>0</v>
      </c>
      <c r="K794" s="39">
        <v>0</v>
      </c>
      <c r="L794" s="39">
        <v>0</v>
      </c>
      <c r="M794" s="39">
        <v>0</v>
      </c>
      <c r="N794" s="39">
        <v>0</v>
      </c>
      <c r="O794" s="39">
        <v>1</v>
      </c>
      <c r="P794" s="39">
        <v>0</v>
      </c>
      <c r="Q794" s="39">
        <v>0</v>
      </c>
      <c r="R794" s="39">
        <v>0</v>
      </c>
      <c r="S794" s="39">
        <v>0</v>
      </c>
      <c r="T794" s="39">
        <v>0</v>
      </c>
      <c r="U794" s="29" cm="1">
        <f t="array" aca="1" ref="U794" ca="1">+fair_value_gap(OFFSET(T793,0,0,-1*$J$5,-1*$AA$1),OFFSET(E793,0,0,-1*$J$5,1),F794:T794,0)</f>
        <v>18.680151482922842</v>
      </c>
      <c r="V794" s="9" cm="1">
        <f t="array" aca="1" ref="V794" ca="1">z_score_diff(OFFSET(U794,0,0,$J$5*-1,1),OFFSET(E794,0,0,$J$5*-1,1))</f>
        <v>6.9554079349889109E-2</v>
      </c>
      <c r="W794" s="9">
        <f t="shared" ca="1" si="846"/>
        <v>6.7643147221992328E-2</v>
      </c>
      <c r="X794" s="17">
        <f t="shared" ca="1" si="841"/>
        <v>4.7328610873829592E-2</v>
      </c>
      <c r="Y794" s="13">
        <f t="shared" ref="Y794:Z794" ca="1" si="866">+Y793</f>
        <v>0</v>
      </c>
      <c r="Z794" s="13">
        <f t="shared" ca="1" si="866"/>
        <v>0</v>
      </c>
      <c r="AA794">
        <f t="shared" ca="1" si="848"/>
        <v>0</v>
      </c>
      <c r="AB794">
        <f t="shared" ca="1" si="849"/>
        <v>1</v>
      </c>
      <c r="AC794" s="24">
        <f t="shared" ca="1" si="850"/>
        <v>0</v>
      </c>
      <c r="AD794" s="24">
        <f t="shared" ca="1" si="851"/>
        <v>4.7328610873829592E-2</v>
      </c>
    </row>
    <row r="795" spans="3:30" x14ac:dyDescent="0.25">
      <c r="C795" s="6">
        <v>889</v>
      </c>
      <c r="D795" s="36">
        <v>43271</v>
      </c>
      <c r="E795" s="38">
        <v>18.484000000000002</v>
      </c>
      <c r="F795" s="38">
        <v>59.427119218009523</v>
      </c>
      <c r="G795" s="38">
        <v>41.68</v>
      </c>
      <c r="H795" s="38">
        <v>2.2337556095344904</v>
      </c>
      <c r="I795" s="38">
        <v>6.3869484970554664</v>
      </c>
      <c r="J795" s="10">
        <v>0</v>
      </c>
      <c r="K795" s="39">
        <v>0</v>
      </c>
      <c r="L795" s="39">
        <v>0</v>
      </c>
      <c r="M795" s="39">
        <v>0</v>
      </c>
      <c r="N795" s="39">
        <v>0</v>
      </c>
      <c r="O795" s="39">
        <v>1</v>
      </c>
      <c r="P795" s="39">
        <v>0</v>
      </c>
      <c r="Q795" s="39">
        <v>0</v>
      </c>
      <c r="R795" s="39">
        <v>0</v>
      </c>
      <c r="S795" s="39">
        <v>0</v>
      </c>
      <c r="T795" s="39">
        <v>0</v>
      </c>
      <c r="U795" s="29" cm="1">
        <f t="array" aca="1" ref="U795" ca="1">+fair_value_gap(OFFSET(T794,0,0,-1*$J$5,-1*$AA$1),OFFSET(E794,0,0,-1*$J$5,1),F795:T795,0)</f>
        <v>18.514496566362567</v>
      </c>
      <c r="V795" s="9" cm="1">
        <f t="array" aca="1" ref="V795" ca="1">z_score_diff(OFFSET(U795,0,0,$J$5*-1,1),OFFSET(E795,0,0,$J$5*-1,1))</f>
        <v>-3.7245756455792089E-2</v>
      </c>
      <c r="W795" s="9">
        <f t="shared" ca="1" si="846"/>
        <v>6.5788517103356037E-2</v>
      </c>
      <c r="X795" s="17">
        <f t="shared" ca="1" si="841"/>
        <v>4.1695882207763622E-2</v>
      </c>
      <c r="Y795" s="13">
        <f t="shared" ref="Y795:Z795" ca="1" si="867">+Y794</f>
        <v>0</v>
      </c>
      <c r="Z795" s="13">
        <f t="shared" ca="1" si="867"/>
        <v>0</v>
      </c>
      <c r="AA795">
        <f t="shared" ca="1" si="848"/>
        <v>0</v>
      </c>
      <c r="AB795">
        <f t="shared" ca="1" si="849"/>
        <v>1</v>
      </c>
      <c r="AC795" s="24">
        <f t="shared" ca="1" si="850"/>
        <v>0</v>
      </c>
      <c r="AD795" s="24">
        <f t="shared" ca="1" si="851"/>
        <v>4.1695882207763622E-2</v>
      </c>
    </row>
    <row r="796" spans="3:30" x14ac:dyDescent="0.25">
      <c r="C796" s="6">
        <v>890</v>
      </c>
      <c r="D796" s="36">
        <v>43272</v>
      </c>
      <c r="E796" s="38">
        <v>18.687000000000001</v>
      </c>
      <c r="F796" s="38">
        <v>58.269133329208479</v>
      </c>
      <c r="G796" s="38">
        <v>41.79</v>
      </c>
      <c r="H796" s="38">
        <v>2.2290932623858488</v>
      </c>
      <c r="I796" s="38">
        <v>6.3210596637798258</v>
      </c>
      <c r="J796" s="10">
        <v>0</v>
      </c>
      <c r="K796" s="39">
        <v>0</v>
      </c>
      <c r="L796" s="39">
        <v>0</v>
      </c>
      <c r="M796" s="39">
        <v>0</v>
      </c>
      <c r="N796" s="39">
        <v>0</v>
      </c>
      <c r="O796" s="39">
        <v>1</v>
      </c>
      <c r="P796" s="39">
        <v>0</v>
      </c>
      <c r="Q796" s="39">
        <v>0</v>
      </c>
      <c r="R796" s="39">
        <v>0</v>
      </c>
      <c r="S796" s="39">
        <v>0</v>
      </c>
      <c r="T796" s="39">
        <v>0</v>
      </c>
      <c r="U796" s="29" cm="1">
        <f t="array" aca="1" ref="U796" ca="1">+fair_value_gap(OFFSET(T795,0,0,-1*$J$5,-1*$AA$1),OFFSET(E795,0,0,-1*$J$5,1),F796:T796,0)</f>
        <v>18.406779587452824</v>
      </c>
      <c r="V796" s="9" cm="1">
        <f t="array" aca="1" ref="V796" ca="1">z_score_diff(OFFSET(U796,0,0,$J$5*-1,1),OFFSET(E796,0,0,$J$5*-1,1))</f>
        <v>-0.24259364689808427</v>
      </c>
      <c r="W796" s="9">
        <f t="shared" ca="1" si="846"/>
        <v>5.9803974912834144E-2</v>
      </c>
      <c r="X796" s="17">
        <f t="shared" ca="1" si="841"/>
        <v>3.1343923302070503E-2</v>
      </c>
      <c r="Y796" s="13">
        <f t="shared" ref="Y796:Z796" ca="1" si="868">+Y795</f>
        <v>0</v>
      </c>
      <c r="Z796" s="13">
        <f t="shared" ca="1" si="868"/>
        <v>0</v>
      </c>
      <c r="AA796">
        <f t="shared" ca="1" si="848"/>
        <v>0</v>
      </c>
      <c r="AB796">
        <f t="shared" ca="1" si="849"/>
        <v>1</v>
      </c>
      <c r="AC796" s="24">
        <f t="shared" ca="1" si="850"/>
        <v>0</v>
      </c>
      <c r="AD796" s="24">
        <f t="shared" ca="1" si="851"/>
        <v>3.1343923302070503E-2</v>
      </c>
    </row>
    <row r="797" spans="3:30" x14ac:dyDescent="0.25">
      <c r="C797" s="6">
        <v>891</v>
      </c>
      <c r="D797" s="36">
        <v>43273</v>
      </c>
      <c r="E797" s="38">
        <v>18.771999999999998</v>
      </c>
      <c r="F797" s="38">
        <v>59.731180558445345</v>
      </c>
      <c r="G797" s="38">
        <v>42.04</v>
      </c>
      <c r="H797" s="38">
        <v>2.2154716824102203</v>
      </c>
      <c r="I797" s="38">
        <v>6.3168407473679835</v>
      </c>
      <c r="J797" s="10">
        <v>0</v>
      </c>
      <c r="K797" s="39">
        <v>0</v>
      </c>
      <c r="L797" s="39">
        <v>0</v>
      </c>
      <c r="M797" s="39">
        <v>0</v>
      </c>
      <c r="N797" s="39">
        <v>0</v>
      </c>
      <c r="O797" s="39">
        <v>1</v>
      </c>
      <c r="P797" s="39">
        <v>0</v>
      </c>
      <c r="Q797" s="39">
        <v>0</v>
      </c>
      <c r="R797" s="39">
        <v>0</v>
      </c>
      <c r="S797" s="39">
        <v>0</v>
      </c>
      <c r="T797" s="39">
        <v>0</v>
      </c>
      <c r="U797" s="29" cm="1">
        <f t="array" aca="1" ref="U797" ca="1">+fair_value_gap(OFFSET(T796,0,0,-1*$J$5,-1*$AA$1),OFFSET(E796,0,0,-1*$J$5,1),F797:T797,0)</f>
        <v>18.604920938844337</v>
      </c>
      <c r="V797" s="9" cm="1">
        <f t="array" aca="1" ref="V797" ca="1">z_score_diff(OFFSET(U797,0,0,$J$5*-1,1),OFFSET(E797,0,0,$J$5*-1,1))</f>
        <v>-0.16752119003980726</v>
      </c>
      <c r="W797" s="9">
        <f t="shared" ca="1" si="846"/>
        <v>6.2360003528878404E-2</v>
      </c>
      <c r="X797" s="17">
        <f t="shared" ca="1" si="841"/>
        <v>3.8868244021419432E-2</v>
      </c>
      <c r="Y797" s="13">
        <f t="shared" ref="Y797:Z797" ca="1" si="869">+Y796</f>
        <v>0</v>
      </c>
      <c r="Z797" s="13">
        <f t="shared" ca="1" si="869"/>
        <v>0</v>
      </c>
      <c r="AA797">
        <f t="shared" ca="1" si="848"/>
        <v>0</v>
      </c>
      <c r="AB797">
        <f t="shared" ca="1" si="849"/>
        <v>1</v>
      </c>
      <c r="AC797" s="24">
        <f t="shared" ca="1" si="850"/>
        <v>0</v>
      </c>
      <c r="AD797" s="24">
        <f t="shared" ca="1" si="851"/>
        <v>3.8868244021419432E-2</v>
      </c>
    </row>
    <row r="798" spans="3:30" x14ac:dyDescent="0.25">
      <c r="C798" s="6">
        <v>892</v>
      </c>
      <c r="D798" s="36">
        <v>43276</v>
      </c>
      <c r="E798" s="38">
        <v>18.908999999999999</v>
      </c>
      <c r="F798" s="38">
        <v>59.201124672164035</v>
      </c>
      <c r="G798" s="38">
        <v>41.87</v>
      </c>
      <c r="H798" s="38">
        <v>2.2040855573128555</v>
      </c>
      <c r="I798" s="38">
        <v>6.2251532664232965</v>
      </c>
      <c r="J798" s="10">
        <v>0</v>
      </c>
      <c r="K798" s="39">
        <v>0</v>
      </c>
      <c r="L798" s="39">
        <v>0</v>
      </c>
      <c r="M798" s="39">
        <v>0</v>
      </c>
      <c r="N798" s="39">
        <v>0</v>
      </c>
      <c r="O798" s="39">
        <v>1</v>
      </c>
      <c r="P798" s="39">
        <v>0</v>
      </c>
      <c r="Q798" s="39">
        <v>0</v>
      </c>
      <c r="R798" s="39">
        <v>0</v>
      </c>
      <c r="S798" s="39">
        <v>0</v>
      </c>
      <c r="T798" s="39">
        <v>0</v>
      </c>
      <c r="U798" s="29" cm="1">
        <f t="array" aca="1" ref="U798" ca="1">+fair_value_gap(OFFSET(T797,0,0,-1*$J$5,-1*$AA$1),OFFSET(E797,0,0,-1*$J$5,1),F798:T798,0)</f>
        <v>18.437761165208489</v>
      </c>
      <c r="V798" s="9" cm="1">
        <f t="array" aca="1" ref="V798" ca="1">z_score_diff(OFFSET(U798,0,0,$J$5*-1,1),OFFSET(E798,0,0,$J$5*-1,1))</f>
        <v>-0.3703134017553471</v>
      </c>
      <c r="W798" s="9">
        <f t="shared" ca="1" si="846"/>
        <v>5.8029928590963578E-2</v>
      </c>
      <c r="X798" s="17">
        <f t="shared" ca="1" si="841"/>
        <v>4.1640317384757833E-2</v>
      </c>
      <c r="Y798" s="13">
        <f t="shared" ref="Y798:Z798" ca="1" si="870">+Y797</f>
        <v>0</v>
      </c>
      <c r="Z798" s="13">
        <f t="shared" ca="1" si="870"/>
        <v>0</v>
      </c>
      <c r="AA798">
        <f t="shared" ca="1" si="848"/>
        <v>0</v>
      </c>
      <c r="AB798">
        <f t="shared" ca="1" si="849"/>
        <v>1</v>
      </c>
      <c r="AC798" s="24">
        <f t="shared" ca="1" si="850"/>
        <v>0</v>
      </c>
      <c r="AD798" s="24">
        <f t="shared" ca="1" si="851"/>
        <v>4.1640317384757833E-2</v>
      </c>
    </row>
    <row r="799" spans="3:30" x14ac:dyDescent="0.25">
      <c r="C799" s="6">
        <v>893</v>
      </c>
      <c r="D799" s="36">
        <v>43277</v>
      </c>
      <c r="E799" s="38">
        <v>18.817</v>
      </c>
      <c r="F799" s="38">
        <v>60.753837413301042</v>
      </c>
      <c r="G799" s="38">
        <v>42.36</v>
      </c>
      <c r="H799" s="38">
        <v>2.2183939261157364</v>
      </c>
      <c r="I799" s="38">
        <v>6.264484537885969</v>
      </c>
      <c r="J799" s="10">
        <v>0</v>
      </c>
      <c r="K799" s="39">
        <v>0</v>
      </c>
      <c r="L799" s="39">
        <v>0</v>
      </c>
      <c r="M799" s="39">
        <v>0</v>
      </c>
      <c r="N799" s="39">
        <v>0</v>
      </c>
      <c r="O799" s="39">
        <v>1</v>
      </c>
      <c r="P799" s="39">
        <v>0</v>
      </c>
      <c r="Q799" s="39">
        <v>0</v>
      </c>
      <c r="R799" s="39">
        <v>0</v>
      </c>
      <c r="S799" s="39">
        <v>0</v>
      </c>
      <c r="T799" s="39">
        <v>0</v>
      </c>
      <c r="U799" s="29" cm="1">
        <f t="array" aca="1" ref="U799" ca="1">+fair_value_gap(OFFSET(T798,0,0,-1*$J$5,-1*$AA$1),OFFSET(E798,0,0,-1*$J$5,1),F799:T799,0)</f>
        <v>18.793196031861491</v>
      </c>
      <c r="V799" s="9" cm="1">
        <f t="array" aca="1" ref="V799" ca="1">z_score_diff(OFFSET(U799,0,0,$J$5*-1,1),OFFSET(E799,0,0,$J$5*-1,1))</f>
        <v>-6.9953895437853797E-2</v>
      </c>
      <c r="W799" s="9">
        <f t="shared" ca="1" si="846"/>
        <v>6.140457794443914E-2</v>
      </c>
      <c r="X799" s="17">
        <f t="shared" ca="1" si="841"/>
        <v>5.5003785211692059E-2</v>
      </c>
      <c r="Y799" s="13">
        <f t="shared" ref="Y799:Z799" ca="1" si="871">+Y798</f>
        <v>0</v>
      </c>
      <c r="Z799" s="13">
        <f t="shared" ca="1" si="871"/>
        <v>0</v>
      </c>
      <c r="AA799">
        <f t="shared" ca="1" si="848"/>
        <v>0</v>
      </c>
      <c r="AB799">
        <f t="shared" ca="1" si="849"/>
        <v>1</v>
      </c>
      <c r="AC799" s="24">
        <f t="shared" ca="1" si="850"/>
        <v>0</v>
      </c>
      <c r="AD799" s="24">
        <f t="shared" ca="1" si="851"/>
        <v>5.5003785211692059E-2</v>
      </c>
    </row>
    <row r="800" spans="3:30" x14ac:dyDescent="0.25">
      <c r="C800" s="6">
        <v>894</v>
      </c>
      <c r="D800" s="36">
        <v>43278</v>
      </c>
      <c r="E800" s="38">
        <v>19.262</v>
      </c>
      <c r="F800" s="38">
        <v>62.025234671367791</v>
      </c>
      <c r="G800" s="38">
        <v>43.21</v>
      </c>
      <c r="H800" s="38">
        <v>2.2512676491244559</v>
      </c>
      <c r="I800" s="38">
        <v>6.5280888222841096</v>
      </c>
      <c r="J800" s="10">
        <v>0</v>
      </c>
      <c r="K800" s="39">
        <v>0</v>
      </c>
      <c r="L800" s="39">
        <v>0</v>
      </c>
      <c r="M800" s="39">
        <v>0</v>
      </c>
      <c r="N800" s="39">
        <v>0</v>
      </c>
      <c r="O800" s="39">
        <v>1</v>
      </c>
      <c r="P800" s="39">
        <v>0</v>
      </c>
      <c r="Q800" s="39">
        <v>0</v>
      </c>
      <c r="R800" s="39">
        <v>0</v>
      </c>
      <c r="S800" s="39">
        <v>0</v>
      </c>
      <c r="T800" s="39">
        <v>0</v>
      </c>
      <c r="U800" s="29" cm="1">
        <f t="array" aca="1" ref="U800" ca="1">+fair_value_gap(OFFSET(T799,0,0,-1*$J$5,-1*$AA$1),OFFSET(E799,0,0,-1*$J$5,1),F800:T800,0)</f>
        <v>19.215722902349889</v>
      </c>
      <c r="V800" s="9" cm="1">
        <f t="array" aca="1" ref="V800" ca="1">z_score_diff(OFFSET(U800,0,0,$J$5*-1,1),OFFSET(E800,0,0,$J$5*-1,1))</f>
        <v>-8.586424805685855E-2</v>
      </c>
      <c r="W800" s="9">
        <f t="shared" ca="1" si="846"/>
        <v>6.0884763574939417E-2</v>
      </c>
      <c r="X800" s="17">
        <f t="shared" ca="1" si="841"/>
        <v>2.5576055187992969E-2</v>
      </c>
      <c r="Y800" s="13">
        <f t="shared" ref="Y800:Z800" ca="1" si="872">+Y799</f>
        <v>0</v>
      </c>
      <c r="Z800" s="13">
        <f t="shared" ca="1" si="872"/>
        <v>0</v>
      </c>
      <c r="AA800">
        <f t="shared" ca="1" si="848"/>
        <v>0</v>
      </c>
      <c r="AB800">
        <f t="shared" ca="1" si="849"/>
        <v>1</v>
      </c>
      <c r="AC800" s="24">
        <f t="shared" ca="1" si="850"/>
        <v>0</v>
      </c>
      <c r="AD800" s="24">
        <f t="shared" ca="1" si="851"/>
        <v>2.5576055187992969E-2</v>
      </c>
    </row>
    <row r="801" spans="3:30" x14ac:dyDescent="0.25">
      <c r="C801" s="6">
        <v>895</v>
      </c>
      <c r="D801" s="36">
        <v>43279</v>
      </c>
      <c r="E801" s="38">
        <v>19.334</v>
      </c>
      <c r="F801" s="38">
        <v>61.927605756650671</v>
      </c>
      <c r="G801" s="38">
        <v>43.6</v>
      </c>
      <c r="H801" s="38">
        <v>2.2644167868764469</v>
      </c>
      <c r="I801" s="38">
        <v>6.5961622328826861</v>
      </c>
      <c r="J801" s="10">
        <v>0</v>
      </c>
      <c r="K801" s="39">
        <v>0</v>
      </c>
      <c r="L801" s="39">
        <v>0</v>
      </c>
      <c r="M801" s="39">
        <v>0</v>
      </c>
      <c r="N801" s="39">
        <v>0</v>
      </c>
      <c r="O801" s="39">
        <v>1</v>
      </c>
      <c r="P801" s="39">
        <v>0</v>
      </c>
      <c r="Q801" s="39">
        <v>0</v>
      </c>
      <c r="R801" s="39">
        <v>0</v>
      </c>
      <c r="S801" s="39">
        <v>0</v>
      </c>
      <c r="T801" s="39">
        <v>0</v>
      </c>
      <c r="U801" s="29" cm="1">
        <f t="array" aca="1" ref="U801" ca="1">+fair_value_gap(OFFSET(T800,0,0,-1*$J$5,-1*$AA$1),OFFSET(E800,0,0,-1*$J$5,1),F801:T801,0)</f>
        <v>19.322039735571078</v>
      </c>
      <c r="V801" s="9" cm="1">
        <f t="array" aca="1" ref="V801" ca="1">z_score_diff(OFFSET(U801,0,0,$J$5*-1,1),OFFSET(E801,0,0,$J$5*-1,1))</f>
        <v>-6.3057093312355872E-2</v>
      </c>
      <c r="W801" s="9">
        <f t="shared" ca="1" si="846"/>
        <v>6.8306550352965942E-2</v>
      </c>
      <c r="X801" s="17">
        <f t="shared" ca="1" si="841"/>
        <v>2.6741744568988788E-2</v>
      </c>
      <c r="Y801" s="13">
        <f t="shared" ref="Y801:Z801" ca="1" si="873">+Y800</f>
        <v>0</v>
      </c>
      <c r="Z801" s="13">
        <f t="shared" ca="1" si="873"/>
        <v>0</v>
      </c>
      <c r="AA801">
        <f t="shared" ca="1" si="848"/>
        <v>0</v>
      </c>
      <c r="AB801">
        <f t="shared" ca="1" si="849"/>
        <v>1</v>
      </c>
      <c r="AC801" s="24">
        <f t="shared" ca="1" si="850"/>
        <v>0</v>
      </c>
      <c r="AD801" s="24">
        <f t="shared" ca="1" si="851"/>
        <v>2.6741744568988788E-2</v>
      </c>
    </row>
    <row r="802" spans="3:30" x14ac:dyDescent="0.25">
      <c r="C802" s="6">
        <v>896</v>
      </c>
      <c r="D802" s="36">
        <v>43280</v>
      </c>
      <c r="E802" s="38">
        <v>19.225000000000001</v>
      </c>
      <c r="F802" s="38">
        <v>62.107313264869667</v>
      </c>
      <c r="G802" s="38">
        <v>42.03</v>
      </c>
      <c r="H802" s="38">
        <v>2.2382884360634359</v>
      </c>
      <c r="I802" s="38">
        <v>6.6152012590891536</v>
      </c>
      <c r="J802" s="10">
        <v>0</v>
      </c>
      <c r="K802" s="39">
        <v>0</v>
      </c>
      <c r="L802" s="39">
        <v>0</v>
      </c>
      <c r="M802" s="39">
        <v>0</v>
      </c>
      <c r="N802" s="39">
        <v>0</v>
      </c>
      <c r="O802" s="39">
        <v>1</v>
      </c>
      <c r="P802" s="39">
        <v>0</v>
      </c>
      <c r="Q802" s="39">
        <v>0</v>
      </c>
      <c r="R802" s="39">
        <v>0</v>
      </c>
      <c r="S802" s="39">
        <v>0</v>
      </c>
      <c r="T802" s="39">
        <v>0</v>
      </c>
      <c r="U802" s="29" cm="1">
        <f t="array" aca="1" ref="U802" ca="1">+fair_value_gap(OFFSET(T801,0,0,-1*$J$5,-1*$AA$1),OFFSET(E801,0,0,-1*$J$5,1),F802:T802,0)</f>
        <v>18.920151175061303</v>
      </c>
      <c r="V802" s="9" cm="1">
        <f t="array" aca="1" ref="V802" ca="1">z_score_diff(OFFSET(U802,0,0,$J$5*-1,1),OFFSET(E802,0,0,$J$5*-1,1))</f>
        <v>-0.26158981052386066</v>
      </c>
      <c r="W802" s="9">
        <f t="shared" ca="1" si="846"/>
        <v>6.4075156820268223E-2</v>
      </c>
      <c r="X802" s="17">
        <f t="shared" ca="1" si="841"/>
        <v>3.9270726907073915E-2</v>
      </c>
      <c r="Y802" s="13">
        <f t="shared" ref="Y802:Z802" ca="1" si="874">+Y801</f>
        <v>0</v>
      </c>
      <c r="Z802" s="13">
        <f t="shared" ca="1" si="874"/>
        <v>0</v>
      </c>
      <c r="AA802">
        <f t="shared" ca="1" si="848"/>
        <v>0</v>
      </c>
      <c r="AB802">
        <f t="shared" ca="1" si="849"/>
        <v>1</v>
      </c>
      <c r="AC802" s="24">
        <f t="shared" ca="1" si="850"/>
        <v>0</v>
      </c>
      <c r="AD802" s="24">
        <f t="shared" ca="1" si="851"/>
        <v>3.9270726907073915E-2</v>
      </c>
    </row>
    <row r="803" spans="3:30" x14ac:dyDescent="0.25">
      <c r="C803" s="6">
        <v>897</v>
      </c>
      <c r="D803" s="36">
        <v>43283</v>
      </c>
      <c r="E803" s="38">
        <v>19.396000000000001</v>
      </c>
      <c r="F803" s="38">
        <v>60.855039576208071</v>
      </c>
      <c r="G803" s="38">
        <v>43.12</v>
      </c>
      <c r="H803" s="38">
        <v>2.233380786420244</v>
      </c>
      <c r="I803" s="38">
        <v>6.6842968645101788</v>
      </c>
      <c r="J803" s="10">
        <v>0</v>
      </c>
      <c r="K803" s="39">
        <v>0</v>
      </c>
      <c r="L803" s="39">
        <v>0</v>
      </c>
      <c r="M803" s="39">
        <v>0</v>
      </c>
      <c r="N803" s="39">
        <v>0</v>
      </c>
      <c r="O803" s="39">
        <v>0</v>
      </c>
      <c r="P803" s="39">
        <v>1</v>
      </c>
      <c r="Q803" s="39">
        <v>0</v>
      </c>
      <c r="R803" s="39">
        <v>0</v>
      </c>
      <c r="S803" s="39">
        <v>0</v>
      </c>
      <c r="T803" s="39">
        <v>0</v>
      </c>
      <c r="U803" s="29" cm="1">
        <f t="array" aca="1" ref="U803" ca="1">+fair_value_gap(OFFSET(T802,0,0,-1*$J$5,-1*$AA$1),OFFSET(E802,0,0,-1*$J$5,1),F803:T803,0)</f>
        <v>20.20415361010193</v>
      </c>
      <c r="V803" s="9" cm="1">
        <f t="array" aca="1" ref="V803" ca="1">z_score_diff(OFFSET(U803,0,0,$J$5*-1,1),OFFSET(E803,0,0,$J$5*-1,1))</f>
        <v>0.4914389709681346</v>
      </c>
      <c r="W803" s="9">
        <f t="shared" ca="1" si="846"/>
        <v>8.6737100359517399E-2</v>
      </c>
      <c r="X803" s="17">
        <f t="shared" ca="1" si="841"/>
        <v>4.8505332439216037E-2</v>
      </c>
      <c r="Y803" s="13">
        <f t="shared" ref="Y803:Z803" ca="1" si="875">+Y802</f>
        <v>0</v>
      </c>
      <c r="Z803" s="13">
        <f t="shared" ca="1" si="875"/>
        <v>0</v>
      </c>
      <c r="AA803">
        <f t="shared" ca="1" si="848"/>
        <v>0</v>
      </c>
      <c r="AB803">
        <f t="shared" ca="1" si="849"/>
        <v>1</v>
      </c>
      <c r="AC803" s="24">
        <f t="shared" ca="1" si="850"/>
        <v>0</v>
      </c>
      <c r="AD803" s="24">
        <f t="shared" ca="1" si="851"/>
        <v>4.8505332439216037E-2</v>
      </c>
    </row>
    <row r="804" spans="3:30" x14ac:dyDescent="0.25">
      <c r="C804" s="6">
        <v>898</v>
      </c>
      <c r="D804" s="36">
        <v>43284</v>
      </c>
      <c r="E804" s="38">
        <v>19.332000000000001</v>
      </c>
      <c r="F804" s="38">
        <v>61.046959519952694</v>
      </c>
      <c r="G804" s="38">
        <v>43.53</v>
      </c>
      <c r="H804" s="38">
        <v>2.2428303136048107</v>
      </c>
      <c r="I804" s="38">
        <v>6.7168312213972508</v>
      </c>
      <c r="J804" s="10">
        <v>0</v>
      </c>
      <c r="K804" s="39">
        <v>0</v>
      </c>
      <c r="L804" s="39">
        <v>0</v>
      </c>
      <c r="M804" s="39">
        <v>0</v>
      </c>
      <c r="N804" s="39">
        <v>0</v>
      </c>
      <c r="O804" s="39">
        <v>0</v>
      </c>
      <c r="P804" s="39">
        <v>1</v>
      </c>
      <c r="Q804" s="39">
        <v>0</v>
      </c>
      <c r="R804" s="39">
        <v>0</v>
      </c>
      <c r="S804" s="39">
        <v>0</v>
      </c>
      <c r="T804" s="39">
        <v>0</v>
      </c>
      <c r="U804" s="29" cm="1">
        <f t="array" aca="1" ref="U804" ca="1">+fair_value_gap(OFFSET(T803,0,0,-1*$J$5,-1*$AA$1),OFFSET(E803,0,0,-1*$J$5,1),F804:T804,0)</f>
        <v>19.885976829271769</v>
      </c>
      <c r="V804" s="9" cm="1">
        <f t="array" aca="1" ref="V804" ca="1">z_score_diff(OFFSET(U804,0,0,$J$5*-1,1),OFFSET(E804,0,0,$J$5*-1,1))</f>
        <v>0.31564465679245712</v>
      </c>
      <c r="W804" s="9">
        <f t="shared" ca="1" si="846"/>
        <v>0.10388302360176956</v>
      </c>
      <c r="X804" s="17">
        <f t="shared" ca="1" si="841"/>
        <v>6.0417689586001605E-2</v>
      </c>
      <c r="Y804" s="13">
        <f t="shared" ref="Y804:Z804" ca="1" si="876">+Y803</f>
        <v>0</v>
      </c>
      <c r="Z804" s="13">
        <f t="shared" ca="1" si="876"/>
        <v>0</v>
      </c>
      <c r="AA804">
        <f t="shared" ca="1" si="848"/>
        <v>0</v>
      </c>
      <c r="AB804">
        <f t="shared" ca="1" si="849"/>
        <v>1</v>
      </c>
      <c r="AC804" s="24">
        <f t="shared" ca="1" si="850"/>
        <v>0</v>
      </c>
      <c r="AD804" s="24">
        <f t="shared" ca="1" si="851"/>
        <v>6.0417689586001605E-2</v>
      </c>
    </row>
    <row r="805" spans="3:30" x14ac:dyDescent="0.25">
      <c r="C805" s="6">
        <v>899</v>
      </c>
      <c r="D805" s="36">
        <v>43285</v>
      </c>
      <c r="E805" s="38">
        <v>19.295999999999999</v>
      </c>
      <c r="F805" s="38">
        <v>61.38037192661313</v>
      </c>
      <c r="G805" s="38">
        <v>43.65</v>
      </c>
      <c r="H805" s="38">
        <v>2.2407122353039064</v>
      </c>
      <c r="I805" s="38">
        <v>6.7104879976702572</v>
      </c>
      <c r="J805" s="10">
        <v>0</v>
      </c>
      <c r="K805" s="39">
        <v>0</v>
      </c>
      <c r="L805" s="39">
        <v>0</v>
      </c>
      <c r="M805" s="39">
        <v>0</v>
      </c>
      <c r="N805" s="39">
        <v>0</v>
      </c>
      <c r="O805" s="39">
        <v>0</v>
      </c>
      <c r="P805" s="39">
        <v>1</v>
      </c>
      <c r="Q805" s="39">
        <v>0</v>
      </c>
      <c r="R805" s="39">
        <v>0</v>
      </c>
      <c r="S805" s="39">
        <v>0</v>
      </c>
      <c r="T805" s="39">
        <v>0</v>
      </c>
      <c r="U805" s="29" cm="1">
        <f t="array" aca="1" ref="U805" ca="1">+fair_value_gap(OFFSET(T804,0,0,-1*$J$5,-1*$AA$1),OFFSET(E804,0,0,-1*$J$5,1),F805:T805,0)</f>
        <v>19.749906013904443</v>
      </c>
      <c r="V805" s="9" cm="1">
        <f t="array" aca="1" ref="V805" ca="1">z_score_diff(OFFSET(U805,0,0,$J$5*-1,1),OFFSET(E805,0,0,$J$5*-1,1))</f>
        <v>0.24546021466357637</v>
      </c>
      <c r="W805" s="9">
        <f t="shared" ca="1" si="846"/>
        <v>0.11212726898555576</v>
      </c>
      <c r="X805" s="17">
        <f t="shared" ca="1" si="841"/>
        <v>5.303566032899102E-2</v>
      </c>
      <c r="Y805" s="13">
        <f t="shared" ref="Y805:Z805" ca="1" si="877">+Y804</f>
        <v>0</v>
      </c>
      <c r="Z805" s="13">
        <f t="shared" ca="1" si="877"/>
        <v>0</v>
      </c>
      <c r="AA805">
        <f t="shared" ca="1" si="848"/>
        <v>0</v>
      </c>
      <c r="AB805">
        <f t="shared" ca="1" si="849"/>
        <v>1</v>
      </c>
      <c r="AC805" s="24">
        <f t="shared" ca="1" si="850"/>
        <v>0</v>
      </c>
      <c r="AD805" s="24">
        <f t="shared" ca="1" si="851"/>
        <v>5.303566032899102E-2</v>
      </c>
    </row>
    <row r="806" spans="3:30" x14ac:dyDescent="0.25">
      <c r="C806" s="6">
        <v>900</v>
      </c>
      <c r="D806" s="36">
        <v>43286</v>
      </c>
      <c r="E806" s="38">
        <v>19.466999999999999</v>
      </c>
      <c r="F806" s="38">
        <v>61.046767384841139</v>
      </c>
      <c r="G806" s="38">
        <v>44.01</v>
      </c>
      <c r="H806" s="38">
        <v>2.2302197683625851</v>
      </c>
      <c r="I806" s="38">
        <v>6.7271794650460572</v>
      </c>
      <c r="J806" s="10">
        <v>0</v>
      </c>
      <c r="K806" s="39">
        <v>0</v>
      </c>
      <c r="L806" s="39">
        <v>0</v>
      </c>
      <c r="M806" s="39">
        <v>0</v>
      </c>
      <c r="N806" s="39">
        <v>0</v>
      </c>
      <c r="O806" s="39">
        <v>0</v>
      </c>
      <c r="P806" s="39">
        <v>1</v>
      </c>
      <c r="Q806" s="39">
        <v>0</v>
      </c>
      <c r="R806" s="39">
        <v>0</v>
      </c>
      <c r="S806" s="39">
        <v>0</v>
      </c>
      <c r="T806" s="39">
        <v>0</v>
      </c>
      <c r="U806" s="29" cm="1">
        <f t="array" aca="1" ref="U806" ca="1">+fair_value_gap(OFFSET(T805,0,0,-1*$J$5,-1*$AA$1),OFFSET(E805,0,0,-1*$J$5,1),F806:T806,0)</f>
        <v>19.677561200726725</v>
      </c>
      <c r="V806" s="9" cm="1">
        <f t="array" aca="1" ref="V806" ca="1">z_score_diff(OFFSET(U806,0,0,$J$5*-1,1),OFFSET(E806,0,0,$J$5*-1,1))</f>
        <v>7.5281048012853624E-2</v>
      </c>
      <c r="W806" s="9">
        <f t="shared" ca="1" si="846"/>
        <v>0.11429235757344129</v>
      </c>
      <c r="X806" s="17">
        <f t="shared" ca="1" si="841"/>
        <v>4.3475275277514991E-2</v>
      </c>
      <c r="Y806" s="13">
        <f t="shared" ref="Y806:Z806" ca="1" si="878">+Y805</f>
        <v>0</v>
      </c>
      <c r="Z806" s="13">
        <f t="shared" ca="1" si="878"/>
        <v>0</v>
      </c>
      <c r="AA806">
        <f t="shared" ca="1" si="848"/>
        <v>0</v>
      </c>
      <c r="AB806">
        <f t="shared" ca="1" si="849"/>
        <v>1</v>
      </c>
      <c r="AC806" s="24">
        <f t="shared" ca="1" si="850"/>
        <v>0</v>
      </c>
      <c r="AD806" s="24">
        <f t="shared" ca="1" si="851"/>
        <v>4.3475275277514991E-2</v>
      </c>
    </row>
    <row r="807" spans="3:30" x14ac:dyDescent="0.25">
      <c r="C807" s="6">
        <v>901</v>
      </c>
      <c r="D807" s="36">
        <v>43287</v>
      </c>
      <c r="E807" s="38">
        <v>19.396000000000001</v>
      </c>
      <c r="F807" s="38">
        <v>60.977322483373953</v>
      </c>
      <c r="G807" s="38">
        <v>44.14</v>
      </c>
      <c r="H807" s="38">
        <v>2.2223140154487999</v>
      </c>
      <c r="I807" s="38">
        <v>6.6752034367384026</v>
      </c>
      <c r="J807" s="10">
        <v>0</v>
      </c>
      <c r="K807" s="39">
        <v>0</v>
      </c>
      <c r="L807" s="39">
        <v>0</v>
      </c>
      <c r="M807" s="39">
        <v>0</v>
      </c>
      <c r="N807" s="39">
        <v>0</v>
      </c>
      <c r="O807" s="39">
        <v>0</v>
      </c>
      <c r="P807" s="39">
        <v>1</v>
      </c>
      <c r="Q807" s="39">
        <v>0</v>
      </c>
      <c r="R807" s="39">
        <v>0</v>
      </c>
      <c r="S807" s="39">
        <v>0</v>
      </c>
      <c r="T807" s="39">
        <v>0</v>
      </c>
      <c r="U807" s="29" cm="1">
        <f t="array" aca="1" ref="U807" ca="1">+fair_value_gap(OFFSET(T806,0,0,-1*$J$5,-1*$AA$1),OFFSET(E806,0,0,-1*$J$5,1),F807:T807,0)</f>
        <v>19.64814939466833</v>
      </c>
      <c r="V807" s="9" cm="1">
        <f t="array" aca="1" ref="V807" ca="1">z_score_diff(OFFSET(U807,0,0,$J$5*-1,1),OFFSET(E807,0,0,$J$5*-1,1))</f>
        <v>0.10418659874667546</v>
      </c>
      <c r="W807" s="9">
        <f t="shared" ca="1" si="846"/>
        <v>0.10620700587666218</v>
      </c>
      <c r="X807" s="17">
        <f t="shared" ca="1" si="841"/>
        <v>5.0468041607064779E-2</v>
      </c>
      <c r="Y807" s="13">
        <f t="shared" ref="Y807:Z807" ca="1" si="879">+Y806</f>
        <v>0</v>
      </c>
      <c r="Z807" s="13">
        <f t="shared" ca="1" si="879"/>
        <v>0</v>
      </c>
      <c r="AA807">
        <f t="shared" ca="1" si="848"/>
        <v>0</v>
      </c>
      <c r="AB807">
        <f t="shared" ca="1" si="849"/>
        <v>1</v>
      </c>
      <c r="AC807" s="24">
        <f t="shared" ca="1" si="850"/>
        <v>0</v>
      </c>
      <c r="AD807" s="24">
        <f t="shared" ca="1" si="851"/>
        <v>5.0468041607064779E-2</v>
      </c>
    </row>
    <row r="808" spans="3:30" x14ac:dyDescent="0.25">
      <c r="C808" s="6">
        <v>902</v>
      </c>
      <c r="D808" s="36">
        <v>43290</v>
      </c>
      <c r="E808" s="38">
        <v>19.734000000000002</v>
      </c>
      <c r="F808" s="38">
        <v>61.624071696602179</v>
      </c>
      <c r="G808" s="38">
        <v>44.78</v>
      </c>
      <c r="H808" s="38">
        <v>2.212654235622908</v>
      </c>
      <c r="I808" s="38">
        <v>6.732908690860004</v>
      </c>
      <c r="J808" s="10">
        <v>0</v>
      </c>
      <c r="K808" s="39">
        <v>0</v>
      </c>
      <c r="L808" s="39">
        <v>0</v>
      </c>
      <c r="M808" s="39">
        <v>0</v>
      </c>
      <c r="N808" s="39">
        <v>0</v>
      </c>
      <c r="O808" s="39">
        <v>0</v>
      </c>
      <c r="P808" s="39">
        <v>1</v>
      </c>
      <c r="Q808" s="39">
        <v>0</v>
      </c>
      <c r="R808" s="39">
        <v>0</v>
      </c>
      <c r="S808" s="39">
        <v>0</v>
      </c>
      <c r="T808" s="39">
        <v>0</v>
      </c>
      <c r="U808" s="29" cm="1">
        <f t="array" aca="1" ref="U808" ca="1">+fair_value_gap(OFFSET(T807,0,0,-1*$J$5,-1*$AA$1),OFFSET(E807,0,0,-1*$J$5,1),F808:T808,0)</f>
        <v>19.82582691918288</v>
      </c>
      <c r="V808" s="9" cm="1">
        <f t="array" aca="1" ref="V808" ca="1">z_score_diff(OFFSET(U808,0,0,$J$5*-1,1),OFFSET(E808,0,0,$J$5*-1,1))</f>
        <v>-1.0837464669449792E-2</v>
      </c>
      <c r="W808" s="9">
        <f t="shared" ca="1" si="846"/>
        <v>9.4774862814753197E-2</v>
      </c>
      <c r="X808" s="17">
        <f t="shared" ca="1" si="841"/>
        <v>3.9933792341128316E-2</v>
      </c>
      <c r="Y808" s="13">
        <f t="shared" ref="Y808:Z808" ca="1" si="880">+Y807</f>
        <v>0</v>
      </c>
      <c r="Z808" s="13">
        <f t="shared" ca="1" si="880"/>
        <v>0</v>
      </c>
      <c r="AA808">
        <f t="shared" ca="1" si="848"/>
        <v>0</v>
      </c>
      <c r="AB808">
        <f t="shared" ca="1" si="849"/>
        <v>1</v>
      </c>
      <c r="AC808" s="24">
        <f t="shared" ca="1" si="850"/>
        <v>0</v>
      </c>
      <c r="AD808" s="24">
        <f t="shared" ca="1" si="851"/>
        <v>3.9933792341128316E-2</v>
      </c>
    </row>
    <row r="809" spans="3:30" x14ac:dyDescent="0.25">
      <c r="C809" s="6">
        <v>903</v>
      </c>
      <c r="D809" s="36">
        <v>43291</v>
      </c>
      <c r="E809" s="38">
        <v>19.751000000000001</v>
      </c>
      <c r="F809" s="38">
        <v>62.099797405502009</v>
      </c>
      <c r="G809" s="38">
        <v>45.28</v>
      </c>
      <c r="H809" s="38">
        <v>2.2002109361385473</v>
      </c>
      <c r="I809" s="38">
        <v>6.7559029495545477</v>
      </c>
      <c r="J809" s="10">
        <v>0</v>
      </c>
      <c r="K809" s="39">
        <v>0</v>
      </c>
      <c r="L809" s="39">
        <v>0</v>
      </c>
      <c r="M809" s="39">
        <v>0</v>
      </c>
      <c r="N809" s="39">
        <v>0</v>
      </c>
      <c r="O809" s="39">
        <v>0</v>
      </c>
      <c r="P809" s="39">
        <v>1</v>
      </c>
      <c r="Q809" s="39">
        <v>0</v>
      </c>
      <c r="R809" s="39">
        <v>0</v>
      </c>
      <c r="S809" s="39">
        <v>0</v>
      </c>
      <c r="T809" s="39">
        <v>0</v>
      </c>
      <c r="U809" s="29" cm="1">
        <f t="array" aca="1" ref="U809" ca="1">+fair_value_gap(OFFSET(T808,0,0,-1*$J$5,-1*$AA$1),OFFSET(E808,0,0,-1*$J$5,1),F809:T809,0)</f>
        <v>19.977185571702673</v>
      </c>
      <c r="V809" s="9" cm="1">
        <f t="array" aca="1" ref="V809" ca="1">z_score_diff(OFFSET(U809,0,0,$J$5*-1,1),OFFSET(E809,0,0,$J$5*-1,1))</f>
        <v>8.1826543496765547E-2</v>
      </c>
      <c r="W809" s="9">
        <f t="shared" ca="1" si="846"/>
        <v>8.5966557055365905E-2</v>
      </c>
      <c r="X809" s="17">
        <f t="shared" ca="1" si="841"/>
        <v>4.0921225078488187E-2</v>
      </c>
      <c r="Y809" s="13">
        <f t="shared" ref="Y809:Z809" ca="1" si="881">+Y808</f>
        <v>0</v>
      </c>
      <c r="Z809" s="13">
        <f t="shared" ca="1" si="881"/>
        <v>0</v>
      </c>
      <c r="AA809">
        <f t="shared" ca="1" si="848"/>
        <v>0</v>
      </c>
      <c r="AB809">
        <f t="shared" ca="1" si="849"/>
        <v>1</v>
      </c>
      <c r="AC809" s="24">
        <f t="shared" ca="1" si="850"/>
        <v>0</v>
      </c>
      <c r="AD809" s="24">
        <f t="shared" ca="1" si="851"/>
        <v>4.0921225078488187E-2</v>
      </c>
    </row>
    <row r="810" spans="3:30" x14ac:dyDescent="0.25">
      <c r="C810" s="6">
        <v>904</v>
      </c>
      <c r="D810" s="36">
        <v>43292</v>
      </c>
      <c r="E810" s="38">
        <v>19.664999999999999</v>
      </c>
      <c r="F810" s="38">
        <v>59.421459374420856</v>
      </c>
      <c r="G810" s="38">
        <v>45.31</v>
      </c>
      <c r="H810" s="38">
        <v>2.238900860904752</v>
      </c>
      <c r="I810" s="38">
        <v>6.7607492588938971</v>
      </c>
      <c r="J810" s="10">
        <v>0</v>
      </c>
      <c r="K810" s="39">
        <v>0</v>
      </c>
      <c r="L810" s="39">
        <v>0</v>
      </c>
      <c r="M810" s="39">
        <v>0</v>
      </c>
      <c r="N810" s="39">
        <v>0</v>
      </c>
      <c r="O810" s="39">
        <v>0</v>
      </c>
      <c r="P810" s="39">
        <v>1</v>
      </c>
      <c r="Q810" s="39">
        <v>0</v>
      </c>
      <c r="R810" s="39">
        <v>0</v>
      </c>
      <c r="S810" s="39">
        <v>0</v>
      </c>
      <c r="T810" s="39">
        <v>0</v>
      </c>
      <c r="U810" s="29" cm="1">
        <f t="array" aca="1" ref="U810" ca="1">+fair_value_gap(OFFSET(T809,0,0,-1*$J$5,-1*$AA$1),OFFSET(E809,0,0,-1*$J$5,1),F810:T810,0)</f>
        <v>19.717234508647753</v>
      </c>
      <c r="V810" s="9" cm="1">
        <f t="array" aca="1" ref="V810" ca="1">z_score_diff(OFFSET(U810,0,0,$J$5*-1,1),OFFSET(E810,0,0,$J$5*-1,1))</f>
        <v>-3.8853670645763172E-2</v>
      </c>
      <c r="W810" s="9">
        <f t="shared" ca="1" si="846"/>
        <v>7.2154525827834354E-2</v>
      </c>
      <c r="X810" s="17">
        <f t="shared" ca="1" si="841"/>
        <v>4.8051329919320061E-2</v>
      </c>
      <c r="Y810" s="13">
        <f t="shared" ref="Y810:Z810" ca="1" si="882">+Y809</f>
        <v>0</v>
      </c>
      <c r="Z810" s="13">
        <f t="shared" ca="1" si="882"/>
        <v>0</v>
      </c>
      <c r="AA810">
        <f t="shared" ca="1" si="848"/>
        <v>0</v>
      </c>
      <c r="AB810">
        <f t="shared" ca="1" si="849"/>
        <v>1</v>
      </c>
      <c r="AC810" s="24">
        <f t="shared" ca="1" si="850"/>
        <v>0</v>
      </c>
      <c r="AD810" s="24">
        <f t="shared" ca="1" si="851"/>
        <v>4.8051329919320061E-2</v>
      </c>
    </row>
    <row r="811" spans="3:30" x14ac:dyDescent="0.25">
      <c r="C811" s="6">
        <v>905</v>
      </c>
      <c r="D811" s="36">
        <v>43293</v>
      </c>
      <c r="E811" s="38">
        <v>19.120999999999999</v>
      </c>
      <c r="F811" s="38">
        <v>60.359563415785928</v>
      </c>
      <c r="G811" s="38">
        <v>44.19</v>
      </c>
      <c r="H811" s="38">
        <v>2.2181723855828772</v>
      </c>
      <c r="I811" s="38">
        <v>6.5763656559072556</v>
      </c>
      <c r="J811" s="10">
        <v>0</v>
      </c>
      <c r="K811" s="39">
        <v>0</v>
      </c>
      <c r="L811" s="39">
        <v>0</v>
      </c>
      <c r="M811" s="39">
        <v>0</v>
      </c>
      <c r="N811" s="39">
        <v>0</v>
      </c>
      <c r="O811" s="39">
        <v>0</v>
      </c>
      <c r="P811" s="39">
        <v>1</v>
      </c>
      <c r="Q811" s="39">
        <v>0</v>
      </c>
      <c r="R811" s="39">
        <v>0</v>
      </c>
      <c r="S811" s="39">
        <v>0</v>
      </c>
      <c r="T811" s="39">
        <v>0</v>
      </c>
      <c r="U811" s="29" cm="1">
        <f t="array" aca="1" ref="U811" ca="1">+fair_value_gap(OFFSET(T810,0,0,-1*$J$5,-1*$AA$1),OFFSET(E810,0,0,-1*$J$5,1),F811:T811,0)</f>
        <v>19.491395336239471</v>
      </c>
      <c r="V811" s="9" cm="1">
        <f t="array" aca="1" ref="V811" ca="1">z_score_diff(OFFSET(U811,0,0,$J$5*-1,1),OFFSET(E811,0,0,$J$5*-1,1))</f>
        <v>0.19116665897768714</v>
      </c>
      <c r="W811" s="9">
        <f t="shared" ca="1" si="846"/>
        <v>5.747475628249147E-2</v>
      </c>
      <c r="X811" s="17">
        <f t="shared" ca="1" si="841"/>
        <v>8.5799060051434797E-2</v>
      </c>
      <c r="Y811" s="13">
        <f t="shared" ref="Y811:Z811" ca="1" si="883">+Y810</f>
        <v>0</v>
      </c>
      <c r="Z811" s="13">
        <f t="shared" ca="1" si="883"/>
        <v>0</v>
      </c>
      <c r="AA811">
        <f t="shared" ca="1" si="848"/>
        <v>0</v>
      </c>
      <c r="AB811">
        <f t="shared" ca="1" si="849"/>
        <v>1</v>
      </c>
      <c r="AC811" s="24">
        <f t="shared" ca="1" si="850"/>
        <v>0</v>
      </c>
      <c r="AD811" s="24">
        <f t="shared" ca="1" si="851"/>
        <v>8.5799060051434797E-2</v>
      </c>
    </row>
    <row r="812" spans="3:30" x14ac:dyDescent="0.25">
      <c r="C812" s="6">
        <v>906</v>
      </c>
      <c r="D812" s="36">
        <v>43294</v>
      </c>
      <c r="E812" s="38">
        <v>19.39</v>
      </c>
      <c r="F812" s="38">
        <v>60.694536827358966</v>
      </c>
      <c r="G812" s="38">
        <v>43.78</v>
      </c>
      <c r="H812" s="38">
        <v>2.1955993346769342</v>
      </c>
      <c r="I812" s="38">
        <v>6.5726810642843922</v>
      </c>
      <c r="J812" s="10">
        <v>0</v>
      </c>
      <c r="K812" s="39">
        <v>0</v>
      </c>
      <c r="L812" s="39">
        <v>0</v>
      </c>
      <c r="M812" s="39">
        <v>0</v>
      </c>
      <c r="N812" s="39">
        <v>0</v>
      </c>
      <c r="O812" s="39">
        <v>0</v>
      </c>
      <c r="P812" s="39">
        <v>1</v>
      </c>
      <c r="Q812" s="39">
        <v>0</v>
      </c>
      <c r="R812" s="39">
        <v>0</v>
      </c>
      <c r="S812" s="39">
        <v>0</v>
      </c>
      <c r="T812" s="39">
        <v>0</v>
      </c>
      <c r="U812" s="29" cm="1">
        <f t="array" aca="1" ref="U812" ca="1">+fair_value_gap(OFFSET(T811,0,0,-1*$J$5,-1*$AA$1),OFFSET(E811,0,0,-1*$J$5,1),F812:T812,0)</f>
        <v>19.360804991708449</v>
      </c>
      <c r="V812" s="9" cm="1">
        <f t="array" aca="1" ref="V812" ca="1">z_score_diff(OFFSET(U812,0,0,$J$5*-1,1),OFFSET(E812,0,0,$J$5*-1,1))</f>
        <v>-9.50096614857876E-2</v>
      </c>
      <c r="W812" s="9">
        <f t="shared" ca="1" si="846"/>
        <v>2.9865589587716911E-2</v>
      </c>
      <c r="X812" s="17">
        <f t="shared" ca="1" si="841"/>
        <v>8.2855426176419417E-2</v>
      </c>
      <c r="Y812" s="13">
        <f t="shared" ref="Y812:Z812" ca="1" si="884">+Y811</f>
        <v>0</v>
      </c>
      <c r="Z812" s="13">
        <f t="shared" ca="1" si="884"/>
        <v>0</v>
      </c>
      <c r="AA812">
        <f t="shared" ca="1" si="848"/>
        <v>0</v>
      </c>
      <c r="AB812">
        <f t="shared" ca="1" si="849"/>
        <v>1</v>
      </c>
      <c r="AC812" s="24">
        <f t="shared" ca="1" si="850"/>
        <v>0</v>
      </c>
      <c r="AD812" s="24">
        <f t="shared" ca="1" si="851"/>
        <v>8.2855426176419417E-2</v>
      </c>
    </row>
    <row r="813" spans="3:30" x14ac:dyDescent="0.25">
      <c r="C813" s="6">
        <v>907</v>
      </c>
      <c r="D813" s="36">
        <v>43297</v>
      </c>
      <c r="E813" s="38">
        <v>18.984999999999999</v>
      </c>
      <c r="F813" s="38">
        <v>58.255643955552422</v>
      </c>
      <c r="G813" s="38">
        <v>44.21</v>
      </c>
      <c r="H813" s="38">
        <v>2.1851043474299345</v>
      </c>
      <c r="I813" s="38">
        <v>6.5519997680708046</v>
      </c>
      <c r="J813" s="10">
        <v>0</v>
      </c>
      <c r="K813" s="39">
        <v>0</v>
      </c>
      <c r="L813" s="39">
        <v>0</v>
      </c>
      <c r="M813" s="39">
        <v>0</v>
      </c>
      <c r="N813" s="39">
        <v>0</v>
      </c>
      <c r="O813" s="39">
        <v>0</v>
      </c>
      <c r="P813" s="39">
        <v>1</v>
      </c>
      <c r="Q813" s="39">
        <v>0</v>
      </c>
      <c r="R813" s="39">
        <v>0</v>
      </c>
      <c r="S813" s="39">
        <v>0</v>
      </c>
      <c r="T813" s="39">
        <v>0</v>
      </c>
      <c r="U813" s="29" cm="1">
        <f t="array" aca="1" ref="U813" ca="1">+fair_value_gap(OFFSET(T812,0,0,-1*$J$5,-1*$AA$1),OFFSET(E812,0,0,-1*$J$5,1),F813:T813,0)</f>
        <v>19.208058054783972</v>
      </c>
      <c r="V813" s="9" cm="1">
        <f t="array" aca="1" ref="V813" ca="1">z_score_diff(OFFSET(U813,0,0,$J$5*-1,1),OFFSET(E813,0,0,$J$5*-1,1))</f>
        <v>8.9996313120970561E-2</v>
      </c>
      <c r="W813" s="9">
        <f t="shared" ca="1" si="846"/>
        <v>2.0651596636340263E-2</v>
      </c>
      <c r="X813" s="17">
        <f t="shared" ca="1" si="841"/>
        <v>0.12379890741182557</v>
      </c>
      <c r="Y813" s="13">
        <f t="shared" ref="Y813:Z813" ca="1" si="885">+Y812</f>
        <v>0</v>
      </c>
      <c r="Z813" s="13">
        <f t="shared" ca="1" si="885"/>
        <v>0</v>
      </c>
      <c r="AA813">
        <f t="shared" ca="1" si="848"/>
        <v>0</v>
      </c>
      <c r="AB813">
        <f t="shared" ca="1" si="849"/>
        <v>1</v>
      </c>
      <c r="AC813" s="24">
        <f t="shared" ca="1" si="850"/>
        <v>0</v>
      </c>
      <c r="AD813" s="24">
        <f t="shared" ca="1" si="851"/>
        <v>0.12379890741182557</v>
      </c>
    </row>
    <row r="814" spans="3:30" x14ac:dyDescent="0.25">
      <c r="C814" s="6">
        <v>908</v>
      </c>
      <c r="D814" s="36">
        <v>43298</v>
      </c>
      <c r="E814" s="38">
        <v>18.876999999999999</v>
      </c>
      <c r="F814" s="38">
        <v>58.796604527296942</v>
      </c>
      <c r="G814" s="38">
        <v>43.31</v>
      </c>
      <c r="H814" s="38">
        <v>2.1870838881491346</v>
      </c>
      <c r="I814" s="38">
        <v>6.541278295605859</v>
      </c>
      <c r="J814" s="10">
        <v>0</v>
      </c>
      <c r="K814" s="39">
        <v>0</v>
      </c>
      <c r="L814" s="39">
        <v>0</v>
      </c>
      <c r="M814" s="39">
        <v>0</v>
      </c>
      <c r="N814" s="39">
        <v>0</v>
      </c>
      <c r="O814" s="39">
        <v>0</v>
      </c>
      <c r="P814" s="39">
        <v>1</v>
      </c>
      <c r="Q814" s="39">
        <v>0</v>
      </c>
      <c r="R814" s="39">
        <v>0</v>
      </c>
      <c r="S814" s="39">
        <v>0</v>
      </c>
      <c r="T814" s="39">
        <v>0</v>
      </c>
      <c r="U814" s="29" cm="1">
        <f t="array" aca="1" ref="U814" ca="1">+fair_value_gap(OFFSET(T813,0,0,-1*$J$5,-1*$AA$1),OFFSET(E813,0,0,-1*$J$5,1),F814:T814,0)</f>
        <v>19.018112379682947</v>
      </c>
      <c r="V814" s="9" cm="1">
        <f t="array" aca="1" ref="V814" ca="1">z_score_diff(OFFSET(U814,0,0,$J$5*-1,1),OFFSET(E814,0,0,$J$5*-1,1))</f>
        <v>3.2722739740358775E-2</v>
      </c>
      <c r="W814" s="9">
        <f t="shared" ca="1" si="846"/>
        <v>1.2783536910604217E-2</v>
      </c>
      <c r="X814" s="17">
        <f t="shared" ca="1" si="841"/>
        <v>0.1351193667037178</v>
      </c>
      <c r="Y814" s="13">
        <f t="shared" ref="Y814:Z814" ca="1" si="886">+Y813</f>
        <v>0</v>
      </c>
      <c r="Z814" s="13">
        <f t="shared" ca="1" si="886"/>
        <v>0</v>
      </c>
      <c r="AA814">
        <f t="shared" ca="1" si="848"/>
        <v>0</v>
      </c>
      <c r="AB814">
        <f t="shared" ca="1" si="849"/>
        <v>1</v>
      </c>
      <c r="AC814" s="24">
        <f t="shared" ca="1" si="850"/>
        <v>0</v>
      </c>
      <c r="AD814" s="24">
        <f t="shared" ca="1" si="851"/>
        <v>0.1351193667037178</v>
      </c>
    </row>
    <row r="815" spans="3:30" x14ac:dyDescent="0.25">
      <c r="C815" s="6">
        <v>909</v>
      </c>
      <c r="D815" s="36">
        <v>43299</v>
      </c>
      <c r="E815" s="38">
        <v>19.126999999999999</v>
      </c>
      <c r="F815" s="38">
        <v>59.387212625719727</v>
      </c>
      <c r="G815" s="38">
        <v>43.86</v>
      </c>
      <c r="H815" s="38">
        <v>2.1823363247756418</v>
      </c>
      <c r="I815" s="38">
        <v>6.5495087868409865</v>
      </c>
      <c r="J815" s="10">
        <v>0</v>
      </c>
      <c r="K815" s="39">
        <v>0</v>
      </c>
      <c r="L815" s="39">
        <v>0</v>
      </c>
      <c r="M815" s="39">
        <v>0</v>
      </c>
      <c r="N815" s="39">
        <v>0</v>
      </c>
      <c r="O815" s="39">
        <v>0</v>
      </c>
      <c r="P815" s="39">
        <v>1</v>
      </c>
      <c r="Q815" s="39">
        <v>0</v>
      </c>
      <c r="R815" s="39">
        <v>0</v>
      </c>
      <c r="S815" s="39">
        <v>0</v>
      </c>
      <c r="T815" s="39">
        <v>0</v>
      </c>
      <c r="U815" s="29" cm="1">
        <f t="array" aca="1" ref="U815" ca="1">+fair_value_gap(OFFSET(T814,0,0,-1*$J$5,-1*$AA$1),OFFSET(E814,0,0,-1*$J$5,1),F815:T815,0)</f>
        <v>19.202905205087497</v>
      </c>
      <c r="V815" s="9" cm="1">
        <f t="array" aca="1" ref="V815" ca="1">z_score_diff(OFFSET(U815,0,0,$J$5*-1,1),OFFSET(E815,0,0,$J$5*-1,1))</f>
        <v>-1.8406584920084512E-2</v>
      </c>
      <c r="W815" s="9">
        <f t="shared" ca="1" si="846"/>
        <v>8.5659750100206475E-3</v>
      </c>
      <c r="X815" s="17">
        <f t="shared" ca="1" si="841"/>
        <v>0.14007785828960695</v>
      </c>
      <c r="Y815" s="13">
        <f t="shared" ref="Y815:Z815" ca="1" si="887">+Y814</f>
        <v>0</v>
      </c>
      <c r="Z815" s="13">
        <f t="shared" ca="1" si="887"/>
        <v>0</v>
      </c>
      <c r="AA815">
        <f t="shared" ca="1" si="848"/>
        <v>0</v>
      </c>
      <c r="AB815">
        <f t="shared" ca="1" si="849"/>
        <v>1</v>
      </c>
      <c r="AC815" s="24">
        <f t="shared" ca="1" si="850"/>
        <v>0</v>
      </c>
      <c r="AD815" s="24">
        <f t="shared" ca="1" si="851"/>
        <v>0.14007785828960695</v>
      </c>
    </row>
    <row r="816" spans="3:30" x14ac:dyDescent="0.25">
      <c r="C816" s="6">
        <v>910</v>
      </c>
      <c r="D816" s="36">
        <v>43300</v>
      </c>
      <c r="E816" s="38">
        <v>19.094999999999999</v>
      </c>
      <c r="F816" s="38">
        <v>59.289393906566922</v>
      </c>
      <c r="G816" s="38">
        <v>44.51</v>
      </c>
      <c r="H816" s="38">
        <v>2.194082560168527</v>
      </c>
      <c r="I816" s="38">
        <v>6.570581461043993</v>
      </c>
      <c r="J816" s="10">
        <v>0</v>
      </c>
      <c r="K816" s="39">
        <v>0</v>
      </c>
      <c r="L816" s="39">
        <v>0</v>
      </c>
      <c r="M816" s="39">
        <v>0</v>
      </c>
      <c r="N816" s="39">
        <v>0</v>
      </c>
      <c r="O816" s="39">
        <v>0</v>
      </c>
      <c r="P816" s="39">
        <v>1</v>
      </c>
      <c r="Q816" s="39">
        <v>0</v>
      </c>
      <c r="R816" s="39">
        <v>0</v>
      </c>
      <c r="S816" s="39">
        <v>0</v>
      </c>
      <c r="T816" s="39">
        <v>0</v>
      </c>
      <c r="U816" s="29" cm="1">
        <f t="array" aca="1" ref="U816" ca="1">+fair_value_gap(OFFSET(T815,0,0,-1*$J$5,-1*$AA$1),OFFSET(E815,0,0,-1*$J$5,1),F816:T816,0)</f>
        <v>19.359593838305088</v>
      </c>
      <c r="V816" s="9" cm="1">
        <f t="array" aca="1" ref="V816" ca="1">z_score_diff(OFFSET(U816,0,0,$J$5*-1,1),OFFSET(E816,0,0,$J$5*-1,1))</f>
        <v>0.1195177686230291</v>
      </c>
      <c r="W816" s="9">
        <f t="shared" ca="1" si="846"/>
        <v>1.183762702359447E-2</v>
      </c>
      <c r="X816" s="17">
        <f t="shared" ca="1" si="841"/>
        <v>0.14102484893434317</v>
      </c>
      <c r="Y816" s="13">
        <f t="shared" ref="Y816:Z816" ca="1" si="888">+Y815</f>
        <v>0</v>
      </c>
      <c r="Z816" s="13">
        <f t="shared" ca="1" si="888"/>
        <v>0</v>
      </c>
      <c r="AA816">
        <f t="shared" ca="1" si="848"/>
        <v>0</v>
      </c>
      <c r="AB816">
        <f t="shared" ca="1" si="849"/>
        <v>1</v>
      </c>
      <c r="AC816" s="24">
        <f t="shared" ca="1" si="850"/>
        <v>0</v>
      </c>
      <c r="AD816" s="24">
        <f t="shared" ca="1" si="851"/>
        <v>0.14102484893434317</v>
      </c>
    </row>
    <row r="817" spans="3:30" x14ac:dyDescent="0.25">
      <c r="C817" s="6">
        <v>911</v>
      </c>
      <c r="D817" s="36">
        <v>43301</v>
      </c>
      <c r="E817" s="38">
        <v>18.902999999999999</v>
      </c>
      <c r="F817" s="38">
        <v>59.318630637195028</v>
      </c>
      <c r="G817" s="38">
        <v>43.9</v>
      </c>
      <c r="H817" s="38">
        <v>2.1693859892441512</v>
      </c>
      <c r="I817" s="38">
        <v>6.5495584637103947</v>
      </c>
      <c r="J817" s="10">
        <v>0</v>
      </c>
      <c r="K817" s="39">
        <v>0</v>
      </c>
      <c r="L817" s="39">
        <v>0</v>
      </c>
      <c r="M817" s="39">
        <v>0</v>
      </c>
      <c r="N817" s="39">
        <v>0</v>
      </c>
      <c r="O817" s="39">
        <v>0</v>
      </c>
      <c r="P817" s="39">
        <v>1</v>
      </c>
      <c r="Q817" s="39">
        <v>0</v>
      </c>
      <c r="R817" s="39">
        <v>0</v>
      </c>
      <c r="S817" s="39">
        <v>0</v>
      </c>
      <c r="T817" s="39">
        <v>0</v>
      </c>
      <c r="U817" s="29" cm="1">
        <f t="array" aca="1" ref="U817" ca="1">+fair_value_gap(OFFSET(T816,0,0,-1*$J$5,-1*$AA$1),OFFSET(E816,0,0,-1*$J$5,1),F817:T817,0)</f>
        <v>19.163740706599576</v>
      </c>
      <c r="V817" s="9" cm="1">
        <f t="array" aca="1" ref="V817" ca="1">z_score_diff(OFFSET(U817,0,0,$J$5*-1,1),OFFSET(E817,0,0,$J$5*-1,1))</f>
        <v>0.12002092883034299</v>
      </c>
      <c r="W817" s="9">
        <f t="shared" ca="1" si="846"/>
        <v>1.4224863713539707E-2</v>
      </c>
      <c r="X817" s="17">
        <f t="shared" ca="1" si="841"/>
        <v>0.1636503845955615</v>
      </c>
      <c r="Y817" s="13">
        <f t="shared" ref="Y817:Z817" ca="1" si="889">+Y816</f>
        <v>0</v>
      </c>
      <c r="Z817" s="13">
        <f t="shared" ca="1" si="889"/>
        <v>0</v>
      </c>
      <c r="AA817">
        <f t="shared" ca="1" si="848"/>
        <v>0</v>
      </c>
      <c r="AB817">
        <f t="shared" ca="1" si="849"/>
        <v>1</v>
      </c>
      <c r="AC817" s="24">
        <f t="shared" ca="1" si="850"/>
        <v>0</v>
      </c>
      <c r="AD817" s="24">
        <f t="shared" ca="1" si="851"/>
        <v>0.1636503845955615</v>
      </c>
    </row>
    <row r="818" spans="3:30" x14ac:dyDescent="0.25">
      <c r="C818" s="6">
        <v>912</v>
      </c>
      <c r="D818" s="36">
        <v>43304</v>
      </c>
      <c r="E818" s="38">
        <v>19.108000000000001</v>
      </c>
      <c r="F818" s="38">
        <v>60.068009034679967</v>
      </c>
      <c r="G818" s="38">
        <v>44.48</v>
      </c>
      <c r="H818" s="38">
        <v>2.173202316090991</v>
      </c>
      <c r="I818" s="38">
        <v>6.6092235386272398</v>
      </c>
      <c r="J818" s="10">
        <v>0</v>
      </c>
      <c r="K818" s="39">
        <v>0</v>
      </c>
      <c r="L818" s="39">
        <v>0</v>
      </c>
      <c r="M818" s="39">
        <v>0</v>
      </c>
      <c r="N818" s="39">
        <v>0</v>
      </c>
      <c r="O818" s="39">
        <v>0</v>
      </c>
      <c r="P818" s="39">
        <v>1</v>
      </c>
      <c r="Q818" s="39">
        <v>0</v>
      </c>
      <c r="R818" s="39">
        <v>0</v>
      </c>
      <c r="S818" s="39">
        <v>0</v>
      </c>
      <c r="T818" s="39">
        <v>0</v>
      </c>
      <c r="U818" s="29" cm="1">
        <f t="array" aca="1" ref="U818" ca="1">+fair_value_gap(OFFSET(T817,0,0,-1*$J$5,-1*$AA$1),OFFSET(E817,0,0,-1*$J$5,1),F818:T818,0)</f>
        <v>19.375935512265336</v>
      </c>
      <c r="V818" s="9" cm="1">
        <f t="array" aca="1" ref="V818" ca="1">z_score_diff(OFFSET(U818,0,0,$J$5*-1,1),OFFSET(E818,0,0,$J$5*-1,1))</f>
        <v>0.12324952078966422</v>
      </c>
      <c r="W818" s="9">
        <f t="shared" ca="1" si="846"/>
        <v>1.9521589742534422E-2</v>
      </c>
      <c r="X818" s="17">
        <f t="shared" ca="1" si="841"/>
        <v>0.16522877767210786</v>
      </c>
      <c r="Y818" s="13">
        <f t="shared" ref="Y818:Z818" ca="1" si="890">+Y817</f>
        <v>0</v>
      </c>
      <c r="Z818" s="13">
        <f t="shared" ca="1" si="890"/>
        <v>0</v>
      </c>
      <c r="AA818">
        <f t="shared" ca="1" si="848"/>
        <v>0</v>
      </c>
      <c r="AB818">
        <f t="shared" ca="1" si="849"/>
        <v>1</v>
      </c>
      <c r="AC818" s="24">
        <f t="shared" ca="1" si="850"/>
        <v>0</v>
      </c>
      <c r="AD818" s="24">
        <f t="shared" ca="1" si="851"/>
        <v>0.16522877767210786</v>
      </c>
    </row>
    <row r="819" spans="3:30" x14ac:dyDescent="0.25">
      <c r="C819" s="6">
        <v>913</v>
      </c>
      <c r="D819" s="36">
        <v>43305</v>
      </c>
      <c r="E819" s="38">
        <v>19.181999999999999</v>
      </c>
      <c r="F819" s="38">
        <v>60.553029975991315</v>
      </c>
      <c r="G819" s="38">
        <v>44.43</v>
      </c>
      <c r="H819" s="38">
        <v>2.1808720831769834</v>
      </c>
      <c r="I819" s="38">
        <v>6.6289545428885477</v>
      </c>
      <c r="J819" s="10">
        <v>0</v>
      </c>
      <c r="K819" s="39">
        <v>0</v>
      </c>
      <c r="L819" s="39">
        <v>0</v>
      </c>
      <c r="M819" s="39">
        <v>0</v>
      </c>
      <c r="N819" s="39">
        <v>0</v>
      </c>
      <c r="O819" s="39">
        <v>0</v>
      </c>
      <c r="P819" s="39">
        <v>1</v>
      </c>
      <c r="Q819" s="39">
        <v>0</v>
      </c>
      <c r="R819" s="39">
        <v>0</v>
      </c>
      <c r="S819" s="39">
        <v>0</v>
      </c>
      <c r="T819" s="39">
        <v>0</v>
      </c>
      <c r="U819" s="29" cm="1">
        <f t="array" aca="1" ref="U819" ca="1">+fair_value_gap(OFFSET(T818,0,0,-1*$J$5,-1*$AA$1),OFFSET(E818,0,0,-1*$J$5,1),F819:T819,0)</f>
        <v>19.396809222772113</v>
      </c>
      <c r="V819" s="9" cm="1">
        <f t="array" aca="1" ref="V819" ca="1">z_score_diff(OFFSET(U819,0,0,$J$5*-1,1),OFFSET(E819,0,0,$J$5*-1,1))</f>
        <v>8.2274823047020051E-2</v>
      </c>
      <c r="W819" s="9">
        <f t="shared" ca="1" si="846"/>
        <v>2.2726510641276409E-2</v>
      </c>
      <c r="X819" s="17">
        <f t="shared" ca="1" si="841"/>
        <v>0.1801296035130035</v>
      </c>
      <c r="Y819" s="13">
        <f t="shared" ref="Y819:Z819" ca="1" si="891">+Y818</f>
        <v>0</v>
      </c>
      <c r="Z819" s="13">
        <f t="shared" ca="1" si="891"/>
        <v>0</v>
      </c>
      <c r="AA819">
        <f t="shared" ca="1" si="848"/>
        <v>0</v>
      </c>
      <c r="AB819">
        <f t="shared" ca="1" si="849"/>
        <v>1</v>
      </c>
      <c r="AC819" s="24">
        <f t="shared" ca="1" si="850"/>
        <v>0</v>
      </c>
      <c r="AD819" s="24">
        <f t="shared" ca="1" si="851"/>
        <v>0.1801296035130035</v>
      </c>
    </row>
    <row r="820" spans="3:30" x14ac:dyDescent="0.25">
      <c r="C820" s="6">
        <v>914</v>
      </c>
      <c r="D820" s="36">
        <v>43306</v>
      </c>
      <c r="E820" s="38">
        <v>19.244</v>
      </c>
      <c r="F820" s="38">
        <v>60.870198169344718</v>
      </c>
      <c r="G820" s="38">
        <v>45.08</v>
      </c>
      <c r="H820" s="38">
        <v>2.1869928517427288</v>
      </c>
      <c r="I820" s="38">
        <v>6.6254964986608389</v>
      </c>
      <c r="J820" s="10">
        <v>0</v>
      </c>
      <c r="K820" s="39">
        <v>0</v>
      </c>
      <c r="L820" s="39">
        <v>0</v>
      </c>
      <c r="M820" s="39">
        <v>0</v>
      </c>
      <c r="N820" s="39">
        <v>0</v>
      </c>
      <c r="O820" s="39">
        <v>0</v>
      </c>
      <c r="P820" s="39">
        <v>1</v>
      </c>
      <c r="Q820" s="39">
        <v>0</v>
      </c>
      <c r="R820" s="39">
        <v>0</v>
      </c>
      <c r="S820" s="39">
        <v>0</v>
      </c>
      <c r="T820" s="39">
        <v>0</v>
      </c>
      <c r="U820" s="29" cm="1">
        <f t="array" aca="1" ref="U820" ca="1">+fair_value_gap(OFFSET(T819,0,0,-1*$J$5,-1*$AA$1),OFFSET(E819,0,0,-1*$J$5,1),F820:T820,0)</f>
        <v>19.595048198168172</v>
      </c>
      <c r="V820" s="9" cm="1">
        <f t="array" aca="1" ref="V820" ca="1">z_score_diff(OFFSET(U820,0,0,$J$5*-1,1),OFFSET(E820,0,0,$J$5*-1,1))</f>
        <v>0.1842540548330095</v>
      </c>
      <c r="W820" s="9">
        <f t="shared" ca="1" si="846"/>
        <v>3.2658749876524201E-2</v>
      </c>
      <c r="X820" s="17">
        <f t="shared" ca="1" si="841"/>
        <v>0.18011931377865459</v>
      </c>
      <c r="Y820" s="13">
        <f t="shared" ref="Y820:Z820" ca="1" si="892">+Y819</f>
        <v>0</v>
      </c>
      <c r="Z820" s="13">
        <f t="shared" ca="1" si="892"/>
        <v>0</v>
      </c>
      <c r="AA820">
        <f t="shared" ca="1" si="848"/>
        <v>0</v>
      </c>
      <c r="AB820">
        <f t="shared" ca="1" si="849"/>
        <v>1</v>
      </c>
      <c r="AC820" s="24">
        <f t="shared" ca="1" si="850"/>
        <v>0</v>
      </c>
      <c r="AD820" s="24">
        <f t="shared" ca="1" si="851"/>
        <v>0.18011931377865459</v>
      </c>
    </row>
    <row r="821" spans="3:30" x14ac:dyDescent="0.25">
      <c r="C821" s="6">
        <v>915</v>
      </c>
      <c r="D821" s="36">
        <v>43307</v>
      </c>
      <c r="E821" s="38">
        <v>19.298999999999999</v>
      </c>
      <c r="F821" s="38">
        <v>61.76758788945326</v>
      </c>
      <c r="G821" s="38">
        <v>44.61</v>
      </c>
      <c r="H821" s="38">
        <v>2.1897372315322161</v>
      </c>
      <c r="I821" s="38">
        <v>6.7158607633750611</v>
      </c>
      <c r="J821" s="10">
        <v>0</v>
      </c>
      <c r="K821" s="39">
        <v>0</v>
      </c>
      <c r="L821" s="39">
        <v>0</v>
      </c>
      <c r="M821" s="39">
        <v>0</v>
      </c>
      <c r="N821" s="39">
        <v>0</v>
      </c>
      <c r="O821" s="39">
        <v>0</v>
      </c>
      <c r="P821" s="39">
        <v>1</v>
      </c>
      <c r="Q821" s="39">
        <v>0</v>
      </c>
      <c r="R821" s="39">
        <v>0</v>
      </c>
      <c r="S821" s="39">
        <v>0</v>
      </c>
      <c r="T821" s="39">
        <v>0</v>
      </c>
      <c r="U821" s="29" cm="1">
        <f t="array" aca="1" ref="U821" ca="1">+fair_value_gap(OFFSET(T820,0,0,-1*$J$5,-1*$AA$1),OFFSET(E820,0,0,-1*$J$5,1),F821:T821,0)</f>
        <v>19.574591500070866</v>
      </c>
      <c r="V821" s="9" cm="1">
        <f t="array" aca="1" ref="V821" ca="1">z_score_diff(OFFSET(U821,0,0,$J$5*-1,1),OFFSET(E821,0,0,$J$5*-1,1))</f>
        <v>0.12620638943919593</v>
      </c>
      <c r="W821" s="9">
        <f t="shared" ca="1" si="846"/>
        <v>3.616085461611266E-2</v>
      </c>
      <c r="X821" s="17">
        <f t="shared" ca="1" si="841"/>
        <v>0.18852882655122821</v>
      </c>
      <c r="Y821" s="13">
        <f t="shared" ref="Y821:Z821" ca="1" si="893">+Y820</f>
        <v>0</v>
      </c>
      <c r="Z821" s="13">
        <f t="shared" ca="1" si="893"/>
        <v>0</v>
      </c>
      <c r="AA821">
        <f t="shared" ca="1" si="848"/>
        <v>0</v>
      </c>
      <c r="AB821">
        <f t="shared" ca="1" si="849"/>
        <v>1</v>
      </c>
      <c r="AC821" s="24">
        <f t="shared" ca="1" si="850"/>
        <v>0</v>
      </c>
      <c r="AD821" s="24">
        <f t="shared" ca="1" si="851"/>
        <v>0.18852882655122821</v>
      </c>
    </row>
    <row r="822" spans="3:30" x14ac:dyDescent="0.25">
      <c r="C822" s="6">
        <v>916</v>
      </c>
      <c r="D822" s="36">
        <v>43308</v>
      </c>
      <c r="E822" s="38">
        <v>19.25</v>
      </c>
      <c r="F822" s="38">
        <v>61.177676512947329</v>
      </c>
      <c r="G822" s="38">
        <v>44.66</v>
      </c>
      <c r="H822" s="38">
        <v>2.2014977839420458</v>
      </c>
      <c r="I822" s="38">
        <v>6.7683992714922683</v>
      </c>
      <c r="J822" s="10">
        <v>0</v>
      </c>
      <c r="K822" s="39">
        <v>0</v>
      </c>
      <c r="L822" s="39">
        <v>0</v>
      </c>
      <c r="M822" s="39">
        <v>0</v>
      </c>
      <c r="N822" s="39">
        <v>0</v>
      </c>
      <c r="O822" s="39">
        <v>0</v>
      </c>
      <c r="P822" s="39">
        <v>1</v>
      </c>
      <c r="Q822" s="39">
        <v>0</v>
      </c>
      <c r="R822" s="39">
        <v>0</v>
      </c>
      <c r="S822" s="39">
        <v>0</v>
      </c>
      <c r="T822" s="39">
        <v>0</v>
      </c>
      <c r="U822" s="29" cm="1">
        <f t="array" aca="1" ref="U822" ca="1">+fair_value_gap(OFFSET(T821,0,0,-1*$J$5,-1*$AA$1),OFFSET(E821,0,0,-1*$J$5,1),F822:T822,0)</f>
        <v>19.507672604659927</v>
      </c>
      <c r="V822" s="9" cm="1">
        <f t="array" aca="1" ref="V822" ca="1">z_score_diff(OFFSET(U822,0,0,$J$5*-1,1),OFFSET(E822,0,0,$J$5*-1,1))</f>
        <v>0.11363108866139893</v>
      </c>
      <c r="W822" s="9">
        <f t="shared" ca="1" si="846"/>
        <v>3.5874940956329142E-2</v>
      </c>
      <c r="X822" s="17">
        <f t="shared" ca="1" si="841"/>
        <v>0.204836739792535</v>
      </c>
      <c r="Y822" s="13">
        <f t="shared" ref="Y822:Z822" ca="1" si="894">+Y821</f>
        <v>0</v>
      </c>
      <c r="Z822" s="13">
        <f t="shared" ca="1" si="894"/>
        <v>0</v>
      </c>
      <c r="AA822">
        <f t="shared" ca="1" si="848"/>
        <v>0</v>
      </c>
      <c r="AB822">
        <f t="shared" ca="1" si="849"/>
        <v>1</v>
      </c>
      <c r="AC822" s="24">
        <f t="shared" ca="1" si="850"/>
        <v>0</v>
      </c>
      <c r="AD822" s="24">
        <f t="shared" ca="1" si="851"/>
        <v>0.204836739792535</v>
      </c>
    </row>
    <row r="823" spans="3:30" x14ac:dyDescent="0.25">
      <c r="C823" s="6">
        <v>917</v>
      </c>
      <c r="D823" s="36">
        <v>43311</v>
      </c>
      <c r="E823" s="38">
        <v>19.369</v>
      </c>
      <c r="F823" s="38">
        <v>61.431179099147471</v>
      </c>
      <c r="G823" s="38">
        <v>44.03</v>
      </c>
      <c r="H823" s="38">
        <v>2.2181179720585078</v>
      </c>
      <c r="I823" s="38">
        <v>6.7612411849075178</v>
      </c>
      <c r="J823" s="10">
        <v>0</v>
      </c>
      <c r="K823" s="39">
        <v>0</v>
      </c>
      <c r="L823" s="39">
        <v>0</v>
      </c>
      <c r="M823" s="39">
        <v>0</v>
      </c>
      <c r="N823" s="39">
        <v>0</v>
      </c>
      <c r="O823" s="39">
        <v>0</v>
      </c>
      <c r="P823" s="39">
        <v>1</v>
      </c>
      <c r="Q823" s="39">
        <v>0</v>
      </c>
      <c r="R823" s="39">
        <v>0</v>
      </c>
      <c r="S823" s="39">
        <v>0</v>
      </c>
      <c r="T823" s="39">
        <v>0</v>
      </c>
      <c r="U823" s="29" cm="1">
        <f t="array" aca="1" ref="U823" ca="1">+fair_value_gap(OFFSET(T822,0,0,-1*$J$5,-1*$AA$1),OFFSET(E822,0,0,-1*$J$5,1),F823:T823,0)</f>
        <v>19.361278950028893</v>
      </c>
      <c r="V823" s="9" cm="1">
        <f t="array" aca="1" ref="V823" ca="1">z_score_diff(OFFSET(U823,0,0,$J$5*-1,1),OFFSET(E823,0,0,$J$5*-1,1))</f>
        <v>-9.4056591664122169E-2</v>
      </c>
      <c r="W823" s="9">
        <f t="shared" ca="1" si="846"/>
        <v>3.3704312740928742E-2</v>
      </c>
      <c r="X823" s="17">
        <f t="shared" ca="1" si="841"/>
        <v>0.24187354479676604</v>
      </c>
      <c r="Y823" s="13">
        <f t="shared" ref="Y823:Z823" ca="1" si="895">+Y822</f>
        <v>0</v>
      </c>
      <c r="Z823" s="13">
        <f t="shared" ca="1" si="895"/>
        <v>0</v>
      </c>
      <c r="AA823">
        <f t="shared" ca="1" si="848"/>
        <v>0</v>
      </c>
      <c r="AB823">
        <f t="shared" ca="1" si="849"/>
        <v>1</v>
      </c>
      <c r="AC823" s="24">
        <f t="shared" ca="1" si="850"/>
        <v>0</v>
      </c>
      <c r="AD823" s="24">
        <f t="shared" ca="1" si="851"/>
        <v>0.24187354479676604</v>
      </c>
    </row>
    <row r="824" spans="3:30" x14ac:dyDescent="0.25">
      <c r="C824" s="6">
        <v>918</v>
      </c>
      <c r="D824" s="36">
        <v>43312</v>
      </c>
      <c r="E824" s="38">
        <v>19.382999999999999</v>
      </c>
      <c r="F824" s="38">
        <v>60.483720482775048</v>
      </c>
      <c r="G824" s="38">
        <v>44.55</v>
      </c>
      <c r="H824" s="38">
        <v>2.2043840537942692</v>
      </c>
      <c r="I824" s="38">
        <v>6.8213163440398281</v>
      </c>
      <c r="J824" s="10">
        <v>0</v>
      </c>
      <c r="K824" s="39">
        <v>0</v>
      </c>
      <c r="L824" s="39">
        <v>0</v>
      </c>
      <c r="M824" s="39">
        <v>0</v>
      </c>
      <c r="N824" s="39">
        <v>0</v>
      </c>
      <c r="O824" s="39">
        <v>0</v>
      </c>
      <c r="P824" s="39">
        <v>1</v>
      </c>
      <c r="Q824" s="39">
        <v>0</v>
      </c>
      <c r="R824" s="39">
        <v>0</v>
      </c>
      <c r="S824" s="39">
        <v>0</v>
      </c>
      <c r="T824" s="39">
        <v>0</v>
      </c>
      <c r="U824" s="29" cm="1">
        <f t="array" aca="1" ref="U824" ca="1">+fair_value_gap(OFFSET(T823,0,0,-1*$J$5,-1*$AA$1),OFFSET(E823,0,0,-1*$J$5,1),F824:T824,0)</f>
        <v>19.388339810364755</v>
      </c>
      <c r="V824" s="9" cm="1">
        <f t="array" aca="1" ref="V824" ca="1">z_score_diff(OFFSET(U824,0,0,$J$5*-1,1),OFFSET(E824,0,0,$J$5*-1,1))</f>
        <v>-8.4231915995514606E-2</v>
      </c>
      <c r="W824" s="9">
        <f t="shared" ca="1" si="846"/>
        <v>2.8578112896081958E-2</v>
      </c>
      <c r="X824" s="17">
        <f t="shared" ca="1" si="841"/>
        <v>0.23301061700840955</v>
      </c>
      <c r="Y824" s="13">
        <f t="shared" ref="Y824:Z824" ca="1" si="896">+Y823</f>
        <v>0</v>
      </c>
      <c r="Z824" s="13">
        <f t="shared" ca="1" si="896"/>
        <v>0</v>
      </c>
      <c r="AA824">
        <f t="shared" ca="1" si="848"/>
        <v>0</v>
      </c>
      <c r="AB824">
        <f t="shared" ca="1" si="849"/>
        <v>1</v>
      </c>
      <c r="AC824" s="24">
        <f t="shared" ca="1" si="850"/>
        <v>0</v>
      </c>
      <c r="AD824" s="24">
        <f t="shared" ca="1" si="851"/>
        <v>0.23301061700840955</v>
      </c>
    </row>
    <row r="825" spans="3:30" x14ac:dyDescent="0.25">
      <c r="C825" s="6">
        <v>919</v>
      </c>
      <c r="D825" s="36">
        <v>43313</v>
      </c>
      <c r="E825" s="38">
        <v>19.271000000000001</v>
      </c>
      <c r="F825" s="38">
        <v>59.141139597870186</v>
      </c>
      <c r="G825" s="38">
        <v>44.73</v>
      </c>
      <c r="H825" s="38">
        <v>2.183698433408424</v>
      </c>
      <c r="I825" s="38">
        <v>6.764808360920612</v>
      </c>
      <c r="J825" s="10">
        <v>0</v>
      </c>
      <c r="K825" s="39">
        <v>0</v>
      </c>
      <c r="L825" s="39">
        <v>0</v>
      </c>
      <c r="M825" s="39">
        <v>0</v>
      </c>
      <c r="N825" s="39">
        <v>0</v>
      </c>
      <c r="O825" s="39">
        <v>0</v>
      </c>
      <c r="P825" s="39">
        <v>0</v>
      </c>
      <c r="Q825" s="39">
        <v>1</v>
      </c>
      <c r="R825" s="39">
        <v>0</v>
      </c>
      <c r="S825" s="39">
        <v>0</v>
      </c>
      <c r="T825" s="39">
        <v>0</v>
      </c>
      <c r="U825" s="29" cm="1">
        <f t="array" aca="1" ref="U825" ca="1">+fair_value_gap(OFFSET(T824,0,0,-1*$J$5,-1*$AA$1),OFFSET(E824,0,0,-1*$J$5,1),F825:T825,0)</f>
        <v>20.670160248560187</v>
      </c>
      <c r="V825" s="9" cm="1">
        <f t="array" aca="1" ref="V825" ca="1">z_score_diff(OFFSET(U825,0,0,$J$5*-1,1),OFFSET(E825,0,0,$J$5*-1,1))</f>
        <v>1.0125540418454264</v>
      </c>
      <c r="W825" s="9">
        <f t="shared" ca="1" si="846"/>
        <v>6.3571439506122568E-2</v>
      </c>
      <c r="X825" s="17">
        <f t="shared" ca="1" si="841"/>
        <v>0.21083207283855077</v>
      </c>
      <c r="Y825" s="13">
        <f t="shared" ref="Y825:Z825" ca="1" si="897">+Y824</f>
        <v>0</v>
      </c>
      <c r="Z825" s="13">
        <f t="shared" ca="1" si="897"/>
        <v>0</v>
      </c>
      <c r="AA825">
        <f t="shared" ca="1" si="848"/>
        <v>0</v>
      </c>
      <c r="AB825">
        <f t="shared" ca="1" si="849"/>
        <v>1</v>
      </c>
      <c r="AC825" s="24">
        <f t="shared" ca="1" si="850"/>
        <v>0</v>
      </c>
      <c r="AD825" s="24">
        <f t="shared" ca="1" si="851"/>
        <v>0.21083207283855077</v>
      </c>
    </row>
    <row r="826" spans="3:30" x14ac:dyDescent="0.25">
      <c r="C826" s="6">
        <v>920</v>
      </c>
      <c r="D826" s="36">
        <v>43314</v>
      </c>
      <c r="E826" s="38">
        <v>19.282</v>
      </c>
      <c r="F826" s="38">
        <v>60.278688469691538</v>
      </c>
      <c r="G826" s="38">
        <v>44.61</v>
      </c>
      <c r="H826" s="38">
        <v>2.2169162092742112</v>
      </c>
      <c r="I826" s="38">
        <v>6.8232126531664727</v>
      </c>
      <c r="J826" s="10">
        <v>0</v>
      </c>
      <c r="K826" s="39">
        <v>0</v>
      </c>
      <c r="L826" s="39">
        <v>0</v>
      </c>
      <c r="M826" s="39">
        <v>0</v>
      </c>
      <c r="N826" s="39">
        <v>0</v>
      </c>
      <c r="O826" s="39">
        <v>0</v>
      </c>
      <c r="P826" s="39">
        <v>0</v>
      </c>
      <c r="Q826" s="39">
        <v>1</v>
      </c>
      <c r="R826" s="39">
        <v>0</v>
      </c>
      <c r="S826" s="39">
        <v>0</v>
      </c>
      <c r="T826" s="39">
        <v>0</v>
      </c>
      <c r="U826" s="29" cm="1">
        <f t="array" aca="1" ref="U826" ca="1">+fair_value_gap(OFFSET(T825,0,0,-1*$J$5,-1*$AA$1),OFFSET(E825,0,0,-1*$J$5,1),F826:T826,0)</f>
        <v>19.974161075800279</v>
      </c>
      <c r="V826" s="9" cm="1">
        <f t="array" aca="1" ref="V826" ca="1">z_score_diff(OFFSET(U826,0,0,$J$5*-1,1),OFFSET(E826,0,0,$J$5*-1,1))</f>
        <v>0.45265819529538953</v>
      </c>
      <c r="W826" s="9">
        <f t="shared" ca="1" si="846"/>
        <v>8.6746500912571689E-2</v>
      </c>
      <c r="X826" s="17">
        <f t="shared" ca="1" si="841"/>
        <v>0.1876061201855819</v>
      </c>
      <c r="Y826" s="13">
        <f t="shared" ref="Y826:Z826" ca="1" si="898">+Y825</f>
        <v>0</v>
      </c>
      <c r="Z826" s="13">
        <f t="shared" ca="1" si="898"/>
        <v>0</v>
      </c>
      <c r="AA826">
        <f t="shared" ca="1" si="848"/>
        <v>0</v>
      </c>
      <c r="AB826">
        <f t="shared" ca="1" si="849"/>
        <v>1</v>
      </c>
      <c r="AC826" s="24">
        <f t="shared" ca="1" si="850"/>
        <v>0</v>
      </c>
      <c r="AD826" s="24">
        <f t="shared" ca="1" si="851"/>
        <v>0.1876061201855819</v>
      </c>
    </row>
    <row r="827" spans="3:30" x14ac:dyDescent="0.25">
      <c r="C827" s="6">
        <v>921</v>
      </c>
      <c r="D827" s="36">
        <v>43315</v>
      </c>
      <c r="E827" s="38">
        <v>19.515999999999998</v>
      </c>
      <c r="F827" s="38">
        <v>60.369208014683132</v>
      </c>
      <c r="G827" s="38">
        <v>45.07</v>
      </c>
      <c r="H827" s="38">
        <v>2.2319837740984236</v>
      </c>
      <c r="I827" s="38">
        <v>6.9047281666793827</v>
      </c>
      <c r="J827" s="10">
        <v>0</v>
      </c>
      <c r="K827" s="39">
        <v>0</v>
      </c>
      <c r="L827" s="39">
        <v>0</v>
      </c>
      <c r="M827" s="39">
        <v>0</v>
      </c>
      <c r="N827" s="39">
        <v>0</v>
      </c>
      <c r="O827" s="39">
        <v>0</v>
      </c>
      <c r="P827" s="39">
        <v>0</v>
      </c>
      <c r="Q827" s="39">
        <v>1</v>
      </c>
      <c r="R827" s="39">
        <v>0</v>
      </c>
      <c r="S827" s="39">
        <v>0</v>
      </c>
      <c r="T827" s="39">
        <v>0</v>
      </c>
      <c r="U827" s="29" cm="1">
        <f t="array" aca="1" ref="U827" ca="1">+fair_value_gap(OFFSET(T826,0,0,-1*$J$5,-1*$AA$1),OFFSET(E826,0,0,-1*$J$5,1),F827:T827,0)</f>
        <v>19.859941300069963</v>
      </c>
      <c r="V827" s="9" cm="1">
        <f t="array" aca="1" ref="V827" ca="1">z_score_diff(OFFSET(U827,0,0,$J$5*-1,1),OFFSET(E827,0,0,$J$5*-1,1))</f>
        <v>0.17056489282424225</v>
      </c>
      <c r="W827" s="9">
        <f t="shared" ca="1" si="846"/>
        <v>9.8016037008040013E-2</v>
      </c>
      <c r="X827" s="17">
        <f t="shared" ca="1" si="841"/>
        <v>0.17300383989962448</v>
      </c>
      <c r="Y827" s="13">
        <f t="shared" ref="Y827:Z827" ca="1" si="899">+Y826</f>
        <v>0</v>
      </c>
      <c r="Z827" s="13">
        <f t="shared" ca="1" si="899"/>
        <v>0</v>
      </c>
      <c r="AA827">
        <f t="shared" ca="1" si="848"/>
        <v>0</v>
      </c>
      <c r="AB827">
        <f t="shared" ca="1" si="849"/>
        <v>1</v>
      </c>
      <c r="AC827" s="24">
        <f t="shared" ca="1" si="850"/>
        <v>0</v>
      </c>
      <c r="AD827" s="24">
        <f t="shared" ca="1" si="851"/>
        <v>0.17300383989962448</v>
      </c>
    </row>
    <row r="828" spans="3:30" x14ac:dyDescent="0.25">
      <c r="C828" s="6">
        <v>922</v>
      </c>
      <c r="D828" s="36">
        <v>43318</v>
      </c>
      <c r="E828" s="38">
        <v>19.713000000000001</v>
      </c>
      <c r="F828" s="38">
        <v>60.912239700072703</v>
      </c>
      <c r="G828" s="38">
        <v>45.6</v>
      </c>
      <c r="H828" s="38">
        <v>2.2405563362664558</v>
      </c>
      <c r="I828" s="38">
        <v>6.9466480639209154</v>
      </c>
      <c r="J828" s="10">
        <v>0</v>
      </c>
      <c r="K828" s="39">
        <v>0</v>
      </c>
      <c r="L828" s="39">
        <v>0</v>
      </c>
      <c r="M828" s="39">
        <v>0</v>
      </c>
      <c r="N828" s="39">
        <v>0</v>
      </c>
      <c r="O828" s="39">
        <v>0</v>
      </c>
      <c r="P828" s="39">
        <v>0</v>
      </c>
      <c r="Q828" s="39">
        <v>1</v>
      </c>
      <c r="R828" s="39">
        <v>0</v>
      </c>
      <c r="S828" s="39">
        <v>0</v>
      </c>
      <c r="T828" s="39">
        <v>0</v>
      </c>
      <c r="U828" s="29" cm="1">
        <f t="array" aca="1" ref="U828" ca="1">+fair_value_gap(OFFSET(T827,0,0,-1*$J$5,-1*$AA$1),OFFSET(E827,0,0,-1*$J$5,1),F828:T828,0)</f>
        <v>19.960130594009442</v>
      </c>
      <c r="V828" s="9" cm="1">
        <f t="array" aca="1" ref="V828" ca="1">z_score_diff(OFFSET(U828,0,0,$J$5*-1,1),OFFSET(E828,0,0,$J$5*-1,1))</f>
        <v>8.8675168849021491E-2</v>
      </c>
      <c r="W828" s="9">
        <f t="shared" ca="1" si="846"/>
        <v>0.11331565602818564</v>
      </c>
      <c r="X828" s="17">
        <f t="shared" ca="1" si="841"/>
        <v>0.19075744143854217</v>
      </c>
      <c r="Y828" s="13">
        <f t="shared" ref="Y828:Z828" ca="1" si="900">+Y827</f>
        <v>0</v>
      </c>
      <c r="Z828" s="13">
        <f t="shared" ca="1" si="900"/>
        <v>0</v>
      </c>
      <c r="AA828">
        <f t="shared" ca="1" si="848"/>
        <v>0</v>
      </c>
      <c r="AB828">
        <f t="shared" ca="1" si="849"/>
        <v>1</v>
      </c>
      <c r="AC828" s="24">
        <f t="shared" ca="1" si="850"/>
        <v>0</v>
      </c>
      <c r="AD828" s="24">
        <f t="shared" ca="1" si="851"/>
        <v>0.19075744143854217</v>
      </c>
    </row>
    <row r="829" spans="3:30" x14ac:dyDescent="0.25">
      <c r="C829" s="6">
        <v>923</v>
      </c>
      <c r="D829" s="36">
        <v>43319</v>
      </c>
      <c r="E829" s="38">
        <v>19.881</v>
      </c>
      <c r="F829" s="38">
        <v>61.439039581321659</v>
      </c>
      <c r="G829" s="38">
        <v>45.77</v>
      </c>
      <c r="H829" s="38">
        <v>2.246383172608672</v>
      </c>
      <c r="I829" s="38">
        <v>6.9891192121356518</v>
      </c>
      <c r="J829" s="10">
        <v>0</v>
      </c>
      <c r="K829" s="39">
        <v>0</v>
      </c>
      <c r="L829" s="39">
        <v>0</v>
      </c>
      <c r="M829" s="39">
        <v>0</v>
      </c>
      <c r="N829" s="39">
        <v>0</v>
      </c>
      <c r="O829" s="39">
        <v>0</v>
      </c>
      <c r="P829" s="39">
        <v>0</v>
      </c>
      <c r="Q829" s="39">
        <v>1</v>
      </c>
      <c r="R829" s="39">
        <v>0</v>
      </c>
      <c r="S829" s="39">
        <v>0</v>
      </c>
      <c r="T829" s="39">
        <v>0</v>
      </c>
      <c r="U829" s="29" cm="1">
        <f t="array" aca="1" ref="U829" ca="1">+fair_value_gap(OFFSET(T828,0,0,-1*$J$5,-1*$AA$1),OFFSET(E828,0,0,-1*$J$5,1),F829:T829,0)</f>
        <v>20.003984944999011</v>
      </c>
      <c r="V829" s="9" cm="1">
        <f t="array" aca="1" ref="V829" ca="1">z_score_diff(OFFSET(U829,0,0,$J$5*-1,1),OFFSET(E829,0,0,$J$5*-1,1))</f>
        <v>-1.5902383765453942E-2</v>
      </c>
      <c r="W829" s="9">
        <f t="shared" ca="1" si="846"/>
        <v>0.1151173730839323</v>
      </c>
      <c r="X829" s="17">
        <f t="shared" ca="1" si="841"/>
        <v>0.17642758880855797</v>
      </c>
      <c r="Y829" s="13">
        <f t="shared" ref="Y829:Z829" ca="1" si="901">+Y828</f>
        <v>0</v>
      </c>
      <c r="Z829" s="13">
        <f t="shared" ca="1" si="901"/>
        <v>0</v>
      </c>
      <c r="AA829">
        <f t="shared" ca="1" si="848"/>
        <v>0</v>
      </c>
      <c r="AB829">
        <f t="shared" ca="1" si="849"/>
        <v>1</v>
      </c>
      <c r="AC829" s="24">
        <f t="shared" ca="1" si="850"/>
        <v>0</v>
      </c>
      <c r="AD829" s="24">
        <f t="shared" ca="1" si="851"/>
        <v>0.17642758880855797</v>
      </c>
    </row>
    <row r="830" spans="3:30" x14ac:dyDescent="0.25">
      <c r="C830" s="6">
        <v>924</v>
      </c>
      <c r="D830" s="36">
        <v>43320</v>
      </c>
      <c r="E830" s="38">
        <v>19.760999999999999</v>
      </c>
      <c r="F830" s="38">
        <v>59.647227109551999</v>
      </c>
      <c r="G830" s="38">
        <v>45.68</v>
      </c>
      <c r="H830" s="38">
        <v>2.2679808039975251</v>
      </c>
      <c r="I830" s="38">
        <v>6.9726213966786936</v>
      </c>
      <c r="J830" s="10">
        <v>0</v>
      </c>
      <c r="K830" s="39">
        <v>0</v>
      </c>
      <c r="L830" s="39">
        <v>0</v>
      </c>
      <c r="M830" s="39">
        <v>0</v>
      </c>
      <c r="N830" s="39">
        <v>0</v>
      </c>
      <c r="O830" s="39">
        <v>0</v>
      </c>
      <c r="P830" s="39">
        <v>0</v>
      </c>
      <c r="Q830" s="39">
        <v>1</v>
      </c>
      <c r="R830" s="39">
        <v>0</v>
      </c>
      <c r="S830" s="39">
        <v>0</v>
      </c>
      <c r="T830" s="39">
        <v>0</v>
      </c>
      <c r="U830" s="29" cm="1">
        <f t="array" aca="1" ref="U830" ca="1">+fair_value_gap(OFFSET(T829,0,0,-1*$J$5,-1*$AA$1),OFFSET(E829,0,0,-1*$J$5,1),F830:T830,0)</f>
        <v>19.828166694711541</v>
      </c>
      <c r="V830" s="9" cm="1">
        <f t="array" aca="1" ref="V830" ca="1">z_score_diff(OFFSET(U830,0,0,$J$5*-1,1),OFFSET(E830,0,0,$J$5*-1,1))</f>
        <v>-5.7922592626330038E-2</v>
      </c>
      <c r="W830" s="9">
        <f t="shared" ca="1" si="846"/>
        <v>0.11604876159828326</v>
      </c>
      <c r="X830" s="17">
        <f t="shared" ca="1" si="841"/>
        <v>0.20454135699772608</v>
      </c>
      <c r="Y830" s="13">
        <f t="shared" ref="Y830:Z830" ca="1" si="902">+Y829</f>
        <v>0</v>
      </c>
      <c r="Z830" s="13">
        <f t="shared" ca="1" si="902"/>
        <v>0</v>
      </c>
      <c r="AA830">
        <f t="shared" ca="1" si="848"/>
        <v>0</v>
      </c>
      <c r="AB830">
        <f t="shared" ca="1" si="849"/>
        <v>1</v>
      </c>
      <c r="AC830" s="24">
        <f t="shared" ca="1" si="850"/>
        <v>0</v>
      </c>
      <c r="AD830" s="24">
        <f t="shared" ca="1" si="851"/>
        <v>0.20454135699772608</v>
      </c>
    </row>
    <row r="831" spans="3:30" x14ac:dyDescent="0.25">
      <c r="C831" s="6">
        <v>925</v>
      </c>
      <c r="D831" s="36">
        <v>43321</v>
      </c>
      <c r="E831" s="38">
        <v>19.858000000000001</v>
      </c>
      <c r="F831" s="38">
        <v>60.030149671583935</v>
      </c>
      <c r="G831" s="38">
        <v>45.79</v>
      </c>
      <c r="H831" s="38">
        <v>2.291509637127167</v>
      </c>
      <c r="I831" s="38">
        <v>7.0116493485517397</v>
      </c>
      <c r="J831" s="10">
        <v>0</v>
      </c>
      <c r="K831" s="39">
        <v>0</v>
      </c>
      <c r="L831" s="39">
        <v>0</v>
      </c>
      <c r="M831" s="39">
        <v>0</v>
      </c>
      <c r="N831" s="39">
        <v>0</v>
      </c>
      <c r="O831" s="39">
        <v>0</v>
      </c>
      <c r="P831" s="39">
        <v>0</v>
      </c>
      <c r="Q831" s="39">
        <v>1</v>
      </c>
      <c r="R831" s="39">
        <v>0</v>
      </c>
      <c r="S831" s="39">
        <v>0</v>
      </c>
      <c r="T831" s="39">
        <v>0</v>
      </c>
      <c r="U831" s="29" cm="1">
        <f t="array" aca="1" ref="U831" ca="1">+fair_value_gap(OFFSET(T830,0,0,-1*$J$5,-1*$AA$1),OFFSET(E830,0,0,-1*$J$5,1),F831:T831,0)</f>
        <v>19.907862306944239</v>
      </c>
      <c r="V831" s="9" cm="1">
        <f t="array" aca="1" ref="V831" ca="1">z_score_diff(OFFSET(U831,0,0,$J$5*-1,1),OFFSET(E831,0,0,$J$5*-1,1))</f>
        <v>-7.3805690881136865E-2</v>
      </c>
      <c r="W831" s="9">
        <f t="shared" ca="1" si="846"/>
        <v>0.11569047501265722</v>
      </c>
      <c r="X831" s="17">
        <f t="shared" ca="1" si="841"/>
        <v>0.20511515737325822</v>
      </c>
      <c r="Y831" s="13">
        <f t="shared" ref="Y831:Z831" ca="1" si="903">+Y830</f>
        <v>0</v>
      </c>
      <c r="Z831" s="13">
        <f t="shared" ca="1" si="903"/>
        <v>0</v>
      </c>
      <c r="AA831">
        <f t="shared" ca="1" si="848"/>
        <v>0</v>
      </c>
      <c r="AB831">
        <f t="shared" ca="1" si="849"/>
        <v>1</v>
      </c>
      <c r="AC831" s="24">
        <f t="shared" ca="1" si="850"/>
        <v>0</v>
      </c>
      <c r="AD831" s="24">
        <f t="shared" ca="1" si="851"/>
        <v>0.20511515737325822</v>
      </c>
    </row>
    <row r="832" spans="3:30" x14ac:dyDescent="0.25">
      <c r="C832" s="6">
        <v>926</v>
      </c>
      <c r="D832" s="36">
        <v>43322</v>
      </c>
      <c r="E832" s="38">
        <v>19.995000000000001</v>
      </c>
      <c r="F832" s="38">
        <v>61.177238836110476</v>
      </c>
      <c r="G832" s="38">
        <v>46.18</v>
      </c>
      <c r="H832" s="38">
        <v>2.3101953845408221</v>
      </c>
      <c r="I832" s="38">
        <v>7.0997907474846755</v>
      </c>
      <c r="J832" s="10">
        <v>0</v>
      </c>
      <c r="K832" s="39">
        <v>0</v>
      </c>
      <c r="L832" s="39">
        <v>0</v>
      </c>
      <c r="M832" s="39">
        <v>0</v>
      </c>
      <c r="N832" s="39">
        <v>0</v>
      </c>
      <c r="O832" s="39">
        <v>0</v>
      </c>
      <c r="P832" s="39">
        <v>0</v>
      </c>
      <c r="Q832" s="39">
        <v>1</v>
      </c>
      <c r="R832" s="39">
        <v>0</v>
      </c>
      <c r="S832" s="39">
        <v>0</v>
      </c>
      <c r="T832" s="39">
        <v>0</v>
      </c>
      <c r="U832" s="29" cm="1">
        <f t="array" aca="1" ref="U832" ca="1">+fair_value_gap(OFFSET(T831,0,0,-1*$J$5,-1*$AA$1),OFFSET(E831,0,0,-1*$J$5,1),F832:T832,0)</f>
        <v>20.127465494447506</v>
      </c>
      <c r="V832" s="9" cm="1">
        <f t="array" aca="1" ref="V832" ca="1">z_score_diff(OFFSET(U832,0,0,$J$5*-1,1),OFFSET(E832,0,0,$J$5*-1,1))</f>
        <v>-9.4543444004431265E-3</v>
      </c>
      <c r="W832" s="9">
        <f t="shared" ca="1" si="846"/>
        <v>0.12409499055010449</v>
      </c>
      <c r="X832" s="17">
        <f t="shared" ca="1" si="841"/>
        <v>0.20531107501865326</v>
      </c>
      <c r="Y832" s="13">
        <f t="shared" ref="Y832:Z832" ca="1" si="904">+Y831</f>
        <v>0</v>
      </c>
      <c r="Z832" s="13">
        <f t="shared" ca="1" si="904"/>
        <v>0</v>
      </c>
      <c r="AA832">
        <f t="shared" ca="1" si="848"/>
        <v>0</v>
      </c>
      <c r="AB832">
        <f t="shared" ca="1" si="849"/>
        <v>1</v>
      </c>
      <c r="AC832" s="24">
        <f t="shared" ca="1" si="850"/>
        <v>0</v>
      </c>
      <c r="AD832" s="24">
        <f t="shared" ca="1" si="851"/>
        <v>0.20531107501865326</v>
      </c>
    </row>
    <row r="833" spans="3:30" x14ac:dyDescent="0.25">
      <c r="C833" s="6">
        <v>927</v>
      </c>
      <c r="D833" s="36">
        <v>43325</v>
      </c>
      <c r="E833" s="38">
        <v>20.36</v>
      </c>
      <c r="F833" s="38">
        <v>60.93710559796979</v>
      </c>
      <c r="G833" s="38">
        <v>46.98</v>
      </c>
      <c r="H833" s="38">
        <v>2.3176497484750849</v>
      </c>
      <c r="I833" s="38">
        <v>7.1263267843650855</v>
      </c>
      <c r="J833" s="10">
        <v>0</v>
      </c>
      <c r="K833" s="39">
        <v>0</v>
      </c>
      <c r="L833" s="39">
        <v>0</v>
      </c>
      <c r="M833" s="39">
        <v>0</v>
      </c>
      <c r="N833" s="39">
        <v>0</v>
      </c>
      <c r="O833" s="39">
        <v>0</v>
      </c>
      <c r="P833" s="39">
        <v>0</v>
      </c>
      <c r="Q833" s="39">
        <v>1</v>
      </c>
      <c r="R833" s="39">
        <v>0</v>
      </c>
      <c r="S833" s="39">
        <v>0</v>
      </c>
      <c r="T833" s="39">
        <v>0</v>
      </c>
      <c r="U833" s="29" cm="1">
        <f t="array" aca="1" ref="U833" ca="1">+fair_value_gap(OFFSET(T832,0,0,-1*$J$5,-1*$AA$1),OFFSET(E832,0,0,-1*$J$5,1),F833:T833,0)</f>
        <v>20.308090220326172</v>
      </c>
      <c r="V833" s="9" cm="1">
        <f t="array" aca="1" ref="V833" ca="1">z_score_diff(OFFSET(U833,0,0,$J$5*-1,1),OFFSET(E833,0,0,$J$5*-1,1))</f>
        <v>-0.16982730733029205</v>
      </c>
      <c r="W833" s="9">
        <f t="shared" ca="1" si="846"/>
        <v>0.10205278127349025</v>
      </c>
      <c r="X833" s="17">
        <f t="shared" ca="1" si="841"/>
        <v>0.2058634764443929</v>
      </c>
      <c r="Y833" s="13">
        <f t="shared" ref="Y833:Z833" ca="1" si="905">+Y832</f>
        <v>0</v>
      </c>
      <c r="Z833" s="13">
        <f t="shared" ca="1" si="905"/>
        <v>0</v>
      </c>
      <c r="AA833">
        <f t="shared" ca="1" si="848"/>
        <v>0</v>
      </c>
      <c r="AB833">
        <f t="shared" ca="1" si="849"/>
        <v>1</v>
      </c>
      <c r="AC833" s="24">
        <f t="shared" ca="1" si="850"/>
        <v>0</v>
      </c>
      <c r="AD833" s="24">
        <f t="shared" ca="1" si="851"/>
        <v>0.2058634764443929</v>
      </c>
    </row>
    <row r="834" spans="3:30" x14ac:dyDescent="0.25">
      <c r="C834" s="6">
        <v>928</v>
      </c>
      <c r="D834" s="36">
        <v>43326</v>
      </c>
      <c r="E834" s="38">
        <v>20.536000000000001</v>
      </c>
      <c r="F834" s="38">
        <v>61.19224020860058</v>
      </c>
      <c r="G834" s="38">
        <v>47.72</v>
      </c>
      <c r="H834" s="38">
        <v>2.3400049398205085</v>
      </c>
      <c r="I834" s="38">
        <v>7.1789779015676674</v>
      </c>
      <c r="J834" s="10">
        <v>0</v>
      </c>
      <c r="K834" s="39">
        <v>0</v>
      </c>
      <c r="L834" s="39">
        <v>0</v>
      </c>
      <c r="M834" s="39">
        <v>0</v>
      </c>
      <c r="N834" s="39">
        <v>0</v>
      </c>
      <c r="O834" s="39">
        <v>0</v>
      </c>
      <c r="P834" s="39">
        <v>0</v>
      </c>
      <c r="Q834" s="39">
        <v>1</v>
      </c>
      <c r="R834" s="39">
        <v>0</v>
      </c>
      <c r="S834" s="39">
        <v>0</v>
      </c>
      <c r="T834" s="39">
        <v>0</v>
      </c>
      <c r="U834" s="29" cm="1">
        <f t="array" aca="1" ref="U834" ca="1">+fair_value_gap(OFFSET(T833,0,0,-1*$J$5,-1*$AA$1),OFFSET(E833,0,0,-1*$J$5,1),F834:T834,0)</f>
        <v>20.557289584797346</v>
      </c>
      <c r="V834" s="9" cm="1">
        <f t="array" aca="1" ref="V834" ca="1">z_score_diff(OFFSET(U834,0,0,$J$5*-1,1),OFFSET(E834,0,0,$J$5*-1,1))</f>
        <v>-0.11262022050096543</v>
      </c>
      <c r="W834" s="9">
        <f t="shared" ca="1" si="846"/>
        <v>8.777728536370949E-2</v>
      </c>
      <c r="X834" s="17">
        <f t="shared" ca="1" si="841"/>
        <v>0.19981152419950671</v>
      </c>
      <c r="Y834" s="13">
        <f t="shared" ref="Y834:Z834" ca="1" si="906">+Y833</f>
        <v>0</v>
      </c>
      <c r="Z834" s="13">
        <f t="shared" ca="1" si="906"/>
        <v>0</v>
      </c>
      <c r="AA834">
        <f t="shared" ca="1" si="848"/>
        <v>0</v>
      </c>
      <c r="AB834">
        <f t="shared" ca="1" si="849"/>
        <v>1</v>
      </c>
      <c r="AC834" s="24">
        <f t="shared" ca="1" si="850"/>
        <v>0</v>
      </c>
      <c r="AD834" s="24">
        <f t="shared" ca="1" si="851"/>
        <v>0.19981152419950671</v>
      </c>
    </row>
    <row r="835" spans="3:30" x14ac:dyDescent="0.25">
      <c r="C835" s="6">
        <v>929</v>
      </c>
      <c r="D835" s="36">
        <v>43327</v>
      </c>
      <c r="E835" s="38">
        <v>20.347000000000001</v>
      </c>
      <c r="F835" s="38">
        <v>59.952622222450039</v>
      </c>
      <c r="G835" s="38">
        <v>47.6</v>
      </c>
      <c r="H835" s="38">
        <v>2.3338638345929539</v>
      </c>
      <c r="I835" s="38">
        <v>7.0776214749643565</v>
      </c>
      <c r="J835" s="10">
        <v>0</v>
      </c>
      <c r="K835" s="39">
        <v>0</v>
      </c>
      <c r="L835" s="39">
        <v>0</v>
      </c>
      <c r="M835" s="39">
        <v>0</v>
      </c>
      <c r="N835" s="39">
        <v>0</v>
      </c>
      <c r="O835" s="39">
        <v>0</v>
      </c>
      <c r="P835" s="39">
        <v>0</v>
      </c>
      <c r="Q835" s="39">
        <v>1</v>
      </c>
      <c r="R835" s="39">
        <v>0</v>
      </c>
      <c r="S835" s="39">
        <v>0</v>
      </c>
      <c r="T835" s="39">
        <v>0</v>
      </c>
      <c r="U835" s="29" cm="1">
        <f t="array" aca="1" ref="U835" ca="1">+fair_value_gap(OFFSET(T834,0,0,-1*$J$5,-1*$AA$1),OFFSET(E834,0,0,-1*$J$5,1),F835:T835,0)</f>
        <v>20.40486191437429</v>
      </c>
      <c r="V835" s="9" cm="1">
        <f t="array" aca="1" ref="V835" ca="1">z_score_diff(OFFSET(U835,0,0,$J$5*-1,1),OFFSET(E835,0,0,$J$5*-1,1))</f>
        <v>-7.805742838416152E-2</v>
      </c>
      <c r="W835" s="9">
        <f t="shared" ca="1" si="846"/>
        <v>7.6993363928784905E-2</v>
      </c>
      <c r="X835" s="17">
        <f t="shared" ca="1" si="841"/>
        <v>0.1858212659982128</v>
      </c>
      <c r="Y835" s="13">
        <f t="shared" ref="Y835:Z835" ca="1" si="907">+Y834</f>
        <v>0</v>
      </c>
      <c r="Z835" s="13">
        <f t="shared" ca="1" si="907"/>
        <v>0</v>
      </c>
      <c r="AA835">
        <f t="shared" ca="1" si="848"/>
        <v>0</v>
      </c>
      <c r="AB835">
        <f t="shared" ca="1" si="849"/>
        <v>1</v>
      </c>
      <c r="AC835" s="24">
        <f t="shared" ca="1" si="850"/>
        <v>0</v>
      </c>
      <c r="AD835" s="24">
        <f t="shared" ca="1" si="851"/>
        <v>0.1858212659982128</v>
      </c>
    </row>
    <row r="836" spans="3:30" x14ac:dyDescent="0.25">
      <c r="C836" s="6">
        <v>930</v>
      </c>
      <c r="D836" s="36">
        <v>43328</v>
      </c>
      <c r="E836" s="38">
        <v>20.332000000000001</v>
      </c>
      <c r="F836" s="38">
        <v>60.272757890069784</v>
      </c>
      <c r="G836" s="38">
        <v>47.84</v>
      </c>
      <c r="H836" s="38">
        <v>2.3217247097844109</v>
      </c>
      <c r="I836" s="38">
        <v>7.1621327808259476</v>
      </c>
      <c r="J836" s="10">
        <v>0</v>
      </c>
      <c r="K836" s="39">
        <v>0</v>
      </c>
      <c r="L836" s="39">
        <v>0</v>
      </c>
      <c r="M836" s="39">
        <v>0</v>
      </c>
      <c r="N836" s="39">
        <v>0</v>
      </c>
      <c r="O836" s="39">
        <v>0</v>
      </c>
      <c r="P836" s="39">
        <v>0</v>
      </c>
      <c r="Q836" s="39">
        <v>1</v>
      </c>
      <c r="R836" s="39">
        <v>0</v>
      </c>
      <c r="S836" s="39">
        <v>0</v>
      </c>
      <c r="T836" s="39">
        <v>0</v>
      </c>
      <c r="U836" s="29" cm="1">
        <f t="array" aca="1" ref="U836" ca="1">+fair_value_gap(OFFSET(T835,0,0,-1*$J$5,-1*$AA$1),OFFSET(E835,0,0,-1*$J$5,1),F836:T836,0)</f>
        <v>20.476841325741177</v>
      </c>
      <c r="V836" s="9" cm="1">
        <f t="array" aca="1" ref="V836" ca="1">z_score_diff(OFFSET(U836,0,0,$J$5*-1,1),OFFSET(E836,0,0,$J$5*-1,1))</f>
        <v>-6.3221656292398176E-3</v>
      </c>
      <c r="W836" s="9">
        <f t="shared" ca="1" si="846"/>
        <v>7.4273256807381782E-2</v>
      </c>
      <c r="X836" s="17">
        <f t="shared" ca="1" si="841"/>
        <v>0.16789741606106007</v>
      </c>
      <c r="Y836" s="13">
        <f t="shared" ref="Y836:Z836" ca="1" si="908">+Y835</f>
        <v>0</v>
      </c>
      <c r="Z836" s="13">
        <f t="shared" ca="1" si="908"/>
        <v>0</v>
      </c>
      <c r="AA836">
        <f t="shared" ca="1" si="848"/>
        <v>0</v>
      </c>
      <c r="AB836">
        <f t="shared" ca="1" si="849"/>
        <v>1</v>
      </c>
      <c r="AC836" s="24">
        <f t="shared" ca="1" si="850"/>
        <v>0</v>
      </c>
      <c r="AD836" s="24">
        <f t="shared" ca="1" si="851"/>
        <v>0.16789741606106007</v>
      </c>
    </row>
    <row r="837" spans="3:30" x14ac:dyDescent="0.25">
      <c r="C837" s="6">
        <v>931</v>
      </c>
      <c r="D837" s="36">
        <v>43329</v>
      </c>
      <c r="E837" s="38">
        <v>20.399999999999999</v>
      </c>
      <c r="F837" s="38">
        <v>60.075233929705362</v>
      </c>
      <c r="G837" s="38">
        <v>48.12</v>
      </c>
      <c r="H837" s="38">
        <v>2.3153466534296547</v>
      </c>
      <c r="I837" s="38">
        <v>7.1639250170196203</v>
      </c>
      <c r="J837" s="10">
        <v>0</v>
      </c>
      <c r="K837" s="39">
        <v>0</v>
      </c>
      <c r="L837" s="39">
        <v>0</v>
      </c>
      <c r="M837" s="39">
        <v>0</v>
      </c>
      <c r="N837" s="39">
        <v>0</v>
      </c>
      <c r="O837" s="39">
        <v>0</v>
      </c>
      <c r="P837" s="39">
        <v>0</v>
      </c>
      <c r="Q837" s="39">
        <v>1</v>
      </c>
      <c r="R837" s="39">
        <v>0</v>
      </c>
      <c r="S837" s="39">
        <v>0</v>
      </c>
      <c r="T837" s="39">
        <v>0</v>
      </c>
      <c r="U837" s="29" cm="1">
        <f t="array" aca="1" ref="U837" ca="1">+fair_value_gap(OFFSET(T836,0,0,-1*$J$5,-1*$AA$1),OFFSET(E836,0,0,-1*$J$5,1),F837:T837,0)</f>
        <v>20.511600624431299</v>
      </c>
      <c r="V837" s="9" cm="1">
        <f t="array" aca="1" ref="V837" ca="1">z_score_diff(OFFSET(U837,0,0,$J$5*-1,1),OFFSET(E837,0,0,$J$5*-1,1))</f>
        <v>-3.8122442089476127E-2</v>
      </c>
      <c r="W837" s="9">
        <f t="shared" ca="1" si="846"/>
        <v>6.9529622112843414E-2</v>
      </c>
      <c r="X837" s="17">
        <f t="shared" ca="1" si="841"/>
        <v>0.17374732117095174</v>
      </c>
      <c r="Y837" s="13">
        <f t="shared" ref="Y837:Z837" ca="1" si="909">+Y836</f>
        <v>0</v>
      </c>
      <c r="Z837" s="13">
        <f t="shared" ca="1" si="909"/>
        <v>0</v>
      </c>
      <c r="AA837">
        <f t="shared" ca="1" si="848"/>
        <v>0</v>
      </c>
      <c r="AB837">
        <f t="shared" ca="1" si="849"/>
        <v>1</v>
      </c>
      <c r="AC837" s="24">
        <f t="shared" ca="1" si="850"/>
        <v>0</v>
      </c>
      <c r="AD837" s="24">
        <f t="shared" ca="1" si="851"/>
        <v>0.17374732117095174</v>
      </c>
    </row>
    <row r="838" spans="3:30" x14ac:dyDescent="0.25">
      <c r="C838" s="6">
        <v>932</v>
      </c>
      <c r="D838" s="36">
        <v>43332</v>
      </c>
      <c r="E838" s="38">
        <v>20.538</v>
      </c>
      <c r="F838" s="38">
        <v>60.113996200126657</v>
      </c>
      <c r="G838" s="38">
        <v>48.24</v>
      </c>
      <c r="H838" s="38">
        <v>2.3027232425585811</v>
      </c>
      <c r="I838" s="38">
        <v>7.1775385264935609</v>
      </c>
      <c r="J838" s="10">
        <v>0</v>
      </c>
      <c r="K838" s="39">
        <v>0</v>
      </c>
      <c r="L838" s="39">
        <v>0</v>
      </c>
      <c r="M838" s="39">
        <v>0</v>
      </c>
      <c r="N838" s="39">
        <v>0</v>
      </c>
      <c r="O838" s="39">
        <v>0</v>
      </c>
      <c r="P838" s="39">
        <v>0</v>
      </c>
      <c r="Q838" s="39">
        <v>1</v>
      </c>
      <c r="R838" s="39">
        <v>0</v>
      </c>
      <c r="S838" s="39">
        <v>0</v>
      </c>
      <c r="T838" s="39">
        <v>0</v>
      </c>
      <c r="U838" s="29" cm="1">
        <f t="array" aca="1" ref="U838" ca="1">+fair_value_gap(OFFSET(T837,0,0,-1*$J$5,-1*$AA$1),OFFSET(E837,0,0,-1*$J$5,1),F838:T838,0)</f>
        <v>20.520399633771106</v>
      </c>
      <c r="V838" s="9" cm="1">
        <f t="array" aca="1" ref="V838" ca="1">z_score_diff(OFFSET(U838,0,0,$J$5*-1,1),OFFSET(E838,0,0,$J$5*-1,1))</f>
        <v>-0.15244528602149265</v>
      </c>
      <c r="W838" s="9">
        <f t="shared" ca="1" si="846"/>
        <v>6.4809361401108628E-2</v>
      </c>
      <c r="X838" s="17">
        <f t="shared" ca="1" si="841"/>
        <v>0.19791812565799541</v>
      </c>
      <c r="Y838" s="13">
        <f t="shared" ref="Y838:Z838" ca="1" si="910">+Y837</f>
        <v>0</v>
      </c>
      <c r="Z838" s="13">
        <f t="shared" ca="1" si="910"/>
        <v>0</v>
      </c>
      <c r="AA838">
        <f t="shared" ca="1" si="848"/>
        <v>0</v>
      </c>
      <c r="AB838">
        <f t="shared" ca="1" si="849"/>
        <v>1</v>
      </c>
      <c r="AC838" s="24">
        <f t="shared" ca="1" si="850"/>
        <v>0</v>
      </c>
      <c r="AD838" s="24">
        <f t="shared" ca="1" si="851"/>
        <v>0.19791812565799541</v>
      </c>
    </row>
    <row r="839" spans="3:30" x14ac:dyDescent="0.25">
      <c r="C839" s="6">
        <v>933</v>
      </c>
      <c r="D839" s="36">
        <v>43333</v>
      </c>
      <c r="E839" s="38">
        <v>20.576000000000001</v>
      </c>
      <c r="F839" s="38">
        <v>59.684754530626876</v>
      </c>
      <c r="G839" s="38">
        <v>48.95</v>
      </c>
      <c r="H839" s="38">
        <v>2.2898293691570375</v>
      </c>
      <c r="I839" s="38">
        <v>7.1661936699460735</v>
      </c>
      <c r="J839" s="10">
        <v>0</v>
      </c>
      <c r="K839" s="39">
        <v>0</v>
      </c>
      <c r="L839" s="39">
        <v>0</v>
      </c>
      <c r="M839" s="39">
        <v>0</v>
      </c>
      <c r="N839" s="39">
        <v>0</v>
      </c>
      <c r="O839" s="39">
        <v>0</v>
      </c>
      <c r="P839" s="39">
        <v>0</v>
      </c>
      <c r="Q839" s="39">
        <v>1</v>
      </c>
      <c r="R839" s="39">
        <v>0</v>
      </c>
      <c r="S839" s="39">
        <v>0</v>
      </c>
      <c r="T839" s="39">
        <v>0</v>
      </c>
      <c r="U839" s="29" cm="1">
        <f t="array" aca="1" ref="U839" ca="1">+fair_value_gap(OFFSET(T838,0,0,-1*$J$5,-1*$AA$1),OFFSET(E838,0,0,-1*$J$5,1),F839:T839,0)</f>
        <v>20.653920621857388</v>
      </c>
      <c r="V839" s="9" cm="1">
        <f t="array" aca="1" ref="V839" ca="1">z_score_diff(OFFSET(U839,0,0,$J$5*-1,1),OFFSET(E839,0,0,$J$5*-1,1))</f>
        <v>-7.1016216087090189E-2</v>
      </c>
      <c r="W839" s="9">
        <f t="shared" ca="1" si="846"/>
        <v>5.9714602748313445E-2</v>
      </c>
      <c r="X839" s="17">
        <f t="shared" ref="X839:X902" ca="1" si="911">+LN(OFFSET(E839,$X$3,0,1,1)/E839)</f>
        <v>0.18732296098419532</v>
      </c>
      <c r="Y839" s="13">
        <f t="shared" ref="Y839:Z839" ca="1" si="912">+Y838</f>
        <v>0</v>
      </c>
      <c r="Z839" s="13">
        <f t="shared" ca="1" si="912"/>
        <v>0</v>
      </c>
      <c r="AA839">
        <f t="shared" ca="1" si="848"/>
        <v>0</v>
      </c>
      <c r="AB839">
        <f t="shared" ca="1" si="849"/>
        <v>1</v>
      </c>
      <c r="AC839" s="24">
        <f t="shared" ca="1" si="850"/>
        <v>0</v>
      </c>
      <c r="AD839" s="24">
        <f t="shared" ca="1" si="851"/>
        <v>0.18732296098419532</v>
      </c>
    </row>
    <row r="840" spans="3:30" x14ac:dyDescent="0.25">
      <c r="C840" s="6">
        <v>934</v>
      </c>
      <c r="D840" s="36">
        <v>43334</v>
      </c>
      <c r="E840" s="38">
        <v>20.632999999999999</v>
      </c>
      <c r="F840" s="38">
        <v>61.186427920280344</v>
      </c>
      <c r="G840" s="38">
        <v>49.24</v>
      </c>
      <c r="H840" s="38">
        <v>2.2823641579339129</v>
      </c>
      <c r="I840" s="38">
        <v>7.2343165870752459</v>
      </c>
      <c r="J840" s="10">
        <v>0</v>
      </c>
      <c r="K840" s="39">
        <v>0</v>
      </c>
      <c r="L840" s="39">
        <v>0</v>
      </c>
      <c r="M840" s="39">
        <v>0</v>
      </c>
      <c r="N840" s="39">
        <v>0</v>
      </c>
      <c r="O840" s="39">
        <v>0</v>
      </c>
      <c r="P840" s="39">
        <v>0</v>
      </c>
      <c r="Q840" s="39">
        <v>1</v>
      </c>
      <c r="R840" s="39">
        <v>0</v>
      </c>
      <c r="S840" s="39">
        <v>0</v>
      </c>
      <c r="T840" s="39">
        <v>0</v>
      </c>
      <c r="U840" s="29" cm="1">
        <f t="array" aca="1" ref="U840" ca="1">+fair_value_gap(OFFSET(T839,0,0,-1*$J$5,-1*$AA$1),OFFSET(E839,0,0,-1*$J$5,1),F840:T840,0)</f>
        <v>20.866686593862255</v>
      </c>
      <c r="V840" s="9" cm="1">
        <f t="array" aca="1" ref="V840" ca="1">z_score_diff(OFFSET(U840,0,0,$J$5*-1,1),OFFSET(E840,0,0,$J$5*-1,1))</f>
        <v>5.8678814470932039E-2</v>
      </c>
      <c r="W840" s="9">
        <f t="shared" ca="1" si="846"/>
        <v>6.2965685585536627E-2</v>
      </c>
      <c r="X840" s="17">
        <f t="shared" ca="1" si="911"/>
        <v>0.19689202541769074</v>
      </c>
      <c r="Y840" s="13">
        <f t="shared" ref="Y840:Z840" ca="1" si="913">+Y839</f>
        <v>0</v>
      </c>
      <c r="Z840" s="13">
        <f t="shared" ca="1" si="913"/>
        <v>0</v>
      </c>
      <c r="AA840">
        <f t="shared" ca="1" si="848"/>
        <v>0</v>
      </c>
      <c r="AB840">
        <f t="shared" ca="1" si="849"/>
        <v>1</v>
      </c>
      <c r="AC840" s="24">
        <f t="shared" ca="1" si="850"/>
        <v>0</v>
      </c>
      <c r="AD840" s="24">
        <f t="shared" ca="1" si="851"/>
        <v>0.19689202541769074</v>
      </c>
    </row>
    <row r="841" spans="3:30" x14ac:dyDescent="0.25">
      <c r="C841" s="6">
        <v>935</v>
      </c>
      <c r="D841" s="36">
        <v>43335</v>
      </c>
      <c r="E841" s="38">
        <v>20.834</v>
      </c>
      <c r="F841" s="38">
        <v>61.556013704131225</v>
      </c>
      <c r="G841" s="38">
        <v>49.65</v>
      </c>
      <c r="H841" s="38">
        <v>2.3002643035609567</v>
      </c>
      <c r="I841" s="38">
        <v>7.3090940251936898</v>
      </c>
      <c r="J841" s="10">
        <v>0</v>
      </c>
      <c r="K841" s="39">
        <v>0</v>
      </c>
      <c r="L841" s="39">
        <v>0</v>
      </c>
      <c r="M841" s="39">
        <v>0</v>
      </c>
      <c r="N841" s="39">
        <v>0</v>
      </c>
      <c r="O841" s="39">
        <v>0</v>
      </c>
      <c r="P841" s="39">
        <v>0</v>
      </c>
      <c r="Q841" s="39">
        <v>1</v>
      </c>
      <c r="R841" s="39">
        <v>0</v>
      </c>
      <c r="S841" s="39">
        <v>0</v>
      </c>
      <c r="T841" s="39">
        <v>0</v>
      </c>
      <c r="U841" s="29" cm="1">
        <f t="array" aca="1" ref="U841" ca="1">+fair_value_gap(OFFSET(T840,0,0,-1*$J$5,-1*$AA$1),OFFSET(E840,0,0,-1*$J$5,1),F841:T841,0)</f>
        <v>21.01928868623742</v>
      </c>
      <c r="V841" s="9" cm="1">
        <f t="array" aca="1" ref="V841" ca="1">z_score_diff(OFFSET(U841,0,0,$J$5*-1,1),OFFSET(E841,0,0,$J$5*-1,1))</f>
        <v>3.7649028149542296E-3</v>
      </c>
      <c r="W841" s="9">
        <f t="shared" ca="1" si="846"/>
        <v>5.6718960380112191E-2</v>
      </c>
      <c r="X841" s="17">
        <f t="shared" ca="1" si="911"/>
        <v>0.20631853510530485</v>
      </c>
      <c r="Y841" s="13">
        <f t="shared" ref="Y841:Z841" ca="1" si="914">+Y840</f>
        <v>0</v>
      </c>
      <c r="Z841" s="13">
        <f t="shared" ca="1" si="914"/>
        <v>0</v>
      </c>
      <c r="AA841">
        <f t="shared" ca="1" si="848"/>
        <v>0</v>
      </c>
      <c r="AB841">
        <f t="shared" ca="1" si="849"/>
        <v>1</v>
      </c>
      <c r="AC841" s="24">
        <f t="shared" ca="1" si="850"/>
        <v>0</v>
      </c>
      <c r="AD841" s="24">
        <f t="shared" ca="1" si="851"/>
        <v>0.20631853510530485</v>
      </c>
    </row>
    <row r="842" spans="3:30" x14ac:dyDescent="0.25">
      <c r="C842" s="6">
        <v>936</v>
      </c>
      <c r="D842" s="36">
        <v>43336</v>
      </c>
      <c r="E842" s="38">
        <v>21.065000000000001</v>
      </c>
      <c r="F842" s="38">
        <v>63.642192320766981</v>
      </c>
      <c r="G842" s="38">
        <v>50.15</v>
      </c>
      <c r="H842" s="38">
        <v>2.3374198018012593</v>
      </c>
      <c r="I842" s="38">
        <v>7.4873167436196439</v>
      </c>
      <c r="J842" s="10">
        <v>0</v>
      </c>
      <c r="K842" s="39">
        <v>0</v>
      </c>
      <c r="L842" s="39">
        <v>0</v>
      </c>
      <c r="M842" s="39">
        <v>0</v>
      </c>
      <c r="N842" s="39">
        <v>0</v>
      </c>
      <c r="O842" s="39">
        <v>0</v>
      </c>
      <c r="P842" s="39">
        <v>0</v>
      </c>
      <c r="Q842" s="39">
        <v>1</v>
      </c>
      <c r="R842" s="39">
        <v>0</v>
      </c>
      <c r="S842" s="39">
        <v>0</v>
      </c>
      <c r="T842" s="39">
        <v>0</v>
      </c>
      <c r="U842" s="29" cm="1">
        <f t="array" aca="1" ref="U842" ca="1">+fair_value_gap(OFFSET(T841,0,0,-1*$J$5,-1*$AA$1),OFFSET(E841,0,0,-1*$J$5,1),F842:T842,0)</f>
        <v>21.418948202954017</v>
      </c>
      <c r="V842" s="9" cm="1">
        <f t="array" aca="1" ref="V842" ca="1">z_score_diff(OFFSET(U842,0,0,$J$5*-1,1),OFFSET(E842,0,0,$J$5*-1,1))</f>
        <v>0.14858517558630746</v>
      </c>
      <c r="W842" s="9">
        <f t="shared" ca="1" si="846"/>
        <v>6.4838788282515381E-2</v>
      </c>
      <c r="X842" s="17">
        <f t="shared" ca="1" si="911"/>
        <v>0.20245147089323801</v>
      </c>
      <c r="Y842" s="13">
        <f t="shared" ref="Y842:Z842" ca="1" si="915">+Y841</f>
        <v>0</v>
      </c>
      <c r="Z842" s="13">
        <f t="shared" ca="1" si="915"/>
        <v>0</v>
      </c>
      <c r="AA842">
        <f t="shared" ca="1" si="848"/>
        <v>0</v>
      </c>
      <c r="AB842">
        <f t="shared" ca="1" si="849"/>
        <v>1</v>
      </c>
      <c r="AC842" s="24">
        <f t="shared" ca="1" si="850"/>
        <v>0</v>
      </c>
      <c r="AD842" s="24">
        <f t="shared" ca="1" si="851"/>
        <v>0.20245147089323801</v>
      </c>
    </row>
    <row r="843" spans="3:30" x14ac:dyDescent="0.25">
      <c r="C843" s="6">
        <v>937</v>
      </c>
      <c r="D843" s="36">
        <v>43339</v>
      </c>
      <c r="E843" s="38">
        <v>21.486999999999998</v>
      </c>
      <c r="F843" s="38">
        <v>61.665098816099842</v>
      </c>
      <c r="G843" s="38">
        <v>51.22</v>
      </c>
      <c r="H843" s="38">
        <v>2.2301394293798866</v>
      </c>
      <c r="I843" s="38">
        <v>7.2234598047673169</v>
      </c>
      <c r="J843" s="10">
        <v>0</v>
      </c>
      <c r="K843" s="39">
        <v>0</v>
      </c>
      <c r="L843" s="39">
        <v>0</v>
      </c>
      <c r="M843" s="39">
        <v>0</v>
      </c>
      <c r="N843" s="39">
        <v>0</v>
      </c>
      <c r="O843" s="39">
        <v>0</v>
      </c>
      <c r="P843" s="39">
        <v>0</v>
      </c>
      <c r="Q843" s="39">
        <v>1</v>
      </c>
      <c r="R843" s="39">
        <v>0</v>
      </c>
      <c r="S843" s="39">
        <v>0</v>
      </c>
      <c r="T843" s="39">
        <v>0</v>
      </c>
      <c r="U843" s="29" cm="1">
        <f t="array" aca="1" ref="U843" ca="1">+fair_value_gap(OFFSET(T842,0,0,-1*$J$5,-1*$AA$1),OFFSET(E842,0,0,-1*$J$5,1),F843:T843,0)</f>
        <v>21.402154943470379</v>
      </c>
      <c r="V843" s="9" cm="1">
        <f t="array" aca="1" ref="V843" ca="1">z_score_diff(OFFSET(U843,0,0,$J$5*-1,1),OFFSET(E843,0,0,$J$5*-1,1))</f>
        <v>-0.23420166916721152</v>
      </c>
      <c r="W843" s="9">
        <f t="shared" ref="W843:W906" ca="1" si="916">+IF(ISERROR(AVERAGE(OFFSET(V843,0,0,$W$5*-1,1))),"",AVERAGE(OFFSET(V843,0,0,$W$5*-1,1)))</f>
        <v>5.4032188872909288E-2</v>
      </c>
      <c r="X843" s="17">
        <f t="shared" ca="1" si="911"/>
        <v>0.16454136291799268</v>
      </c>
      <c r="Y843" s="13">
        <f t="shared" ref="Y843:Z843" ca="1" si="917">+Y842</f>
        <v>0</v>
      </c>
      <c r="Z843" s="13">
        <f t="shared" ca="1" si="917"/>
        <v>0</v>
      </c>
      <c r="AA843">
        <f t="shared" ref="AA843:AA906" ca="1" si="918">+IF(W843="","",IF(W843&lt;Y843,1,0))</f>
        <v>0</v>
      </c>
      <c r="AB843">
        <f t="shared" ref="AB843:AB906" ca="1" si="919">+IF(W843="","",IF(W843&gt;Z843,1,0))</f>
        <v>1</v>
      </c>
      <c r="AC843" s="24">
        <f t="shared" ref="AC843:AC906" ca="1" si="920">+IF(ISERROR(AA843*X843),"",AA843*X843)</f>
        <v>0</v>
      </c>
      <c r="AD843" s="24">
        <f t="shared" ref="AD843:AD906" ca="1" si="921">+IF(ISERROR(AB843*X843),"",AB843*X843)</f>
        <v>0.16454136291799268</v>
      </c>
    </row>
    <row r="844" spans="3:30" x14ac:dyDescent="0.25">
      <c r="C844" s="6">
        <v>938</v>
      </c>
      <c r="D844" s="36">
        <v>43340</v>
      </c>
      <c r="E844" s="38">
        <v>21.608000000000001</v>
      </c>
      <c r="F844" s="38">
        <v>61.397406633241488</v>
      </c>
      <c r="G844" s="38">
        <v>51.28</v>
      </c>
      <c r="H844" s="38">
        <v>2.2121307346048384</v>
      </c>
      <c r="I844" s="38">
        <v>7.4207534013168299</v>
      </c>
      <c r="J844" s="10">
        <v>0</v>
      </c>
      <c r="K844" s="39">
        <v>0</v>
      </c>
      <c r="L844" s="39">
        <v>0</v>
      </c>
      <c r="M844" s="39">
        <v>0</v>
      </c>
      <c r="N844" s="39">
        <v>0</v>
      </c>
      <c r="O844" s="39">
        <v>0</v>
      </c>
      <c r="P844" s="39">
        <v>0</v>
      </c>
      <c r="Q844" s="39">
        <v>1</v>
      </c>
      <c r="R844" s="39">
        <v>0</v>
      </c>
      <c r="S844" s="39">
        <v>0</v>
      </c>
      <c r="T844" s="39">
        <v>0</v>
      </c>
      <c r="U844" s="29" cm="1">
        <f t="array" aca="1" ref="U844" ca="1">+fair_value_gap(OFFSET(T843,0,0,-1*$J$5,-1*$AA$1),OFFSET(E843,0,0,-1*$J$5,1),F844:T844,0)</f>
        <v>21.416030389331858</v>
      </c>
      <c r="V844" s="9" cm="1">
        <f t="array" aca="1" ref="V844" ca="1">z_score_diff(OFFSET(U844,0,0,$J$5*-1,1),OFFSET(E844,0,0,$J$5*-1,1))</f>
        <v>-0.31340148277730906</v>
      </c>
      <c r="W844" s="9">
        <f t="shared" ca="1" si="916"/>
        <v>4.2494714788987038E-2</v>
      </c>
      <c r="X844" s="17">
        <f t="shared" ca="1" si="911"/>
        <v>0.14288793686063947</v>
      </c>
      <c r="Y844" s="13">
        <f t="shared" ref="Y844:Z844" ca="1" si="922">+Y843</f>
        <v>0</v>
      </c>
      <c r="Z844" s="13">
        <f t="shared" ca="1" si="922"/>
        <v>0</v>
      </c>
      <c r="AA844">
        <f t="shared" ca="1" si="918"/>
        <v>0</v>
      </c>
      <c r="AB844">
        <f t="shared" ca="1" si="919"/>
        <v>1</v>
      </c>
      <c r="AC844" s="24">
        <f t="shared" ca="1" si="920"/>
        <v>0</v>
      </c>
      <c r="AD844" s="24">
        <f t="shared" ca="1" si="921"/>
        <v>0.14288793686063947</v>
      </c>
    </row>
    <row r="845" spans="3:30" x14ac:dyDescent="0.25">
      <c r="C845" s="6">
        <v>939</v>
      </c>
      <c r="D845" s="36">
        <v>43341</v>
      </c>
      <c r="E845" s="38">
        <v>22.003</v>
      </c>
      <c r="F845" s="38">
        <v>62.096161667029726</v>
      </c>
      <c r="G845" s="38">
        <v>51.55</v>
      </c>
      <c r="H845" s="38">
        <v>2.2123362386639509</v>
      </c>
      <c r="I845" s="38">
        <v>7.4959352152410172</v>
      </c>
      <c r="J845" s="10">
        <v>0</v>
      </c>
      <c r="K845" s="39">
        <v>0</v>
      </c>
      <c r="L845" s="39">
        <v>0</v>
      </c>
      <c r="M845" s="39">
        <v>0</v>
      </c>
      <c r="N845" s="39">
        <v>0</v>
      </c>
      <c r="O845" s="39">
        <v>0</v>
      </c>
      <c r="P845" s="39">
        <v>0</v>
      </c>
      <c r="Q845" s="39">
        <v>1</v>
      </c>
      <c r="R845" s="39">
        <v>0</v>
      </c>
      <c r="S845" s="39">
        <v>0</v>
      </c>
      <c r="T845" s="39">
        <v>0</v>
      </c>
      <c r="U845" s="29" cm="1">
        <f t="array" aca="1" ref="U845" ca="1">+fair_value_gap(OFFSET(T844,0,0,-1*$J$5,-1*$AA$1),OFFSET(E844,0,0,-1*$J$5,1),F845:T845,0)</f>
        <v>21.60493362601969</v>
      </c>
      <c r="V845" s="9" cm="1">
        <f t="array" aca="1" ref="V845" ca="1">z_score_diff(OFFSET(U845,0,0,$J$5*-1,1),OFFSET(E845,0,0,$J$5*-1,1))</f>
        <v>-0.47508360244424042</v>
      </c>
      <c r="W845" s="9">
        <f t="shared" ca="1" si="916"/>
        <v>2.7272147538181843E-2</v>
      </c>
      <c r="X845" s="17">
        <f t="shared" ca="1" si="911"/>
        <v>0.10332235402854179</v>
      </c>
      <c r="Y845" s="13">
        <f t="shared" ref="Y845:Z845" ca="1" si="923">+Y844</f>
        <v>0</v>
      </c>
      <c r="Z845" s="13">
        <f t="shared" ca="1" si="923"/>
        <v>0</v>
      </c>
      <c r="AA845">
        <f t="shared" ca="1" si="918"/>
        <v>0</v>
      </c>
      <c r="AB845">
        <f t="shared" ca="1" si="919"/>
        <v>1</v>
      </c>
      <c r="AC845" s="24">
        <f t="shared" ca="1" si="920"/>
        <v>0</v>
      </c>
      <c r="AD845" s="24">
        <f t="shared" ca="1" si="921"/>
        <v>0.10332235402854179</v>
      </c>
    </row>
    <row r="846" spans="3:30" x14ac:dyDescent="0.25">
      <c r="C846" s="6">
        <v>940</v>
      </c>
      <c r="D846" s="36">
        <v>43342</v>
      </c>
      <c r="E846" s="38">
        <v>21.986999999999998</v>
      </c>
      <c r="F846" s="38">
        <v>62.639553329627148</v>
      </c>
      <c r="G846" s="38">
        <v>52.68</v>
      </c>
      <c r="H846" s="38">
        <v>2.2029378598678901</v>
      </c>
      <c r="I846" s="38">
        <v>7.5910363447352616</v>
      </c>
      <c r="J846" s="10">
        <v>0</v>
      </c>
      <c r="K846" s="39">
        <v>0</v>
      </c>
      <c r="L846" s="39">
        <v>0</v>
      </c>
      <c r="M846" s="39">
        <v>0</v>
      </c>
      <c r="N846" s="39">
        <v>0</v>
      </c>
      <c r="O846" s="39">
        <v>0</v>
      </c>
      <c r="P846" s="39">
        <v>0</v>
      </c>
      <c r="Q846" s="39">
        <v>1</v>
      </c>
      <c r="R846" s="39">
        <v>0</v>
      </c>
      <c r="S846" s="39">
        <v>0</v>
      </c>
      <c r="T846" s="39">
        <v>0</v>
      </c>
      <c r="U846" s="29" cm="1">
        <f t="array" aca="1" ref="U846" ca="1">+fair_value_gap(OFFSET(T845,0,0,-1*$J$5,-1*$AA$1),OFFSET(E845,0,0,-1*$J$5,1),F846:T846,0)</f>
        <v>22.046628136197626</v>
      </c>
      <c r="V846" s="9" cm="1">
        <f t="array" aca="1" ref="V846" ca="1">z_score_diff(OFFSET(U846,0,0,$J$5*-1,1),OFFSET(E846,0,0,$J$5*-1,1))</f>
        <v>-5.6354744154281544E-2</v>
      </c>
      <c r="W846" s="9">
        <f t="shared" ca="1" si="916"/>
        <v>2.1409730445604812E-2</v>
      </c>
      <c r="X846" s="17">
        <f t="shared" ca="1" si="911"/>
        <v>8.112318213836496E-2</v>
      </c>
      <c r="Y846" s="13">
        <f t="shared" ref="Y846:Z846" ca="1" si="924">+Y845</f>
        <v>0</v>
      </c>
      <c r="Z846" s="13">
        <f t="shared" ca="1" si="924"/>
        <v>0</v>
      </c>
      <c r="AA846">
        <f t="shared" ca="1" si="918"/>
        <v>0</v>
      </c>
      <c r="AB846">
        <f t="shared" ca="1" si="919"/>
        <v>1</v>
      </c>
      <c r="AC846" s="24">
        <f t="shared" ca="1" si="920"/>
        <v>0</v>
      </c>
      <c r="AD846" s="24">
        <f t="shared" ca="1" si="921"/>
        <v>8.112318213836496E-2</v>
      </c>
    </row>
    <row r="847" spans="3:30" x14ac:dyDescent="0.25">
      <c r="C847" s="6">
        <v>941</v>
      </c>
      <c r="D847" s="36">
        <v>43343</v>
      </c>
      <c r="E847" s="38">
        <v>22.263999999999999</v>
      </c>
      <c r="F847" s="38">
        <v>62.649551148059707</v>
      </c>
      <c r="G847" s="38">
        <v>54.08</v>
      </c>
      <c r="H847" s="38">
        <v>2.2331857079457786</v>
      </c>
      <c r="I847" s="38">
        <v>7.668218140120703</v>
      </c>
      <c r="J847" s="10">
        <v>0</v>
      </c>
      <c r="K847" s="39">
        <v>0</v>
      </c>
      <c r="L847" s="39">
        <v>0</v>
      </c>
      <c r="M847" s="39">
        <v>0</v>
      </c>
      <c r="N847" s="39">
        <v>0</v>
      </c>
      <c r="O847" s="39">
        <v>0</v>
      </c>
      <c r="P847" s="39">
        <v>0</v>
      </c>
      <c r="Q847" s="39">
        <v>1</v>
      </c>
      <c r="R847" s="39">
        <v>0</v>
      </c>
      <c r="S847" s="39">
        <v>0</v>
      </c>
      <c r="T847" s="39">
        <v>0</v>
      </c>
      <c r="U847" s="29" cm="1">
        <f t="array" aca="1" ref="U847" ca="1">+fair_value_gap(OFFSET(T846,0,0,-1*$J$5,-1*$AA$1),OFFSET(E846,0,0,-1*$J$5,1),F847:T847,0)</f>
        <v>22.448399874774513</v>
      </c>
      <c r="V847" s="9" cm="1">
        <f t="array" aca="1" ref="V847" ca="1">z_score_diff(OFFSET(U847,0,0,$J$5*-1,1),OFFSET(E847,0,0,$J$5*-1,1))</f>
        <v>5.7707940010846226E-2</v>
      </c>
      <c r="W847" s="9">
        <f t="shared" ca="1" si="916"/>
        <v>1.9332630818288267E-2</v>
      </c>
      <c r="X847" s="17">
        <f t="shared" ca="1" si="911"/>
        <v>9.7251912145401423E-2</v>
      </c>
      <c r="Y847" s="13">
        <f t="shared" ref="Y847:Z847" ca="1" si="925">+Y846</f>
        <v>0</v>
      </c>
      <c r="Z847" s="13">
        <f t="shared" ca="1" si="925"/>
        <v>0</v>
      </c>
      <c r="AA847">
        <f t="shared" ca="1" si="918"/>
        <v>0</v>
      </c>
      <c r="AB847">
        <f t="shared" ca="1" si="919"/>
        <v>1</v>
      </c>
      <c r="AC847" s="24">
        <f t="shared" ca="1" si="920"/>
        <v>0</v>
      </c>
      <c r="AD847" s="24">
        <f t="shared" ca="1" si="921"/>
        <v>9.7251912145401423E-2</v>
      </c>
    </row>
    <row r="848" spans="3:30" x14ac:dyDescent="0.25">
      <c r="C848" s="6">
        <v>942</v>
      </c>
      <c r="D848" s="36">
        <v>43346</v>
      </c>
      <c r="E848" s="38">
        <v>22.541</v>
      </c>
      <c r="F848" s="38">
        <v>62.591426851013217</v>
      </c>
      <c r="G848" s="38">
        <v>53.34</v>
      </c>
      <c r="H848" s="38">
        <v>2.2284382750953675</v>
      </c>
      <c r="I848" s="38">
        <v>7.6519166070359272</v>
      </c>
      <c r="J848" s="10">
        <v>0</v>
      </c>
      <c r="K848" s="39">
        <v>0</v>
      </c>
      <c r="L848" s="39">
        <v>0</v>
      </c>
      <c r="M848" s="39">
        <v>0</v>
      </c>
      <c r="N848" s="39">
        <v>0</v>
      </c>
      <c r="O848" s="39">
        <v>0</v>
      </c>
      <c r="P848" s="39">
        <v>0</v>
      </c>
      <c r="Q848" s="39">
        <v>0</v>
      </c>
      <c r="R848" s="39">
        <v>1</v>
      </c>
      <c r="S848" s="39">
        <v>0</v>
      </c>
      <c r="T848" s="39">
        <v>0</v>
      </c>
      <c r="U848" s="29" cm="1">
        <f t="array" aca="1" ref="U848" ca="1">+fair_value_gap(OFFSET(T847,0,0,-1*$J$5,-1*$AA$1),OFFSET(E847,0,0,-1*$J$5,1),F848:T848,0)</f>
        <v>23.195985772644505</v>
      </c>
      <c r="V848" s="9" cm="1">
        <f t="array" aca="1" ref="V848" ca="1">z_score_diff(OFFSET(U848,0,0,$J$5*-1,1),OFFSET(E848,0,0,$J$5*-1,1))</f>
        <v>0.44442490919661415</v>
      </c>
      <c r="W848" s="9">
        <f t="shared" ca="1" si="916"/>
        <v>3.0038477098519922E-2</v>
      </c>
      <c r="X848" s="17">
        <f t="shared" ca="1" si="911"/>
        <v>8.6353100245556411E-2</v>
      </c>
      <c r="Y848" s="13">
        <f t="shared" ref="Y848:Z848" ca="1" si="926">+Y847</f>
        <v>0</v>
      </c>
      <c r="Z848" s="13">
        <f t="shared" ca="1" si="926"/>
        <v>0</v>
      </c>
      <c r="AA848">
        <f t="shared" ca="1" si="918"/>
        <v>0</v>
      </c>
      <c r="AB848">
        <f t="shared" ca="1" si="919"/>
        <v>1</v>
      </c>
      <c r="AC848" s="24">
        <f t="shared" ca="1" si="920"/>
        <v>0</v>
      </c>
      <c r="AD848" s="24">
        <f t="shared" ca="1" si="921"/>
        <v>8.6353100245556411E-2</v>
      </c>
    </row>
    <row r="849" spans="3:30" x14ac:dyDescent="0.25">
      <c r="C849" s="6">
        <v>943</v>
      </c>
      <c r="D849" s="36">
        <v>43347</v>
      </c>
      <c r="E849" s="38">
        <v>22.968</v>
      </c>
      <c r="F849" s="38">
        <v>62.81395467584769</v>
      </c>
      <c r="G849" s="38">
        <v>54.42</v>
      </c>
      <c r="H849" s="38">
        <v>2.2031760222125683</v>
      </c>
      <c r="I849" s="38">
        <v>7.8684857936163146</v>
      </c>
      <c r="J849" s="10">
        <v>0</v>
      </c>
      <c r="K849" s="39">
        <v>0</v>
      </c>
      <c r="L849" s="39">
        <v>0</v>
      </c>
      <c r="M849" s="39">
        <v>0</v>
      </c>
      <c r="N849" s="39">
        <v>0</v>
      </c>
      <c r="O849" s="39">
        <v>0</v>
      </c>
      <c r="P849" s="39">
        <v>0</v>
      </c>
      <c r="Q849" s="39">
        <v>0</v>
      </c>
      <c r="R849" s="39">
        <v>1</v>
      </c>
      <c r="S849" s="39">
        <v>0</v>
      </c>
      <c r="T849" s="39">
        <v>0</v>
      </c>
      <c r="U849" s="29" cm="1">
        <f t="array" aca="1" ref="U849" ca="1">+fair_value_gap(OFFSET(T848,0,0,-1*$J$5,-1*$AA$1),OFFSET(E848,0,0,-1*$J$5,1),F849:T849,0)</f>
        <v>23.135557514205885</v>
      </c>
      <c r="V849" s="9" cm="1">
        <f t="array" aca="1" ref="V849" ca="1">z_score_diff(OFFSET(U849,0,0,$J$5*-1,1),OFFSET(E849,0,0,$J$5*-1,1))</f>
        <v>2.9802481178228035E-2</v>
      </c>
      <c r="W849" s="9">
        <f t="shared" ca="1" si="916"/>
        <v>2.8289399036226834E-2</v>
      </c>
      <c r="X849" s="17">
        <f t="shared" ca="1" si="911"/>
        <v>5.7567111611221557E-2</v>
      </c>
      <c r="Y849" s="13">
        <f t="shared" ref="Y849:Z849" ca="1" si="927">+Y848</f>
        <v>0</v>
      </c>
      <c r="Z849" s="13">
        <f t="shared" ca="1" si="927"/>
        <v>0</v>
      </c>
      <c r="AA849">
        <f t="shared" ca="1" si="918"/>
        <v>0</v>
      </c>
      <c r="AB849">
        <f t="shared" ca="1" si="919"/>
        <v>1</v>
      </c>
      <c r="AC849" s="24">
        <f t="shared" ca="1" si="920"/>
        <v>0</v>
      </c>
      <c r="AD849" s="24">
        <f t="shared" ca="1" si="921"/>
        <v>5.7567111611221557E-2</v>
      </c>
    </row>
    <row r="850" spans="3:30" x14ac:dyDescent="0.25">
      <c r="C850" s="6">
        <v>944</v>
      </c>
      <c r="D850" s="36">
        <v>43348</v>
      </c>
      <c r="E850" s="38">
        <v>23.042000000000002</v>
      </c>
      <c r="F850" s="38">
        <v>61.822244178287313</v>
      </c>
      <c r="G850" s="38">
        <v>55.19</v>
      </c>
      <c r="H850" s="38">
        <v>2.1851468330366211</v>
      </c>
      <c r="I850" s="38">
        <v>7.7892195535236013</v>
      </c>
      <c r="J850" s="10">
        <v>0</v>
      </c>
      <c r="K850" s="39">
        <v>0</v>
      </c>
      <c r="L850" s="39">
        <v>0</v>
      </c>
      <c r="M850" s="39">
        <v>0</v>
      </c>
      <c r="N850" s="39">
        <v>0</v>
      </c>
      <c r="O850" s="39">
        <v>0</v>
      </c>
      <c r="P850" s="39">
        <v>0</v>
      </c>
      <c r="Q850" s="39">
        <v>0</v>
      </c>
      <c r="R850" s="39">
        <v>1</v>
      </c>
      <c r="S850" s="39">
        <v>0</v>
      </c>
      <c r="T850" s="39">
        <v>0</v>
      </c>
      <c r="U850" s="29" cm="1">
        <f t="array" aca="1" ref="U850" ca="1">+fair_value_gap(OFFSET(T849,0,0,-1*$J$5,-1*$AA$1),OFFSET(E849,0,0,-1*$J$5,1),F850:T850,0)</f>
        <v>23.152180832414277</v>
      </c>
      <c r="V850" s="9" cm="1">
        <f t="array" aca="1" ref="V850" ca="1">z_score_diff(OFFSET(U850,0,0,$J$5*-1,1),OFFSET(E850,0,0,$J$5*-1,1))</f>
        <v>-1.4375914782001953E-2</v>
      </c>
      <c r="W850" s="9">
        <f t="shared" ca="1" si="916"/>
        <v>2.1668400049059788E-2</v>
      </c>
      <c r="X850" s="17">
        <f t="shared" ca="1" si="911"/>
        <v>4.4104510201687555E-2</v>
      </c>
      <c r="Y850" s="13">
        <f t="shared" ref="Y850:Z850" ca="1" si="928">+Y849</f>
        <v>0</v>
      </c>
      <c r="Z850" s="13">
        <f t="shared" ca="1" si="928"/>
        <v>0</v>
      </c>
      <c r="AA850">
        <f t="shared" ca="1" si="918"/>
        <v>0</v>
      </c>
      <c r="AB850">
        <f t="shared" ca="1" si="919"/>
        <v>1</v>
      </c>
      <c r="AC850" s="24">
        <f t="shared" ca="1" si="920"/>
        <v>0</v>
      </c>
      <c r="AD850" s="24">
        <f t="shared" ca="1" si="921"/>
        <v>4.4104510201687555E-2</v>
      </c>
    </row>
    <row r="851" spans="3:30" x14ac:dyDescent="0.25">
      <c r="C851" s="6">
        <v>945</v>
      </c>
      <c r="D851" s="36">
        <v>43349</v>
      </c>
      <c r="E851" s="38">
        <v>23.303000000000001</v>
      </c>
      <c r="F851" s="38">
        <v>61.346930401757348</v>
      </c>
      <c r="G851" s="38">
        <v>56.59</v>
      </c>
      <c r="H851" s="38">
        <v>2.1716613209104967</v>
      </c>
      <c r="I851" s="38">
        <v>7.7058950096824077</v>
      </c>
      <c r="J851" s="10">
        <v>0</v>
      </c>
      <c r="K851" s="39">
        <v>0</v>
      </c>
      <c r="L851" s="39">
        <v>0</v>
      </c>
      <c r="M851" s="39">
        <v>0</v>
      </c>
      <c r="N851" s="39">
        <v>0</v>
      </c>
      <c r="O851" s="39">
        <v>0</v>
      </c>
      <c r="P851" s="39">
        <v>0</v>
      </c>
      <c r="Q851" s="39">
        <v>0</v>
      </c>
      <c r="R851" s="39">
        <v>1</v>
      </c>
      <c r="S851" s="39">
        <v>0</v>
      </c>
      <c r="T851" s="39">
        <v>0</v>
      </c>
      <c r="U851" s="29" cm="1">
        <f t="array" aca="1" ref="U851" ca="1">+fair_value_gap(OFFSET(T850,0,0,-1*$J$5,-1*$AA$1),OFFSET(E850,0,0,-1*$J$5,1),F851:T851,0)</f>
        <v>23.431893044951273</v>
      </c>
      <c r="V851" s="9" cm="1">
        <f t="array" aca="1" ref="V851" ca="1">z_score_diff(OFFSET(U851,0,0,$J$5*-1,1),OFFSET(E851,0,0,$J$5*-1,1))</f>
        <v>-2.8757213052266195E-4</v>
      </c>
      <c r="W851" s="9">
        <f t="shared" ca="1" si="916"/>
        <v>1.7451934663402505E-2</v>
      </c>
      <c r="X851" s="17">
        <f t="shared" ca="1" si="911"/>
        <v>2.888821916132802E-2</v>
      </c>
      <c r="Y851" s="13">
        <f t="shared" ref="Y851:Z851" ca="1" si="929">+Y850</f>
        <v>0</v>
      </c>
      <c r="Z851" s="13">
        <f t="shared" ca="1" si="929"/>
        <v>0</v>
      </c>
      <c r="AA851">
        <f t="shared" ca="1" si="918"/>
        <v>0</v>
      </c>
      <c r="AB851">
        <f t="shared" ca="1" si="919"/>
        <v>1</v>
      </c>
      <c r="AC851" s="24">
        <f t="shared" ca="1" si="920"/>
        <v>0</v>
      </c>
      <c r="AD851" s="24">
        <f t="shared" ca="1" si="921"/>
        <v>2.888821916132802E-2</v>
      </c>
    </row>
    <row r="852" spans="3:30" x14ac:dyDescent="0.25">
      <c r="C852" s="6">
        <v>946</v>
      </c>
      <c r="D852" s="36">
        <v>43350</v>
      </c>
      <c r="E852" s="38">
        <v>23.626000000000001</v>
      </c>
      <c r="F852" s="38">
        <v>61.950406124920733</v>
      </c>
      <c r="G852" s="38">
        <v>58.19</v>
      </c>
      <c r="H852" s="38">
        <v>2.1841166741036231</v>
      </c>
      <c r="I852" s="38">
        <v>7.7920291483957973</v>
      </c>
      <c r="J852" s="10">
        <v>0</v>
      </c>
      <c r="K852" s="39">
        <v>0</v>
      </c>
      <c r="L852" s="39">
        <v>0</v>
      </c>
      <c r="M852" s="39">
        <v>0</v>
      </c>
      <c r="N852" s="39">
        <v>0</v>
      </c>
      <c r="O852" s="39">
        <v>0</v>
      </c>
      <c r="P852" s="39">
        <v>0</v>
      </c>
      <c r="Q852" s="39">
        <v>0</v>
      </c>
      <c r="R852" s="39">
        <v>1</v>
      </c>
      <c r="S852" s="39">
        <v>0</v>
      </c>
      <c r="T852" s="39">
        <v>0</v>
      </c>
      <c r="U852" s="29" cm="1">
        <f t="array" aca="1" ref="U852" ca="1">+fair_value_gap(OFFSET(T851,0,0,-1*$J$5,-1*$AA$1),OFFSET(E851,0,0,-1*$J$5,1),F852:T852,0)</f>
        <v>23.907641022428781</v>
      </c>
      <c r="V852" s="9" cm="1">
        <f t="array" aca="1" ref="V852" ca="1">z_score_diff(OFFSET(U852,0,0,$J$5*-1,1),OFFSET(E852,0,0,$J$5*-1,1))</f>
        <v>0.11063614710542335</v>
      </c>
      <c r="W852" s="9">
        <f t="shared" ca="1" si="916"/>
        <v>1.7352103278203319E-2</v>
      </c>
      <c r="X852" s="17">
        <f t="shared" ca="1" si="911"/>
        <v>4.5345734939303106E-2</v>
      </c>
      <c r="Y852" s="13">
        <f t="shared" ref="Y852:Z852" ca="1" si="930">+Y851</f>
        <v>0</v>
      </c>
      <c r="Z852" s="13">
        <f t="shared" ca="1" si="930"/>
        <v>0</v>
      </c>
      <c r="AA852">
        <f t="shared" ca="1" si="918"/>
        <v>0</v>
      </c>
      <c r="AB852">
        <f t="shared" ca="1" si="919"/>
        <v>1</v>
      </c>
      <c r="AC852" s="24">
        <f t="shared" ca="1" si="920"/>
        <v>0</v>
      </c>
      <c r="AD852" s="24">
        <f t="shared" ca="1" si="921"/>
        <v>4.5345734939303106E-2</v>
      </c>
    </row>
    <row r="853" spans="3:30" x14ac:dyDescent="0.25">
      <c r="C853" s="6">
        <v>947</v>
      </c>
      <c r="D853" s="36">
        <v>43353</v>
      </c>
      <c r="E853" s="38">
        <v>24.669</v>
      </c>
      <c r="F853" s="38">
        <v>61.928972181258388</v>
      </c>
      <c r="G853" s="38">
        <v>60.45</v>
      </c>
      <c r="H853" s="38">
        <v>2.1848929068266418</v>
      </c>
      <c r="I853" s="38">
        <v>7.9959560681953956</v>
      </c>
      <c r="J853" s="10">
        <v>0</v>
      </c>
      <c r="K853" s="39">
        <v>0</v>
      </c>
      <c r="L853" s="39">
        <v>0</v>
      </c>
      <c r="M853" s="39">
        <v>0</v>
      </c>
      <c r="N853" s="39">
        <v>0</v>
      </c>
      <c r="O853" s="39">
        <v>0</v>
      </c>
      <c r="P853" s="39">
        <v>0</v>
      </c>
      <c r="Q853" s="39">
        <v>0</v>
      </c>
      <c r="R853" s="39">
        <v>1</v>
      </c>
      <c r="S853" s="39">
        <v>0</v>
      </c>
      <c r="T853" s="39">
        <v>0</v>
      </c>
      <c r="U853" s="29" cm="1">
        <f t="array" aca="1" ref="U853" ca="1">+fair_value_gap(OFFSET(T852,0,0,-1*$J$5,-1*$AA$1),OFFSET(E852,0,0,-1*$J$5,1),F853:T853,0)</f>
        <v>24.457835489270661</v>
      </c>
      <c r="V853" s="9" cm="1">
        <f t="array" aca="1" ref="V853" ca="1">z_score_diff(OFFSET(U853,0,0,$J$5*-1,1),OFFSET(E853,0,0,$J$5*-1,1))</f>
        <v>-0.25367223851217346</v>
      </c>
      <c r="W853" s="9">
        <f t="shared" ca="1" si="916"/>
        <v>1.2031581716601606E-2</v>
      </c>
      <c r="X853" s="17">
        <f t="shared" ca="1" si="911"/>
        <v>-1.4330577782641577E-2</v>
      </c>
      <c r="Y853" s="13">
        <f t="shared" ref="Y853:Z853" ca="1" si="931">+Y852</f>
        <v>0</v>
      </c>
      <c r="Z853" s="13">
        <f t="shared" ca="1" si="931"/>
        <v>0</v>
      </c>
      <c r="AA853">
        <f t="shared" ca="1" si="918"/>
        <v>0</v>
      </c>
      <c r="AB853">
        <f t="shared" ca="1" si="919"/>
        <v>1</v>
      </c>
      <c r="AC853" s="24">
        <f t="shared" ca="1" si="920"/>
        <v>0</v>
      </c>
      <c r="AD853" s="24">
        <f t="shared" ca="1" si="921"/>
        <v>-1.4330577782641577E-2</v>
      </c>
    </row>
    <row r="854" spans="3:30" x14ac:dyDescent="0.25">
      <c r="C854" s="6">
        <v>948</v>
      </c>
      <c r="D854" s="36">
        <v>43354</v>
      </c>
      <c r="E854" s="38">
        <v>24.469000000000001</v>
      </c>
      <c r="F854" s="38">
        <v>62.914813776157466</v>
      </c>
      <c r="G854" s="38">
        <v>60.73</v>
      </c>
      <c r="H854" s="38">
        <v>2.1900831964531333</v>
      </c>
      <c r="I854" s="38">
        <v>8.1585606880066237</v>
      </c>
      <c r="J854" s="10">
        <v>0</v>
      </c>
      <c r="K854" s="39">
        <v>0</v>
      </c>
      <c r="L854" s="39">
        <v>0</v>
      </c>
      <c r="M854" s="39">
        <v>0</v>
      </c>
      <c r="N854" s="39">
        <v>0</v>
      </c>
      <c r="O854" s="39">
        <v>0</v>
      </c>
      <c r="P854" s="39">
        <v>0</v>
      </c>
      <c r="Q854" s="39">
        <v>0</v>
      </c>
      <c r="R854" s="39">
        <v>1</v>
      </c>
      <c r="S854" s="39">
        <v>0</v>
      </c>
      <c r="T854" s="39">
        <v>0</v>
      </c>
      <c r="U854" s="29" cm="1">
        <f t="array" aca="1" ref="U854" ca="1">+fair_value_gap(OFFSET(T853,0,0,-1*$J$5,-1*$AA$1),OFFSET(E853,0,0,-1*$J$5,1),F854:T854,0)</f>
        <v>24.704043900775037</v>
      </c>
      <c r="V854" s="9" cm="1">
        <f t="array" aca="1" ref="V854" ca="1">z_score_diff(OFFSET(U854,0,0,$J$5*-1,1),OFFSET(E854,0,0,$J$5*-1,1))</f>
        <v>7.7084507601372643E-2</v>
      </c>
      <c r="W854" s="9">
        <f t="shared" ca="1" si="916"/>
        <v>1.7408795836497851E-2</v>
      </c>
      <c r="X854" s="17">
        <f t="shared" ca="1" si="911"/>
        <v>-1.1839809428087813E-2</v>
      </c>
      <c r="Y854" s="13">
        <f t="shared" ref="Y854:Z854" ca="1" si="932">+Y853</f>
        <v>0</v>
      </c>
      <c r="Z854" s="13">
        <f t="shared" ca="1" si="932"/>
        <v>0</v>
      </c>
      <c r="AA854">
        <f t="shared" ca="1" si="918"/>
        <v>0</v>
      </c>
      <c r="AB854">
        <f t="shared" ca="1" si="919"/>
        <v>1</v>
      </c>
      <c r="AC854" s="24">
        <f t="shared" ca="1" si="920"/>
        <v>0</v>
      </c>
      <c r="AD854" s="24">
        <f t="shared" ca="1" si="921"/>
        <v>-1.1839809428087813E-2</v>
      </c>
    </row>
    <row r="855" spans="3:30" x14ac:dyDescent="0.25">
      <c r="C855" s="6">
        <v>949</v>
      </c>
      <c r="D855" s="36">
        <v>43355</v>
      </c>
      <c r="E855" s="38">
        <v>23.794</v>
      </c>
      <c r="F855" s="38">
        <v>63.402333665714508</v>
      </c>
      <c r="G855" s="38">
        <v>59.97</v>
      </c>
      <c r="H855" s="38">
        <v>2.1950486034575971</v>
      </c>
      <c r="I855" s="38">
        <v>8.2053999028680575</v>
      </c>
      <c r="J855" s="10">
        <v>0</v>
      </c>
      <c r="K855" s="39">
        <v>0</v>
      </c>
      <c r="L855" s="39">
        <v>0</v>
      </c>
      <c r="M855" s="39">
        <v>0</v>
      </c>
      <c r="N855" s="39">
        <v>0</v>
      </c>
      <c r="O855" s="39">
        <v>0</v>
      </c>
      <c r="P855" s="39">
        <v>0</v>
      </c>
      <c r="Q855" s="39">
        <v>0</v>
      </c>
      <c r="R855" s="39">
        <v>1</v>
      </c>
      <c r="S855" s="39">
        <v>0</v>
      </c>
      <c r="T855" s="39">
        <v>0</v>
      </c>
      <c r="U855" s="29" cm="1">
        <f t="array" aca="1" ref="U855" ca="1">+fair_value_gap(OFFSET(T854,0,0,-1*$J$5,-1*$AA$1),OFFSET(E854,0,0,-1*$J$5,1),F855:T855,0)</f>
        <v>24.519366627010825</v>
      </c>
      <c r="V855" s="9" cm="1">
        <f t="array" aca="1" ref="V855" ca="1">z_score_diff(OFFSET(U855,0,0,$J$5*-1,1),OFFSET(E855,0,0,$J$5*-1,1))</f>
        <v>0.40353074582037607</v>
      </c>
      <c r="W855" s="9">
        <f t="shared" ca="1" si="916"/>
        <v>-2.8919806976704971E-3</v>
      </c>
      <c r="X855" s="17">
        <f t="shared" ca="1" si="911"/>
        <v>7.7449992576573198E-3</v>
      </c>
      <c r="Y855" s="13">
        <f t="shared" ref="Y855:Z855" ca="1" si="933">+Y854</f>
        <v>0</v>
      </c>
      <c r="Z855" s="13">
        <f t="shared" ca="1" si="933"/>
        <v>0</v>
      </c>
      <c r="AA855">
        <f t="shared" ca="1" si="918"/>
        <v>1</v>
      </c>
      <c r="AB855">
        <f t="shared" ca="1" si="919"/>
        <v>0</v>
      </c>
      <c r="AC855" s="24">
        <f t="shared" ca="1" si="920"/>
        <v>7.7449992576573198E-3</v>
      </c>
      <c r="AD855" s="24">
        <f t="shared" ca="1" si="921"/>
        <v>0</v>
      </c>
    </row>
    <row r="856" spans="3:30" x14ac:dyDescent="0.25">
      <c r="C856" s="6">
        <v>950</v>
      </c>
      <c r="D856" s="36">
        <v>43356</v>
      </c>
      <c r="E856" s="38">
        <v>23.260999999999999</v>
      </c>
      <c r="F856" s="38">
        <v>61.956318185509332</v>
      </c>
      <c r="G856" s="38">
        <v>56.13</v>
      </c>
      <c r="H856" s="38">
        <v>2.1801133228042668</v>
      </c>
      <c r="I856" s="38">
        <v>7.9962347263630482</v>
      </c>
      <c r="J856" s="10">
        <v>0</v>
      </c>
      <c r="K856" s="39">
        <v>0</v>
      </c>
      <c r="L856" s="39">
        <v>0</v>
      </c>
      <c r="M856" s="39">
        <v>0</v>
      </c>
      <c r="N856" s="39">
        <v>0</v>
      </c>
      <c r="O856" s="39">
        <v>0</v>
      </c>
      <c r="P856" s="39">
        <v>0</v>
      </c>
      <c r="Q856" s="39">
        <v>0</v>
      </c>
      <c r="R856" s="39">
        <v>1</v>
      </c>
      <c r="S856" s="39">
        <v>0</v>
      </c>
      <c r="T856" s="39">
        <v>0</v>
      </c>
      <c r="U856" s="29" cm="1">
        <f t="array" aca="1" ref="U856" ca="1">+fair_value_gap(OFFSET(T855,0,0,-1*$J$5,-1*$AA$1),OFFSET(E855,0,0,-1*$J$5,1),F856:T856,0)</f>
        <v>23.226305685821554</v>
      </c>
      <c r="V856" s="9" cm="1">
        <f t="array" aca="1" ref="V856" ca="1">z_score_diff(OFFSET(U856,0,0,$J$5*-1,1),OFFSET(E856,0,0,$J$5*-1,1))</f>
        <v>-0.13255102207966507</v>
      </c>
      <c r="W856" s="9">
        <f t="shared" ca="1" si="916"/>
        <v>-2.2398954610172318E-2</v>
      </c>
      <c r="X856" s="17">
        <f t="shared" ca="1" si="911"/>
        <v>2.6472508414154661E-2</v>
      </c>
      <c r="Y856" s="13">
        <f t="shared" ref="Y856:Z856" ca="1" si="934">+Y855</f>
        <v>0</v>
      </c>
      <c r="Z856" s="13">
        <f t="shared" ca="1" si="934"/>
        <v>0</v>
      </c>
      <c r="AA856">
        <f t="shared" ca="1" si="918"/>
        <v>1</v>
      </c>
      <c r="AB856">
        <f t="shared" ca="1" si="919"/>
        <v>0</v>
      </c>
      <c r="AC856" s="24">
        <f t="shared" ca="1" si="920"/>
        <v>2.6472508414154661E-2</v>
      </c>
      <c r="AD856" s="24">
        <f t="shared" ca="1" si="921"/>
        <v>0</v>
      </c>
    </row>
    <row r="857" spans="3:30" x14ac:dyDescent="0.25">
      <c r="C857" s="6">
        <v>951</v>
      </c>
      <c r="D857" s="36">
        <v>43357</v>
      </c>
      <c r="E857" s="38">
        <v>23.202000000000002</v>
      </c>
      <c r="F857" s="38">
        <v>62.188619657500368</v>
      </c>
      <c r="G857" s="38">
        <v>54.68</v>
      </c>
      <c r="H857" s="38">
        <v>2.1712298305491289</v>
      </c>
      <c r="I857" s="38">
        <v>8.0369650421170284</v>
      </c>
      <c r="J857" s="10">
        <v>0</v>
      </c>
      <c r="K857" s="39">
        <v>0</v>
      </c>
      <c r="L857" s="39">
        <v>0</v>
      </c>
      <c r="M857" s="39">
        <v>0</v>
      </c>
      <c r="N857" s="39">
        <v>0</v>
      </c>
      <c r="O857" s="39">
        <v>0</v>
      </c>
      <c r="P857" s="39">
        <v>0</v>
      </c>
      <c r="Q857" s="39">
        <v>0</v>
      </c>
      <c r="R857" s="39">
        <v>1</v>
      </c>
      <c r="S857" s="39">
        <v>0</v>
      </c>
      <c r="T857" s="39">
        <v>0</v>
      </c>
      <c r="U857" s="29" cm="1">
        <f t="array" aca="1" ref="U857" ca="1">+fair_value_gap(OFFSET(T856,0,0,-1*$J$5,-1*$AA$1),OFFSET(E856,0,0,-1*$J$5,1),F857:T857,0)</f>
        <v>22.871484996940882</v>
      </c>
      <c r="V857" s="9" cm="1">
        <f t="array" aca="1" ref="V857" ca="1">z_score_diff(OFFSET(U857,0,0,$J$5*-1,1),OFFSET(E857,0,0,$J$5*-1,1))</f>
        <v>-0.32838290498934919</v>
      </c>
      <c r="W857" s="9">
        <f t="shared" ca="1" si="916"/>
        <v>-3.9030547870625362E-2</v>
      </c>
      <c r="X857" s="17">
        <f t="shared" ca="1" si="911"/>
        <v>7.3430281636156199E-3</v>
      </c>
      <c r="Y857" s="13">
        <f t="shared" ref="Y857:Z857" ca="1" si="935">+Y856</f>
        <v>0</v>
      </c>
      <c r="Z857" s="13">
        <f t="shared" ca="1" si="935"/>
        <v>0</v>
      </c>
      <c r="AA857">
        <f t="shared" ca="1" si="918"/>
        <v>1</v>
      </c>
      <c r="AB857">
        <f t="shared" ca="1" si="919"/>
        <v>0</v>
      </c>
      <c r="AC857" s="24">
        <f t="shared" ca="1" si="920"/>
        <v>7.3430281636156199E-3</v>
      </c>
      <c r="AD857" s="24">
        <f t="shared" ca="1" si="921"/>
        <v>0</v>
      </c>
    </row>
    <row r="858" spans="3:30" x14ac:dyDescent="0.25">
      <c r="C858" s="6">
        <v>952</v>
      </c>
      <c r="D858" s="36">
        <v>43360</v>
      </c>
      <c r="E858" s="38">
        <v>23.856000000000002</v>
      </c>
      <c r="F858" s="38">
        <v>62.058001478716101</v>
      </c>
      <c r="G858" s="38">
        <v>57.04</v>
      </c>
      <c r="H858" s="38">
        <v>2.1650260433071518</v>
      </c>
      <c r="I858" s="38">
        <v>8.4959865788278357</v>
      </c>
      <c r="J858" s="10">
        <v>0</v>
      </c>
      <c r="K858" s="39">
        <v>0</v>
      </c>
      <c r="L858" s="39">
        <v>0</v>
      </c>
      <c r="M858" s="39">
        <v>0</v>
      </c>
      <c r="N858" s="39">
        <v>0</v>
      </c>
      <c r="O858" s="39">
        <v>0</v>
      </c>
      <c r="P858" s="39">
        <v>0</v>
      </c>
      <c r="Q858" s="39">
        <v>0</v>
      </c>
      <c r="R858" s="39">
        <v>1</v>
      </c>
      <c r="S858" s="39">
        <v>0</v>
      </c>
      <c r="T858" s="39">
        <v>0</v>
      </c>
      <c r="U858" s="29" cm="1">
        <f t="array" aca="1" ref="U858" ca="1">+fair_value_gap(OFFSET(T857,0,0,-1*$J$5,-1*$AA$1),OFFSET(E857,0,0,-1*$J$5,1),F858:T858,0)</f>
        <v>23.538920439939986</v>
      </c>
      <c r="V858" s="9" cm="1">
        <f t="array" aca="1" ref="V858" ca="1">z_score_diff(OFFSET(U858,0,0,$J$5*-1,1),OFFSET(E858,0,0,$J$5*-1,1))</f>
        <v>-0.30051085796708676</v>
      </c>
      <c r="W858" s="9">
        <f t="shared" ca="1" si="916"/>
        <v>-5.2003415431162305E-2</v>
      </c>
      <c r="X858" s="17">
        <f t="shared" ca="1" si="911"/>
        <v>-1.2358072880146341E-2</v>
      </c>
      <c r="Y858" s="13">
        <f t="shared" ref="Y858:Z858" ca="1" si="936">+Y857</f>
        <v>0</v>
      </c>
      <c r="Z858" s="13">
        <f t="shared" ca="1" si="936"/>
        <v>0</v>
      </c>
      <c r="AA858">
        <f t="shared" ca="1" si="918"/>
        <v>1</v>
      </c>
      <c r="AB858">
        <f t="shared" ca="1" si="919"/>
        <v>0</v>
      </c>
      <c r="AC858" s="24">
        <f t="shared" ca="1" si="920"/>
        <v>-1.2358072880146341E-2</v>
      </c>
      <c r="AD858" s="24">
        <f t="shared" ca="1" si="921"/>
        <v>0</v>
      </c>
    </row>
    <row r="859" spans="3:30" x14ac:dyDescent="0.25">
      <c r="C859" s="6">
        <v>953</v>
      </c>
      <c r="D859" s="36">
        <v>43361</v>
      </c>
      <c r="E859" s="38">
        <v>23.716999999999999</v>
      </c>
      <c r="F859" s="38">
        <v>62.731944640470239</v>
      </c>
      <c r="G859" s="38">
        <v>56.03</v>
      </c>
      <c r="H859" s="38">
        <v>2.1893083379687668</v>
      </c>
      <c r="I859" s="38">
        <v>8.4890700628481763</v>
      </c>
      <c r="J859" s="10">
        <v>0</v>
      </c>
      <c r="K859" s="39">
        <v>0</v>
      </c>
      <c r="L859" s="39">
        <v>0</v>
      </c>
      <c r="M859" s="39">
        <v>0</v>
      </c>
      <c r="N859" s="39">
        <v>0</v>
      </c>
      <c r="O859" s="39">
        <v>0</v>
      </c>
      <c r="P859" s="39">
        <v>0</v>
      </c>
      <c r="Q859" s="39">
        <v>0</v>
      </c>
      <c r="R859" s="39">
        <v>1</v>
      </c>
      <c r="S859" s="39">
        <v>0</v>
      </c>
      <c r="T859" s="39">
        <v>0</v>
      </c>
      <c r="U859" s="29" cm="1">
        <f t="array" aca="1" ref="U859" ca="1">+fair_value_gap(OFFSET(T858,0,0,-1*$J$5,-1*$AA$1),OFFSET(E858,0,0,-1*$J$5,1),F859:T859,0)</f>
        <v>23.400961999015024</v>
      </c>
      <c r="V859" s="9" cm="1">
        <f t="array" aca="1" ref="V859" ca="1">z_score_diff(OFFSET(U859,0,0,$J$5*-1,1),OFFSET(E859,0,0,$J$5*-1,1))</f>
        <v>-0.28223614077147285</v>
      </c>
      <c r="W859" s="9">
        <f t="shared" ca="1" si="916"/>
        <v>-6.0881207331362937E-2</v>
      </c>
      <c r="X859" s="17">
        <f t="shared" ca="1" si="911"/>
        <v>-2.7789065864603949E-2</v>
      </c>
      <c r="Y859" s="13">
        <f t="shared" ref="Y859:Z859" ca="1" si="937">+Y858</f>
        <v>0</v>
      </c>
      <c r="Z859" s="13">
        <f t="shared" ca="1" si="937"/>
        <v>0</v>
      </c>
      <c r="AA859">
        <f t="shared" ca="1" si="918"/>
        <v>1</v>
      </c>
      <c r="AB859">
        <f t="shared" ca="1" si="919"/>
        <v>0</v>
      </c>
      <c r="AC859" s="24">
        <f t="shared" ca="1" si="920"/>
        <v>-2.7789065864603949E-2</v>
      </c>
      <c r="AD859" s="24">
        <f t="shared" ca="1" si="921"/>
        <v>0</v>
      </c>
    </row>
    <row r="860" spans="3:30" x14ac:dyDescent="0.25">
      <c r="C860" s="6">
        <v>954</v>
      </c>
      <c r="D860" s="36">
        <v>43362</v>
      </c>
      <c r="E860" s="38">
        <v>24.245999999999999</v>
      </c>
      <c r="F860" s="38">
        <v>62.91926135374257</v>
      </c>
      <c r="G860" s="38">
        <v>56.6</v>
      </c>
      <c r="H860" s="38">
        <v>2.1749765752618186</v>
      </c>
      <c r="I860" s="38">
        <v>8.5987445998723047</v>
      </c>
      <c r="J860" s="10">
        <v>0</v>
      </c>
      <c r="K860" s="39">
        <v>0</v>
      </c>
      <c r="L860" s="39">
        <v>0</v>
      </c>
      <c r="M860" s="39">
        <v>0</v>
      </c>
      <c r="N860" s="39">
        <v>0</v>
      </c>
      <c r="O860" s="39">
        <v>0</v>
      </c>
      <c r="P860" s="39">
        <v>0</v>
      </c>
      <c r="Q860" s="39">
        <v>0</v>
      </c>
      <c r="R860" s="39">
        <v>1</v>
      </c>
      <c r="S860" s="39">
        <v>0</v>
      </c>
      <c r="T860" s="39">
        <v>0</v>
      </c>
      <c r="U860" s="29" cm="1">
        <f t="array" aca="1" ref="U860" ca="1">+fair_value_gap(OFFSET(T859,0,0,-1*$J$5,-1*$AA$1),OFFSET(E859,0,0,-1*$J$5,1),F860:T860,0)</f>
        <v>23.607477836634445</v>
      </c>
      <c r="V860" s="9" cm="1">
        <f t="array" aca="1" ref="V860" ca="1">z_score_diff(OFFSET(U860,0,0,$J$5*-1,1),OFFSET(E860,0,0,$J$5*-1,1))</f>
        <v>-0.47127444920649264</v>
      </c>
      <c r="W860" s="9">
        <f t="shared" ca="1" si="916"/>
        <v>-7.4659602550701684E-2</v>
      </c>
      <c r="X860" s="17">
        <f t="shared" ca="1" si="911"/>
        <v>-2.7598339656613374E-2</v>
      </c>
      <c r="Y860" s="13">
        <f t="shared" ref="Y860:Z860" ca="1" si="938">+Y859</f>
        <v>0</v>
      </c>
      <c r="Z860" s="13">
        <f t="shared" ca="1" si="938"/>
        <v>0</v>
      </c>
      <c r="AA860">
        <f t="shared" ca="1" si="918"/>
        <v>1</v>
      </c>
      <c r="AB860">
        <f t="shared" ca="1" si="919"/>
        <v>0</v>
      </c>
      <c r="AC860" s="24">
        <f t="shared" ca="1" si="920"/>
        <v>-2.7598339656613374E-2</v>
      </c>
      <c r="AD860" s="24">
        <f t="shared" ca="1" si="921"/>
        <v>0</v>
      </c>
    </row>
    <row r="861" spans="3:30" x14ac:dyDescent="0.25">
      <c r="C861" s="6">
        <v>955</v>
      </c>
      <c r="D861" s="36">
        <v>43363</v>
      </c>
      <c r="E861" s="38">
        <v>24.379000000000001</v>
      </c>
      <c r="F861" s="38">
        <v>61.976538393215478</v>
      </c>
      <c r="G861" s="38">
        <v>59.72</v>
      </c>
      <c r="H861" s="38">
        <v>2.1810214944109272</v>
      </c>
      <c r="I861" s="38">
        <v>8.4666728073003359</v>
      </c>
      <c r="J861" s="10">
        <v>0</v>
      </c>
      <c r="K861" s="39">
        <v>0</v>
      </c>
      <c r="L861" s="39">
        <v>0</v>
      </c>
      <c r="M861" s="39">
        <v>0</v>
      </c>
      <c r="N861" s="39">
        <v>0</v>
      </c>
      <c r="O861" s="39">
        <v>0</v>
      </c>
      <c r="P861" s="39">
        <v>0</v>
      </c>
      <c r="Q861" s="39">
        <v>0</v>
      </c>
      <c r="R861" s="39">
        <v>1</v>
      </c>
      <c r="S861" s="39">
        <v>0</v>
      </c>
      <c r="T861" s="39">
        <v>0</v>
      </c>
      <c r="U861" s="29" cm="1">
        <f t="array" aca="1" ref="U861" ca="1">+fair_value_gap(OFFSET(T860,0,0,-1*$J$5,-1*$AA$1),OFFSET(E860,0,0,-1*$J$5,1),F861:T861,0)</f>
        <v>24.350315474784448</v>
      </c>
      <c r="V861" s="9" cm="1">
        <f t="array" aca="1" ref="V861" ca="1">z_score_diff(OFFSET(U861,0,0,$J$5*-1,1),OFFSET(E861,0,0,$J$5*-1,1))</f>
        <v>-5.2186608202940299E-2</v>
      </c>
      <c r="W861" s="9">
        <f t="shared" ca="1" si="916"/>
        <v>-7.3938966461428474E-2</v>
      </c>
      <c r="X861" s="17">
        <f t="shared" ca="1" si="911"/>
        <v>-6.3284129578378298E-2</v>
      </c>
      <c r="Y861" s="13">
        <f t="shared" ref="Y861:Z861" ca="1" si="939">+Y860</f>
        <v>0</v>
      </c>
      <c r="Z861" s="13">
        <f t="shared" ca="1" si="939"/>
        <v>0</v>
      </c>
      <c r="AA861">
        <f t="shared" ca="1" si="918"/>
        <v>1</v>
      </c>
      <c r="AB861">
        <f t="shared" ca="1" si="919"/>
        <v>0</v>
      </c>
      <c r="AC861" s="24">
        <f t="shared" ca="1" si="920"/>
        <v>-6.3284129578378298E-2</v>
      </c>
      <c r="AD861" s="24">
        <f t="shared" ca="1" si="921"/>
        <v>0</v>
      </c>
    </row>
    <row r="862" spans="3:30" x14ac:dyDescent="0.25">
      <c r="C862" s="6">
        <v>956</v>
      </c>
      <c r="D862" s="36">
        <v>43364</v>
      </c>
      <c r="E862" s="38">
        <v>24.552</v>
      </c>
      <c r="F862" s="38">
        <v>62.14379188381146</v>
      </c>
      <c r="G862" s="38">
        <v>59.09</v>
      </c>
      <c r="H862" s="38">
        <v>2.1821609986518071</v>
      </c>
      <c r="I862" s="38">
        <v>8.4715313693884333</v>
      </c>
      <c r="J862" s="10">
        <v>0</v>
      </c>
      <c r="K862" s="39">
        <v>0</v>
      </c>
      <c r="L862" s="39">
        <v>0</v>
      </c>
      <c r="M862" s="39">
        <v>0</v>
      </c>
      <c r="N862" s="39">
        <v>0</v>
      </c>
      <c r="O862" s="39">
        <v>0</v>
      </c>
      <c r="P862" s="39">
        <v>0</v>
      </c>
      <c r="Q862" s="39">
        <v>0</v>
      </c>
      <c r="R862" s="39">
        <v>1</v>
      </c>
      <c r="S862" s="39">
        <v>0</v>
      </c>
      <c r="T862" s="39">
        <v>0</v>
      </c>
      <c r="U862" s="29" cm="1">
        <f t="array" aca="1" ref="U862" ca="1">+fair_value_gap(OFFSET(T861,0,0,-1*$J$5,-1*$AA$1),OFFSET(E861,0,0,-1*$J$5,1),F862:T862,0)</f>
        <v>24.213671257162567</v>
      </c>
      <c r="V862" s="9" cm="1">
        <f t="array" aca="1" ref="V862" ca="1">z_score_diff(OFFSET(U862,0,0,$J$5*-1,1),OFFSET(E862,0,0,$J$5*-1,1))</f>
        <v>-0.24028094375915021</v>
      </c>
      <c r="W862" s="9">
        <f t="shared" ca="1" si="916"/>
        <v>-8.1633186440052047E-2</v>
      </c>
      <c r="X862" s="17">
        <f t="shared" ca="1" si="911"/>
        <v>-4.9982223363363658E-2</v>
      </c>
      <c r="Y862" s="13">
        <f t="shared" ref="Y862:Z862" ca="1" si="940">+Y861</f>
        <v>0</v>
      </c>
      <c r="Z862" s="13">
        <f t="shared" ca="1" si="940"/>
        <v>0</v>
      </c>
      <c r="AA862">
        <f t="shared" ca="1" si="918"/>
        <v>1</v>
      </c>
      <c r="AB862">
        <f t="shared" ca="1" si="919"/>
        <v>0</v>
      </c>
      <c r="AC862" s="24">
        <f t="shared" ca="1" si="920"/>
        <v>-4.9982223363363658E-2</v>
      </c>
      <c r="AD862" s="24">
        <f t="shared" ca="1" si="921"/>
        <v>0</v>
      </c>
    </row>
    <row r="863" spans="3:30" x14ac:dyDescent="0.25">
      <c r="C863" s="6">
        <v>957</v>
      </c>
      <c r="D863" s="36">
        <v>43367</v>
      </c>
      <c r="E863" s="38">
        <v>25.013999999999999</v>
      </c>
      <c r="F863" s="38">
        <v>63.612591980313802</v>
      </c>
      <c r="G863" s="38">
        <v>60.65</v>
      </c>
      <c r="H863" s="38">
        <v>2.1855239529964012</v>
      </c>
      <c r="I863" s="38">
        <v>8.5830437294334523</v>
      </c>
      <c r="J863" s="10">
        <v>0</v>
      </c>
      <c r="K863" s="39">
        <v>0</v>
      </c>
      <c r="L863" s="39">
        <v>0</v>
      </c>
      <c r="M863" s="39">
        <v>0</v>
      </c>
      <c r="N863" s="39">
        <v>0</v>
      </c>
      <c r="O863" s="39">
        <v>0</v>
      </c>
      <c r="P863" s="39">
        <v>0</v>
      </c>
      <c r="Q863" s="39">
        <v>0</v>
      </c>
      <c r="R863" s="39">
        <v>1</v>
      </c>
      <c r="S863" s="39">
        <v>0</v>
      </c>
      <c r="T863" s="39">
        <v>0</v>
      </c>
      <c r="U863" s="29" cm="1">
        <f t="array" aca="1" ref="U863" ca="1">+fair_value_gap(OFFSET(T862,0,0,-1*$J$5,-1*$AA$1),OFFSET(E862,0,0,-1*$J$5,1),F863:T863,0)</f>
        <v>24.857090840820916</v>
      </c>
      <c r="V863" s="9" cm="1">
        <f t="array" aca="1" ref="V863" ca="1">z_score_diff(OFFSET(U863,0,0,$J$5*-1,1),OFFSET(E863,0,0,$J$5*-1,1))</f>
        <v>-0.10406912320921347</v>
      </c>
      <c r="W863" s="9">
        <f t="shared" ca="1" si="916"/>
        <v>-7.9441246969349427E-2</v>
      </c>
      <c r="X863" s="17">
        <f t="shared" ca="1" si="911"/>
        <v>-7.7484085071745742E-2</v>
      </c>
      <c r="Y863" s="13">
        <f t="shared" ref="Y863:Z863" ca="1" si="941">+Y862</f>
        <v>0</v>
      </c>
      <c r="Z863" s="13">
        <f t="shared" ca="1" si="941"/>
        <v>0</v>
      </c>
      <c r="AA863">
        <f t="shared" ca="1" si="918"/>
        <v>1</v>
      </c>
      <c r="AB863">
        <f t="shared" ca="1" si="919"/>
        <v>0</v>
      </c>
      <c r="AC863" s="24">
        <f t="shared" ca="1" si="920"/>
        <v>-7.7484085071745742E-2</v>
      </c>
      <c r="AD863" s="24">
        <f t="shared" ca="1" si="921"/>
        <v>0</v>
      </c>
    </row>
    <row r="864" spans="3:30" x14ac:dyDescent="0.25">
      <c r="C864" s="6">
        <v>958</v>
      </c>
      <c r="D864" s="36">
        <v>43368</v>
      </c>
      <c r="E864" s="38">
        <v>25.077999999999999</v>
      </c>
      <c r="F864" s="38">
        <v>64.000039490961512</v>
      </c>
      <c r="G864" s="38">
        <v>59.73</v>
      </c>
      <c r="H864" s="38">
        <v>2.1785847097578874</v>
      </c>
      <c r="I864" s="38">
        <v>8.6962388150078826</v>
      </c>
      <c r="J864" s="10">
        <v>0</v>
      </c>
      <c r="K864" s="39">
        <v>0</v>
      </c>
      <c r="L864" s="39">
        <v>0</v>
      </c>
      <c r="M864" s="39">
        <v>0</v>
      </c>
      <c r="N864" s="39">
        <v>0</v>
      </c>
      <c r="O864" s="39">
        <v>0</v>
      </c>
      <c r="P864" s="39">
        <v>0</v>
      </c>
      <c r="Q864" s="39">
        <v>0</v>
      </c>
      <c r="R864" s="39">
        <v>1</v>
      </c>
      <c r="S864" s="39">
        <v>0</v>
      </c>
      <c r="T864" s="39">
        <v>0</v>
      </c>
      <c r="U864" s="29" cm="1">
        <f t="array" aca="1" ref="U864" ca="1">+fair_value_gap(OFFSET(T863,0,0,-1*$J$5,-1*$AA$1),OFFSET(E863,0,0,-1*$J$5,1),F864:T864,0)</f>
        <v>24.696537716578291</v>
      </c>
      <c r="V864" s="9" cm="1">
        <f t="array" aca="1" ref="V864" ca="1">z_score_diff(OFFSET(U864,0,0,$J$5*-1,1),OFFSET(E864,0,0,$J$5*-1,1))</f>
        <v>-0.22577201816578363</v>
      </c>
      <c r="W864" s="9">
        <f t="shared" ca="1" si="916"/>
        <v>-8.3212973558176681E-2</v>
      </c>
      <c r="X864" s="17">
        <f t="shared" ca="1" si="911"/>
        <v>-7.8140458761898637E-2</v>
      </c>
      <c r="Y864" s="13">
        <f t="shared" ref="Y864:Z864" ca="1" si="942">+Y863</f>
        <v>0</v>
      </c>
      <c r="Z864" s="13">
        <f t="shared" ca="1" si="942"/>
        <v>0</v>
      </c>
      <c r="AA864">
        <f t="shared" ca="1" si="918"/>
        <v>1</v>
      </c>
      <c r="AB864">
        <f t="shared" ca="1" si="919"/>
        <v>0</v>
      </c>
      <c r="AC864" s="24">
        <f t="shared" ca="1" si="920"/>
        <v>-7.8140458761898637E-2</v>
      </c>
      <c r="AD864" s="24">
        <f t="shared" ca="1" si="921"/>
        <v>0</v>
      </c>
    </row>
    <row r="865" spans="3:30" x14ac:dyDescent="0.25">
      <c r="C865" s="6">
        <v>959</v>
      </c>
      <c r="D865" s="36">
        <v>43369</v>
      </c>
      <c r="E865" s="38">
        <v>24.501999999999999</v>
      </c>
      <c r="F865" s="38">
        <v>63.858297046152018</v>
      </c>
      <c r="G865" s="38">
        <v>57.14</v>
      </c>
      <c r="H865" s="38">
        <v>2.1862958067291434</v>
      </c>
      <c r="I865" s="38">
        <v>8.6158019824173362</v>
      </c>
      <c r="J865" s="10">
        <v>0</v>
      </c>
      <c r="K865" s="39">
        <v>0</v>
      </c>
      <c r="L865" s="39">
        <v>0</v>
      </c>
      <c r="M865" s="39">
        <v>0</v>
      </c>
      <c r="N865" s="39">
        <v>0</v>
      </c>
      <c r="O865" s="39">
        <v>0</v>
      </c>
      <c r="P865" s="39">
        <v>0</v>
      </c>
      <c r="Q865" s="39">
        <v>0</v>
      </c>
      <c r="R865" s="39">
        <v>1</v>
      </c>
      <c r="S865" s="39">
        <v>0</v>
      </c>
      <c r="T865" s="39">
        <v>0</v>
      </c>
      <c r="U865" s="29" cm="1">
        <f t="array" aca="1" ref="U865" ca="1">+fair_value_gap(OFFSET(T864,0,0,-1*$J$5,-1*$AA$1),OFFSET(E864,0,0,-1*$J$5,1),F865:T865,0)</f>
        <v>24.002234968677001</v>
      </c>
      <c r="V865" s="9" cm="1">
        <f t="array" aca="1" ref="V865" ca="1">z_score_diff(OFFSET(U865,0,0,$J$5*-1,1),OFFSET(E865,0,0,$J$5*-1,1))</f>
        <v>-0.28930696964293645</v>
      </c>
      <c r="W865" s="9">
        <f t="shared" ca="1" si="916"/>
        <v>-9.0254624933469196E-2</v>
      </c>
      <c r="X865" s="17">
        <f t="shared" ca="1" si="911"/>
        <v>-3.9841263176460757E-2</v>
      </c>
      <c r="Y865" s="13">
        <f t="shared" ref="Y865:Z865" ca="1" si="943">+Y864</f>
        <v>0</v>
      </c>
      <c r="Z865" s="13">
        <f t="shared" ca="1" si="943"/>
        <v>0</v>
      </c>
      <c r="AA865">
        <f t="shared" ca="1" si="918"/>
        <v>1</v>
      </c>
      <c r="AB865">
        <f t="shared" ca="1" si="919"/>
        <v>0</v>
      </c>
      <c r="AC865" s="24">
        <f t="shared" ca="1" si="920"/>
        <v>-3.9841263176460757E-2</v>
      </c>
      <c r="AD865" s="24">
        <f t="shared" ca="1" si="921"/>
        <v>0</v>
      </c>
    </row>
    <row r="866" spans="3:30" x14ac:dyDescent="0.25">
      <c r="C866" s="6">
        <v>960</v>
      </c>
      <c r="D866" s="36">
        <v>43370</v>
      </c>
      <c r="E866" s="38">
        <v>24.048999999999999</v>
      </c>
      <c r="F866" s="38">
        <v>64.8796155947215</v>
      </c>
      <c r="G866" s="38">
        <v>58.96</v>
      </c>
      <c r="H866" s="38">
        <v>2.2208567634691927</v>
      </c>
      <c r="I866" s="38">
        <v>8.6140307261478242</v>
      </c>
      <c r="J866" s="10">
        <v>0</v>
      </c>
      <c r="K866" s="39">
        <v>0</v>
      </c>
      <c r="L866" s="39">
        <v>0</v>
      </c>
      <c r="M866" s="39">
        <v>0</v>
      </c>
      <c r="N866" s="39">
        <v>0</v>
      </c>
      <c r="O866" s="39">
        <v>0</v>
      </c>
      <c r="P866" s="39">
        <v>0</v>
      </c>
      <c r="Q866" s="39">
        <v>0</v>
      </c>
      <c r="R866" s="39">
        <v>1</v>
      </c>
      <c r="S866" s="39">
        <v>0</v>
      </c>
      <c r="T866" s="39">
        <v>0</v>
      </c>
      <c r="U866" s="29" cm="1">
        <f t="array" aca="1" ref="U866" ca="1">+fair_value_gap(OFFSET(T865,0,0,-1*$J$5,-1*$AA$1),OFFSET(E865,0,0,-1*$J$5,1),F866:T866,0)</f>
        <v>24.648864793575083</v>
      </c>
      <c r="V866" s="9" cm="1">
        <f t="array" aca="1" ref="V866" ca="1">z_score_diff(OFFSET(U866,0,0,$J$5*-1,1),OFFSET(E866,0,0,$J$5*-1,1))</f>
        <v>0.36542894978265661</v>
      </c>
      <c r="W866" s="9">
        <f t="shared" ca="1" si="916"/>
        <v>-7.7862921086405967E-2</v>
      </c>
      <c r="X866" s="17">
        <f t="shared" ca="1" si="911"/>
        <v>-2.5820113963174011E-2</v>
      </c>
      <c r="Y866" s="13">
        <f t="shared" ref="Y866:Z866" ca="1" si="944">+Y865</f>
        <v>0</v>
      </c>
      <c r="Z866" s="13">
        <f t="shared" ca="1" si="944"/>
        <v>0</v>
      </c>
      <c r="AA866">
        <f t="shared" ca="1" si="918"/>
        <v>1</v>
      </c>
      <c r="AB866">
        <f t="shared" ca="1" si="919"/>
        <v>0</v>
      </c>
      <c r="AC866" s="24">
        <f t="shared" ca="1" si="920"/>
        <v>-2.5820113963174011E-2</v>
      </c>
      <c r="AD866" s="24">
        <f t="shared" ca="1" si="921"/>
        <v>0</v>
      </c>
    </row>
    <row r="867" spans="3:30" x14ac:dyDescent="0.25">
      <c r="C867" s="6">
        <v>961</v>
      </c>
      <c r="D867" s="36">
        <v>43371</v>
      </c>
      <c r="E867" s="38">
        <v>24.271000000000001</v>
      </c>
      <c r="F867" s="38">
        <v>65.928384396003949</v>
      </c>
      <c r="G867" s="38">
        <v>60.56</v>
      </c>
      <c r="H867" s="38">
        <v>2.2348604880001339</v>
      </c>
      <c r="I867" s="38">
        <v>8.5683550426124526</v>
      </c>
      <c r="J867" s="10">
        <v>0</v>
      </c>
      <c r="K867" s="39">
        <v>0</v>
      </c>
      <c r="L867" s="39">
        <v>0</v>
      </c>
      <c r="M867" s="39">
        <v>0</v>
      </c>
      <c r="N867" s="39">
        <v>0</v>
      </c>
      <c r="O867" s="39">
        <v>0</v>
      </c>
      <c r="P867" s="39">
        <v>0</v>
      </c>
      <c r="Q867" s="39">
        <v>0</v>
      </c>
      <c r="R867" s="39">
        <v>1</v>
      </c>
      <c r="S867" s="39">
        <v>0</v>
      </c>
      <c r="T867" s="39">
        <v>0</v>
      </c>
      <c r="U867" s="29" cm="1">
        <f t="array" aca="1" ref="U867" ca="1">+fair_value_gap(OFFSET(T866,0,0,-1*$J$5,-1*$AA$1),OFFSET(E866,0,0,-1*$J$5,1),F867:T867,0)</f>
        <v>25.156708227614335</v>
      </c>
      <c r="V867" s="9" cm="1">
        <f t="array" aca="1" ref="V867" ca="1">z_score_diff(OFFSET(U867,0,0,$J$5*-1,1),OFFSET(E867,0,0,$J$5*-1,1))</f>
        <v>0.50908097297989041</v>
      </c>
      <c r="W867" s="9">
        <f t="shared" ca="1" si="916"/>
        <v>-5.9622807250760433E-2</v>
      </c>
      <c r="X867" s="17">
        <f t="shared" ca="1" si="911"/>
        <v>-3.5521084242221314E-2</v>
      </c>
      <c r="Y867" s="13">
        <f t="shared" ref="Y867:Z867" ca="1" si="945">+Y866</f>
        <v>0</v>
      </c>
      <c r="Z867" s="13">
        <f t="shared" ca="1" si="945"/>
        <v>0</v>
      </c>
      <c r="AA867">
        <f t="shared" ca="1" si="918"/>
        <v>1</v>
      </c>
      <c r="AB867">
        <f t="shared" ca="1" si="919"/>
        <v>0</v>
      </c>
      <c r="AC867" s="24">
        <f t="shared" ca="1" si="920"/>
        <v>-3.5521084242221314E-2</v>
      </c>
      <c r="AD867" s="24">
        <f t="shared" ca="1" si="921"/>
        <v>0</v>
      </c>
    </row>
    <row r="868" spans="3:30" x14ac:dyDescent="0.25">
      <c r="C868" s="6">
        <v>962</v>
      </c>
      <c r="D868" s="36">
        <v>43374</v>
      </c>
      <c r="E868" s="38">
        <v>25.033000000000001</v>
      </c>
      <c r="F868" s="38">
        <v>67.453865284540939</v>
      </c>
      <c r="G868" s="38">
        <v>60.71</v>
      </c>
      <c r="H868" s="38">
        <v>2.250412756797425</v>
      </c>
      <c r="I868" s="38">
        <v>8.6146000961357601</v>
      </c>
      <c r="J868" s="10">
        <v>0</v>
      </c>
      <c r="K868" s="39">
        <v>0</v>
      </c>
      <c r="L868" s="39">
        <v>0</v>
      </c>
      <c r="M868" s="39">
        <v>0</v>
      </c>
      <c r="N868" s="39">
        <v>0</v>
      </c>
      <c r="O868" s="39">
        <v>0</v>
      </c>
      <c r="P868" s="39">
        <v>0</v>
      </c>
      <c r="Q868" s="39">
        <v>0</v>
      </c>
      <c r="R868" s="39">
        <v>0</v>
      </c>
      <c r="S868" s="39">
        <v>1</v>
      </c>
      <c r="T868" s="39">
        <v>0</v>
      </c>
      <c r="U868" s="29" cm="1">
        <f t="array" aca="1" ref="U868" ca="1">+fair_value_gap(OFFSET(T867,0,0,-1*$J$5,-1*$AA$1),OFFSET(E867,0,0,-1*$J$5,1),F868:T868,0)</f>
        <v>25.745681709882138</v>
      </c>
      <c r="V868" s="9" cm="1">
        <f t="array" aca="1" ref="V868" ca="1">z_score_diff(OFFSET(U868,0,0,$J$5*-1,1),OFFSET(E868,0,0,$J$5*-1,1))</f>
        <v>0.38189857854522424</v>
      </c>
      <c r="W868" s="9">
        <f t="shared" ca="1" si="916"/>
        <v>-4.1811345098536533E-2</v>
      </c>
      <c r="X868" s="17">
        <f t="shared" ca="1" si="911"/>
        <v>-2.6883121697172149E-2</v>
      </c>
      <c r="Y868" s="13">
        <f t="shared" ref="Y868:Z868" ca="1" si="946">+Y867</f>
        <v>0</v>
      </c>
      <c r="Z868" s="13">
        <f t="shared" ca="1" si="946"/>
        <v>0</v>
      </c>
      <c r="AA868">
        <f t="shared" ca="1" si="918"/>
        <v>1</v>
      </c>
      <c r="AB868">
        <f t="shared" ca="1" si="919"/>
        <v>0</v>
      </c>
      <c r="AC868" s="24">
        <f t="shared" ca="1" si="920"/>
        <v>-2.6883121697172149E-2</v>
      </c>
      <c r="AD868" s="24">
        <f t="shared" ca="1" si="921"/>
        <v>0</v>
      </c>
    </row>
    <row r="869" spans="3:30" x14ac:dyDescent="0.25">
      <c r="C869" s="6">
        <v>963</v>
      </c>
      <c r="D869" s="36">
        <v>43375</v>
      </c>
      <c r="E869" s="38">
        <v>24.815000000000001</v>
      </c>
      <c r="F869" s="38">
        <v>67.667597179957923</v>
      </c>
      <c r="G869" s="38">
        <v>61.54</v>
      </c>
      <c r="H869" s="38">
        <v>2.2785001131705354</v>
      </c>
      <c r="I869" s="38">
        <v>8.6764077157156141</v>
      </c>
      <c r="J869" s="10">
        <v>0</v>
      </c>
      <c r="K869" s="39">
        <v>0</v>
      </c>
      <c r="L869" s="39">
        <v>0</v>
      </c>
      <c r="M869" s="39">
        <v>0</v>
      </c>
      <c r="N869" s="39">
        <v>0</v>
      </c>
      <c r="O869" s="39">
        <v>0</v>
      </c>
      <c r="P869" s="39">
        <v>0</v>
      </c>
      <c r="Q869" s="39">
        <v>0</v>
      </c>
      <c r="R869" s="39">
        <v>0</v>
      </c>
      <c r="S869" s="39">
        <v>1</v>
      </c>
      <c r="T869" s="39">
        <v>0</v>
      </c>
      <c r="U869" s="29" cm="1">
        <f t="array" aca="1" ref="U869" ca="1">+fair_value_gap(OFFSET(T868,0,0,-1*$J$5,-1*$AA$1),OFFSET(E868,0,0,-1*$J$5,1),F869:T869,0)</f>
        <v>25.554261057837024</v>
      </c>
      <c r="V869" s="9" cm="1">
        <f t="array" aca="1" ref="V869" ca="1">z_score_diff(OFFSET(U869,0,0,$J$5*-1,1),OFFSET(E869,0,0,$J$5*-1,1))</f>
        <v>0.37040218202289932</v>
      </c>
      <c r="W869" s="9">
        <f t="shared" ca="1" si="916"/>
        <v>-2.7097398494870212E-2</v>
      </c>
      <c r="X869" s="17">
        <f t="shared" ca="1" si="911"/>
        <v>-2.4352150707229646E-2</v>
      </c>
      <c r="Y869" s="13">
        <f t="shared" ref="Y869:Z869" ca="1" si="947">+Y868</f>
        <v>0</v>
      </c>
      <c r="Z869" s="13">
        <f t="shared" ca="1" si="947"/>
        <v>0</v>
      </c>
      <c r="AA869">
        <f t="shared" ca="1" si="918"/>
        <v>1</v>
      </c>
      <c r="AB869">
        <f t="shared" ca="1" si="919"/>
        <v>0</v>
      </c>
      <c r="AC869" s="24">
        <f t="shared" ca="1" si="920"/>
        <v>-2.4352150707229646E-2</v>
      </c>
      <c r="AD869" s="24">
        <f t="shared" ca="1" si="921"/>
        <v>0</v>
      </c>
    </row>
    <row r="870" spans="3:30" x14ac:dyDescent="0.25">
      <c r="C870" s="6">
        <v>964</v>
      </c>
      <c r="D870" s="36">
        <v>43376</v>
      </c>
      <c r="E870" s="38">
        <v>25.123000000000001</v>
      </c>
      <c r="F870" s="38">
        <v>69.185153572823211</v>
      </c>
      <c r="G870" s="38">
        <v>61.22</v>
      </c>
      <c r="H870" s="38">
        <v>2.3016735840574736</v>
      </c>
      <c r="I870" s="38">
        <v>8.737756808660837</v>
      </c>
      <c r="J870" s="10">
        <v>0</v>
      </c>
      <c r="K870" s="39">
        <v>0</v>
      </c>
      <c r="L870" s="39">
        <v>0</v>
      </c>
      <c r="M870" s="39">
        <v>0</v>
      </c>
      <c r="N870" s="39">
        <v>0</v>
      </c>
      <c r="O870" s="39">
        <v>0</v>
      </c>
      <c r="P870" s="39">
        <v>0</v>
      </c>
      <c r="Q870" s="39">
        <v>0</v>
      </c>
      <c r="R870" s="39">
        <v>0</v>
      </c>
      <c r="S870" s="39">
        <v>1</v>
      </c>
      <c r="T870" s="39">
        <v>0</v>
      </c>
      <c r="U870" s="29" cm="1">
        <f t="array" aca="1" ref="U870" ca="1">+fair_value_gap(OFFSET(T869,0,0,-1*$J$5,-1*$AA$1),OFFSET(E869,0,0,-1*$J$5,1),F870:T870,0)</f>
        <v>25.370328849450615</v>
      </c>
      <c r="V870" s="9" cm="1">
        <f t="array" aca="1" ref="V870" ca="1">z_score_diff(OFFSET(U870,0,0,$J$5*-1,1),OFFSET(E870,0,0,$J$5*-1,1))</f>
        <v>8.4594172768473808E-2</v>
      </c>
      <c r="W870" s="9">
        <f t="shared" ca="1" si="916"/>
        <v>-2.6233553218285487E-2</v>
      </c>
      <c r="X870" s="17">
        <f t="shared" ca="1" si="911"/>
        <v>-5.6411779219698401E-2</v>
      </c>
      <c r="Y870" s="13">
        <f t="shared" ref="Y870:Z870" ca="1" si="948">+Y869</f>
        <v>0</v>
      </c>
      <c r="Z870" s="13">
        <f t="shared" ca="1" si="948"/>
        <v>0</v>
      </c>
      <c r="AA870">
        <f t="shared" ca="1" si="918"/>
        <v>1</v>
      </c>
      <c r="AB870">
        <f t="shared" ca="1" si="919"/>
        <v>0</v>
      </c>
      <c r="AC870" s="24">
        <f t="shared" ca="1" si="920"/>
        <v>-5.6411779219698401E-2</v>
      </c>
      <c r="AD870" s="24">
        <f t="shared" ca="1" si="921"/>
        <v>0</v>
      </c>
    </row>
    <row r="871" spans="3:30" x14ac:dyDescent="0.25">
      <c r="C871" s="6">
        <v>965</v>
      </c>
      <c r="D871" s="36">
        <v>43377</v>
      </c>
      <c r="E871" s="38">
        <v>25.608000000000001</v>
      </c>
      <c r="F871" s="38">
        <v>67.83458815975041</v>
      </c>
      <c r="G871" s="38">
        <v>62.07</v>
      </c>
      <c r="H871" s="38">
        <v>2.2902893412875716</v>
      </c>
      <c r="I871" s="38">
        <v>8.7787420806417185</v>
      </c>
      <c r="J871" s="10">
        <v>0</v>
      </c>
      <c r="K871" s="39">
        <v>0</v>
      </c>
      <c r="L871" s="39">
        <v>0</v>
      </c>
      <c r="M871" s="39">
        <v>0</v>
      </c>
      <c r="N871" s="39">
        <v>0</v>
      </c>
      <c r="O871" s="39">
        <v>0</v>
      </c>
      <c r="P871" s="39">
        <v>0</v>
      </c>
      <c r="Q871" s="39">
        <v>0</v>
      </c>
      <c r="R871" s="39">
        <v>0</v>
      </c>
      <c r="S871" s="39">
        <v>1</v>
      </c>
      <c r="T871" s="39">
        <v>0</v>
      </c>
      <c r="U871" s="29" cm="1">
        <f t="array" aca="1" ref="U871" ca="1">+fair_value_gap(OFFSET(T870,0,0,-1*$J$5,-1*$AA$1),OFFSET(E870,0,0,-1*$J$5,1),F871:T871,0)</f>
        <v>25.378029631423679</v>
      </c>
      <c r="V871" s="9" cm="1">
        <f t="array" aca="1" ref="V871" ca="1">z_score_diff(OFFSET(U871,0,0,$J$5*-1,1),OFFSET(E871,0,0,$J$5*-1,1))</f>
        <v>-0.16966357909690855</v>
      </c>
      <c r="W871" s="9">
        <f t="shared" ca="1" si="916"/>
        <v>-3.2014502615347579E-2</v>
      </c>
      <c r="X871" s="17">
        <f t="shared" ca="1" si="911"/>
        <v>-6.8984503601223227E-2</v>
      </c>
      <c r="Y871" s="13">
        <f t="shared" ref="Y871:Z871" ca="1" si="949">+Y870</f>
        <v>0</v>
      </c>
      <c r="Z871" s="13">
        <f t="shared" ca="1" si="949"/>
        <v>0</v>
      </c>
      <c r="AA871">
        <f t="shared" ca="1" si="918"/>
        <v>1</v>
      </c>
      <c r="AB871">
        <f t="shared" ca="1" si="919"/>
        <v>0</v>
      </c>
      <c r="AC871" s="24">
        <f t="shared" ca="1" si="920"/>
        <v>-6.8984503601223227E-2</v>
      </c>
      <c r="AD871" s="24">
        <f t="shared" ca="1" si="921"/>
        <v>0</v>
      </c>
    </row>
    <row r="872" spans="3:30" x14ac:dyDescent="0.25">
      <c r="C872" s="6">
        <v>966</v>
      </c>
      <c r="D872" s="36">
        <v>43378</v>
      </c>
      <c r="E872" s="38">
        <v>25.792000000000002</v>
      </c>
      <c r="F872" s="38">
        <v>67.864905084871026</v>
      </c>
      <c r="G872" s="38">
        <v>62.56</v>
      </c>
      <c r="H872" s="38">
        <v>2.2968755773681755</v>
      </c>
      <c r="I872" s="38">
        <v>8.8137876360069463</v>
      </c>
      <c r="J872" s="10">
        <v>0</v>
      </c>
      <c r="K872" s="39">
        <v>0</v>
      </c>
      <c r="L872" s="39">
        <v>0</v>
      </c>
      <c r="M872" s="39">
        <v>0</v>
      </c>
      <c r="N872" s="39">
        <v>0</v>
      </c>
      <c r="O872" s="39">
        <v>0</v>
      </c>
      <c r="P872" s="39">
        <v>0</v>
      </c>
      <c r="Q872" s="39">
        <v>0</v>
      </c>
      <c r="R872" s="39">
        <v>0</v>
      </c>
      <c r="S872" s="39">
        <v>1</v>
      </c>
      <c r="T872" s="39">
        <v>0</v>
      </c>
      <c r="U872" s="29" cm="1">
        <f t="array" aca="1" ref="U872" ca="1">+fair_value_gap(OFFSET(T871,0,0,-1*$J$5,-1*$AA$1),OFFSET(E871,0,0,-1*$J$5,1),F872:T872,0)</f>
        <v>25.569130432785585</v>
      </c>
      <c r="V872" s="9" cm="1">
        <f t="array" aca="1" ref="V872" ca="1">z_score_diff(OFFSET(U872,0,0,$J$5*-1,1),OFFSET(E872,0,0,$J$5*-1,1))</f>
        <v>-0.15426756067384817</v>
      </c>
      <c r="W872" s="9">
        <f t="shared" ca="1" si="916"/>
        <v>-4.2109593824019437E-2</v>
      </c>
      <c r="X872" s="17">
        <f t="shared" ca="1" si="911"/>
        <v>-9.0768708904861189E-2</v>
      </c>
      <c r="Y872" s="13">
        <f t="shared" ref="Y872:Z872" ca="1" si="950">+Y871</f>
        <v>0</v>
      </c>
      <c r="Z872" s="13">
        <f t="shared" ca="1" si="950"/>
        <v>0</v>
      </c>
      <c r="AA872">
        <f t="shared" ca="1" si="918"/>
        <v>1</v>
      </c>
      <c r="AB872">
        <f t="shared" ca="1" si="919"/>
        <v>0</v>
      </c>
      <c r="AC872" s="24">
        <f t="shared" ca="1" si="920"/>
        <v>-9.0768708904861189E-2</v>
      </c>
      <c r="AD872" s="24">
        <f t="shared" ca="1" si="921"/>
        <v>0</v>
      </c>
    </row>
    <row r="873" spans="3:30" x14ac:dyDescent="0.25">
      <c r="C873" s="6">
        <v>967</v>
      </c>
      <c r="D873" s="36">
        <v>43381</v>
      </c>
      <c r="E873" s="38">
        <v>25.33</v>
      </c>
      <c r="F873" s="38">
        <v>67.931075140224692</v>
      </c>
      <c r="G873" s="38">
        <v>62.94</v>
      </c>
      <c r="H873" s="38">
        <v>2.3219188465360707</v>
      </c>
      <c r="I873" s="38">
        <v>8.7419360272195927</v>
      </c>
      <c r="J873" s="10">
        <v>0</v>
      </c>
      <c r="K873" s="39">
        <v>0</v>
      </c>
      <c r="L873" s="39">
        <v>0</v>
      </c>
      <c r="M873" s="39">
        <v>0</v>
      </c>
      <c r="N873" s="39">
        <v>0</v>
      </c>
      <c r="O873" s="39">
        <v>0</v>
      </c>
      <c r="P873" s="39">
        <v>0</v>
      </c>
      <c r="Q873" s="39">
        <v>0</v>
      </c>
      <c r="R873" s="39">
        <v>0</v>
      </c>
      <c r="S873" s="39">
        <v>1</v>
      </c>
      <c r="T873" s="39">
        <v>0</v>
      </c>
      <c r="U873" s="29" cm="1">
        <f t="array" aca="1" ref="U873" ca="1">+fair_value_gap(OFFSET(T872,0,0,-1*$J$5,-1*$AA$1),OFFSET(E872,0,0,-1*$J$5,1),F873:T873,0)</f>
        <v>25.710041410513906</v>
      </c>
      <c r="V873" s="9" cm="1">
        <f t="array" aca="1" ref="V873" ca="1">z_score_diff(OFFSET(U873,0,0,$J$5*-1,1),OFFSET(E873,0,0,$J$5*-1,1))</f>
        <v>0.15646918654265995</v>
      </c>
      <c r="W873" s="9">
        <f t="shared" ca="1" si="916"/>
        <v>-2.908723196702372E-2</v>
      </c>
      <c r="X873" s="17">
        <f t="shared" ca="1" si="911"/>
        <v>-9.7104129067016792E-2</v>
      </c>
      <c r="Y873" s="13">
        <f t="shared" ref="Y873:Z873" ca="1" si="951">+Y872</f>
        <v>0</v>
      </c>
      <c r="Z873" s="13">
        <f t="shared" ca="1" si="951"/>
        <v>0</v>
      </c>
      <c r="AA873">
        <f t="shared" ca="1" si="918"/>
        <v>1</v>
      </c>
      <c r="AB873">
        <f t="shared" ca="1" si="919"/>
        <v>0</v>
      </c>
      <c r="AC873" s="24">
        <f t="shared" ca="1" si="920"/>
        <v>-9.7104129067016792E-2</v>
      </c>
      <c r="AD873" s="24">
        <f t="shared" ca="1" si="921"/>
        <v>0</v>
      </c>
    </row>
    <row r="874" spans="3:30" x14ac:dyDescent="0.25">
      <c r="C874" s="6">
        <v>968</v>
      </c>
      <c r="D874" s="36">
        <v>43382</v>
      </c>
      <c r="E874" s="38">
        <v>24.927</v>
      </c>
      <c r="F874" s="38">
        <v>68.614013759845889</v>
      </c>
      <c r="G874" s="38">
        <v>61.9</v>
      </c>
      <c r="H874" s="38">
        <v>2.3210900114833759</v>
      </c>
      <c r="I874" s="38">
        <v>8.7177682513276604</v>
      </c>
      <c r="J874" s="10">
        <v>0</v>
      </c>
      <c r="K874" s="39">
        <v>0</v>
      </c>
      <c r="L874" s="39">
        <v>0</v>
      </c>
      <c r="M874" s="39">
        <v>0</v>
      </c>
      <c r="N874" s="39">
        <v>0</v>
      </c>
      <c r="O874" s="39">
        <v>0</v>
      </c>
      <c r="P874" s="39">
        <v>0</v>
      </c>
      <c r="Q874" s="39">
        <v>0</v>
      </c>
      <c r="R874" s="39">
        <v>0</v>
      </c>
      <c r="S874" s="39">
        <v>1</v>
      </c>
      <c r="T874" s="39">
        <v>0</v>
      </c>
      <c r="U874" s="29" cm="1">
        <f t="array" aca="1" ref="U874" ca="1">+fair_value_gap(OFFSET(T873,0,0,-1*$J$5,-1*$AA$1),OFFSET(E873,0,0,-1*$J$5,1),F874:T874,0)</f>
        <v>25.454401402056668</v>
      </c>
      <c r="V874" s="9" cm="1">
        <f t="array" aca="1" ref="V874" ca="1">z_score_diff(OFFSET(U874,0,0,$J$5*-1,1),OFFSET(E874,0,0,$J$5*-1,1))</f>
        <v>0.21910057494501034</v>
      </c>
      <c r="W874" s="9">
        <f t="shared" ca="1" si="916"/>
        <v>-1.1337163376279739E-2</v>
      </c>
      <c r="X874" s="17">
        <f t="shared" ca="1" si="911"/>
        <v>-8.0848718349154594E-2</v>
      </c>
      <c r="Y874" s="13">
        <f t="shared" ref="Y874:Z874" ca="1" si="952">+Y873</f>
        <v>0</v>
      </c>
      <c r="Z874" s="13">
        <f t="shared" ca="1" si="952"/>
        <v>0</v>
      </c>
      <c r="AA874">
        <f t="shared" ca="1" si="918"/>
        <v>1</v>
      </c>
      <c r="AB874">
        <f t="shared" ca="1" si="919"/>
        <v>0</v>
      </c>
      <c r="AC874" s="24">
        <f t="shared" ca="1" si="920"/>
        <v>-8.0848718349154594E-2</v>
      </c>
      <c r="AD874" s="24">
        <f t="shared" ca="1" si="921"/>
        <v>0</v>
      </c>
    </row>
    <row r="875" spans="3:30" x14ac:dyDescent="0.25">
      <c r="C875" s="6">
        <v>969</v>
      </c>
      <c r="D875" s="36">
        <v>43383</v>
      </c>
      <c r="E875" s="38">
        <v>24.398</v>
      </c>
      <c r="F875" s="38">
        <v>67.104068372969721</v>
      </c>
      <c r="G875" s="38">
        <v>59.91</v>
      </c>
      <c r="H875" s="38">
        <v>2.310373939854748</v>
      </c>
      <c r="I875" s="38">
        <v>8.5852253558714384</v>
      </c>
      <c r="J875" s="10">
        <v>0</v>
      </c>
      <c r="K875" s="39">
        <v>0</v>
      </c>
      <c r="L875" s="39">
        <v>0</v>
      </c>
      <c r="M875" s="39">
        <v>0</v>
      </c>
      <c r="N875" s="39">
        <v>0</v>
      </c>
      <c r="O875" s="39">
        <v>0</v>
      </c>
      <c r="P875" s="39">
        <v>0</v>
      </c>
      <c r="Q875" s="39">
        <v>0</v>
      </c>
      <c r="R875" s="39">
        <v>0</v>
      </c>
      <c r="S875" s="39">
        <v>1</v>
      </c>
      <c r="T875" s="39">
        <v>0</v>
      </c>
      <c r="U875" s="29" cm="1">
        <f t="array" aca="1" ref="U875" ca="1">+fair_value_gap(OFFSET(T874,0,0,-1*$J$5,-1*$AA$1),OFFSET(E874,0,0,-1*$J$5,1),F875:T875,0)</f>
        <v>24.688545868971463</v>
      </c>
      <c r="V875" s="9" cm="1">
        <f t="array" aca="1" ref="V875" ca="1">z_score_diff(OFFSET(U875,0,0,$J$5*-1,1),OFFSET(E875,0,0,$J$5*-1,1))</f>
        <v>9.0858344298674787E-2</v>
      </c>
      <c r="W875" s="9">
        <f t="shared" ca="1" si="916"/>
        <v>7.5275681818174345E-3</v>
      </c>
      <c r="X875" s="17">
        <f t="shared" ca="1" si="911"/>
        <v>-6.7521351562882109E-2</v>
      </c>
      <c r="Y875" s="13">
        <f t="shared" ref="Y875:Z875" ca="1" si="953">+Y874</f>
        <v>0</v>
      </c>
      <c r="Z875" s="13">
        <f t="shared" ca="1" si="953"/>
        <v>0</v>
      </c>
      <c r="AA875">
        <f t="shared" ca="1" si="918"/>
        <v>0</v>
      </c>
      <c r="AB875">
        <f t="shared" ca="1" si="919"/>
        <v>1</v>
      </c>
      <c r="AC875" s="24">
        <f t="shared" ca="1" si="920"/>
        <v>0</v>
      </c>
      <c r="AD875" s="24">
        <f t="shared" ca="1" si="921"/>
        <v>-6.7521351562882109E-2</v>
      </c>
    </row>
    <row r="876" spans="3:30" x14ac:dyDescent="0.25">
      <c r="C876" s="6">
        <v>970</v>
      </c>
      <c r="D876" s="36">
        <v>43384</v>
      </c>
      <c r="E876" s="38">
        <v>23.844999999999999</v>
      </c>
      <c r="F876" s="38">
        <v>64.78837966441273</v>
      </c>
      <c r="G876" s="38">
        <v>58.22</v>
      </c>
      <c r="H876" s="38">
        <v>2.304866850321396</v>
      </c>
      <c r="I876" s="38">
        <v>8.2811586943818352</v>
      </c>
      <c r="J876" s="10">
        <v>0</v>
      </c>
      <c r="K876" s="39">
        <v>0</v>
      </c>
      <c r="L876" s="39">
        <v>0</v>
      </c>
      <c r="M876" s="39">
        <v>0</v>
      </c>
      <c r="N876" s="39">
        <v>0</v>
      </c>
      <c r="O876" s="39">
        <v>0</v>
      </c>
      <c r="P876" s="39">
        <v>0</v>
      </c>
      <c r="Q876" s="39">
        <v>0</v>
      </c>
      <c r="R876" s="39">
        <v>0</v>
      </c>
      <c r="S876" s="39">
        <v>1</v>
      </c>
      <c r="T876" s="39">
        <v>0</v>
      </c>
      <c r="U876" s="29" cm="1">
        <f t="array" aca="1" ref="U876" ca="1">+fair_value_gap(OFFSET(T875,0,0,-1*$J$5,-1*$AA$1),OFFSET(E875,0,0,-1*$J$5,1),F876:T876,0)</f>
        <v>23.915297084578235</v>
      </c>
      <c r="V876" s="9" cm="1">
        <f t="array" aca="1" ref="V876" ca="1">z_score_diff(OFFSET(U876,0,0,$J$5*-1,1),OFFSET(E876,0,0,$J$5*-1,1))</f>
        <v>-2.2322209668762749E-2</v>
      </c>
      <c r="W876" s="9">
        <f t="shared" ca="1" si="916"/>
        <v>8.6619859980013938E-3</v>
      </c>
      <c r="X876" s="17">
        <f t="shared" ca="1" si="911"/>
        <v>-3.4646581529419178E-2</v>
      </c>
      <c r="Y876" s="13">
        <f t="shared" ref="Y876:Z876" ca="1" si="954">+Y875</f>
        <v>0</v>
      </c>
      <c r="Z876" s="13">
        <f t="shared" ca="1" si="954"/>
        <v>0</v>
      </c>
      <c r="AA876">
        <f t="shared" ca="1" si="918"/>
        <v>0</v>
      </c>
      <c r="AB876">
        <f t="shared" ca="1" si="919"/>
        <v>1</v>
      </c>
      <c r="AC876" s="24">
        <f t="shared" ca="1" si="920"/>
        <v>0</v>
      </c>
      <c r="AD876" s="24">
        <f t="shared" ca="1" si="921"/>
        <v>-3.4646581529419178E-2</v>
      </c>
    </row>
    <row r="877" spans="3:30" x14ac:dyDescent="0.25">
      <c r="C877" s="6">
        <v>971</v>
      </c>
      <c r="D877" s="36">
        <v>43385</v>
      </c>
      <c r="E877" s="38">
        <v>24.538</v>
      </c>
      <c r="F877" s="38">
        <v>65.048514443882894</v>
      </c>
      <c r="G877" s="38">
        <v>59.42</v>
      </c>
      <c r="H877" s="38">
        <v>2.3102514584455967</v>
      </c>
      <c r="I877" s="38">
        <v>8.4050981166555658</v>
      </c>
      <c r="J877" s="10">
        <v>0</v>
      </c>
      <c r="K877" s="39">
        <v>0</v>
      </c>
      <c r="L877" s="39">
        <v>0</v>
      </c>
      <c r="M877" s="39">
        <v>0</v>
      </c>
      <c r="N877" s="39">
        <v>0</v>
      </c>
      <c r="O877" s="39">
        <v>0</v>
      </c>
      <c r="P877" s="39">
        <v>0</v>
      </c>
      <c r="Q877" s="39">
        <v>0</v>
      </c>
      <c r="R877" s="39">
        <v>0</v>
      </c>
      <c r="S877" s="39">
        <v>1</v>
      </c>
      <c r="T877" s="39">
        <v>0</v>
      </c>
      <c r="U877" s="29" cm="1">
        <f t="array" aca="1" ref="U877" ca="1">+fair_value_gap(OFFSET(T876,0,0,-1*$J$5,-1*$AA$1),OFFSET(E876,0,0,-1*$J$5,1),F877:T877,0)</f>
        <v>24.265228651863467</v>
      </c>
      <c r="V877" s="9" cm="1">
        <f t="array" aca="1" ref="V877" ca="1">z_score_diff(OFFSET(U877,0,0,$J$5*-1,1),OFFSET(E877,0,0,$J$5*-1,1))</f>
        <v>-0.19238420322080252</v>
      </c>
      <c r="W877" s="9">
        <f t="shared" ca="1" si="916"/>
        <v>3.2558122361310283E-4</v>
      </c>
      <c r="X877" s="17">
        <f t="shared" ca="1" si="911"/>
        <v>-7.772586202350297E-2</v>
      </c>
      <c r="Y877" s="13">
        <f t="shared" ref="Y877:Z877" ca="1" si="955">+Y876</f>
        <v>0</v>
      </c>
      <c r="Z877" s="13">
        <f t="shared" ca="1" si="955"/>
        <v>0</v>
      </c>
      <c r="AA877">
        <f t="shared" ca="1" si="918"/>
        <v>0</v>
      </c>
      <c r="AB877">
        <f t="shared" ca="1" si="919"/>
        <v>1</v>
      </c>
      <c r="AC877" s="24">
        <f t="shared" ca="1" si="920"/>
        <v>0</v>
      </c>
      <c r="AD877" s="24">
        <f t="shared" ca="1" si="921"/>
        <v>-7.772586202350297E-2</v>
      </c>
    </row>
    <row r="878" spans="3:30" x14ac:dyDescent="0.25">
      <c r="C878" s="6">
        <v>972</v>
      </c>
      <c r="D878" s="36">
        <v>43388</v>
      </c>
      <c r="E878" s="38">
        <v>24.574000000000002</v>
      </c>
      <c r="F878" s="38">
        <v>65.354562914731645</v>
      </c>
      <c r="G878" s="38">
        <v>59.24</v>
      </c>
      <c r="H878" s="38">
        <v>2.3141012306507305</v>
      </c>
      <c r="I878" s="38">
        <v>8.3875726916004805</v>
      </c>
      <c r="J878" s="10">
        <v>0</v>
      </c>
      <c r="K878" s="39">
        <v>0</v>
      </c>
      <c r="L878" s="39">
        <v>0</v>
      </c>
      <c r="M878" s="39">
        <v>0</v>
      </c>
      <c r="N878" s="39">
        <v>0</v>
      </c>
      <c r="O878" s="39">
        <v>0</v>
      </c>
      <c r="P878" s="39">
        <v>0</v>
      </c>
      <c r="Q878" s="39">
        <v>0</v>
      </c>
      <c r="R878" s="39">
        <v>0</v>
      </c>
      <c r="S878" s="39">
        <v>1</v>
      </c>
      <c r="T878" s="39">
        <v>0</v>
      </c>
      <c r="U878" s="29" cm="1">
        <f t="array" aca="1" ref="U878" ca="1">+fair_value_gap(OFFSET(T877,0,0,-1*$J$5,-1*$AA$1),OFFSET(E877,0,0,-1*$J$5,1),F878:T878,0)</f>
        <v>24.271097020655873</v>
      </c>
      <c r="V878" s="9" cm="1">
        <f t="array" aca="1" ref="V878" ca="1">z_score_diff(OFFSET(U878,0,0,$J$5*-1,1),OFFSET(E878,0,0,$J$5*-1,1))</f>
        <v>-0.20169779896949347</v>
      </c>
      <c r="W878" s="9">
        <f t="shared" ca="1" si="916"/>
        <v>-2.1211842381923817E-2</v>
      </c>
      <c r="X878" s="17">
        <f t="shared" ca="1" si="911"/>
        <v>-7.3832546964347434E-2</v>
      </c>
      <c r="Y878" s="13">
        <f t="shared" ref="Y878:Z878" ca="1" si="956">+Y877</f>
        <v>0</v>
      </c>
      <c r="Z878" s="13">
        <f t="shared" ca="1" si="956"/>
        <v>0</v>
      </c>
      <c r="AA878">
        <f t="shared" ca="1" si="918"/>
        <v>1</v>
      </c>
      <c r="AB878">
        <f t="shared" ca="1" si="919"/>
        <v>0</v>
      </c>
      <c r="AC878" s="24">
        <f t="shared" ca="1" si="920"/>
        <v>-7.3832546964347434E-2</v>
      </c>
      <c r="AD878" s="24">
        <f t="shared" ca="1" si="921"/>
        <v>0</v>
      </c>
    </row>
    <row r="879" spans="3:30" x14ac:dyDescent="0.25">
      <c r="C879" s="6">
        <v>973</v>
      </c>
      <c r="D879" s="36">
        <v>43389</v>
      </c>
      <c r="E879" s="38">
        <v>24.329000000000001</v>
      </c>
      <c r="F879" s="38">
        <v>65.851379786969119</v>
      </c>
      <c r="G879" s="38">
        <v>59.29</v>
      </c>
      <c r="H879" s="38">
        <v>2.3164977762624162</v>
      </c>
      <c r="I879" s="38">
        <v>8.8999644001423999</v>
      </c>
      <c r="J879" s="10">
        <v>0</v>
      </c>
      <c r="K879" s="39">
        <v>0</v>
      </c>
      <c r="L879" s="39">
        <v>0</v>
      </c>
      <c r="M879" s="39">
        <v>0</v>
      </c>
      <c r="N879" s="39">
        <v>0</v>
      </c>
      <c r="O879" s="39">
        <v>0</v>
      </c>
      <c r="P879" s="39">
        <v>0</v>
      </c>
      <c r="Q879" s="39">
        <v>0</v>
      </c>
      <c r="R879" s="39">
        <v>0</v>
      </c>
      <c r="S879" s="39">
        <v>1</v>
      </c>
      <c r="T879" s="39">
        <v>0</v>
      </c>
      <c r="U879" s="29" cm="1">
        <f t="array" aca="1" ref="U879" ca="1">+fair_value_gap(OFFSET(T878,0,0,-1*$J$5,-1*$AA$1),OFFSET(E878,0,0,-1*$J$5,1),F879:T879,0)</f>
        <v>24.471130803387211</v>
      </c>
      <c r="V879" s="9" cm="1">
        <f t="array" aca="1" ref="V879" ca="1">z_score_diff(OFFSET(U879,0,0,$J$5*-1,1),OFFSET(E879,0,0,$J$5*-1,1))</f>
        <v>1.8919342067179823E-2</v>
      </c>
      <c r="W879" s="9">
        <f t="shared" ca="1" si="916"/>
        <v>-2.1574613685625424E-2</v>
      </c>
      <c r="X879" s="17">
        <f t="shared" ca="1" si="911"/>
        <v>-4.1072070315077938E-2</v>
      </c>
      <c r="Y879" s="13">
        <f t="shared" ref="Y879:Z879" ca="1" si="957">+Y878</f>
        <v>0</v>
      </c>
      <c r="Z879" s="13">
        <f t="shared" ca="1" si="957"/>
        <v>0</v>
      </c>
      <c r="AA879">
        <f t="shared" ca="1" si="918"/>
        <v>1</v>
      </c>
      <c r="AB879">
        <f t="shared" ca="1" si="919"/>
        <v>0</v>
      </c>
      <c r="AC879" s="24">
        <f t="shared" ca="1" si="920"/>
        <v>-4.1072070315077938E-2</v>
      </c>
      <c r="AD879" s="24">
        <f t="shared" ca="1" si="921"/>
        <v>0</v>
      </c>
    </row>
    <row r="880" spans="3:30" x14ac:dyDescent="0.25">
      <c r="C880" s="6">
        <v>974</v>
      </c>
      <c r="D880" s="36">
        <v>43390</v>
      </c>
      <c r="E880" s="38">
        <v>24.081</v>
      </c>
      <c r="F880" s="38">
        <v>65.198872117537931</v>
      </c>
      <c r="G880" s="38">
        <v>58.83</v>
      </c>
      <c r="H880" s="38">
        <v>2.3302731154094882</v>
      </c>
      <c r="I880" s="38">
        <v>8.9561200574200832</v>
      </c>
      <c r="J880" s="10">
        <v>0</v>
      </c>
      <c r="K880" s="39">
        <v>0</v>
      </c>
      <c r="L880" s="39">
        <v>0</v>
      </c>
      <c r="M880" s="39">
        <v>0</v>
      </c>
      <c r="N880" s="39">
        <v>0</v>
      </c>
      <c r="O880" s="39">
        <v>0</v>
      </c>
      <c r="P880" s="39">
        <v>0</v>
      </c>
      <c r="Q880" s="39">
        <v>0</v>
      </c>
      <c r="R880" s="39">
        <v>0</v>
      </c>
      <c r="S880" s="39">
        <v>1</v>
      </c>
      <c r="T880" s="39">
        <v>0</v>
      </c>
      <c r="U880" s="29" cm="1">
        <f t="array" aca="1" ref="U880" ca="1">+fair_value_gap(OFFSET(T879,0,0,-1*$J$5,-1*$AA$1),OFFSET(E879,0,0,-1*$J$5,1),F880:T880,0)</f>
        <v>24.289911209953374</v>
      </c>
      <c r="V880" s="9" cm="1">
        <f t="array" aca="1" ref="V880" ca="1">z_score_diff(OFFSET(U880,0,0,$J$5*-1,1),OFFSET(E880,0,0,$J$5*-1,1))</f>
        <v>4.9780407212433264E-2</v>
      </c>
      <c r="W880" s="9">
        <f t="shared" ca="1" si="916"/>
        <v>-1.943606961914425E-2</v>
      </c>
      <c r="X880" s="17">
        <f t="shared" ca="1" si="911"/>
        <v>-5.1815790707531055E-2</v>
      </c>
      <c r="Y880" s="13">
        <f t="shared" ref="Y880:Z880" ca="1" si="958">+Y879</f>
        <v>0</v>
      </c>
      <c r="Z880" s="13">
        <f t="shared" ca="1" si="958"/>
        <v>0</v>
      </c>
      <c r="AA880">
        <f t="shared" ca="1" si="918"/>
        <v>1</v>
      </c>
      <c r="AB880">
        <f t="shared" ca="1" si="919"/>
        <v>0</v>
      </c>
      <c r="AC880" s="24">
        <f t="shared" ca="1" si="920"/>
        <v>-5.1815790707531055E-2</v>
      </c>
      <c r="AD880" s="24">
        <f t="shared" ca="1" si="921"/>
        <v>0</v>
      </c>
    </row>
    <row r="881" spans="3:30" x14ac:dyDescent="0.25">
      <c r="C881" s="6">
        <v>975</v>
      </c>
      <c r="D881" s="36">
        <v>43391</v>
      </c>
      <c r="E881" s="38">
        <v>23.986000000000001</v>
      </c>
      <c r="F881" s="38">
        <v>64.593800312204777</v>
      </c>
      <c r="G881" s="38">
        <v>58.22</v>
      </c>
      <c r="H881" s="38">
        <v>2.3242286271010291</v>
      </c>
      <c r="I881" s="38">
        <v>8.9490822547297153</v>
      </c>
      <c r="J881" s="10">
        <v>0</v>
      </c>
      <c r="K881" s="39">
        <v>0</v>
      </c>
      <c r="L881" s="39">
        <v>0</v>
      </c>
      <c r="M881" s="39">
        <v>0</v>
      </c>
      <c r="N881" s="39">
        <v>0</v>
      </c>
      <c r="O881" s="39">
        <v>0</v>
      </c>
      <c r="P881" s="39">
        <v>0</v>
      </c>
      <c r="Q881" s="39">
        <v>0</v>
      </c>
      <c r="R881" s="39">
        <v>0</v>
      </c>
      <c r="S881" s="39">
        <v>1</v>
      </c>
      <c r="T881" s="39">
        <v>0</v>
      </c>
      <c r="U881" s="29" cm="1">
        <f t="array" aca="1" ref="U881" ca="1">+fair_value_gap(OFFSET(T880,0,0,-1*$J$5,-1*$AA$1),OFFSET(E880,0,0,-1*$J$5,1),F881:T881,0)</f>
        <v>24.046034412556395</v>
      </c>
      <c r="V881" s="9" cm="1">
        <f t="array" aca="1" ref="V881" ca="1">z_score_diff(OFFSET(U881,0,0,$J$5*-1,1),OFFSET(E881,0,0,$J$5*-1,1))</f>
        <v>-2.3490585237424977E-2</v>
      </c>
      <c r="W881" s="9">
        <f t="shared" ca="1" si="916"/>
        <v>-2.0209503389374328E-2</v>
      </c>
      <c r="X881" s="17">
        <f t="shared" ca="1" si="911"/>
        <v>-3.7984089610842306E-2</v>
      </c>
      <c r="Y881" s="13">
        <f t="shared" ref="Y881:Z881" ca="1" si="959">+Y880</f>
        <v>0</v>
      </c>
      <c r="Z881" s="13">
        <f t="shared" ca="1" si="959"/>
        <v>0</v>
      </c>
      <c r="AA881">
        <f t="shared" ca="1" si="918"/>
        <v>1</v>
      </c>
      <c r="AB881">
        <f t="shared" ca="1" si="919"/>
        <v>0</v>
      </c>
      <c r="AC881" s="24">
        <f t="shared" ca="1" si="920"/>
        <v>-3.7984089610842306E-2</v>
      </c>
      <c r="AD881" s="24">
        <f t="shared" ca="1" si="921"/>
        <v>0</v>
      </c>
    </row>
    <row r="882" spans="3:30" x14ac:dyDescent="0.25">
      <c r="C882" s="6">
        <v>976</v>
      </c>
      <c r="D882" s="36">
        <v>43392</v>
      </c>
      <c r="E882" s="38">
        <v>24.722000000000001</v>
      </c>
      <c r="F882" s="38">
        <v>64.681238493274023</v>
      </c>
      <c r="G882" s="38">
        <v>59.64</v>
      </c>
      <c r="H882" s="38">
        <v>2.324022684208404</v>
      </c>
      <c r="I882" s="38">
        <v>8.9660072836735516</v>
      </c>
      <c r="J882" s="10">
        <v>0</v>
      </c>
      <c r="K882" s="39">
        <v>0</v>
      </c>
      <c r="L882" s="39">
        <v>0</v>
      </c>
      <c r="M882" s="39">
        <v>0</v>
      </c>
      <c r="N882" s="39">
        <v>0</v>
      </c>
      <c r="O882" s="39">
        <v>0</v>
      </c>
      <c r="P882" s="39">
        <v>0</v>
      </c>
      <c r="Q882" s="39">
        <v>0</v>
      </c>
      <c r="R882" s="39">
        <v>0</v>
      </c>
      <c r="S882" s="39">
        <v>1</v>
      </c>
      <c r="T882" s="39">
        <v>0</v>
      </c>
      <c r="U882" s="29" cm="1">
        <f t="array" aca="1" ref="U882" ca="1">+fair_value_gap(OFFSET(T881,0,0,-1*$J$5,-1*$AA$1),OFFSET(E881,0,0,-1*$J$5,1),F882:T882,0)</f>
        <v>24.411859343835054</v>
      </c>
      <c r="V882" s="9" cm="1">
        <f t="array" aca="1" ref="V882" ca="1">z_score_diff(OFFSET(U882,0,0,$J$5*-1,1),OFFSET(E882,0,0,$J$5*-1,1))</f>
        <v>-0.19953597877339213</v>
      </c>
      <c r="W882" s="9">
        <f t="shared" ca="1" si="916"/>
        <v>-3.0548574252001512E-2</v>
      </c>
      <c r="X882" s="17">
        <f t="shared" ca="1" si="911"/>
        <v>-5.8210662105721775E-2</v>
      </c>
      <c r="Y882" s="13">
        <f t="shared" ref="Y882:Z882" ca="1" si="960">+Y881</f>
        <v>0</v>
      </c>
      <c r="Z882" s="13">
        <f t="shared" ca="1" si="960"/>
        <v>0</v>
      </c>
      <c r="AA882">
        <f t="shared" ca="1" si="918"/>
        <v>1</v>
      </c>
      <c r="AB882">
        <f t="shared" ca="1" si="919"/>
        <v>0</v>
      </c>
      <c r="AC882" s="24">
        <f t="shared" ca="1" si="920"/>
        <v>-5.8210662105721775E-2</v>
      </c>
      <c r="AD882" s="24">
        <f t="shared" ca="1" si="921"/>
        <v>0</v>
      </c>
    </row>
    <row r="883" spans="3:30" x14ac:dyDescent="0.25">
      <c r="C883" s="6">
        <v>977</v>
      </c>
      <c r="D883" s="36">
        <v>43395</v>
      </c>
      <c r="E883" s="38">
        <v>24.318000000000001</v>
      </c>
      <c r="F883" s="38">
        <v>65.273644932963563</v>
      </c>
      <c r="G883" s="38">
        <v>58.55</v>
      </c>
      <c r="H883" s="38">
        <v>2.3143930959562224</v>
      </c>
      <c r="I883" s="38">
        <v>8.8560960304447285</v>
      </c>
      <c r="J883" s="10">
        <v>0</v>
      </c>
      <c r="K883" s="39">
        <v>0</v>
      </c>
      <c r="L883" s="39">
        <v>0</v>
      </c>
      <c r="M883" s="39">
        <v>0</v>
      </c>
      <c r="N883" s="39">
        <v>0</v>
      </c>
      <c r="O883" s="39">
        <v>0</v>
      </c>
      <c r="P883" s="39">
        <v>0</v>
      </c>
      <c r="Q883" s="39">
        <v>0</v>
      </c>
      <c r="R883" s="39">
        <v>0</v>
      </c>
      <c r="S883" s="39">
        <v>1</v>
      </c>
      <c r="T883" s="39">
        <v>0</v>
      </c>
      <c r="U883" s="29" cm="1">
        <f t="array" aca="1" ref="U883" ca="1">+fair_value_gap(OFFSET(T882,0,0,-1*$J$5,-1*$AA$1),OFFSET(E882,0,0,-1*$J$5,1),F883:T883,0)</f>
        <v>24.191046646588816</v>
      </c>
      <c r="V883" s="9" cm="1">
        <f t="array" aca="1" ref="V883" ca="1">z_score_diff(OFFSET(U883,0,0,$J$5*-1,1),OFFSET(E883,0,0,$J$5*-1,1))</f>
        <v>-0.10743323210019939</v>
      </c>
      <c r="W883" s="9">
        <f t="shared" ca="1" si="916"/>
        <v>-2.567394070493571E-2</v>
      </c>
      <c r="X883" s="17">
        <f t="shared" ca="1" si="911"/>
        <v>-3.6900846704489079E-2</v>
      </c>
      <c r="Y883" s="13">
        <f t="shared" ref="Y883:Z883" ca="1" si="961">+Y882</f>
        <v>0</v>
      </c>
      <c r="Z883" s="13">
        <f t="shared" ca="1" si="961"/>
        <v>0</v>
      </c>
      <c r="AA883">
        <f t="shared" ca="1" si="918"/>
        <v>1</v>
      </c>
      <c r="AB883">
        <f t="shared" ca="1" si="919"/>
        <v>0</v>
      </c>
      <c r="AC883" s="24">
        <f t="shared" ca="1" si="920"/>
        <v>-3.6900846704489079E-2</v>
      </c>
      <c r="AD883" s="24">
        <f t="shared" ca="1" si="921"/>
        <v>0</v>
      </c>
    </row>
    <row r="884" spans="3:30" x14ac:dyDescent="0.25">
      <c r="C884" s="6">
        <v>978</v>
      </c>
      <c r="D884" s="36">
        <v>43396</v>
      </c>
      <c r="E884" s="38">
        <v>24.181000000000001</v>
      </c>
      <c r="F884" s="38">
        <v>63.004486951419182</v>
      </c>
      <c r="G884" s="38">
        <v>58.72</v>
      </c>
      <c r="H884" s="38">
        <v>2.327785206381217</v>
      </c>
      <c r="I884" s="38">
        <v>8.6838781694047587</v>
      </c>
      <c r="J884" s="10">
        <v>0</v>
      </c>
      <c r="K884" s="39">
        <v>0</v>
      </c>
      <c r="L884" s="39">
        <v>0</v>
      </c>
      <c r="M884" s="39">
        <v>0</v>
      </c>
      <c r="N884" s="39">
        <v>0</v>
      </c>
      <c r="O884" s="39">
        <v>0</v>
      </c>
      <c r="P884" s="39">
        <v>0</v>
      </c>
      <c r="Q884" s="39">
        <v>0</v>
      </c>
      <c r="R884" s="39">
        <v>0</v>
      </c>
      <c r="S884" s="39">
        <v>1</v>
      </c>
      <c r="T884" s="39">
        <v>0</v>
      </c>
      <c r="U884" s="29" cm="1">
        <f t="array" aca="1" ref="U884" ca="1">+fair_value_gap(OFFSET(T883,0,0,-1*$J$5,-1*$AA$1),OFFSET(E883,0,0,-1*$J$5,1),F884:T884,0)</f>
        <v>23.950440714325161</v>
      </c>
      <c r="V884" s="9" cm="1">
        <f t="array" aca="1" ref="V884" ca="1">z_score_diff(OFFSET(U884,0,0,$J$5*-1,1),OFFSET(E884,0,0,$J$5*-1,1))</f>
        <v>-0.15294937844759104</v>
      </c>
      <c r="W884" s="9">
        <f t="shared" ca="1" si="916"/>
        <v>-3.3341736906567832E-2</v>
      </c>
      <c r="X884" s="17">
        <f t="shared" ca="1" si="911"/>
        <v>-3.4242430218538664E-2</v>
      </c>
      <c r="Y884" s="13">
        <f t="shared" ref="Y884:Z884" ca="1" si="962">+Y883</f>
        <v>0</v>
      </c>
      <c r="Z884" s="13">
        <f t="shared" ca="1" si="962"/>
        <v>0</v>
      </c>
      <c r="AA884">
        <f t="shared" ca="1" si="918"/>
        <v>1</v>
      </c>
      <c r="AB884">
        <f t="shared" ca="1" si="919"/>
        <v>0</v>
      </c>
      <c r="AC884" s="24">
        <f t="shared" ca="1" si="920"/>
        <v>-3.4242430218538664E-2</v>
      </c>
      <c r="AD884" s="24">
        <f t="shared" ca="1" si="921"/>
        <v>0</v>
      </c>
    </row>
    <row r="885" spans="3:30" x14ac:dyDescent="0.25">
      <c r="C885" s="6">
        <v>979</v>
      </c>
      <c r="D885" s="36">
        <v>43397</v>
      </c>
      <c r="E885" s="38">
        <v>23.978999999999999</v>
      </c>
      <c r="F885" s="38">
        <v>63.621969700185502</v>
      </c>
      <c r="G885" s="38">
        <v>61.14</v>
      </c>
      <c r="H885" s="38">
        <v>2.3210897405965727</v>
      </c>
      <c r="I885" s="38">
        <v>8.7019640969695953</v>
      </c>
      <c r="J885" s="10">
        <v>0</v>
      </c>
      <c r="K885" s="39">
        <v>0</v>
      </c>
      <c r="L885" s="39">
        <v>0</v>
      </c>
      <c r="M885" s="39">
        <v>0</v>
      </c>
      <c r="N885" s="39">
        <v>0</v>
      </c>
      <c r="O885" s="39">
        <v>0</v>
      </c>
      <c r="P885" s="39">
        <v>0</v>
      </c>
      <c r="Q885" s="39">
        <v>0</v>
      </c>
      <c r="R885" s="39">
        <v>0</v>
      </c>
      <c r="S885" s="39">
        <v>1</v>
      </c>
      <c r="T885" s="39">
        <v>0</v>
      </c>
      <c r="U885" s="29" cm="1">
        <f t="array" aca="1" ref="U885" ca="1">+fair_value_gap(OFFSET(T884,0,0,-1*$J$5,-1*$AA$1),OFFSET(E884,0,0,-1*$J$5,1),F885:T885,0)</f>
        <v>24.619002618448214</v>
      </c>
      <c r="V885" s="9" cm="1">
        <f t="array" aca="1" ref="V885" ca="1">z_score_diff(OFFSET(U885,0,0,$J$5*-1,1),OFFSET(E885,0,0,$J$5*-1,1))</f>
        <v>0.25580905067537874</v>
      </c>
      <c r="W885" s="9">
        <f t="shared" ca="1" si="916"/>
        <v>-3.8265793411401079E-2</v>
      </c>
      <c r="X885" s="17">
        <f t="shared" ca="1" si="911"/>
        <v>-4.0945373970434705E-2</v>
      </c>
      <c r="Y885" s="13">
        <f t="shared" ref="Y885:Z885" ca="1" si="963">+Y884</f>
        <v>0</v>
      </c>
      <c r="Z885" s="13">
        <f t="shared" ca="1" si="963"/>
        <v>0</v>
      </c>
      <c r="AA885">
        <f t="shared" ca="1" si="918"/>
        <v>1</v>
      </c>
      <c r="AB885">
        <f t="shared" ca="1" si="919"/>
        <v>0</v>
      </c>
      <c r="AC885" s="24">
        <f t="shared" ca="1" si="920"/>
        <v>-4.0945373970434705E-2</v>
      </c>
      <c r="AD885" s="24">
        <f t="shared" ca="1" si="921"/>
        <v>0</v>
      </c>
    </row>
    <row r="886" spans="3:30" x14ac:dyDescent="0.25">
      <c r="C886" s="6">
        <v>980</v>
      </c>
      <c r="D886" s="36">
        <v>43398</v>
      </c>
      <c r="E886" s="38">
        <v>23.885000000000002</v>
      </c>
      <c r="F886" s="38">
        <v>64.139148185162355</v>
      </c>
      <c r="G886" s="38">
        <v>59.68</v>
      </c>
      <c r="H886" s="38">
        <v>2.3160177762657086</v>
      </c>
      <c r="I886" s="38">
        <v>8.5904441940079526</v>
      </c>
      <c r="J886" s="10">
        <v>0</v>
      </c>
      <c r="K886" s="39">
        <v>0</v>
      </c>
      <c r="L886" s="39">
        <v>0</v>
      </c>
      <c r="M886" s="39">
        <v>0</v>
      </c>
      <c r="N886" s="39">
        <v>0</v>
      </c>
      <c r="O886" s="39">
        <v>0</v>
      </c>
      <c r="P886" s="39">
        <v>0</v>
      </c>
      <c r="Q886" s="39">
        <v>0</v>
      </c>
      <c r="R886" s="39">
        <v>0</v>
      </c>
      <c r="S886" s="39">
        <v>1</v>
      </c>
      <c r="T886" s="39">
        <v>0</v>
      </c>
      <c r="U886" s="29" cm="1">
        <f t="array" aca="1" ref="U886" ca="1">+fair_value_gap(OFFSET(T885,0,0,-1*$J$5,-1*$AA$1),OFFSET(E885,0,0,-1*$J$5,1),F886:T886,0)</f>
        <v>24.223434319186786</v>
      </c>
      <c r="V886" s="9" cm="1">
        <f t="array" aca="1" ref="V886" ca="1">z_score_diff(OFFSET(U886,0,0,$J$5*-1,1),OFFSET(E886,0,0,$J$5*-1,1))</f>
        <v>0.10951837216511384</v>
      </c>
      <c r="W886" s="9">
        <f t="shared" ca="1" si="916"/>
        <v>-3.0196813603241779E-2</v>
      </c>
      <c r="X886" s="17">
        <f t="shared" ca="1" si="911"/>
        <v>-4.6226987606758446E-2</v>
      </c>
      <c r="Y886" s="13">
        <f t="shared" ref="Y886:Z886" ca="1" si="964">+Y885</f>
        <v>0</v>
      </c>
      <c r="Z886" s="13">
        <f t="shared" ca="1" si="964"/>
        <v>0</v>
      </c>
      <c r="AA886">
        <f t="shared" ca="1" si="918"/>
        <v>1</v>
      </c>
      <c r="AB886">
        <f t="shared" ca="1" si="919"/>
        <v>0</v>
      </c>
      <c r="AC886" s="24">
        <f t="shared" ca="1" si="920"/>
        <v>-4.6226987606758446E-2</v>
      </c>
      <c r="AD886" s="24">
        <f t="shared" ca="1" si="921"/>
        <v>0</v>
      </c>
    </row>
    <row r="887" spans="3:30" x14ac:dyDescent="0.25">
      <c r="C887" s="6">
        <v>981</v>
      </c>
      <c r="D887" s="36">
        <v>43399</v>
      </c>
      <c r="E887" s="38">
        <v>23.373000000000001</v>
      </c>
      <c r="F887" s="38">
        <v>64.409615289987499</v>
      </c>
      <c r="G887" s="38">
        <v>58.39</v>
      </c>
      <c r="H887" s="38">
        <v>2.3033733602781354</v>
      </c>
      <c r="I887" s="38">
        <v>8.5687185778302641</v>
      </c>
      <c r="J887" s="10">
        <v>0</v>
      </c>
      <c r="K887" s="39">
        <v>0</v>
      </c>
      <c r="L887" s="39">
        <v>0</v>
      </c>
      <c r="M887" s="39">
        <v>0</v>
      </c>
      <c r="N887" s="39">
        <v>0</v>
      </c>
      <c r="O887" s="39">
        <v>0</v>
      </c>
      <c r="P887" s="39">
        <v>0</v>
      </c>
      <c r="Q887" s="39">
        <v>0</v>
      </c>
      <c r="R887" s="39">
        <v>0</v>
      </c>
      <c r="S887" s="39">
        <v>1</v>
      </c>
      <c r="T887" s="39">
        <v>0</v>
      </c>
      <c r="U887" s="29" cm="1">
        <f t="array" aca="1" ref="U887" ca="1">+fair_value_gap(OFFSET(T886,0,0,-1*$J$5,-1*$AA$1),OFFSET(E886,0,0,-1*$J$5,1),F887:T887,0)</f>
        <v>23.899036253639835</v>
      </c>
      <c r="V887" s="9" cm="1">
        <f t="array" aca="1" ref="V887" ca="1">z_score_diff(OFFSET(U887,0,0,$J$5*-1,1),OFFSET(E887,0,0,$J$5*-1,1))</f>
        <v>0.19424574299022646</v>
      </c>
      <c r="W887" s="9">
        <f t="shared" ca="1" si="916"/>
        <v>-1.2775858670589257E-2</v>
      </c>
      <c r="X887" s="17">
        <f t="shared" ca="1" si="911"/>
        <v>-1.586992640939891E-2</v>
      </c>
      <c r="Y887" s="13">
        <f t="shared" ref="Y887:Z887" ca="1" si="965">+Y886</f>
        <v>0</v>
      </c>
      <c r="Z887" s="13">
        <f t="shared" ca="1" si="965"/>
        <v>0</v>
      </c>
      <c r="AA887">
        <f t="shared" ca="1" si="918"/>
        <v>1</v>
      </c>
      <c r="AB887">
        <f t="shared" ca="1" si="919"/>
        <v>0</v>
      </c>
      <c r="AC887" s="24">
        <f t="shared" ca="1" si="920"/>
        <v>-1.586992640939891E-2</v>
      </c>
      <c r="AD887" s="24">
        <f t="shared" ca="1" si="921"/>
        <v>0</v>
      </c>
    </row>
    <row r="888" spans="3:30" x14ac:dyDescent="0.25">
      <c r="C888" s="6">
        <v>982</v>
      </c>
      <c r="D888" s="36">
        <v>43402</v>
      </c>
      <c r="E888" s="38">
        <v>23.562999999999999</v>
      </c>
      <c r="F888" s="38">
        <v>64.505373746721148</v>
      </c>
      <c r="G888" s="38">
        <v>57.8</v>
      </c>
      <c r="H888" s="38">
        <v>2.3117827774734714</v>
      </c>
      <c r="I888" s="38">
        <v>8.5905099530839077</v>
      </c>
      <c r="J888" s="10">
        <v>0</v>
      </c>
      <c r="K888" s="39">
        <v>0</v>
      </c>
      <c r="L888" s="39">
        <v>0</v>
      </c>
      <c r="M888" s="39">
        <v>0</v>
      </c>
      <c r="N888" s="39">
        <v>0</v>
      </c>
      <c r="O888" s="39">
        <v>0</v>
      </c>
      <c r="P888" s="39">
        <v>0</v>
      </c>
      <c r="Q888" s="39">
        <v>0</v>
      </c>
      <c r="R888" s="39">
        <v>0</v>
      </c>
      <c r="S888" s="39">
        <v>1</v>
      </c>
      <c r="T888" s="39">
        <v>0</v>
      </c>
      <c r="U888" s="29" cm="1">
        <f t="array" aca="1" ref="U888" ca="1">+fair_value_gap(OFFSET(T887,0,0,-1*$J$5,-1*$AA$1),OFFSET(E887,0,0,-1*$J$5,1),F888:T888,0)</f>
        <v>23.731200148719687</v>
      </c>
      <c r="V888" s="9" cm="1">
        <f t="array" aca="1" ref="V888" ca="1">z_score_diff(OFFSET(U888,0,0,$J$5*-1,1),OFFSET(E888,0,0,$J$5*-1,1))</f>
        <v>2.553054073694061E-2</v>
      </c>
      <c r="W888" s="9">
        <f t="shared" ca="1" si="916"/>
        <v>-1.9078120471216784E-3</v>
      </c>
      <c r="X888" s="17">
        <f t="shared" ca="1" si="911"/>
        <v>-2.3661866141189244E-2</v>
      </c>
      <c r="Y888" s="13">
        <f t="shared" ref="Y888:Z888" ca="1" si="966">+Y887</f>
        <v>0</v>
      </c>
      <c r="Z888" s="13">
        <f t="shared" ca="1" si="966"/>
        <v>0</v>
      </c>
      <c r="AA888">
        <f t="shared" ca="1" si="918"/>
        <v>1</v>
      </c>
      <c r="AB888">
        <f t="shared" ca="1" si="919"/>
        <v>0</v>
      </c>
      <c r="AC888" s="24">
        <f t="shared" ca="1" si="920"/>
        <v>-2.3661866141189244E-2</v>
      </c>
      <c r="AD888" s="24">
        <f t="shared" ca="1" si="921"/>
        <v>0</v>
      </c>
    </row>
    <row r="889" spans="3:30" x14ac:dyDescent="0.25">
      <c r="C889" s="6">
        <v>983</v>
      </c>
      <c r="D889" s="36">
        <v>43403</v>
      </c>
      <c r="E889" s="38">
        <v>23.067</v>
      </c>
      <c r="F889" s="38">
        <v>63.573338243919736</v>
      </c>
      <c r="G889" s="38">
        <v>56.17</v>
      </c>
      <c r="H889" s="38">
        <v>2.358104513647338</v>
      </c>
      <c r="I889" s="38">
        <v>8.525323621284663</v>
      </c>
      <c r="J889" s="10">
        <v>0</v>
      </c>
      <c r="K889" s="39">
        <v>0</v>
      </c>
      <c r="L889" s="39">
        <v>0</v>
      </c>
      <c r="M889" s="39">
        <v>0</v>
      </c>
      <c r="N889" s="39">
        <v>0</v>
      </c>
      <c r="O889" s="39">
        <v>0</v>
      </c>
      <c r="P889" s="39">
        <v>0</v>
      </c>
      <c r="Q889" s="39">
        <v>0</v>
      </c>
      <c r="R889" s="39">
        <v>0</v>
      </c>
      <c r="S889" s="39">
        <v>1</v>
      </c>
      <c r="T889" s="39">
        <v>0</v>
      </c>
      <c r="U889" s="29" cm="1">
        <f t="array" aca="1" ref="U889" ca="1">+fair_value_gap(OFFSET(T888,0,0,-1*$J$5,-1*$AA$1),OFFSET(E888,0,0,-1*$J$5,1),F889:T889,0)</f>
        <v>23.161475823489813</v>
      </c>
      <c r="V889" s="9" cm="1">
        <f t="array" aca="1" ref="V889" ca="1">z_score_diff(OFFSET(U889,0,0,$J$5*-1,1),OFFSET(E889,0,0,$J$5*-1,1))</f>
        <v>-7.1453971227051216E-3</v>
      </c>
      <c r="W889" s="9">
        <f t="shared" ca="1" si="916"/>
        <v>7.2618794078372463E-3</v>
      </c>
      <c r="X889" s="17">
        <f t="shared" ca="1" si="911"/>
        <v>4.1099800440324696E-3</v>
      </c>
      <c r="Y889" s="13">
        <f t="shared" ref="Y889:Z889" ca="1" si="967">+Y888</f>
        <v>0</v>
      </c>
      <c r="Z889" s="13">
        <f t="shared" ca="1" si="967"/>
        <v>0</v>
      </c>
      <c r="AA889">
        <f t="shared" ca="1" si="918"/>
        <v>0</v>
      </c>
      <c r="AB889">
        <f t="shared" ca="1" si="919"/>
        <v>1</v>
      </c>
      <c r="AC889" s="24">
        <f t="shared" ca="1" si="920"/>
        <v>0</v>
      </c>
      <c r="AD889" s="24">
        <f t="shared" ca="1" si="921"/>
        <v>4.1099800440324696E-3</v>
      </c>
    </row>
    <row r="890" spans="3:30" x14ac:dyDescent="0.25">
      <c r="C890" s="6">
        <v>984</v>
      </c>
      <c r="D890" s="36">
        <v>43404</v>
      </c>
      <c r="E890" s="38">
        <v>23.585999999999999</v>
      </c>
      <c r="F890" s="38">
        <v>63.251717570785445</v>
      </c>
      <c r="G890" s="38">
        <v>57.27</v>
      </c>
      <c r="H890" s="38">
        <v>2.3812310802347567</v>
      </c>
      <c r="I890" s="38">
        <v>8.5013452631273143</v>
      </c>
      <c r="J890" s="10">
        <v>0</v>
      </c>
      <c r="K890" s="39">
        <v>0</v>
      </c>
      <c r="L890" s="39">
        <v>0</v>
      </c>
      <c r="M890" s="39">
        <v>0</v>
      </c>
      <c r="N890" s="39">
        <v>0</v>
      </c>
      <c r="O890" s="39">
        <v>0</v>
      </c>
      <c r="P890" s="39">
        <v>0</v>
      </c>
      <c r="Q890" s="39">
        <v>0</v>
      </c>
      <c r="R890" s="39">
        <v>0</v>
      </c>
      <c r="S890" s="39">
        <v>1</v>
      </c>
      <c r="T890" s="39">
        <v>0</v>
      </c>
      <c r="U890" s="29" cm="1">
        <f t="array" aca="1" ref="U890" ca="1">+fair_value_gap(OFFSET(T889,0,0,-1*$J$5,-1*$AA$1),OFFSET(E889,0,0,-1*$J$5,1),F890:T890,0)</f>
        <v>23.404735473899478</v>
      </c>
      <c r="V890" s="9" cm="1">
        <f t="array" aca="1" ref="V890" ca="1">z_score_diff(OFFSET(U890,0,0,$J$5*-1,1),OFFSET(E890,0,0,$J$5*-1,1))</f>
        <v>-0.13390955314853192</v>
      </c>
      <c r="W890" s="9">
        <f t="shared" ca="1" si="916"/>
        <v>1.8507375943102602E-2</v>
      </c>
      <c r="X890" s="17">
        <f t="shared" ca="1" si="911"/>
        <v>-3.0148002707669312E-3</v>
      </c>
      <c r="Y890" s="13">
        <f t="shared" ref="Y890:Z890" ca="1" si="968">+Y889</f>
        <v>0</v>
      </c>
      <c r="Z890" s="13">
        <f t="shared" ca="1" si="968"/>
        <v>0</v>
      </c>
      <c r="AA890">
        <f t="shared" ca="1" si="918"/>
        <v>0</v>
      </c>
      <c r="AB890">
        <f t="shared" ca="1" si="919"/>
        <v>1</v>
      </c>
      <c r="AC890" s="24">
        <f t="shared" ca="1" si="920"/>
        <v>0</v>
      </c>
      <c r="AD890" s="24">
        <f t="shared" ca="1" si="921"/>
        <v>-3.0148002707669312E-3</v>
      </c>
    </row>
    <row r="891" spans="3:30" x14ac:dyDescent="0.25">
      <c r="C891" s="6">
        <v>985</v>
      </c>
      <c r="D891" s="36">
        <v>43405</v>
      </c>
      <c r="E891" s="38">
        <v>22.884</v>
      </c>
      <c r="F891" s="38">
        <v>61.026752208149055</v>
      </c>
      <c r="G891" s="38">
        <v>55.88</v>
      </c>
      <c r="H891" s="38">
        <v>2.3525321098583309</v>
      </c>
      <c r="I891" s="38">
        <v>8.2474314233497719</v>
      </c>
      <c r="J891" s="10">
        <v>0</v>
      </c>
      <c r="K891" s="39">
        <v>0</v>
      </c>
      <c r="L891" s="39">
        <v>0</v>
      </c>
      <c r="M891" s="39">
        <v>0</v>
      </c>
      <c r="N891" s="39">
        <v>0</v>
      </c>
      <c r="O891" s="39">
        <v>0</v>
      </c>
      <c r="P891" s="39">
        <v>0</v>
      </c>
      <c r="Q891" s="39">
        <v>0</v>
      </c>
      <c r="R891" s="39">
        <v>0</v>
      </c>
      <c r="S891" s="39">
        <v>0</v>
      </c>
      <c r="T891" s="39">
        <v>1</v>
      </c>
      <c r="U891" s="29" cm="1">
        <f t="array" aca="1" ref="U891" ca="1">+fair_value_gap(OFFSET(T890,0,0,-1*$J$5,-1*$AA$1),OFFSET(E890,0,0,-1*$J$5,1),F891:T891,0)</f>
        <v>23.935689046859952</v>
      </c>
      <c r="V891" s="9" cm="1">
        <f t="array" aca="1" ref="V891" ca="1">z_score_diff(OFFSET(U891,0,0,$J$5*-1,1),OFFSET(E891,0,0,$J$5*-1,1))</f>
        <v>0.42932369126904346</v>
      </c>
      <c r="W891" s="9">
        <f t="shared" ca="1" si="916"/>
        <v>3.4557719258835398E-2</v>
      </c>
      <c r="X891" s="17">
        <f t="shared" ca="1" si="911"/>
        <v>3.9373646747628166E-2</v>
      </c>
      <c r="Y891" s="13">
        <f t="shared" ref="Y891:Z891" ca="1" si="969">+Y890</f>
        <v>0</v>
      </c>
      <c r="Z891" s="13">
        <f t="shared" ca="1" si="969"/>
        <v>0</v>
      </c>
      <c r="AA891">
        <f t="shared" ca="1" si="918"/>
        <v>0</v>
      </c>
      <c r="AB891">
        <f t="shared" ca="1" si="919"/>
        <v>1</v>
      </c>
      <c r="AC891" s="24">
        <f t="shared" ca="1" si="920"/>
        <v>0</v>
      </c>
      <c r="AD891" s="24">
        <f t="shared" ca="1" si="921"/>
        <v>3.9373646747628166E-2</v>
      </c>
    </row>
    <row r="892" spans="3:30" x14ac:dyDescent="0.25">
      <c r="C892" s="6">
        <v>986</v>
      </c>
      <c r="D892" s="36">
        <v>43406</v>
      </c>
      <c r="E892" s="38">
        <v>23.355</v>
      </c>
      <c r="F892" s="38">
        <v>61.034071907597124</v>
      </c>
      <c r="G892" s="38">
        <v>56.29</v>
      </c>
      <c r="H892" s="38">
        <v>2.3591575310881425</v>
      </c>
      <c r="I892" s="38">
        <v>8.3436726936432688</v>
      </c>
      <c r="J892" s="10">
        <v>0</v>
      </c>
      <c r="K892" s="39">
        <v>0</v>
      </c>
      <c r="L892" s="39">
        <v>0</v>
      </c>
      <c r="M892" s="39">
        <v>0</v>
      </c>
      <c r="N892" s="39">
        <v>0</v>
      </c>
      <c r="O892" s="39">
        <v>0</v>
      </c>
      <c r="P892" s="39">
        <v>0</v>
      </c>
      <c r="Q892" s="39">
        <v>0</v>
      </c>
      <c r="R892" s="39">
        <v>0</v>
      </c>
      <c r="S892" s="39">
        <v>0</v>
      </c>
      <c r="T892" s="39">
        <v>1</v>
      </c>
      <c r="U892" s="29" cm="1">
        <f t="array" aca="1" ref="U892" ca="1">+fair_value_gap(OFFSET(T891,0,0,-1*$J$5,-1*$AA$1),OFFSET(E891,0,0,-1*$J$5,1),F892:T892,0)</f>
        <v>23.648338446030166</v>
      </c>
      <c r="V892" s="9" cm="1">
        <f t="array" aca="1" ref="V892" ca="1">z_score_diff(OFFSET(U892,0,0,$J$5*-1,1),OFFSET(E892,0,0,$J$5*-1,1))</f>
        <v>7.770410509247605E-2</v>
      </c>
      <c r="W892" s="9">
        <f t="shared" ca="1" si="916"/>
        <v>4.5157220887222939E-2</v>
      </c>
      <c r="X892" s="17">
        <f t="shared" ca="1" si="911"/>
        <v>3.5872063091928731E-2</v>
      </c>
      <c r="Y892" s="13">
        <f t="shared" ref="Y892:Z892" ca="1" si="970">+Y891</f>
        <v>0</v>
      </c>
      <c r="Z892" s="13">
        <f t="shared" ca="1" si="970"/>
        <v>0</v>
      </c>
      <c r="AA892">
        <f t="shared" ca="1" si="918"/>
        <v>0</v>
      </c>
      <c r="AB892">
        <f t="shared" ca="1" si="919"/>
        <v>1</v>
      </c>
      <c r="AC892" s="24">
        <f t="shared" ca="1" si="920"/>
        <v>0</v>
      </c>
      <c r="AD892" s="24">
        <f t="shared" ca="1" si="921"/>
        <v>3.5872063091928731E-2</v>
      </c>
    </row>
    <row r="893" spans="3:30" x14ac:dyDescent="0.25">
      <c r="C893" s="6">
        <v>987</v>
      </c>
      <c r="D893" s="36">
        <v>43409</v>
      </c>
      <c r="E893" s="38">
        <v>23.149000000000001</v>
      </c>
      <c r="F893" s="38">
        <v>61.18821096962715</v>
      </c>
      <c r="G893" s="38">
        <v>56.42</v>
      </c>
      <c r="H893" s="38">
        <v>2.3702166510262881</v>
      </c>
      <c r="I893" s="38">
        <v>8.3415349950281392</v>
      </c>
      <c r="J893" s="10">
        <v>0</v>
      </c>
      <c r="K893" s="39">
        <v>0</v>
      </c>
      <c r="L893" s="39">
        <v>0</v>
      </c>
      <c r="M893" s="39">
        <v>0</v>
      </c>
      <c r="N893" s="39">
        <v>0</v>
      </c>
      <c r="O893" s="39">
        <v>0</v>
      </c>
      <c r="P893" s="39">
        <v>0</v>
      </c>
      <c r="Q893" s="39">
        <v>0</v>
      </c>
      <c r="R893" s="39">
        <v>0</v>
      </c>
      <c r="S893" s="39">
        <v>0</v>
      </c>
      <c r="T893" s="39">
        <v>1</v>
      </c>
      <c r="U893" s="29" cm="1">
        <f t="array" aca="1" ref="U893" ca="1">+fair_value_gap(OFFSET(T892,0,0,-1*$J$5,-1*$AA$1),OFFSET(E892,0,0,-1*$J$5,1),F893:T893,0)</f>
        <v>23.622095916350304</v>
      </c>
      <c r="V893" s="9" cm="1">
        <f t="array" aca="1" ref="V893" ca="1">z_score_diff(OFFSET(U893,0,0,$J$5*-1,1),OFFSET(E893,0,0,$J$5*-1,1))</f>
        <v>0.15767671463409894</v>
      </c>
      <c r="W893" s="9">
        <f t="shared" ca="1" si="916"/>
        <v>5.3882082148666681E-2</v>
      </c>
      <c r="X893" s="17">
        <f t="shared" ca="1" si="911"/>
        <v>4.543357472186093E-2</v>
      </c>
      <c r="Y893" s="13">
        <f t="shared" ref="Y893:Z893" ca="1" si="971">+Y892</f>
        <v>0</v>
      </c>
      <c r="Z893" s="13">
        <f t="shared" ca="1" si="971"/>
        <v>0</v>
      </c>
      <c r="AA893">
        <f t="shared" ca="1" si="918"/>
        <v>0</v>
      </c>
      <c r="AB893">
        <f t="shared" ca="1" si="919"/>
        <v>1</v>
      </c>
      <c r="AC893" s="24">
        <f t="shared" ca="1" si="920"/>
        <v>0</v>
      </c>
      <c r="AD893" s="24">
        <f t="shared" ca="1" si="921"/>
        <v>4.543357472186093E-2</v>
      </c>
    </row>
    <row r="894" spans="3:30" x14ac:dyDescent="0.25">
      <c r="C894" s="6">
        <v>988</v>
      </c>
      <c r="D894" s="36">
        <v>43410</v>
      </c>
      <c r="E894" s="38">
        <v>23.193000000000001</v>
      </c>
      <c r="F894" s="38">
        <v>60.680926867926068</v>
      </c>
      <c r="G894" s="38">
        <v>56.74</v>
      </c>
      <c r="H894" s="38">
        <v>2.3833795051376012</v>
      </c>
      <c r="I894" s="38">
        <v>8.2677445355838994</v>
      </c>
      <c r="J894" s="10">
        <v>0</v>
      </c>
      <c r="K894" s="39">
        <v>0</v>
      </c>
      <c r="L894" s="39">
        <v>0</v>
      </c>
      <c r="M894" s="39">
        <v>0</v>
      </c>
      <c r="N894" s="39">
        <v>0</v>
      </c>
      <c r="O894" s="39">
        <v>0</v>
      </c>
      <c r="P894" s="39">
        <v>0</v>
      </c>
      <c r="Q894" s="39">
        <v>0</v>
      </c>
      <c r="R894" s="39">
        <v>0</v>
      </c>
      <c r="S894" s="39">
        <v>0</v>
      </c>
      <c r="T894" s="39">
        <v>1</v>
      </c>
      <c r="U894" s="29" cm="1">
        <f t="array" aca="1" ref="U894" ca="1">+fair_value_gap(OFFSET(T893,0,0,-1*$J$5,-1*$AA$1),OFFSET(E893,0,0,-1*$J$5,1),F894:T894,0)</f>
        <v>23.54576226466979</v>
      </c>
      <c r="V894" s="9" cm="1">
        <f t="array" aca="1" ref="V894" ca="1">z_score_diff(OFFSET(U894,0,0,$J$5*-1,1),OFFSET(E894,0,0,$J$5*-1,1))</f>
        <v>0.10110247630667635</v>
      </c>
      <c r="W894" s="9">
        <f t="shared" ca="1" si="916"/>
        <v>6.477789863108202E-2</v>
      </c>
      <c r="X894" s="17">
        <f t="shared" ca="1" si="911"/>
        <v>2.2678835489544091E-2</v>
      </c>
      <c r="Y894" s="13">
        <f t="shared" ref="Y894:Z894" ca="1" si="972">+Y893</f>
        <v>0</v>
      </c>
      <c r="Z894" s="13">
        <f t="shared" ca="1" si="972"/>
        <v>0</v>
      </c>
      <c r="AA894">
        <f t="shared" ca="1" si="918"/>
        <v>0</v>
      </c>
      <c r="AB894">
        <f t="shared" ca="1" si="919"/>
        <v>1</v>
      </c>
      <c r="AC894" s="24">
        <f t="shared" ca="1" si="920"/>
        <v>0</v>
      </c>
      <c r="AD894" s="24">
        <f t="shared" ca="1" si="921"/>
        <v>2.2678835489544091E-2</v>
      </c>
    </row>
    <row r="895" spans="3:30" x14ac:dyDescent="0.25">
      <c r="C895" s="6">
        <v>989</v>
      </c>
      <c r="D895" s="36">
        <v>43411</v>
      </c>
      <c r="E895" s="38">
        <v>23.545000000000002</v>
      </c>
      <c r="F895" s="38">
        <v>60.934978197692843</v>
      </c>
      <c r="G895" s="38">
        <v>58.05</v>
      </c>
      <c r="H895" s="38">
        <v>2.3765908336563775</v>
      </c>
      <c r="I895" s="38">
        <v>8.3104668810159037</v>
      </c>
      <c r="J895" s="10">
        <v>0</v>
      </c>
      <c r="K895" s="39">
        <v>0</v>
      </c>
      <c r="L895" s="39">
        <v>0</v>
      </c>
      <c r="M895" s="39">
        <v>0</v>
      </c>
      <c r="N895" s="39">
        <v>0</v>
      </c>
      <c r="O895" s="39">
        <v>0</v>
      </c>
      <c r="P895" s="39">
        <v>0</v>
      </c>
      <c r="Q895" s="39">
        <v>0</v>
      </c>
      <c r="R895" s="39">
        <v>0</v>
      </c>
      <c r="S895" s="39">
        <v>0</v>
      </c>
      <c r="T895" s="39">
        <v>1</v>
      </c>
      <c r="U895" s="29" cm="1">
        <f t="array" aca="1" ref="U895" ca="1">+fair_value_gap(OFFSET(T894,0,0,-1*$J$5,-1*$AA$1),OFFSET(E894,0,0,-1*$J$5,1),F895:T895,0)</f>
        <v>23.840406342614749</v>
      </c>
      <c r="V895" s="9" cm="1">
        <f t="array" aca="1" ref="V895" ca="1">z_score_diff(OFFSET(U895,0,0,$J$5*-1,1),OFFSET(E895,0,0,$J$5*-1,1))</f>
        <v>7.2483454417390458E-2</v>
      </c>
      <c r="W895" s="9">
        <f t="shared" ca="1" si="916"/>
        <v>7.6837579433092912E-2</v>
      </c>
      <c r="X895" s="17">
        <f t="shared" ca="1" si="911"/>
        <v>2.1969673662587366E-2</v>
      </c>
      <c r="Y895" s="13">
        <f t="shared" ref="Y895:Z895" ca="1" si="973">+Y894</f>
        <v>0</v>
      </c>
      <c r="Z895" s="13">
        <f t="shared" ca="1" si="973"/>
        <v>0</v>
      </c>
      <c r="AA895">
        <f t="shared" ca="1" si="918"/>
        <v>0</v>
      </c>
      <c r="AB895">
        <f t="shared" ca="1" si="919"/>
        <v>1</v>
      </c>
      <c r="AC895" s="24">
        <f t="shared" ca="1" si="920"/>
        <v>0</v>
      </c>
      <c r="AD895" s="24">
        <f t="shared" ca="1" si="921"/>
        <v>2.1969673662587366E-2</v>
      </c>
    </row>
    <row r="896" spans="3:30" x14ac:dyDescent="0.25">
      <c r="C896" s="6">
        <v>990</v>
      </c>
      <c r="D896" s="36">
        <v>43412</v>
      </c>
      <c r="E896" s="38">
        <v>23.436</v>
      </c>
      <c r="F896" s="38">
        <v>60.630334385222859</v>
      </c>
      <c r="G896" s="38">
        <v>59.12</v>
      </c>
      <c r="H896" s="38">
        <v>2.3997027157797883</v>
      </c>
      <c r="I896" s="38">
        <v>8.405762347797026</v>
      </c>
      <c r="J896" s="10">
        <v>0</v>
      </c>
      <c r="K896" s="39">
        <v>0</v>
      </c>
      <c r="L896" s="39">
        <v>0</v>
      </c>
      <c r="M896" s="39">
        <v>0</v>
      </c>
      <c r="N896" s="39">
        <v>0</v>
      </c>
      <c r="O896" s="39">
        <v>0</v>
      </c>
      <c r="P896" s="39">
        <v>0</v>
      </c>
      <c r="Q896" s="39">
        <v>0</v>
      </c>
      <c r="R896" s="39">
        <v>0</v>
      </c>
      <c r="S896" s="39">
        <v>0</v>
      </c>
      <c r="T896" s="39">
        <v>1</v>
      </c>
      <c r="U896" s="29" cm="1">
        <f t="array" aca="1" ref="U896" ca="1">+fair_value_gap(OFFSET(T895,0,0,-1*$J$5,-1*$AA$1),OFFSET(E895,0,0,-1*$J$5,1),F896:T896,0)</f>
        <v>24.053929483889647</v>
      </c>
      <c r="V896" s="9" cm="1">
        <f t="array" aca="1" ref="V896" ca="1">z_score_diff(OFFSET(U896,0,0,$J$5*-1,1),OFFSET(E896,0,0,$J$5*-1,1))</f>
        <v>0.21440600745441296</v>
      </c>
      <c r="W896" s="9">
        <f t="shared" ca="1" si="916"/>
        <v>7.1803481355484797E-2</v>
      </c>
      <c r="X896" s="17">
        <f t="shared" ca="1" si="911"/>
        <v>2.6277408863990562E-2</v>
      </c>
      <c r="Y896" s="13">
        <f t="shared" ref="Y896:Z896" ca="1" si="974">+Y895</f>
        <v>0</v>
      </c>
      <c r="Z896" s="13">
        <f t="shared" ca="1" si="974"/>
        <v>0</v>
      </c>
      <c r="AA896">
        <f t="shared" ca="1" si="918"/>
        <v>0</v>
      </c>
      <c r="AB896">
        <f t="shared" ca="1" si="919"/>
        <v>1</v>
      </c>
      <c r="AC896" s="24">
        <f t="shared" ca="1" si="920"/>
        <v>0</v>
      </c>
      <c r="AD896" s="24">
        <f t="shared" ca="1" si="921"/>
        <v>2.6277408863990562E-2</v>
      </c>
    </row>
    <row r="897" spans="3:30" x14ac:dyDescent="0.25">
      <c r="C897" s="6">
        <v>991</v>
      </c>
      <c r="D897" s="36">
        <v>43413</v>
      </c>
      <c r="E897" s="38">
        <v>23.423999999999999</v>
      </c>
      <c r="F897" s="38">
        <v>60.227351215930788</v>
      </c>
      <c r="G897" s="38">
        <v>58.57</v>
      </c>
      <c r="H897" s="38">
        <v>2.4148925193758459</v>
      </c>
      <c r="I897" s="38">
        <v>8.2841387096526624</v>
      </c>
      <c r="J897" s="10">
        <v>0</v>
      </c>
      <c r="K897" s="39">
        <v>0</v>
      </c>
      <c r="L897" s="39">
        <v>0</v>
      </c>
      <c r="M897" s="39">
        <v>0</v>
      </c>
      <c r="N897" s="39">
        <v>0</v>
      </c>
      <c r="O897" s="39">
        <v>0</v>
      </c>
      <c r="P897" s="39">
        <v>0</v>
      </c>
      <c r="Q897" s="39">
        <v>0</v>
      </c>
      <c r="R897" s="39">
        <v>0</v>
      </c>
      <c r="S897" s="39">
        <v>0</v>
      </c>
      <c r="T897" s="39">
        <v>1</v>
      </c>
      <c r="U897" s="29" cm="1">
        <f t="array" aca="1" ref="U897" ca="1">+fair_value_gap(OFFSET(T896,0,0,-1*$J$5,-1*$AA$1),OFFSET(E896,0,0,-1*$J$5,1),F897:T897,0)</f>
        <v>23.781996876871027</v>
      </c>
      <c r="V897" s="9" cm="1">
        <f t="array" aca="1" ref="V897" ca="1">z_score_diff(OFFSET(U897,0,0,$J$5*-1,1),OFFSET(E897,0,0,$J$5*-1,1))</f>
        <v>9.5992337634557501E-2</v>
      </c>
      <c r="W897" s="9">
        <f t="shared" ca="1" si="916"/>
        <v>5.803386017730703E-2</v>
      </c>
      <c r="X897" s="17">
        <f t="shared" ca="1" si="911"/>
        <v>1.8442278890868972E-2</v>
      </c>
      <c r="Y897" s="13">
        <f t="shared" ref="Y897:Z897" ca="1" si="975">+Y896</f>
        <v>0</v>
      </c>
      <c r="Z897" s="13">
        <f t="shared" ca="1" si="975"/>
        <v>0</v>
      </c>
      <c r="AA897">
        <f t="shared" ca="1" si="918"/>
        <v>0</v>
      </c>
      <c r="AB897">
        <f t="shared" ca="1" si="919"/>
        <v>1</v>
      </c>
      <c r="AC897" s="24">
        <f t="shared" ca="1" si="920"/>
        <v>0</v>
      </c>
      <c r="AD897" s="24">
        <f t="shared" ca="1" si="921"/>
        <v>1.8442278890868972E-2</v>
      </c>
    </row>
    <row r="898" spans="3:30" x14ac:dyDescent="0.25">
      <c r="C898" s="6">
        <v>992</v>
      </c>
      <c r="D898" s="36">
        <v>43416</v>
      </c>
      <c r="E898" s="38">
        <v>24.369</v>
      </c>
      <c r="F898" s="38">
        <v>60.664326929206574</v>
      </c>
      <c r="G898" s="38">
        <v>60.41</v>
      </c>
      <c r="H898" s="38">
        <v>2.4508663748025095</v>
      </c>
      <c r="I898" s="38">
        <v>8.399278437372395</v>
      </c>
      <c r="J898" s="10">
        <v>0</v>
      </c>
      <c r="K898" s="39">
        <v>0</v>
      </c>
      <c r="L898" s="39">
        <v>0</v>
      </c>
      <c r="M898" s="39">
        <v>0</v>
      </c>
      <c r="N898" s="39">
        <v>0</v>
      </c>
      <c r="O898" s="39">
        <v>0</v>
      </c>
      <c r="P898" s="39">
        <v>0</v>
      </c>
      <c r="Q898" s="39">
        <v>0</v>
      </c>
      <c r="R898" s="39">
        <v>0</v>
      </c>
      <c r="S898" s="39">
        <v>0</v>
      </c>
      <c r="T898" s="39">
        <v>1</v>
      </c>
      <c r="U898" s="29" cm="1">
        <f t="array" aca="1" ref="U898" ca="1">+fair_value_gap(OFFSET(T897,0,0,-1*$J$5,-1*$AA$1),OFFSET(E897,0,0,-1*$J$5,1),F898:T898,0)</f>
        <v>24.273173364746022</v>
      </c>
      <c r="V898" s="9" cm="1">
        <f t="array" aca="1" ref="V898" ca="1">z_score_diff(OFFSET(U898,0,0,$J$5*-1,1),OFFSET(E898,0,0,$J$5*-1,1))</f>
        <v>-0.10811589579356373</v>
      </c>
      <c r="W898" s="9">
        <f t="shared" ca="1" si="916"/>
        <v>4.1700044366014093E-2</v>
      </c>
      <c r="X898" s="17">
        <f t="shared" ca="1" si="911"/>
        <v>-4.0704023720455902E-2</v>
      </c>
      <c r="Y898" s="13">
        <f t="shared" ref="Y898:Z898" ca="1" si="976">+Y897</f>
        <v>0</v>
      </c>
      <c r="Z898" s="13">
        <f t="shared" ca="1" si="976"/>
        <v>0</v>
      </c>
      <c r="AA898">
        <f t="shared" ca="1" si="918"/>
        <v>0</v>
      </c>
      <c r="AB898">
        <f t="shared" ca="1" si="919"/>
        <v>1</v>
      </c>
      <c r="AC898" s="24">
        <f t="shared" ca="1" si="920"/>
        <v>0</v>
      </c>
      <c r="AD898" s="24">
        <f t="shared" ca="1" si="921"/>
        <v>-4.0704023720455902E-2</v>
      </c>
    </row>
    <row r="899" spans="3:30" x14ac:dyDescent="0.25">
      <c r="C899" s="6">
        <v>993</v>
      </c>
      <c r="D899" s="36">
        <v>43417</v>
      </c>
      <c r="E899" s="38">
        <v>24.218</v>
      </c>
      <c r="F899" s="38">
        <v>56.860816918106032</v>
      </c>
      <c r="G899" s="38">
        <v>60.1</v>
      </c>
      <c r="H899" s="38">
        <v>2.4078902735281118</v>
      </c>
      <c r="I899" s="38">
        <v>8.1419413197739967</v>
      </c>
      <c r="J899" s="10">
        <v>0</v>
      </c>
      <c r="K899" s="39">
        <v>0</v>
      </c>
      <c r="L899" s="39">
        <v>0</v>
      </c>
      <c r="M899" s="39">
        <v>0</v>
      </c>
      <c r="N899" s="39">
        <v>0</v>
      </c>
      <c r="O899" s="39">
        <v>0</v>
      </c>
      <c r="P899" s="39">
        <v>0</v>
      </c>
      <c r="Q899" s="39">
        <v>0</v>
      </c>
      <c r="R899" s="39">
        <v>0</v>
      </c>
      <c r="S899" s="39">
        <v>0</v>
      </c>
      <c r="T899" s="39">
        <v>1</v>
      </c>
      <c r="U899" s="29" cm="1">
        <f t="array" aca="1" ref="U899" ca="1">+fair_value_gap(OFFSET(T898,0,0,-1*$J$5,-1*$AA$1),OFFSET(E898,0,0,-1*$J$5,1),F899:T899,0)</f>
        <v>23.720435286101278</v>
      </c>
      <c r="V899" s="9" cm="1">
        <f t="array" aca="1" ref="V899" ca="1">z_score_diff(OFFSET(U899,0,0,$J$5*-1,1),OFFSET(E899,0,0,$J$5*-1,1))</f>
        <v>-0.2802170337246308</v>
      </c>
      <c r="W899" s="9">
        <f t="shared" ca="1" si="916"/>
        <v>2.0012737174429758E-2</v>
      </c>
      <c r="X899" s="17">
        <f t="shared" ca="1" si="911"/>
        <v>-5.6221290835890093E-2</v>
      </c>
      <c r="Y899" s="13">
        <f t="shared" ref="Y899:Z899" ca="1" si="977">+Y898</f>
        <v>0</v>
      </c>
      <c r="Z899" s="13">
        <f t="shared" ca="1" si="977"/>
        <v>0</v>
      </c>
      <c r="AA899">
        <f t="shared" ca="1" si="918"/>
        <v>0</v>
      </c>
      <c r="AB899">
        <f t="shared" ca="1" si="919"/>
        <v>1</v>
      </c>
      <c r="AC899" s="24">
        <f t="shared" ca="1" si="920"/>
        <v>0</v>
      </c>
      <c r="AD899" s="24">
        <f t="shared" ca="1" si="921"/>
        <v>-5.6221290835890093E-2</v>
      </c>
    </row>
    <row r="900" spans="3:30" x14ac:dyDescent="0.25">
      <c r="C900" s="6">
        <v>994</v>
      </c>
      <c r="D900" s="36">
        <v>43418</v>
      </c>
      <c r="E900" s="38">
        <v>23.745000000000001</v>
      </c>
      <c r="F900" s="38">
        <v>57.223567530987197</v>
      </c>
      <c r="G900" s="38">
        <v>59.21</v>
      </c>
      <c r="H900" s="38">
        <v>2.3796869579483251</v>
      </c>
      <c r="I900" s="38">
        <v>8.0661561518966565</v>
      </c>
      <c r="J900" s="10">
        <v>0</v>
      </c>
      <c r="K900" s="39">
        <v>0</v>
      </c>
      <c r="L900" s="39">
        <v>0</v>
      </c>
      <c r="M900" s="39">
        <v>0</v>
      </c>
      <c r="N900" s="39">
        <v>0</v>
      </c>
      <c r="O900" s="39">
        <v>0</v>
      </c>
      <c r="P900" s="39">
        <v>0</v>
      </c>
      <c r="Q900" s="39">
        <v>0</v>
      </c>
      <c r="R900" s="39">
        <v>0</v>
      </c>
      <c r="S900" s="39">
        <v>0</v>
      </c>
      <c r="T900" s="39">
        <v>1</v>
      </c>
      <c r="U900" s="29" cm="1">
        <f t="array" aca="1" ref="U900" ca="1">+fair_value_gap(OFFSET(T899,0,0,-1*$J$5,-1*$AA$1),OFFSET(E899,0,0,-1*$J$5,1),F900:T900,0)</f>
        <v>23.590128553495475</v>
      </c>
      <c r="V900" s="9" cm="1">
        <f t="array" aca="1" ref="V900" ca="1">z_score_diff(OFFSET(U900,0,0,$J$5*-1,1),OFFSET(E900,0,0,$J$5*-1,1))</f>
        <v>-0.1247995067582508</v>
      </c>
      <c r="W900" s="9">
        <f t="shared" ca="1" si="916"/>
        <v>1.3032947856872272E-2</v>
      </c>
      <c r="X900" s="17">
        <f t="shared" ca="1" si="911"/>
        <v>-4.5095167122137944E-2</v>
      </c>
      <c r="Y900" s="13">
        <f t="shared" ref="Y900:Z900" ca="1" si="978">+Y899</f>
        <v>0</v>
      </c>
      <c r="Z900" s="13">
        <f t="shared" ca="1" si="978"/>
        <v>0</v>
      </c>
      <c r="AA900">
        <f t="shared" ca="1" si="918"/>
        <v>0</v>
      </c>
      <c r="AB900">
        <f t="shared" ca="1" si="919"/>
        <v>1</v>
      </c>
      <c r="AC900" s="24">
        <f t="shared" ca="1" si="920"/>
        <v>0</v>
      </c>
      <c r="AD900" s="24">
        <f t="shared" ca="1" si="921"/>
        <v>-4.5095167122137944E-2</v>
      </c>
    </row>
    <row r="901" spans="3:30" x14ac:dyDescent="0.25">
      <c r="C901" s="6">
        <v>995</v>
      </c>
      <c r="D901" s="36">
        <v>43419</v>
      </c>
      <c r="E901" s="38">
        <v>23.901</v>
      </c>
      <c r="F901" s="38">
        <v>57.003716038024102</v>
      </c>
      <c r="G901" s="38">
        <v>58.95</v>
      </c>
      <c r="H901" s="38">
        <v>2.3419403624545314</v>
      </c>
      <c r="I901" s="38">
        <v>8.0952275283823703</v>
      </c>
      <c r="J901" s="10">
        <v>0</v>
      </c>
      <c r="K901" s="39">
        <v>0</v>
      </c>
      <c r="L901" s="39">
        <v>0</v>
      </c>
      <c r="M901" s="39">
        <v>0</v>
      </c>
      <c r="N901" s="39">
        <v>0</v>
      </c>
      <c r="O901" s="39">
        <v>0</v>
      </c>
      <c r="P901" s="39">
        <v>0</v>
      </c>
      <c r="Q901" s="39">
        <v>0</v>
      </c>
      <c r="R901" s="39">
        <v>0</v>
      </c>
      <c r="S901" s="39">
        <v>0</v>
      </c>
      <c r="T901" s="39">
        <v>1</v>
      </c>
      <c r="U901" s="29" cm="1">
        <f t="array" aca="1" ref="U901" ca="1">+fair_value_gap(OFFSET(T900,0,0,-1*$J$5,-1*$AA$1),OFFSET(E900,0,0,-1*$J$5,1),F901:T901,0)</f>
        <v>23.486090070329738</v>
      </c>
      <c r="V901" s="9" cm="1">
        <f t="array" aca="1" ref="V901" ca="1">z_score_diff(OFFSET(U901,0,0,$J$5*-1,1),OFFSET(E901,0,0,$J$5*-1,1))</f>
        <v>-0.23563007824819637</v>
      </c>
      <c r="W901" s="9">
        <f t="shared" ca="1" si="916"/>
        <v>1.0834064551829344E-2</v>
      </c>
      <c r="X901" s="17">
        <f t="shared" ca="1" si="911"/>
        <v>-4.6896639831171948E-2</v>
      </c>
      <c r="Y901" s="13">
        <f t="shared" ref="Y901:Z901" ca="1" si="979">+Y900</f>
        <v>0</v>
      </c>
      <c r="Z901" s="13">
        <f t="shared" ca="1" si="979"/>
        <v>0</v>
      </c>
      <c r="AA901">
        <f t="shared" ca="1" si="918"/>
        <v>0</v>
      </c>
      <c r="AB901">
        <f t="shared" ca="1" si="919"/>
        <v>1</v>
      </c>
      <c r="AC901" s="24">
        <f t="shared" ca="1" si="920"/>
        <v>0</v>
      </c>
      <c r="AD901" s="24">
        <f t="shared" ca="1" si="921"/>
        <v>-4.6896639831171948E-2</v>
      </c>
    </row>
    <row r="902" spans="3:30" x14ac:dyDescent="0.25">
      <c r="C902" s="6">
        <v>996</v>
      </c>
      <c r="D902" s="36">
        <v>43420</v>
      </c>
      <c r="E902" s="38">
        <v>23.553999999999998</v>
      </c>
      <c r="F902" s="38">
        <v>56.617384648118595</v>
      </c>
      <c r="G902" s="38">
        <v>58.76</v>
      </c>
      <c r="H902" s="38">
        <v>2.3353929436377707</v>
      </c>
      <c r="I902" s="38">
        <v>8.3624868925541236</v>
      </c>
      <c r="J902" s="10">
        <v>0</v>
      </c>
      <c r="K902" s="39">
        <v>0</v>
      </c>
      <c r="L902" s="39">
        <v>0</v>
      </c>
      <c r="M902" s="39">
        <v>0</v>
      </c>
      <c r="N902" s="39">
        <v>0</v>
      </c>
      <c r="O902" s="39">
        <v>0</v>
      </c>
      <c r="P902" s="39">
        <v>0</v>
      </c>
      <c r="Q902" s="39">
        <v>0</v>
      </c>
      <c r="R902" s="39">
        <v>0</v>
      </c>
      <c r="S902" s="39">
        <v>0</v>
      </c>
      <c r="T902" s="39">
        <v>1</v>
      </c>
      <c r="U902" s="29" cm="1">
        <f t="array" aca="1" ref="U902" ca="1">+fair_value_gap(OFFSET(T901,0,0,-1*$J$5,-1*$AA$1),OFFSET(E901,0,0,-1*$J$5,1),F902:T902,0)</f>
        <v>23.45450896917384</v>
      </c>
      <c r="V902" s="9" cm="1">
        <f t="array" aca="1" ref="V902" ca="1">z_score_diff(OFFSET(U902,0,0,$J$5*-1,1),OFFSET(E902,0,0,$J$5*-1,1))</f>
        <v>-9.4852277549837938E-2</v>
      </c>
      <c r="W902" s="9">
        <f t="shared" ca="1" si="916"/>
        <v>1.2814573989296352E-2</v>
      </c>
      <c r="X902" s="17">
        <f t="shared" ca="1" si="911"/>
        <v>-2.7809462887745686E-2</v>
      </c>
      <c r="Y902" s="13">
        <f t="shared" ref="Y902:Z902" ca="1" si="980">+Y901</f>
        <v>0</v>
      </c>
      <c r="Z902" s="13">
        <f t="shared" ca="1" si="980"/>
        <v>0</v>
      </c>
      <c r="AA902">
        <f t="shared" ca="1" si="918"/>
        <v>0</v>
      </c>
      <c r="AB902">
        <f t="shared" ca="1" si="919"/>
        <v>1</v>
      </c>
      <c r="AC902" s="24">
        <f t="shared" ca="1" si="920"/>
        <v>0</v>
      </c>
      <c r="AD902" s="24">
        <f t="shared" ca="1" si="921"/>
        <v>-2.7809462887745686E-2</v>
      </c>
    </row>
    <row r="903" spans="3:30" x14ac:dyDescent="0.25">
      <c r="C903" s="6">
        <v>997</v>
      </c>
      <c r="D903" s="36">
        <v>43423</v>
      </c>
      <c r="E903" s="38">
        <v>22.986000000000001</v>
      </c>
      <c r="F903" s="38">
        <v>56.46107937763513</v>
      </c>
      <c r="G903" s="38">
        <v>57.25</v>
      </c>
      <c r="H903" s="38">
        <v>2.3612072411482194</v>
      </c>
      <c r="I903" s="38">
        <v>8.146756551420486</v>
      </c>
      <c r="J903" s="10">
        <v>0</v>
      </c>
      <c r="K903" s="39">
        <v>0</v>
      </c>
      <c r="L903" s="39">
        <v>0</v>
      </c>
      <c r="M903" s="39">
        <v>0</v>
      </c>
      <c r="N903" s="39">
        <v>0</v>
      </c>
      <c r="O903" s="39">
        <v>0</v>
      </c>
      <c r="P903" s="39">
        <v>0</v>
      </c>
      <c r="Q903" s="39">
        <v>0</v>
      </c>
      <c r="R903" s="39">
        <v>0</v>
      </c>
      <c r="S903" s="39">
        <v>0</v>
      </c>
      <c r="T903" s="39">
        <v>1</v>
      </c>
      <c r="U903" s="29" cm="1">
        <f t="array" aca="1" ref="U903" ca="1">+fair_value_gap(OFFSET(T902,0,0,-1*$J$5,-1*$AA$1),OFFSET(E902,0,0,-1*$J$5,1),F903:T903,0)</f>
        <v>23.048477991181976</v>
      </c>
      <c r="V903" s="9" cm="1">
        <f t="array" aca="1" ref="V903" ca="1">z_score_diff(OFFSET(U903,0,0,$J$5*-1,1),OFFSET(E903,0,0,$J$5*-1,1))</f>
        <v>-2.3257884850024668E-2</v>
      </c>
      <c r="W903" s="9">
        <f t="shared" ca="1" si="916"/>
        <v>6.8236716095401977E-3</v>
      </c>
      <c r="X903" s="17">
        <f t="shared" ref="X903:X966" ca="1" si="981">+LN(OFFSET(E903,$X$3,0,1,1)/E903)</f>
        <v>-1.4063450553754383E-2</v>
      </c>
      <c r="Y903" s="13">
        <f t="shared" ref="Y903:Z903" ca="1" si="982">+Y902</f>
        <v>0</v>
      </c>
      <c r="Z903" s="13">
        <f t="shared" ca="1" si="982"/>
        <v>0</v>
      </c>
      <c r="AA903">
        <f t="shared" ca="1" si="918"/>
        <v>0</v>
      </c>
      <c r="AB903">
        <f t="shared" ca="1" si="919"/>
        <v>1</v>
      </c>
      <c r="AC903" s="24">
        <f t="shared" ca="1" si="920"/>
        <v>0</v>
      </c>
      <c r="AD903" s="24">
        <f t="shared" ca="1" si="921"/>
        <v>-1.4063450553754383E-2</v>
      </c>
    </row>
    <row r="904" spans="3:30" x14ac:dyDescent="0.25">
      <c r="C904" s="6">
        <v>998</v>
      </c>
      <c r="D904" s="36">
        <v>43424</v>
      </c>
      <c r="E904" s="38">
        <v>22.991</v>
      </c>
      <c r="F904" s="38">
        <v>53.556340095523268</v>
      </c>
      <c r="G904" s="38">
        <v>58.15</v>
      </c>
      <c r="H904" s="38">
        <v>2.3297943943683306</v>
      </c>
      <c r="I904" s="38">
        <v>8.1517276472054814</v>
      </c>
      <c r="J904" s="10">
        <v>0</v>
      </c>
      <c r="K904" s="39">
        <v>0</v>
      </c>
      <c r="L904" s="39">
        <v>0</v>
      </c>
      <c r="M904" s="39">
        <v>0</v>
      </c>
      <c r="N904" s="39">
        <v>0</v>
      </c>
      <c r="O904" s="39">
        <v>0</v>
      </c>
      <c r="P904" s="39">
        <v>0</v>
      </c>
      <c r="Q904" s="39">
        <v>0</v>
      </c>
      <c r="R904" s="39">
        <v>0</v>
      </c>
      <c r="S904" s="39">
        <v>0</v>
      </c>
      <c r="T904" s="39">
        <v>1</v>
      </c>
      <c r="U904" s="29" cm="1">
        <f t="array" aca="1" ref="U904" ca="1">+fair_value_gap(OFFSET(T903,0,0,-1*$J$5,-1*$AA$1),OFFSET(E903,0,0,-1*$J$5,1),F904:T904,0)</f>
        <v>22.959187897641907</v>
      </c>
      <c r="V904" s="9" cm="1">
        <f t="array" aca="1" ref="V904" ca="1">z_score_diff(OFFSET(U904,0,0,$J$5*-1,1),OFFSET(E904,0,0,$J$5*-1,1))</f>
        <v>-6.3812034029444131E-2</v>
      </c>
      <c r="W904" s="9">
        <f t="shared" ca="1" si="916"/>
        <v>-2.6067486896082849E-3</v>
      </c>
      <c r="X904" s="17">
        <f t="shared" ca="1" si="981"/>
        <v>1.1159285353888854E-2</v>
      </c>
      <c r="Y904" s="13">
        <f t="shared" ref="Y904:Z904" ca="1" si="983">+Y903</f>
        <v>0</v>
      </c>
      <c r="Z904" s="13">
        <f t="shared" ca="1" si="983"/>
        <v>0</v>
      </c>
      <c r="AA904">
        <f t="shared" ca="1" si="918"/>
        <v>1</v>
      </c>
      <c r="AB904">
        <f t="shared" ca="1" si="919"/>
        <v>0</v>
      </c>
      <c r="AC904" s="24">
        <f t="shared" ca="1" si="920"/>
        <v>1.1159285353888854E-2</v>
      </c>
      <c r="AD904" s="24">
        <f t="shared" ca="1" si="921"/>
        <v>0</v>
      </c>
    </row>
    <row r="905" spans="3:30" x14ac:dyDescent="0.25">
      <c r="C905" s="6">
        <v>999</v>
      </c>
      <c r="D905" s="36">
        <v>43425</v>
      </c>
      <c r="E905" s="38">
        <v>22.805</v>
      </c>
      <c r="F905" s="38">
        <v>54.538795370745696</v>
      </c>
      <c r="G905" s="38">
        <v>58.27</v>
      </c>
      <c r="H905" s="38">
        <v>2.3181962257929927</v>
      </c>
      <c r="I905" s="38">
        <v>8.0346573734870752</v>
      </c>
      <c r="J905" s="10">
        <v>0</v>
      </c>
      <c r="K905" s="39">
        <v>0</v>
      </c>
      <c r="L905" s="39">
        <v>0</v>
      </c>
      <c r="M905" s="39">
        <v>0</v>
      </c>
      <c r="N905" s="39">
        <v>0</v>
      </c>
      <c r="O905" s="39">
        <v>0</v>
      </c>
      <c r="P905" s="39">
        <v>0</v>
      </c>
      <c r="Q905" s="39">
        <v>0</v>
      </c>
      <c r="R905" s="39">
        <v>0</v>
      </c>
      <c r="S905" s="39">
        <v>0</v>
      </c>
      <c r="T905" s="39">
        <v>1</v>
      </c>
      <c r="U905" s="29" cm="1">
        <f t="array" aca="1" ref="U905" ca="1">+fair_value_gap(OFFSET(T904,0,0,-1*$J$5,-1*$AA$1),OFFSET(E904,0,0,-1*$J$5,1),F905:T905,0)</f>
        <v>23.074389603131628</v>
      </c>
      <c r="V905" s="9" cm="1">
        <f t="array" aca="1" ref="V905" ca="1">z_score_diff(OFFSET(U905,0,0,$J$5*-1,1),OFFSET(E905,0,0,$J$5*-1,1))</f>
        <v>6.7149977214824519E-2</v>
      </c>
      <c r="W905" s="9">
        <f t="shared" ca="1" si="916"/>
        <v>-3.3970275924032939E-3</v>
      </c>
      <c r="X905" s="17">
        <f t="shared" ca="1" si="981"/>
        <v>-5.4522405653649481E-3</v>
      </c>
      <c r="Y905" s="13">
        <f t="shared" ref="Y905:Z905" ca="1" si="984">+Y904</f>
        <v>0</v>
      </c>
      <c r="Z905" s="13">
        <f t="shared" ca="1" si="984"/>
        <v>0</v>
      </c>
      <c r="AA905">
        <f t="shared" ca="1" si="918"/>
        <v>1</v>
      </c>
      <c r="AB905">
        <f t="shared" ca="1" si="919"/>
        <v>0</v>
      </c>
      <c r="AC905" s="24">
        <f t="shared" ca="1" si="920"/>
        <v>-5.4522405653649481E-3</v>
      </c>
      <c r="AD905" s="24">
        <f t="shared" ca="1" si="921"/>
        <v>0</v>
      </c>
    </row>
    <row r="906" spans="3:30" x14ac:dyDescent="0.25">
      <c r="C906" s="6">
        <v>1000</v>
      </c>
      <c r="D906" s="36">
        <v>43426</v>
      </c>
      <c r="E906" s="38">
        <v>23.033000000000001</v>
      </c>
      <c r="F906" s="38">
        <v>53.81598056381231</v>
      </c>
      <c r="G906" s="38">
        <v>58.52</v>
      </c>
      <c r="H906" s="38">
        <v>2.3141550280277428</v>
      </c>
      <c r="I906" s="38">
        <v>8.0206509494143354</v>
      </c>
      <c r="J906" s="10">
        <v>0</v>
      </c>
      <c r="K906" s="39">
        <v>0</v>
      </c>
      <c r="L906" s="39">
        <v>0</v>
      </c>
      <c r="M906" s="39">
        <v>0</v>
      </c>
      <c r="N906" s="39">
        <v>0</v>
      </c>
      <c r="O906" s="39">
        <v>0</v>
      </c>
      <c r="P906" s="39">
        <v>0</v>
      </c>
      <c r="Q906" s="39">
        <v>0</v>
      </c>
      <c r="R906" s="39">
        <v>0</v>
      </c>
      <c r="S906" s="39">
        <v>0</v>
      </c>
      <c r="T906" s="39">
        <v>1</v>
      </c>
      <c r="U906" s="29" cm="1">
        <f t="array" aca="1" ref="U906" ca="1">+fair_value_gap(OFFSET(T905,0,0,-1*$J$5,-1*$AA$1),OFFSET(E905,0,0,-1*$J$5,1),F906:T906,0)</f>
        <v>23.030634433558291</v>
      </c>
      <c r="V906" s="9" cm="1">
        <f t="array" aca="1" ref="V906" ca="1">z_score_diff(OFFSET(U906,0,0,$J$5*-1,1),OFFSET(E906,0,0,$J$5*-1,1))</f>
        <v>-5.1087608321463751E-2</v>
      </c>
      <c r="W906" s="9">
        <f t="shared" ca="1" si="916"/>
        <v>-4.3558742141599936E-3</v>
      </c>
      <c r="X906" s="17">
        <f t="shared" ca="1" si="981"/>
        <v>-1.5207145942952929E-3</v>
      </c>
      <c r="Y906" s="13">
        <f t="shared" ref="Y906:Z906" ca="1" si="985">+Y905</f>
        <v>0</v>
      </c>
      <c r="Z906" s="13">
        <f t="shared" ca="1" si="985"/>
        <v>0</v>
      </c>
      <c r="AA906">
        <f t="shared" ca="1" si="918"/>
        <v>1</v>
      </c>
      <c r="AB906">
        <f t="shared" ca="1" si="919"/>
        <v>0</v>
      </c>
      <c r="AC906" s="24">
        <f t="shared" ca="1" si="920"/>
        <v>-1.5207145942952929E-3</v>
      </c>
      <c r="AD906" s="24">
        <f t="shared" ca="1" si="921"/>
        <v>0</v>
      </c>
    </row>
    <row r="907" spans="3:30" x14ac:dyDescent="0.25">
      <c r="C907" s="6">
        <v>1001</v>
      </c>
      <c r="D907" s="36">
        <v>43427</v>
      </c>
      <c r="E907" s="38">
        <v>22.702999999999999</v>
      </c>
      <c r="F907" s="38">
        <v>51.114031424968005</v>
      </c>
      <c r="G907" s="38">
        <v>58.69</v>
      </c>
      <c r="H907" s="38">
        <v>2.3789457325419456</v>
      </c>
      <c r="I907" s="38">
        <v>7.9582822064935153</v>
      </c>
      <c r="J907" s="10">
        <v>0</v>
      </c>
      <c r="K907" s="39">
        <v>0</v>
      </c>
      <c r="L907" s="39">
        <v>0</v>
      </c>
      <c r="M907" s="39">
        <v>0</v>
      </c>
      <c r="N907" s="39">
        <v>0</v>
      </c>
      <c r="O907" s="39">
        <v>0</v>
      </c>
      <c r="P907" s="39">
        <v>0</v>
      </c>
      <c r="Q907" s="39">
        <v>0</v>
      </c>
      <c r="R907" s="39">
        <v>0</v>
      </c>
      <c r="S907" s="39">
        <v>0</v>
      </c>
      <c r="T907" s="39">
        <v>1</v>
      </c>
      <c r="U907" s="29" cm="1">
        <f t="array" aca="1" ref="U907" ca="1">+fair_value_gap(OFFSET(T906,0,0,-1*$J$5,-1*$AA$1),OFFSET(E906,0,0,-1*$J$5,1),F907:T907,0)</f>
        <v>22.768511966019759</v>
      </c>
      <c r="V907" s="9" cm="1">
        <f t="array" aca="1" ref="V907" ca="1">z_score_diff(OFFSET(U907,0,0,$J$5*-1,1),OFFSET(E907,0,0,$J$5*-1,1))</f>
        <v>-2.1396925530993594E-2</v>
      </c>
      <c r="W907" s="9">
        <f t="shared" ref="W907:W970" ca="1" si="986">+IF(ISERROR(AVERAGE(OFFSET(V907,0,0,$W$5*-1,1))),"",AVERAGE(OFFSET(V907,0,0,$W$5*-1,1)))</f>
        <v>1.3437017088336371E-3</v>
      </c>
      <c r="X907" s="17">
        <f t="shared" ca="1" si="981"/>
        <v>2.1999304895016234E-3</v>
      </c>
      <c r="Y907" s="13">
        <f t="shared" ref="Y907:Z907" ca="1" si="987">+Y906</f>
        <v>0</v>
      </c>
      <c r="Z907" s="13">
        <f t="shared" ca="1" si="987"/>
        <v>0</v>
      </c>
      <c r="AA907">
        <f t="shared" ref="AA907:AA970" ca="1" si="988">+IF(W907="","",IF(W907&lt;Y907,1,0))</f>
        <v>0</v>
      </c>
      <c r="AB907">
        <f t="shared" ref="AB907:AB970" ca="1" si="989">+IF(W907="","",IF(W907&gt;Z907,1,0))</f>
        <v>1</v>
      </c>
      <c r="AC907" s="24">
        <f t="shared" ref="AC907:AC970" ca="1" si="990">+IF(ISERROR(AA907*X907),"",AA907*X907)</f>
        <v>0</v>
      </c>
      <c r="AD907" s="24">
        <f t="shared" ref="AD907:AD970" ca="1" si="991">+IF(ISERROR(AB907*X907),"",AB907*X907)</f>
        <v>2.1999304895016234E-3</v>
      </c>
    </row>
    <row r="908" spans="3:30" x14ac:dyDescent="0.25">
      <c r="C908" s="6">
        <v>1002</v>
      </c>
      <c r="D908" s="36">
        <v>43430</v>
      </c>
      <c r="E908" s="38">
        <v>22.824999999999999</v>
      </c>
      <c r="F908" s="38">
        <v>52.13518604218288</v>
      </c>
      <c r="G908" s="38">
        <v>57.69</v>
      </c>
      <c r="H908" s="38">
        <v>2.3804929362202074</v>
      </c>
      <c r="I908" s="38">
        <v>7.8937077458234635</v>
      </c>
      <c r="J908" s="10">
        <v>0</v>
      </c>
      <c r="K908" s="39">
        <v>0</v>
      </c>
      <c r="L908" s="39">
        <v>0</v>
      </c>
      <c r="M908" s="39">
        <v>0</v>
      </c>
      <c r="N908" s="39">
        <v>0</v>
      </c>
      <c r="O908" s="39">
        <v>0</v>
      </c>
      <c r="P908" s="39">
        <v>0</v>
      </c>
      <c r="Q908" s="39">
        <v>0</v>
      </c>
      <c r="R908" s="39">
        <v>0</v>
      </c>
      <c r="S908" s="39">
        <v>0</v>
      </c>
      <c r="T908" s="39">
        <v>1</v>
      </c>
      <c r="U908" s="29" cm="1">
        <f t="array" aca="1" ref="U908" ca="1">+fair_value_gap(OFFSET(T907,0,0,-1*$J$5,-1*$AA$1),OFFSET(E907,0,0,-1*$J$5,1),F908:T908,0)</f>
        <v>22.570891310747889</v>
      </c>
      <c r="V908" s="9" cm="1">
        <f t="array" aca="1" ref="V908" ca="1">z_score_diff(OFFSET(U908,0,0,$J$5*-1,1),OFFSET(E908,0,0,$J$5*-1,1))</f>
        <v>-0.15879988693351632</v>
      </c>
      <c r="W908" s="9">
        <f t="shared" ca="1" si="986"/>
        <v>2.7736321100328754E-3</v>
      </c>
      <c r="X908" s="17">
        <f t="shared" ca="1" si="981"/>
        <v>-2.7200157157805803E-3</v>
      </c>
      <c r="Y908" s="13">
        <f t="shared" ref="Y908:Z908" ca="1" si="992">+Y907</f>
        <v>0</v>
      </c>
      <c r="Z908" s="13">
        <f t="shared" ca="1" si="992"/>
        <v>0</v>
      </c>
      <c r="AA908">
        <f t="shared" ca="1" si="988"/>
        <v>0</v>
      </c>
      <c r="AB908">
        <f t="shared" ca="1" si="989"/>
        <v>1</v>
      </c>
      <c r="AC908" s="24">
        <f t="shared" ca="1" si="990"/>
        <v>0</v>
      </c>
      <c r="AD908" s="24">
        <f t="shared" ca="1" si="991"/>
        <v>-2.7200157157805803E-3</v>
      </c>
    </row>
    <row r="909" spans="3:30" x14ac:dyDescent="0.25">
      <c r="C909" s="6">
        <v>1003</v>
      </c>
      <c r="D909" s="36">
        <v>43431</v>
      </c>
      <c r="E909" s="38">
        <v>23.35</v>
      </c>
      <c r="F909" s="38">
        <v>52.326821608201641</v>
      </c>
      <c r="G909" s="38">
        <v>59.14</v>
      </c>
      <c r="H909" s="38">
        <v>2.4150181747465687</v>
      </c>
      <c r="I909" s="38">
        <v>7.9758138371374807</v>
      </c>
      <c r="J909" s="10">
        <v>0</v>
      </c>
      <c r="K909" s="39">
        <v>0</v>
      </c>
      <c r="L909" s="39">
        <v>0</v>
      </c>
      <c r="M909" s="39">
        <v>0</v>
      </c>
      <c r="N909" s="39">
        <v>0</v>
      </c>
      <c r="O909" s="39">
        <v>0</v>
      </c>
      <c r="P909" s="39">
        <v>0</v>
      </c>
      <c r="Q909" s="39">
        <v>0</v>
      </c>
      <c r="R909" s="39">
        <v>0</v>
      </c>
      <c r="S909" s="39">
        <v>0</v>
      </c>
      <c r="T909" s="39">
        <v>1</v>
      </c>
      <c r="U909" s="29" cm="1">
        <f t="array" aca="1" ref="U909" ca="1">+fair_value_gap(OFFSET(T908,0,0,-1*$J$5,-1*$AA$1),OFFSET(E908,0,0,-1*$J$5,1),F909:T909,0)</f>
        <v>23.041434447194867</v>
      </c>
      <c r="V909" s="9" cm="1">
        <f t="array" aca="1" ref="V909" ca="1">z_score_diff(OFFSET(U909,0,0,$J$5*-1,1),OFFSET(E909,0,0,$J$5*-1,1))</f>
        <v>-0.17986952059597794</v>
      </c>
      <c r="W909" s="9">
        <f t="shared" ca="1" si="986"/>
        <v>-3.8526633120723832E-3</v>
      </c>
      <c r="X909" s="17">
        <f t="shared" ca="1" si="981"/>
        <v>-1.2193959396752881E-2</v>
      </c>
      <c r="Y909" s="13">
        <f t="shared" ref="Y909:Z909" ca="1" si="993">+Y908</f>
        <v>0</v>
      </c>
      <c r="Z909" s="13">
        <f t="shared" ca="1" si="993"/>
        <v>0</v>
      </c>
      <c r="AA909">
        <f t="shared" ca="1" si="988"/>
        <v>1</v>
      </c>
      <c r="AB909">
        <f t="shared" ca="1" si="989"/>
        <v>0</v>
      </c>
      <c r="AC909" s="24">
        <f t="shared" ca="1" si="990"/>
        <v>-1.2193959396752881E-2</v>
      </c>
      <c r="AD909" s="24">
        <f t="shared" ca="1" si="991"/>
        <v>0</v>
      </c>
    </row>
    <row r="910" spans="3:30" x14ac:dyDescent="0.25">
      <c r="C910" s="6">
        <v>1004</v>
      </c>
      <c r="D910" s="36">
        <v>43432</v>
      </c>
      <c r="E910" s="38">
        <v>22.864999999999998</v>
      </c>
      <c r="F910" s="38">
        <v>51.13399814909571</v>
      </c>
      <c r="G910" s="38">
        <v>58.31</v>
      </c>
      <c r="H910" s="38">
        <v>2.4264384736084379</v>
      </c>
      <c r="I910" s="38">
        <v>7.7475754771357126</v>
      </c>
      <c r="J910" s="10">
        <v>0</v>
      </c>
      <c r="K910" s="39">
        <v>0</v>
      </c>
      <c r="L910" s="39">
        <v>0</v>
      </c>
      <c r="M910" s="39">
        <v>0</v>
      </c>
      <c r="N910" s="39">
        <v>0</v>
      </c>
      <c r="O910" s="39">
        <v>0</v>
      </c>
      <c r="P910" s="39">
        <v>0</v>
      </c>
      <c r="Q910" s="39">
        <v>0</v>
      </c>
      <c r="R910" s="39">
        <v>0</v>
      </c>
      <c r="S910" s="39">
        <v>0</v>
      </c>
      <c r="T910" s="39">
        <v>1</v>
      </c>
      <c r="U910" s="29" cm="1">
        <f t="array" aca="1" ref="U910" ca="1">+fair_value_gap(OFFSET(T909,0,0,-1*$J$5,-1*$AA$1),OFFSET(E909,0,0,-1*$J$5,1),F910:T910,0)</f>
        <v>22.682485742053373</v>
      </c>
      <c r="V910" s="9" cm="1">
        <f t="array" aca="1" ref="V910" ca="1">z_score_diff(OFFSET(U910,0,0,$J$5*-1,1),OFFSET(E910,0,0,$J$5*-1,1))</f>
        <v>-0.12442059580803999</v>
      </c>
      <c r="W910" s="9">
        <f t="shared" ca="1" si="986"/>
        <v>-9.6593634127548258E-3</v>
      </c>
      <c r="X910" s="17">
        <f t="shared" ca="1" si="981"/>
        <v>-1.1215070820139957E-2</v>
      </c>
      <c r="Y910" s="13">
        <f t="shared" ref="Y910:Z910" ca="1" si="994">+Y909</f>
        <v>0</v>
      </c>
      <c r="Z910" s="13">
        <f t="shared" ca="1" si="994"/>
        <v>0</v>
      </c>
      <c r="AA910">
        <f t="shared" ca="1" si="988"/>
        <v>1</v>
      </c>
      <c r="AB910">
        <f t="shared" ca="1" si="989"/>
        <v>0</v>
      </c>
      <c r="AC910" s="24">
        <f t="shared" ca="1" si="990"/>
        <v>-1.1215070820139957E-2</v>
      </c>
      <c r="AD910" s="24">
        <f t="shared" ca="1" si="991"/>
        <v>0</v>
      </c>
    </row>
    <row r="911" spans="3:30" x14ac:dyDescent="0.25">
      <c r="C911" s="6">
        <v>1005</v>
      </c>
      <c r="D911" s="36">
        <v>43433</v>
      </c>
      <c r="E911" s="38">
        <v>23.091999999999999</v>
      </c>
      <c r="F911" s="38">
        <v>51.64587772071453</v>
      </c>
      <c r="G911" s="38">
        <v>58.83</v>
      </c>
      <c r="H911" s="38">
        <v>2.5334270443549451</v>
      </c>
      <c r="I911" s="38">
        <v>7.8101960877631482</v>
      </c>
      <c r="J911" s="10">
        <v>0</v>
      </c>
      <c r="K911" s="39">
        <v>0</v>
      </c>
      <c r="L911" s="39">
        <v>0</v>
      </c>
      <c r="M911" s="39">
        <v>0</v>
      </c>
      <c r="N911" s="39">
        <v>0</v>
      </c>
      <c r="O911" s="39">
        <v>0</v>
      </c>
      <c r="P911" s="39">
        <v>0</v>
      </c>
      <c r="Q911" s="39">
        <v>0</v>
      </c>
      <c r="R911" s="39">
        <v>0</v>
      </c>
      <c r="S911" s="39">
        <v>0</v>
      </c>
      <c r="T911" s="39">
        <v>1</v>
      </c>
      <c r="U911" s="29" cm="1">
        <f t="array" aca="1" ref="U911" ca="1">+fair_value_gap(OFFSET(T910,0,0,-1*$J$5,-1*$AA$1),OFFSET(E910,0,0,-1*$J$5,1),F911:T911,0)</f>
        <v>22.919560047340738</v>
      </c>
      <c r="V911" s="9" cm="1">
        <f t="array" aca="1" ref="V911" ca="1">z_score_diff(OFFSET(U911,0,0,$J$5*-1,1),OFFSET(E911,0,0,$J$5*-1,1))</f>
        <v>-0.11839244516679326</v>
      </c>
      <c r="W911" s="9">
        <f t="shared" ca="1" si="986"/>
        <v>-1.2822758743733767E-2</v>
      </c>
      <c r="X911" s="17">
        <f t="shared" ca="1" si="981"/>
        <v>-1.2725701238292027E-2</v>
      </c>
      <c r="Y911" s="13">
        <f t="shared" ref="Y911:Z911" ca="1" si="995">+Y910</f>
        <v>0</v>
      </c>
      <c r="Z911" s="13">
        <f t="shared" ca="1" si="995"/>
        <v>0</v>
      </c>
      <c r="AA911">
        <f t="shared" ca="1" si="988"/>
        <v>1</v>
      </c>
      <c r="AB911">
        <f t="shared" ca="1" si="989"/>
        <v>0</v>
      </c>
      <c r="AC911" s="24">
        <f t="shared" ca="1" si="990"/>
        <v>-1.2725701238292027E-2</v>
      </c>
      <c r="AD911" s="24">
        <f t="shared" ca="1" si="991"/>
        <v>0</v>
      </c>
    </row>
    <row r="912" spans="3:30" x14ac:dyDescent="0.25">
      <c r="C912" s="6">
        <v>1006</v>
      </c>
      <c r="D912" s="36">
        <v>43434</v>
      </c>
      <c r="E912" s="38">
        <v>23.324000000000002</v>
      </c>
      <c r="F912" s="38">
        <v>51.186439228397575</v>
      </c>
      <c r="G912" s="38">
        <v>59.17</v>
      </c>
      <c r="H912" s="38">
        <v>2.5648810567412585</v>
      </c>
      <c r="I912" s="38">
        <v>7.778457222761503</v>
      </c>
      <c r="J912" s="10">
        <v>0</v>
      </c>
      <c r="K912" s="39">
        <v>0</v>
      </c>
      <c r="L912" s="39">
        <v>0</v>
      </c>
      <c r="M912" s="39">
        <v>0</v>
      </c>
      <c r="N912" s="39">
        <v>0</v>
      </c>
      <c r="O912" s="39">
        <v>0</v>
      </c>
      <c r="P912" s="39">
        <v>0</v>
      </c>
      <c r="Q912" s="39">
        <v>0</v>
      </c>
      <c r="R912" s="39">
        <v>0</v>
      </c>
      <c r="S912" s="39">
        <v>0</v>
      </c>
      <c r="T912" s="39">
        <v>1</v>
      </c>
      <c r="U912" s="29" cm="1">
        <f t="array" aca="1" ref="U912" ca="1">+fair_value_gap(OFFSET(T911,0,0,-1*$J$5,-1*$AA$1),OFFSET(E911,0,0,-1*$J$5,1),F912:T912,0)</f>
        <v>22.993030090124474</v>
      </c>
      <c r="V912" s="9" cm="1">
        <f t="array" aca="1" ref="V912" ca="1">z_score_diff(OFFSET(U912,0,0,$J$5*-1,1),OFFSET(E912,0,0,$J$5*-1,1))</f>
        <v>-0.18421165938191297</v>
      </c>
      <c r="W912" s="9">
        <f t="shared" ca="1" si="986"/>
        <v>-1.2311948097351129E-2</v>
      </c>
      <c r="X912" s="17">
        <f t="shared" ca="1" si="981"/>
        <v>-1.559864842317633E-2</v>
      </c>
      <c r="Y912" s="13">
        <f t="shared" ref="Y912:Z912" ca="1" si="996">+Y911</f>
        <v>0</v>
      </c>
      <c r="Z912" s="13">
        <f t="shared" ca="1" si="996"/>
        <v>0</v>
      </c>
      <c r="AA912">
        <f t="shared" ca="1" si="988"/>
        <v>1</v>
      </c>
      <c r="AB912">
        <f t="shared" ca="1" si="989"/>
        <v>0</v>
      </c>
      <c r="AC912" s="24">
        <f t="shared" ca="1" si="990"/>
        <v>-1.559864842317633E-2</v>
      </c>
      <c r="AD912" s="24">
        <f t="shared" ca="1" si="991"/>
        <v>0</v>
      </c>
    </row>
    <row r="913" spans="3:30" x14ac:dyDescent="0.25">
      <c r="C913" s="6">
        <v>1007</v>
      </c>
      <c r="D913" s="36">
        <v>43437</v>
      </c>
      <c r="E913" s="38">
        <v>23.437000000000001</v>
      </c>
      <c r="F913" s="38">
        <v>52.854897495081879</v>
      </c>
      <c r="G913" s="38">
        <v>59.71</v>
      </c>
      <c r="H913" s="38">
        <v>2.5843581552183239</v>
      </c>
      <c r="I913" s="38">
        <v>7.8246727786623396</v>
      </c>
      <c r="J913" s="10">
        <v>0</v>
      </c>
      <c r="K913" s="39">
        <v>0</v>
      </c>
      <c r="L913" s="39">
        <v>0</v>
      </c>
      <c r="M913" s="39">
        <v>0</v>
      </c>
      <c r="N913" s="39">
        <v>0</v>
      </c>
      <c r="O913" s="39">
        <v>0</v>
      </c>
      <c r="P913" s="39">
        <v>0</v>
      </c>
      <c r="Q913" s="39">
        <v>0</v>
      </c>
      <c r="R913" s="39">
        <v>0</v>
      </c>
      <c r="S913" s="39">
        <v>0</v>
      </c>
      <c r="T913" s="39">
        <v>0</v>
      </c>
      <c r="U913" s="29" cm="1">
        <f t="array" aca="1" ref="U913" ca="1">+fair_value_gap(OFFSET(T912,0,0,-1*$J$5,-1*$AA$1),OFFSET(E912,0,0,-1*$J$5,1),F913:T913,0)</f>
        <v>24.024723591730773</v>
      </c>
      <c r="V913" s="9" cm="1">
        <f t="array" aca="1" ref="V913" ca="1">z_score_diff(OFFSET(U913,0,0,$J$5*-1,1),OFFSET(E913,0,0,$J$5*-1,1))</f>
        <v>0.20877395354776529</v>
      </c>
      <c r="W913" s="9">
        <f t="shared" ca="1" si="986"/>
        <v>-1.7717085757523066E-3</v>
      </c>
      <c r="X913" s="17">
        <f t="shared" ca="1" si="981"/>
        <v>1.6671283971489374E-2</v>
      </c>
      <c r="Y913" s="13">
        <f t="shared" ref="Y913:Z913" ca="1" si="997">+Y912</f>
        <v>0</v>
      </c>
      <c r="Z913" s="13">
        <f t="shared" ca="1" si="997"/>
        <v>0</v>
      </c>
      <c r="AA913">
        <f t="shared" ca="1" si="988"/>
        <v>1</v>
      </c>
      <c r="AB913">
        <f t="shared" ca="1" si="989"/>
        <v>0</v>
      </c>
      <c r="AC913" s="24">
        <f t="shared" ca="1" si="990"/>
        <v>1.6671283971489374E-2</v>
      </c>
      <c r="AD913" s="24">
        <f t="shared" ca="1" si="991"/>
        <v>0</v>
      </c>
    </row>
    <row r="914" spans="3:30" x14ac:dyDescent="0.25">
      <c r="C914" s="6">
        <v>1008</v>
      </c>
      <c r="D914" s="36">
        <v>43438</v>
      </c>
      <c r="E914" s="38">
        <v>23.367000000000001</v>
      </c>
      <c r="F914" s="38">
        <v>53.44486450651808</v>
      </c>
      <c r="G914" s="38">
        <v>59.47</v>
      </c>
      <c r="H914" s="38">
        <v>2.6099591399335695</v>
      </c>
      <c r="I914" s="38">
        <v>7.840969106240439</v>
      </c>
      <c r="J914" s="10">
        <v>0</v>
      </c>
      <c r="K914" s="39">
        <v>0</v>
      </c>
      <c r="L914" s="39">
        <v>0</v>
      </c>
      <c r="M914" s="39">
        <v>0</v>
      </c>
      <c r="N914" s="39">
        <v>0</v>
      </c>
      <c r="O914" s="39">
        <v>0</v>
      </c>
      <c r="P914" s="39">
        <v>0</v>
      </c>
      <c r="Q914" s="39">
        <v>0</v>
      </c>
      <c r="R914" s="39">
        <v>0</v>
      </c>
      <c r="S914" s="39">
        <v>0</v>
      </c>
      <c r="T914" s="39">
        <v>0</v>
      </c>
      <c r="U914" s="29" cm="1">
        <f t="array" aca="1" ref="U914" ca="1">+fair_value_gap(OFFSET(T913,0,0,-1*$J$5,-1*$AA$1),OFFSET(E913,0,0,-1*$J$5,1),F914:T914,0)</f>
        <v>23.841897528434213</v>
      </c>
      <c r="V914" s="9" cm="1">
        <f t="array" aca="1" ref="V914" ca="1">z_score_diff(OFFSET(U914,0,0,$J$5*-1,1),OFFSET(E914,0,0,$J$5*-1,1))</f>
        <v>0.15775782882079259</v>
      </c>
      <c r="W914" s="9">
        <f t="shared" ca="1" si="986"/>
        <v>8.585198333193815E-3</v>
      </c>
      <c r="X914" s="17">
        <f t="shared" ca="1" si="981"/>
        <v>1.8570872040560824E-2</v>
      </c>
      <c r="Y914" s="13">
        <f t="shared" ref="Y914:Z914" ca="1" si="998">+Y913</f>
        <v>0</v>
      </c>
      <c r="Z914" s="13">
        <f t="shared" ca="1" si="998"/>
        <v>0</v>
      </c>
      <c r="AA914">
        <f t="shared" ca="1" si="988"/>
        <v>0</v>
      </c>
      <c r="AB914">
        <f t="shared" ca="1" si="989"/>
        <v>1</v>
      </c>
      <c r="AC914" s="24">
        <f t="shared" ca="1" si="990"/>
        <v>0</v>
      </c>
      <c r="AD914" s="24">
        <f t="shared" ca="1" si="991"/>
        <v>1.8570872040560824E-2</v>
      </c>
    </row>
    <row r="915" spans="3:30" x14ac:dyDescent="0.25">
      <c r="C915" s="6">
        <v>1009</v>
      </c>
      <c r="D915" s="36">
        <v>43439</v>
      </c>
      <c r="E915" s="38">
        <v>23.016999999999999</v>
      </c>
      <c r="F915" s="38">
        <v>53.125618334777535</v>
      </c>
      <c r="G915" s="38">
        <v>59.27</v>
      </c>
      <c r="H915" s="38">
        <v>2.6149164523106103</v>
      </c>
      <c r="I915" s="38">
        <v>7.6886731303262081</v>
      </c>
      <c r="J915" s="10">
        <v>0</v>
      </c>
      <c r="K915" s="39">
        <v>0</v>
      </c>
      <c r="L915" s="39">
        <v>0</v>
      </c>
      <c r="M915" s="39">
        <v>0</v>
      </c>
      <c r="N915" s="39">
        <v>0</v>
      </c>
      <c r="O915" s="39">
        <v>0</v>
      </c>
      <c r="P915" s="39">
        <v>0</v>
      </c>
      <c r="Q915" s="39">
        <v>0</v>
      </c>
      <c r="R915" s="39">
        <v>0</v>
      </c>
      <c r="S915" s="39">
        <v>0</v>
      </c>
      <c r="T915" s="39">
        <v>0</v>
      </c>
      <c r="U915" s="29" cm="1">
        <f t="array" aca="1" ref="U915" ca="1">+fair_value_gap(OFFSET(T914,0,0,-1*$J$5,-1*$AA$1),OFFSET(E914,0,0,-1*$J$5,1),F915:T915,0)</f>
        <v>23.618666874294458</v>
      </c>
      <c r="V915" s="9" cm="1">
        <f t="array" aca="1" ref="V915" ca="1">z_score_diff(OFFSET(U915,0,0,$J$5*-1,1),OFFSET(E915,0,0,$J$5*-1,1))</f>
        <v>0.20904092381980877</v>
      </c>
      <c r="W915" s="9">
        <f t="shared" ca="1" si="986"/>
        <v>7.0262607713414823E-3</v>
      </c>
      <c r="X915" s="17">
        <f t="shared" ca="1" si="981"/>
        <v>1.4449560210256666E-2</v>
      </c>
      <c r="Y915" s="13">
        <f t="shared" ref="Y915:Z915" ca="1" si="999">+Y914</f>
        <v>0</v>
      </c>
      <c r="Z915" s="13">
        <f t="shared" ca="1" si="999"/>
        <v>0</v>
      </c>
      <c r="AA915">
        <f t="shared" ca="1" si="988"/>
        <v>0</v>
      </c>
      <c r="AB915">
        <f t="shared" ca="1" si="989"/>
        <v>1</v>
      </c>
      <c r="AC915" s="24">
        <f t="shared" ca="1" si="990"/>
        <v>0</v>
      </c>
      <c r="AD915" s="24">
        <f t="shared" ca="1" si="991"/>
        <v>1.4449560210256666E-2</v>
      </c>
    </row>
    <row r="916" spans="3:30" x14ac:dyDescent="0.25">
      <c r="C916" s="6">
        <v>1010</v>
      </c>
      <c r="D916" s="36">
        <v>43440</v>
      </c>
      <c r="E916" s="38">
        <v>22.806000000000001</v>
      </c>
      <c r="F916" s="38">
        <v>51.932524284641602</v>
      </c>
      <c r="G916" s="38">
        <v>60.34</v>
      </c>
      <c r="H916" s="38">
        <v>2.6064055499005487</v>
      </c>
      <c r="I916" s="38">
        <v>7.6491412467717561</v>
      </c>
      <c r="J916" s="10">
        <v>0</v>
      </c>
      <c r="K916" s="39">
        <v>0</v>
      </c>
      <c r="L916" s="39">
        <v>0</v>
      </c>
      <c r="M916" s="39">
        <v>0</v>
      </c>
      <c r="N916" s="39">
        <v>0</v>
      </c>
      <c r="O916" s="39">
        <v>0</v>
      </c>
      <c r="P916" s="39">
        <v>0</v>
      </c>
      <c r="Q916" s="39">
        <v>0</v>
      </c>
      <c r="R916" s="39">
        <v>0</v>
      </c>
      <c r="S916" s="39">
        <v>0</v>
      </c>
      <c r="T916" s="39">
        <v>0</v>
      </c>
      <c r="U916" s="29" cm="1">
        <f t="array" aca="1" ref="U916" ca="1">+fair_value_gap(OFFSET(T915,0,0,-1*$J$5,-1*$AA$1),OFFSET(E915,0,0,-1*$J$5,1),F916:T916,0)</f>
        <v>23.656233323064384</v>
      </c>
      <c r="V916" s="9" cm="1">
        <f t="array" aca="1" ref="V916" ca="1">z_score_diff(OFFSET(U916,0,0,$J$5*-1,1),OFFSET(E916,0,0,$J$5*-1,1))</f>
        <v>0.31098698316521456</v>
      </c>
      <c r="W916" s="9">
        <f t="shared" ca="1" si="986"/>
        <v>1.3741881138011506E-2</v>
      </c>
      <c r="X916" s="17">
        <f t="shared" ca="1" si="981"/>
        <v>2.4001498724859509E-2</v>
      </c>
      <c r="Y916" s="13">
        <f t="shared" ref="Y916:Z916" ca="1" si="1000">+Y915</f>
        <v>0</v>
      </c>
      <c r="Z916" s="13">
        <f t="shared" ca="1" si="1000"/>
        <v>0</v>
      </c>
      <c r="AA916">
        <f t="shared" ca="1" si="988"/>
        <v>0</v>
      </c>
      <c r="AB916">
        <f t="shared" ca="1" si="989"/>
        <v>1</v>
      </c>
      <c r="AC916" s="24">
        <f t="shared" ca="1" si="990"/>
        <v>0</v>
      </c>
      <c r="AD916" s="24">
        <f t="shared" ca="1" si="991"/>
        <v>2.4001498724859509E-2</v>
      </c>
    </row>
    <row r="917" spans="3:30" x14ac:dyDescent="0.25">
      <c r="C917" s="6">
        <v>1011</v>
      </c>
      <c r="D917" s="36">
        <v>43441</v>
      </c>
      <c r="E917" s="38">
        <v>23.004999999999999</v>
      </c>
      <c r="F917" s="38">
        <v>52.723749116106852</v>
      </c>
      <c r="G917" s="38">
        <v>59.6</v>
      </c>
      <c r="H917" s="38">
        <v>2.6306697554470317</v>
      </c>
      <c r="I917" s="38">
        <v>7.8393788936925892</v>
      </c>
      <c r="J917" s="10">
        <v>0</v>
      </c>
      <c r="K917" s="39">
        <v>0</v>
      </c>
      <c r="L917" s="39">
        <v>0</v>
      </c>
      <c r="M917" s="39">
        <v>0</v>
      </c>
      <c r="N917" s="39">
        <v>0</v>
      </c>
      <c r="O917" s="39">
        <v>0</v>
      </c>
      <c r="P917" s="39">
        <v>0</v>
      </c>
      <c r="Q917" s="39">
        <v>0</v>
      </c>
      <c r="R917" s="39">
        <v>0</v>
      </c>
      <c r="S917" s="39">
        <v>0</v>
      </c>
      <c r="T917" s="39">
        <v>0</v>
      </c>
      <c r="U917" s="29" cm="1">
        <f t="array" aca="1" ref="U917" ca="1">+fair_value_gap(OFFSET(T916,0,0,-1*$J$5,-1*$AA$1),OFFSET(E916,0,0,-1*$J$5,1),F917:T917,0)</f>
        <v>23.413786556033902</v>
      </c>
      <c r="V917" s="9" cm="1">
        <f t="array" aca="1" ref="V917" ca="1">z_score_diff(OFFSET(U917,0,0,$J$5*-1,1),OFFSET(E917,0,0,$J$5*-1,1))</f>
        <v>0.12167083725144989</v>
      </c>
      <c r="W917" s="9">
        <f t="shared" ca="1" si="986"/>
        <v>1.1322717613385621E-2</v>
      </c>
      <c r="X917" s="17">
        <f t="shared" ca="1" si="981"/>
        <v>2.8665815924269863E-2</v>
      </c>
      <c r="Y917" s="13">
        <f t="shared" ref="Y917:Z917" ca="1" si="1001">+Y916</f>
        <v>0</v>
      </c>
      <c r="Z917" s="13">
        <f t="shared" ca="1" si="1001"/>
        <v>0</v>
      </c>
      <c r="AA917">
        <f t="shared" ca="1" si="988"/>
        <v>0</v>
      </c>
      <c r="AB917">
        <f t="shared" ca="1" si="989"/>
        <v>1</v>
      </c>
      <c r="AC917" s="24">
        <f t="shared" ca="1" si="990"/>
        <v>0</v>
      </c>
      <c r="AD917" s="24">
        <f t="shared" ca="1" si="991"/>
        <v>2.8665815924269863E-2</v>
      </c>
    </row>
    <row r="918" spans="3:30" x14ac:dyDescent="0.25">
      <c r="C918" s="6">
        <v>1012</v>
      </c>
      <c r="D918" s="36">
        <v>43444</v>
      </c>
      <c r="E918" s="38">
        <v>23.012</v>
      </c>
      <c r="F918" s="38">
        <v>51.474639677522255</v>
      </c>
      <c r="G918" s="38">
        <v>58.76</v>
      </c>
      <c r="H918" s="38">
        <v>2.6330109806878412</v>
      </c>
      <c r="I918" s="38">
        <v>7.8171511622948042</v>
      </c>
      <c r="J918" s="10">
        <v>0</v>
      </c>
      <c r="K918" s="39">
        <v>0</v>
      </c>
      <c r="L918" s="39">
        <v>0</v>
      </c>
      <c r="M918" s="39">
        <v>0</v>
      </c>
      <c r="N918" s="39">
        <v>0</v>
      </c>
      <c r="O918" s="39">
        <v>0</v>
      </c>
      <c r="P918" s="39">
        <v>0</v>
      </c>
      <c r="Q918" s="39">
        <v>0</v>
      </c>
      <c r="R918" s="39">
        <v>0</v>
      </c>
      <c r="S918" s="39">
        <v>0</v>
      </c>
      <c r="T918" s="39">
        <v>0</v>
      </c>
      <c r="U918" s="29" cm="1">
        <f t="array" aca="1" ref="U918" ca="1">+fair_value_gap(OFFSET(T917,0,0,-1*$J$5,-1*$AA$1),OFFSET(E917,0,0,-1*$J$5,1),F918:T918,0)</f>
        <v>22.98360577819869</v>
      </c>
      <c r="V918" s="9" cm="1">
        <f t="array" aca="1" ref="V918" ca="1">z_score_diff(OFFSET(U918,0,0,$J$5*-1,1),OFFSET(E918,0,0,$J$5*-1,1))</f>
        <v>-6.3031330911301753E-2</v>
      </c>
      <c r="W918" s="9">
        <f t="shared" ca="1" si="986"/>
        <v>8.3706552251108755E-3</v>
      </c>
      <c r="X918" s="17">
        <f t="shared" ca="1" si="981"/>
        <v>1.9535919734291096E-3</v>
      </c>
      <c r="Y918" s="13">
        <f t="shared" ref="Y918:Z918" ca="1" si="1002">+Y917</f>
        <v>0</v>
      </c>
      <c r="Z918" s="13">
        <f t="shared" ca="1" si="1002"/>
        <v>0</v>
      </c>
      <c r="AA918">
        <f t="shared" ca="1" si="988"/>
        <v>0</v>
      </c>
      <c r="AB918">
        <f t="shared" ca="1" si="989"/>
        <v>1</v>
      </c>
      <c r="AC918" s="24">
        <f t="shared" ca="1" si="990"/>
        <v>0</v>
      </c>
      <c r="AD918" s="24">
        <f t="shared" ca="1" si="991"/>
        <v>1.9535919734291096E-3</v>
      </c>
    </row>
    <row r="919" spans="3:30" x14ac:dyDescent="0.25">
      <c r="C919" s="6">
        <v>1013</v>
      </c>
      <c r="D919" s="36">
        <v>43445</v>
      </c>
      <c r="E919" s="38">
        <v>23.161999999999999</v>
      </c>
      <c r="F919" s="38">
        <v>51.895907092041462</v>
      </c>
      <c r="G919" s="38">
        <v>58.95</v>
      </c>
      <c r="H919" s="38">
        <v>2.6645088279497142</v>
      </c>
      <c r="I919" s="38">
        <v>7.7796814735803048</v>
      </c>
      <c r="J919" s="10">
        <v>0</v>
      </c>
      <c r="K919" s="39">
        <v>0</v>
      </c>
      <c r="L919" s="39">
        <v>0</v>
      </c>
      <c r="M919" s="39">
        <v>0</v>
      </c>
      <c r="N919" s="39">
        <v>0</v>
      </c>
      <c r="O919" s="39">
        <v>0</v>
      </c>
      <c r="P919" s="39">
        <v>0</v>
      </c>
      <c r="Q919" s="39">
        <v>0</v>
      </c>
      <c r="R919" s="39">
        <v>0</v>
      </c>
      <c r="S919" s="39">
        <v>0</v>
      </c>
      <c r="T919" s="39">
        <v>0</v>
      </c>
      <c r="U919" s="29" cm="1">
        <f t="array" aca="1" ref="U919" ca="1">+fair_value_gap(OFFSET(T918,0,0,-1*$J$5,-1*$AA$1),OFFSET(E918,0,0,-1*$J$5,1),F919:T919,0)</f>
        <v>23.079199251197949</v>
      </c>
      <c r="V919" s="9" cm="1">
        <f t="array" aca="1" ref="V919" ca="1">z_score_diff(OFFSET(U919,0,0,$J$5*-1,1),OFFSET(E919,0,0,$J$5*-1,1))</f>
        <v>-8.5133700315873861E-2</v>
      </c>
      <c r="W919" s="9">
        <f t="shared" ca="1" si="986"/>
        <v>5.7710451186719176E-3</v>
      </c>
      <c r="X919" s="17">
        <f t="shared" ca="1" si="981"/>
        <v>-3.6765542397437278E-3</v>
      </c>
      <c r="Y919" s="13">
        <f t="shared" ref="Y919:Z919" ca="1" si="1003">+Y918</f>
        <v>0</v>
      </c>
      <c r="Z919" s="13">
        <f t="shared" ca="1" si="1003"/>
        <v>0</v>
      </c>
      <c r="AA919">
        <f t="shared" ca="1" si="988"/>
        <v>0</v>
      </c>
      <c r="AB919">
        <f t="shared" ca="1" si="989"/>
        <v>1</v>
      </c>
      <c r="AC919" s="24">
        <f t="shared" ca="1" si="990"/>
        <v>0</v>
      </c>
      <c r="AD919" s="24">
        <f t="shared" ca="1" si="991"/>
        <v>-3.6765542397437278E-3</v>
      </c>
    </row>
    <row r="920" spans="3:30" x14ac:dyDescent="0.25">
      <c r="C920" s="6">
        <v>1014</v>
      </c>
      <c r="D920" s="36">
        <v>43446</v>
      </c>
      <c r="E920" s="38">
        <v>23.515000000000001</v>
      </c>
      <c r="F920" s="38">
        <v>51.651510386973015</v>
      </c>
      <c r="G920" s="38">
        <v>60.19</v>
      </c>
      <c r="H920" s="38">
        <v>2.6034542853027975</v>
      </c>
      <c r="I920" s="38">
        <v>7.8359286917706132</v>
      </c>
      <c r="J920" s="10">
        <v>0</v>
      </c>
      <c r="K920" s="39">
        <v>0</v>
      </c>
      <c r="L920" s="39">
        <v>0</v>
      </c>
      <c r="M920" s="39">
        <v>0</v>
      </c>
      <c r="N920" s="39">
        <v>0</v>
      </c>
      <c r="O920" s="39">
        <v>0</v>
      </c>
      <c r="P920" s="39">
        <v>0</v>
      </c>
      <c r="Q920" s="39">
        <v>0</v>
      </c>
      <c r="R920" s="39">
        <v>0</v>
      </c>
      <c r="S920" s="39">
        <v>0</v>
      </c>
      <c r="T920" s="39">
        <v>0</v>
      </c>
      <c r="U920" s="29" cm="1">
        <f t="array" aca="1" ref="U920" ca="1">+fair_value_gap(OFFSET(T919,0,0,-1*$J$5,-1*$AA$1),OFFSET(E919,0,0,-1*$J$5,1),F920:T920,0)</f>
        <v>23.37053723235277</v>
      </c>
      <c r="V920" s="9" cm="1">
        <f t="array" aca="1" ref="V920" ca="1">z_score_diff(OFFSET(U920,0,0,$J$5*-1,1),OFFSET(E920,0,0,$J$5*-1,1))</f>
        <v>-0.1098278178174068</v>
      </c>
      <c r="W920" s="9">
        <f t="shared" ca="1" si="986"/>
        <v>6.573769629709421E-3</v>
      </c>
      <c r="X920" s="17">
        <f t="shared" ca="1" si="981"/>
        <v>-2.8993790723278789E-2</v>
      </c>
      <c r="Y920" s="13">
        <f t="shared" ref="Y920:Z920" ca="1" si="1004">+Y919</f>
        <v>0</v>
      </c>
      <c r="Z920" s="13">
        <f t="shared" ca="1" si="1004"/>
        <v>0</v>
      </c>
      <c r="AA920">
        <f t="shared" ca="1" si="988"/>
        <v>0</v>
      </c>
      <c r="AB920">
        <f t="shared" ca="1" si="989"/>
        <v>1</v>
      </c>
      <c r="AC920" s="24">
        <f t="shared" ca="1" si="990"/>
        <v>0</v>
      </c>
      <c r="AD920" s="24">
        <f t="shared" ca="1" si="991"/>
        <v>-2.8993790723278789E-2</v>
      </c>
    </row>
    <row r="921" spans="3:30" x14ac:dyDescent="0.25">
      <c r="C921" s="6">
        <v>1015</v>
      </c>
      <c r="D921" s="36">
        <v>43447</v>
      </c>
      <c r="E921" s="38">
        <v>23.803000000000001</v>
      </c>
      <c r="F921" s="38">
        <v>52.753268955596063</v>
      </c>
      <c r="G921" s="38">
        <v>60.93</v>
      </c>
      <c r="H921" s="38">
        <v>2.5856771891967441</v>
      </c>
      <c r="I921" s="38">
        <v>7.8192446311404513</v>
      </c>
      <c r="J921" s="10">
        <v>0</v>
      </c>
      <c r="K921" s="39">
        <v>0</v>
      </c>
      <c r="L921" s="39">
        <v>0</v>
      </c>
      <c r="M921" s="39">
        <v>0</v>
      </c>
      <c r="N921" s="39">
        <v>0</v>
      </c>
      <c r="O921" s="39">
        <v>0</v>
      </c>
      <c r="P921" s="39">
        <v>0</v>
      </c>
      <c r="Q921" s="39">
        <v>0</v>
      </c>
      <c r="R921" s="39">
        <v>0</v>
      </c>
      <c r="S921" s="39">
        <v>0</v>
      </c>
      <c r="T921" s="39">
        <v>0</v>
      </c>
      <c r="U921" s="29" cm="1">
        <f t="array" aca="1" ref="U921" ca="1">+fair_value_gap(OFFSET(T920,0,0,-1*$J$5,-1*$AA$1),OFFSET(E920,0,0,-1*$J$5,1),F921:T921,0)</f>
        <v>23.685640017522442</v>
      </c>
      <c r="V921" s="9" cm="1">
        <f t="array" aca="1" ref="V921" ca="1">z_score_diff(OFFSET(U921,0,0,$J$5*-1,1),OFFSET(E921,0,0,$J$5*-1,1))</f>
        <v>-9.6896336822618778E-2</v>
      </c>
      <c r="W921" s="9">
        <f t="shared" ca="1" si="986"/>
        <v>-1.0966897973345987E-2</v>
      </c>
      <c r="X921" s="17">
        <f t="shared" ca="1" si="981"/>
        <v>-3.6319409895433794E-2</v>
      </c>
      <c r="Y921" s="13">
        <f t="shared" ref="Y921:Z921" ca="1" si="1005">+Y920</f>
        <v>0</v>
      </c>
      <c r="Z921" s="13">
        <f t="shared" ca="1" si="1005"/>
        <v>0</v>
      </c>
      <c r="AA921">
        <f t="shared" ca="1" si="988"/>
        <v>1</v>
      </c>
      <c r="AB921">
        <f t="shared" ca="1" si="989"/>
        <v>0</v>
      </c>
      <c r="AC921" s="24">
        <f t="shared" ca="1" si="990"/>
        <v>-3.6319409895433794E-2</v>
      </c>
      <c r="AD921" s="24">
        <f t="shared" ca="1" si="991"/>
        <v>0</v>
      </c>
    </row>
    <row r="922" spans="3:30" x14ac:dyDescent="0.25">
      <c r="C922" s="6">
        <v>1016</v>
      </c>
      <c r="D922" s="36">
        <v>43448</v>
      </c>
      <c r="E922" s="38">
        <v>24.207999999999998</v>
      </c>
      <c r="F922" s="38">
        <v>52.19022493276001</v>
      </c>
      <c r="G922" s="38">
        <v>62.01</v>
      </c>
      <c r="H922" s="38">
        <v>2.6073698456478169</v>
      </c>
      <c r="I922" s="38">
        <v>8.0131225052678481</v>
      </c>
      <c r="J922" s="10">
        <v>0</v>
      </c>
      <c r="K922" s="39">
        <v>0</v>
      </c>
      <c r="L922" s="39">
        <v>0</v>
      </c>
      <c r="M922" s="39">
        <v>0</v>
      </c>
      <c r="N922" s="39">
        <v>0</v>
      </c>
      <c r="O922" s="39">
        <v>0</v>
      </c>
      <c r="P922" s="39">
        <v>0</v>
      </c>
      <c r="Q922" s="39">
        <v>0</v>
      </c>
      <c r="R922" s="39">
        <v>0</v>
      </c>
      <c r="S922" s="39">
        <v>0</v>
      </c>
      <c r="T922" s="39">
        <v>0</v>
      </c>
      <c r="U922" s="29" cm="1">
        <f t="array" aca="1" ref="U922" ca="1">+fair_value_gap(OFFSET(T921,0,0,-1*$J$5,-1*$AA$1),OFFSET(E921,0,0,-1*$J$5,1),F922:T922,0)</f>
        <v>23.953664263407141</v>
      </c>
      <c r="V922" s="9" cm="1">
        <f t="array" aca="1" ref="V922" ca="1">z_score_diff(OFFSET(U922,0,0,$J$5*-1,1),OFFSET(E922,0,0,$J$5*-1,1))</f>
        <v>-0.15166983020161307</v>
      </c>
      <c r="W922" s="9">
        <f t="shared" ca="1" si="986"/>
        <v>-1.861269581648229E-2</v>
      </c>
      <c r="X922" s="17">
        <f t="shared" ca="1" si="981"/>
        <v>-6.3437563193049509E-2</v>
      </c>
      <c r="Y922" s="13">
        <f t="shared" ref="Y922:Z922" ca="1" si="1006">+Y921</f>
        <v>0</v>
      </c>
      <c r="Z922" s="13">
        <f t="shared" ca="1" si="1006"/>
        <v>0</v>
      </c>
      <c r="AA922">
        <f t="shared" ca="1" si="988"/>
        <v>1</v>
      </c>
      <c r="AB922">
        <f t="shared" ca="1" si="989"/>
        <v>0</v>
      </c>
      <c r="AC922" s="24">
        <f t="shared" ca="1" si="990"/>
        <v>-6.3437563193049509E-2</v>
      </c>
      <c r="AD922" s="24">
        <f t="shared" ca="1" si="991"/>
        <v>0</v>
      </c>
    </row>
    <row r="923" spans="3:30" x14ac:dyDescent="0.25">
      <c r="C923" s="6">
        <v>1017</v>
      </c>
      <c r="D923" s="36">
        <v>43451</v>
      </c>
      <c r="E923" s="38">
        <v>24.225000000000001</v>
      </c>
      <c r="F923" s="38">
        <v>51.583011846758914</v>
      </c>
      <c r="G923" s="38">
        <v>62.1</v>
      </c>
      <c r="H923" s="38">
        <v>2.548837781204691</v>
      </c>
      <c r="I923" s="38">
        <v>8.3253495365982371</v>
      </c>
      <c r="J923" s="10">
        <v>0</v>
      </c>
      <c r="K923" s="39">
        <v>0</v>
      </c>
      <c r="L923" s="39">
        <v>0</v>
      </c>
      <c r="M923" s="39">
        <v>0</v>
      </c>
      <c r="N923" s="39">
        <v>0</v>
      </c>
      <c r="O923" s="39">
        <v>0</v>
      </c>
      <c r="P923" s="39">
        <v>0</v>
      </c>
      <c r="Q923" s="39">
        <v>0</v>
      </c>
      <c r="R923" s="39">
        <v>0</v>
      </c>
      <c r="S923" s="39">
        <v>0</v>
      </c>
      <c r="T923" s="39">
        <v>0</v>
      </c>
      <c r="U923" s="29" cm="1">
        <f t="array" aca="1" ref="U923" ca="1">+fair_value_gap(OFFSET(T922,0,0,-1*$J$5,-1*$AA$1),OFFSET(E922,0,0,-1*$J$5,1),F923:T923,0)</f>
        <v>23.972765397001417</v>
      </c>
      <c r="V923" s="9" cm="1">
        <f t="array" aca="1" ref="V923" ca="1">z_score_diff(OFFSET(U923,0,0,$J$5*-1,1),OFFSET(E923,0,0,$J$5*-1,1))</f>
        <v>-0.14810977146024329</v>
      </c>
      <c r="W923" s="9">
        <f t="shared" ca="1" si="986"/>
        <v>-2.8805578686293697E-2</v>
      </c>
      <c r="X923" s="17">
        <f t="shared" ca="1" si="981"/>
        <v>-6.8241274307639418E-2</v>
      </c>
      <c r="Y923" s="13">
        <f t="shared" ref="Y923:Z923" ca="1" si="1007">+Y922</f>
        <v>0</v>
      </c>
      <c r="Z923" s="13">
        <f t="shared" ca="1" si="1007"/>
        <v>0</v>
      </c>
      <c r="AA923">
        <f t="shared" ca="1" si="988"/>
        <v>1</v>
      </c>
      <c r="AB923">
        <f t="shared" ca="1" si="989"/>
        <v>0</v>
      </c>
      <c r="AC923" s="24">
        <f t="shared" ca="1" si="990"/>
        <v>-6.8241274307639418E-2</v>
      </c>
      <c r="AD923" s="24">
        <f t="shared" ca="1" si="991"/>
        <v>0</v>
      </c>
    </row>
    <row r="924" spans="3:30" x14ac:dyDescent="0.25">
      <c r="C924" s="6">
        <v>1018</v>
      </c>
      <c r="D924" s="36">
        <v>43452</v>
      </c>
      <c r="E924" s="38">
        <v>23.725000000000001</v>
      </c>
      <c r="F924" s="38">
        <v>48.753411587759977</v>
      </c>
      <c r="G924" s="38">
        <v>61.15</v>
      </c>
      <c r="H924" s="38">
        <v>2.5800598717132157</v>
      </c>
      <c r="I924" s="38">
        <v>8.2321474095806675</v>
      </c>
      <c r="J924" s="10">
        <v>0</v>
      </c>
      <c r="K924" s="39">
        <v>0</v>
      </c>
      <c r="L924" s="39">
        <v>0</v>
      </c>
      <c r="M924" s="39">
        <v>0</v>
      </c>
      <c r="N924" s="39">
        <v>0</v>
      </c>
      <c r="O924" s="39">
        <v>0</v>
      </c>
      <c r="P924" s="39">
        <v>0</v>
      </c>
      <c r="Q924" s="39">
        <v>0</v>
      </c>
      <c r="R924" s="39">
        <v>0</v>
      </c>
      <c r="S924" s="39">
        <v>0</v>
      </c>
      <c r="T924" s="39">
        <v>0</v>
      </c>
      <c r="U924" s="29" cm="1">
        <f t="array" aca="1" ref="U924" ca="1">+fair_value_gap(OFFSET(T923,0,0,-1*$J$5,-1*$AA$1),OFFSET(E923,0,0,-1*$J$5,1),F924:T924,0)</f>
        <v>23.443020022450263</v>
      </c>
      <c r="V924" s="9" cm="1">
        <f t="array" aca="1" ref="V924" ca="1">z_score_diff(OFFSET(U924,0,0,$J$5*-1,1),OFFSET(E924,0,0,$J$5*-1,1))</f>
        <v>-0.15870906042307786</v>
      </c>
      <c r="W924" s="9">
        <f t="shared" ca="1" si="986"/>
        <v>-3.7465963243952169E-2</v>
      </c>
      <c r="X924" s="17">
        <f t="shared" ca="1" si="981"/>
        <v>-5.5194187869913369E-2</v>
      </c>
      <c r="Y924" s="13">
        <f t="shared" ref="Y924:Z924" ca="1" si="1008">+Y923</f>
        <v>0</v>
      </c>
      <c r="Z924" s="13">
        <f t="shared" ca="1" si="1008"/>
        <v>0</v>
      </c>
      <c r="AA924">
        <f t="shared" ca="1" si="988"/>
        <v>1</v>
      </c>
      <c r="AB924">
        <f t="shared" ca="1" si="989"/>
        <v>0</v>
      </c>
      <c r="AC924" s="24">
        <f t="shared" ca="1" si="990"/>
        <v>-5.5194187869913369E-2</v>
      </c>
      <c r="AD924" s="24">
        <f t="shared" ca="1" si="991"/>
        <v>0</v>
      </c>
    </row>
    <row r="925" spans="3:30" x14ac:dyDescent="0.25">
      <c r="C925" s="6">
        <v>1019</v>
      </c>
      <c r="D925" s="36">
        <v>43453</v>
      </c>
      <c r="E925" s="38">
        <v>24.068000000000001</v>
      </c>
      <c r="F925" s="38">
        <v>49.711252386361508</v>
      </c>
      <c r="G925" s="38">
        <v>61.53</v>
      </c>
      <c r="H925" s="38">
        <v>2.5800804167638809</v>
      </c>
      <c r="I925" s="38">
        <v>8.3320418739388042</v>
      </c>
      <c r="J925" s="10">
        <v>0</v>
      </c>
      <c r="K925" s="39">
        <v>0</v>
      </c>
      <c r="L925" s="39">
        <v>0</v>
      </c>
      <c r="M925" s="39">
        <v>0</v>
      </c>
      <c r="N925" s="39">
        <v>0</v>
      </c>
      <c r="O925" s="39">
        <v>0</v>
      </c>
      <c r="P925" s="39">
        <v>0</v>
      </c>
      <c r="Q925" s="39">
        <v>0</v>
      </c>
      <c r="R925" s="39">
        <v>0</v>
      </c>
      <c r="S925" s="39">
        <v>0</v>
      </c>
      <c r="T925" s="39">
        <v>0</v>
      </c>
      <c r="U925" s="29" cm="1">
        <f t="array" aca="1" ref="U925" ca="1">+fair_value_gap(OFFSET(T924,0,0,-1*$J$5,-1*$AA$1),OFFSET(E924,0,0,-1*$J$5,1),F925:T925,0)</f>
        <v>23.694515889348008</v>
      </c>
      <c r="V925" s="9" cm="1">
        <f t="array" aca="1" ref="V925" ca="1">z_score_diff(OFFSET(U925,0,0,$J$5*-1,1),OFFSET(E925,0,0,$J$5*-1,1))</f>
        <v>-0.19377133870862018</v>
      </c>
      <c r="W925" s="9">
        <f t="shared" ca="1" si="986"/>
        <v>-4.6341123014819192E-2</v>
      </c>
      <c r="X925" s="17">
        <f t="shared" ca="1" si="981"/>
        <v>-6.9147208047808231E-2</v>
      </c>
      <c r="Y925" s="13">
        <f t="shared" ref="Y925:Z925" ca="1" si="1009">+Y924</f>
        <v>0</v>
      </c>
      <c r="Z925" s="13">
        <f t="shared" ca="1" si="1009"/>
        <v>0</v>
      </c>
      <c r="AA925">
        <f t="shared" ca="1" si="988"/>
        <v>1</v>
      </c>
      <c r="AB925">
        <f t="shared" ca="1" si="989"/>
        <v>0</v>
      </c>
      <c r="AC925" s="24">
        <f t="shared" ca="1" si="990"/>
        <v>-6.9147208047808231E-2</v>
      </c>
      <c r="AD925" s="24">
        <f t="shared" ca="1" si="991"/>
        <v>0</v>
      </c>
    </row>
    <row r="926" spans="3:30" x14ac:dyDescent="0.25">
      <c r="C926" s="6">
        <v>1020</v>
      </c>
      <c r="D926" s="36">
        <v>43454</v>
      </c>
      <c r="E926" s="38">
        <v>24.06</v>
      </c>
      <c r="F926" s="38">
        <v>47.391802384806894</v>
      </c>
      <c r="G926" s="38">
        <v>61.36</v>
      </c>
      <c r="H926" s="38">
        <v>2.5614905677125379</v>
      </c>
      <c r="I926" s="38">
        <v>8.1663362653805667</v>
      </c>
      <c r="J926" s="10">
        <v>0</v>
      </c>
      <c r="K926" s="39">
        <v>0</v>
      </c>
      <c r="L926" s="39">
        <v>0</v>
      </c>
      <c r="M926" s="39">
        <v>0</v>
      </c>
      <c r="N926" s="39">
        <v>0</v>
      </c>
      <c r="O926" s="39">
        <v>0</v>
      </c>
      <c r="P926" s="39">
        <v>0</v>
      </c>
      <c r="Q926" s="39">
        <v>0</v>
      </c>
      <c r="R926" s="39">
        <v>0</v>
      </c>
      <c r="S926" s="39">
        <v>0</v>
      </c>
      <c r="T926" s="39">
        <v>0</v>
      </c>
      <c r="U926" s="29" cm="1">
        <f t="array" aca="1" ref="U926" ca="1">+fair_value_gap(OFFSET(T925,0,0,-1*$J$5,-1*$AA$1),OFFSET(E925,0,0,-1*$J$5,1),F926:T926,0)</f>
        <v>23.450796497977198</v>
      </c>
      <c r="V926" s="9" cm="1">
        <f t="array" aca="1" ref="V926" ca="1">z_score_diff(OFFSET(U926,0,0,$J$5*-1,1),OFFSET(E926,0,0,$J$5*-1,1))</f>
        <v>-0.2866813868800373</v>
      </c>
      <c r="W926" s="9">
        <f t="shared" ca="1" si="986"/>
        <v>-6.3044036159300862E-2</v>
      </c>
      <c r="X926" s="17">
        <f t="shared" ca="1" si="981"/>
        <v>-7.6681778387963764E-2</v>
      </c>
      <c r="Y926" s="13">
        <f t="shared" ref="Y926:Z926" ca="1" si="1010">+Y925</f>
        <v>0</v>
      </c>
      <c r="Z926" s="13">
        <f t="shared" ca="1" si="1010"/>
        <v>0</v>
      </c>
      <c r="AA926">
        <f t="shared" ca="1" si="988"/>
        <v>1</v>
      </c>
      <c r="AB926">
        <f t="shared" ca="1" si="989"/>
        <v>0</v>
      </c>
      <c r="AC926" s="24">
        <f t="shared" ca="1" si="990"/>
        <v>-7.6681778387963764E-2</v>
      </c>
      <c r="AD926" s="24">
        <f t="shared" ca="1" si="991"/>
        <v>0</v>
      </c>
    </row>
    <row r="927" spans="3:30" x14ac:dyDescent="0.25">
      <c r="C927" s="6">
        <v>1021</v>
      </c>
      <c r="D927" s="36">
        <v>43455</v>
      </c>
      <c r="E927" s="38">
        <v>23.86</v>
      </c>
      <c r="F927" s="38">
        <v>47.270116657600312</v>
      </c>
      <c r="G927" s="38">
        <v>61.79</v>
      </c>
      <c r="H927" s="38">
        <v>2.6346439479073767</v>
      </c>
      <c r="I927" s="38">
        <v>8.1980911194593613</v>
      </c>
      <c r="J927" s="10">
        <v>0</v>
      </c>
      <c r="K927" s="39">
        <v>0</v>
      </c>
      <c r="L927" s="39">
        <v>0</v>
      </c>
      <c r="M927" s="39">
        <v>0</v>
      </c>
      <c r="N927" s="39">
        <v>0</v>
      </c>
      <c r="O927" s="39">
        <v>0</v>
      </c>
      <c r="P927" s="39">
        <v>0</v>
      </c>
      <c r="Q927" s="39">
        <v>0</v>
      </c>
      <c r="R927" s="39">
        <v>0</v>
      </c>
      <c r="S927" s="39">
        <v>0</v>
      </c>
      <c r="T927" s="39">
        <v>0</v>
      </c>
      <c r="U927" s="29" cm="1">
        <f t="array" aca="1" ref="U927" ca="1">+fair_value_gap(OFFSET(T926,0,0,-1*$J$5,-1*$AA$1),OFFSET(E926,0,0,-1*$J$5,1),F927:T927,0)</f>
        <v>23.62461888819249</v>
      </c>
      <c r="V927" s="9" cm="1">
        <f t="array" aca="1" ref="V927" ca="1">z_score_diff(OFFSET(U927,0,0,$J$5*-1,1),OFFSET(E927,0,0,$J$5*-1,1))</f>
        <v>-0.13032851021002467</v>
      </c>
      <c r="W927" s="9">
        <f t="shared" ca="1" si="986"/>
        <v>-7.0588064420786953E-2</v>
      </c>
      <c r="X927" s="17">
        <f t="shared" ca="1" si="981"/>
        <v>-6.9277309013663788E-2</v>
      </c>
      <c r="Y927" s="13">
        <f t="shared" ref="Y927:Z927" ca="1" si="1011">+Y926</f>
        <v>0</v>
      </c>
      <c r="Z927" s="13">
        <f t="shared" ca="1" si="1011"/>
        <v>0</v>
      </c>
      <c r="AA927">
        <f t="shared" ca="1" si="988"/>
        <v>1</v>
      </c>
      <c r="AB927">
        <f t="shared" ca="1" si="989"/>
        <v>0</v>
      </c>
      <c r="AC927" s="24">
        <f t="shared" ca="1" si="990"/>
        <v>-6.9277309013663788E-2</v>
      </c>
      <c r="AD927" s="24">
        <f t="shared" ca="1" si="991"/>
        <v>0</v>
      </c>
    </row>
    <row r="928" spans="3:30" x14ac:dyDescent="0.25">
      <c r="C928" s="6">
        <v>1022</v>
      </c>
      <c r="D928" s="36">
        <v>43458</v>
      </c>
      <c r="E928" s="38">
        <v>23.396999999999998</v>
      </c>
      <c r="F928" s="38">
        <v>44.502784610090863</v>
      </c>
      <c r="G928" s="38">
        <v>61.65</v>
      </c>
      <c r="H928" s="38">
        <v>2.5760298384458857</v>
      </c>
      <c r="I928" s="38">
        <v>8.1265585107964693</v>
      </c>
      <c r="J928" s="10">
        <v>0</v>
      </c>
      <c r="K928" s="39">
        <v>0</v>
      </c>
      <c r="L928" s="39">
        <v>0</v>
      </c>
      <c r="M928" s="39">
        <v>0</v>
      </c>
      <c r="N928" s="39">
        <v>0</v>
      </c>
      <c r="O928" s="39">
        <v>0</v>
      </c>
      <c r="P928" s="39">
        <v>0</v>
      </c>
      <c r="Q928" s="39">
        <v>0</v>
      </c>
      <c r="R928" s="39">
        <v>0</v>
      </c>
      <c r="S928" s="39">
        <v>0</v>
      </c>
      <c r="T928" s="39">
        <v>0</v>
      </c>
      <c r="U928" s="29" cm="1">
        <f t="array" aca="1" ref="U928" ca="1">+fair_value_gap(OFFSET(T927,0,0,-1*$J$5,-1*$AA$1),OFFSET(E927,0,0,-1*$J$5,1),F928:T928,0)</f>
        <v>23.373456723679617</v>
      </c>
      <c r="V928" s="9" cm="1">
        <f t="array" aca="1" ref="V928" ca="1">z_score_diff(OFFSET(U928,0,0,$J$5*-1,1),OFFSET(E928,0,0,$J$5*-1,1))</f>
        <v>-4.3555501194737722E-2</v>
      </c>
      <c r="W928" s="9">
        <f t="shared" ca="1" si="986"/>
        <v>-6.8436051267492734E-2</v>
      </c>
      <c r="X928" s="17">
        <f t="shared" ca="1" si="981"/>
        <v>-5.4138458011367331E-2</v>
      </c>
      <c r="Y928" s="13">
        <f t="shared" ref="Y928:Z928" ca="1" si="1012">+Y927</f>
        <v>0</v>
      </c>
      <c r="Z928" s="13">
        <f t="shared" ca="1" si="1012"/>
        <v>0</v>
      </c>
      <c r="AA928">
        <f t="shared" ca="1" si="988"/>
        <v>1</v>
      </c>
      <c r="AB928">
        <f t="shared" ca="1" si="989"/>
        <v>0</v>
      </c>
      <c r="AC928" s="24">
        <f t="shared" ca="1" si="990"/>
        <v>-5.4138458011367331E-2</v>
      </c>
      <c r="AD928" s="24">
        <f t="shared" ca="1" si="991"/>
        <v>0</v>
      </c>
    </row>
    <row r="929" spans="3:30" x14ac:dyDescent="0.25">
      <c r="C929" s="6">
        <v>1023</v>
      </c>
      <c r="D929" s="36">
        <v>43461</v>
      </c>
      <c r="E929" s="38">
        <v>22.893999999999998</v>
      </c>
      <c r="F929" s="38">
        <v>46.133765033945572</v>
      </c>
      <c r="G929" s="38">
        <v>61.3</v>
      </c>
      <c r="H929" s="38">
        <v>2.605460108659722</v>
      </c>
      <c r="I929" s="38">
        <v>7.9502979242772271</v>
      </c>
      <c r="J929" s="10">
        <v>0</v>
      </c>
      <c r="K929" s="39">
        <v>0</v>
      </c>
      <c r="L929" s="39">
        <v>0</v>
      </c>
      <c r="M929" s="39">
        <v>0</v>
      </c>
      <c r="N929" s="39">
        <v>0</v>
      </c>
      <c r="O929" s="39">
        <v>0</v>
      </c>
      <c r="P929" s="39">
        <v>0</v>
      </c>
      <c r="Q929" s="39">
        <v>0</v>
      </c>
      <c r="R929" s="39">
        <v>0</v>
      </c>
      <c r="S929" s="39">
        <v>0</v>
      </c>
      <c r="T929" s="39">
        <v>0</v>
      </c>
      <c r="U929" s="29" cm="1">
        <f t="array" aca="1" ref="U929" ca="1">+fair_value_gap(OFFSET(T928,0,0,-1*$J$5,-1*$AA$1),OFFSET(E928,0,0,-1*$J$5,1),F929:T929,0)</f>
        <v>23.364628305517961</v>
      </c>
      <c r="V929" s="9" cm="1">
        <f t="array" aca="1" ref="V929" ca="1">z_score_diff(OFFSET(U929,0,0,$J$5*-1,1),OFFSET(E929,0,0,$J$5*-1,1))</f>
        <v>0.15700053121923907</v>
      </c>
      <c r="W929" s="9">
        <f t="shared" ca="1" si="986"/>
        <v>-5.3862132436030413E-2</v>
      </c>
      <c r="X929" s="17">
        <f t="shared" ca="1" si="981"/>
        <v>-5.0893361497393652E-2</v>
      </c>
      <c r="Y929" s="13">
        <f t="shared" ref="Y929:Z929" ca="1" si="1013">+Y928</f>
        <v>0</v>
      </c>
      <c r="Z929" s="13">
        <f t="shared" ca="1" si="1013"/>
        <v>0</v>
      </c>
      <c r="AA929">
        <f t="shared" ca="1" si="988"/>
        <v>1</v>
      </c>
      <c r="AB929">
        <f t="shared" ca="1" si="989"/>
        <v>0</v>
      </c>
      <c r="AC929" s="24">
        <f t="shared" ca="1" si="990"/>
        <v>-5.0893361497393652E-2</v>
      </c>
      <c r="AD929" s="24">
        <f t="shared" ca="1" si="991"/>
        <v>0</v>
      </c>
    </row>
    <row r="930" spans="3:30" x14ac:dyDescent="0.25">
      <c r="C930" s="6">
        <v>1024</v>
      </c>
      <c r="D930" s="36">
        <v>43462</v>
      </c>
      <c r="E930" s="38">
        <v>22.698</v>
      </c>
      <c r="F930" s="38">
        <v>46.245173091253982</v>
      </c>
      <c r="G930" s="38">
        <v>61.07</v>
      </c>
      <c r="H930" s="38">
        <v>2.6691958539394354</v>
      </c>
      <c r="I930" s="38">
        <v>7.8162048641690953</v>
      </c>
      <c r="J930" s="10">
        <v>0</v>
      </c>
      <c r="K930" s="39">
        <v>0</v>
      </c>
      <c r="L930" s="39">
        <v>0</v>
      </c>
      <c r="M930" s="39">
        <v>0</v>
      </c>
      <c r="N930" s="39">
        <v>0</v>
      </c>
      <c r="O930" s="39">
        <v>0</v>
      </c>
      <c r="P930" s="39">
        <v>0</v>
      </c>
      <c r="Q930" s="39">
        <v>0</v>
      </c>
      <c r="R930" s="39">
        <v>0</v>
      </c>
      <c r="S930" s="39">
        <v>0</v>
      </c>
      <c r="T930" s="39">
        <v>0</v>
      </c>
      <c r="U930" s="29" cm="1">
        <f t="array" aca="1" ref="U930" ca="1">+fair_value_gap(OFFSET(T929,0,0,-1*$J$5,-1*$AA$1),OFFSET(E929,0,0,-1*$J$5,1),F930:T930,0)</f>
        <v>23.222024183531111</v>
      </c>
      <c r="V930" s="9" cm="1">
        <f t="array" aca="1" ref="V930" ca="1">z_score_diff(OFFSET(U930,0,0,$J$5*-1,1),OFFSET(E930,0,0,$J$5*-1,1))</f>
        <v>0.17674798649014811</v>
      </c>
      <c r="W930" s="9">
        <f t="shared" ca="1" si="986"/>
        <v>-4.3810549327750449E-2</v>
      </c>
      <c r="X930" s="17">
        <f t="shared" ca="1" si="981"/>
        <v>-4.2846982303389548E-2</v>
      </c>
      <c r="Y930" s="13">
        <f t="shared" ref="Y930:Z930" ca="1" si="1014">+Y929</f>
        <v>0</v>
      </c>
      <c r="Z930" s="13">
        <f t="shared" ca="1" si="1014"/>
        <v>0</v>
      </c>
      <c r="AA930">
        <f t="shared" ca="1" si="988"/>
        <v>1</v>
      </c>
      <c r="AB930">
        <f t="shared" ca="1" si="989"/>
        <v>0</v>
      </c>
      <c r="AC930" s="24">
        <f t="shared" ca="1" si="990"/>
        <v>-4.2846982303389548E-2</v>
      </c>
      <c r="AD930" s="24">
        <f t="shared" ca="1" si="991"/>
        <v>0</v>
      </c>
    </row>
    <row r="931" spans="3:30" x14ac:dyDescent="0.25">
      <c r="C931" s="6">
        <v>1025</v>
      </c>
      <c r="D931" s="36">
        <v>43465</v>
      </c>
      <c r="E931" s="38">
        <v>22.806000000000001</v>
      </c>
      <c r="F931" s="38">
        <v>46.820479201471862</v>
      </c>
      <c r="G931" s="38">
        <v>59.51</v>
      </c>
      <c r="H931" s="38">
        <v>2.5909869520164106</v>
      </c>
      <c r="I931" s="38">
        <v>7.8076426924947668</v>
      </c>
      <c r="J931" s="10">
        <v>0</v>
      </c>
      <c r="K931" s="39">
        <v>0</v>
      </c>
      <c r="L931" s="39">
        <v>0</v>
      </c>
      <c r="M931" s="39">
        <v>0</v>
      </c>
      <c r="N931" s="39">
        <v>0</v>
      </c>
      <c r="O931" s="39">
        <v>0</v>
      </c>
      <c r="P931" s="39">
        <v>0</v>
      </c>
      <c r="Q931" s="39">
        <v>0</v>
      </c>
      <c r="R931" s="39">
        <v>0</v>
      </c>
      <c r="S931" s="39">
        <v>0</v>
      </c>
      <c r="T931" s="39">
        <v>0</v>
      </c>
      <c r="U931" s="29" cm="1">
        <f t="array" aca="1" ref="U931" ca="1">+fair_value_gap(OFFSET(T930,0,0,-1*$J$5,-1*$AA$1),OFFSET(E930,0,0,-1*$J$5,1),F931:T931,0)</f>
        <v>22.783846535248255</v>
      </c>
      <c r="V931" s="9" cm="1">
        <f t="array" aca="1" ref="V931" ca="1">z_score_diff(OFFSET(U931,0,0,$J$5*-1,1),OFFSET(E931,0,0,$J$5*-1,1))</f>
        <v>-4.6624226685923142E-2</v>
      </c>
      <c r="W931" s="9">
        <f t="shared" ca="1" si="986"/>
        <v>-3.751035427567468E-2</v>
      </c>
      <c r="X931" s="17">
        <f t="shared" ca="1" si="981"/>
        <v>-5.734414072909285E-2</v>
      </c>
      <c r="Y931" s="13">
        <f t="shared" ref="Y931:Z931" ca="1" si="1015">+Y930</f>
        <v>0</v>
      </c>
      <c r="Z931" s="13">
        <f t="shared" ca="1" si="1015"/>
        <v>0</v>
      </c>
      <c r="AA931">
        <f t="shared" ca="1" si="988"/>
        <v>1</v>
      </c>
      <c r="AB931">
        <f t="shared" ca="1" si="989"/>
        <v>0</v>
      </c>
      <c r="AC931" s="24">
        <f t="shared" ca="1" si="990"/>
        <v>-5.734414072909285E-2</v>
      </c>
      <c r="AD931" s="24">
        <f t="shared" ca="1" si="991"/>
        <v>0</v>
      </c>
    </row>
    <row r="932" spans="3:30" x14ac:dyDescent="0.25">
      <c r="C932" s="6">
        <v>1026</v>
      </c>
      <c r="D932" s="36">
        <v>43467</v>
      </c>
      <c r="E932" s="38">
        <v>22.908000000000001</v>
      </c>
      <c r="F932" s="38">
        <v>48.304721286713388</v>
      </c>
      <c r="G932" s="38">
        <v>59.9</v>
      </c>
      <c r="H932" s="38">
        <v>2.5570574957752594</v>
      </c>
      <c r="I932" s="38">
        <v>7.8172656486280063</v>
      </c>
      <c r="J932" s="10">
        <v>1</v>
      </c>
      <c r="K932" s="39">
        <v>0</v>
      </c>
      <c r="L932" s="39">
        <v>0</v>
      </c>
      <c r="M932" s="39">
        <v>0</v>
      </c>
      <c r="N932" s="39">
        <v>0</v>
      </c>
      <c r="O932" s="39">
        <v>0</v>
      </c>
      <c r="P932" s="39">
        <v>0</v>
      </c>
      <c r="Q932" s="39">
        <v>0</v>
      </c>
      <c r="R932" s="39">
        <v>0</v>
      </c>
      <c r="S932" s="39">
        <v>0</v>
      </c>
      <c r="T932" s="39">
        <v>0</v>
      </c>
      <c r="U932" s="29" cm="1">
        <f t="array" aca="1" ref="U932" ca="1">+fair_value_gap(OFFSET(T931,0,0,-1*$J$5,-1*$AA$1),OFFSET(E931,0,0,-1*$J$5,1),F932:T932,0)</f>
        <v>24.124747424433224</v>
      </c>
      <c r="V932" s="9" cm="1">
        <f t="array" aca="1" ref="V932" ca="1">z_score_diff(OFFSET(U932,0,0,$J$5*-1,1),OFFSET(E932,0,0,$J$5*-1,1))</f>
        <v>0.45466758875807456</v>
      </c>
      <c r="W932" s="9">
        <f t="shared" ca="1" si="986"/>
        <v>-1.9193025398744259E-2</v>
      </c>
      <c r="X932" s="17">
        <f t="shared" ca="1" si="981"/>
        <v>-4.9851491976916545E-2</v>
      </c>
      <c r="Y932" s="13">
        <f t="shared" ref="Y932:Z932" ca="1" si="1016">+Y931</f>
        <v>0</v>
      </c>
      <c r="Z932" s="13">
        <f t="shared" ca="1" si="1016"/>
        <v>0</v>
      </c>
      <c r="AA932">
        <f t="shared" ca="1" si="988"/>
        <v>1</v>
      </c>
      <c r="AB932">
        <f t="shared" ca="1" si="989"/>
        <v>0</v>
      </c>
      <c r="AC932" s="24">
        <f t="shared" ca="1" si="990"/>
        <v>-4.9851491976916545E-2</v>
      </c>
      <c r="AD932" s="24">
        <f t="shared" ca="1" si="991"/>
        <v>0</v>
      </c>
    </row>
    <row r="933" spans="3:30" x14ac:dyDescent="0.25">
      <c r="C933" s="6">
        <v>1027</v>
      </c>
      <c r="D933" s="36">
        <v>43468</v>
      </c>
      <c r="E933" s="38">
        <v>22.664999999999999</v>
      </c>
      <c r="F933" s="38">
        <v>48.816362802186902</v>
      </c>
      <c r="G933" s="38">
        <v>58.91</v>
      </c>
      <c r="H933" s="38">
        <v>2.5425366292961167</v>
      </c>
      <c r="I933" s="38">
        <v>7.728902776701954</v>
      </c>
      <c r="J933" s="10">
        <v>1</v>
      </c>
      <c r="K933" s="39">
        <v>0</v>
      </c>
      <c r="L933" s="39">
        <v>0</v>
      </c>
      <c r="M933" s="39">
        <v>0</v>
      </c>
      <c r="N933" s="39">
        <v>0</v>
      </c>
      <c r="O933" s="39">
        <v>0</v>
      </c>
      <c r="P933" s="39">
        <v>0</v>
      </c>
      <c r="Q933" s="39">
        <v>0</v>
      </c>
      <c r="R933" s="39">
        <v>0</v>
      </c>
      <c r="S933" s="39">
        <v>0</v>
      </c>
      <c r="T933" s="39">
        <v>0</v>
      </c>
      <c r="U933" s="29" cm="1">
        <f t="array" aca="1" ref="U933" ca="1">+fair_value_gap(OFFSET(T932,0,0,-1*$J$5,-1*$AA$1),OFFSET(E932,0,0,-1*$J$5,1),F933:T933,0)</f>
        <v>23.420039754425236</v>
      </c>
      <c r="V933" s="9" cm="1">
        <f t="array" aca="1" ref="V933" ca="1">z_score_diff(OFFSET(U933,0,0,$J$5*-1,1),OFFSET(E933,0,0,$J$5*-1,1))</f>
        <v>0.26331440399383788</v>
      </c>
      <c r="W933" s="9">
        <f t="shared" ca="1" si="986"/>
        <v>-9.6406157706155019E-3</v>
      </c>
      <c r="X933" s="17">
        <f t="shared" ca="1" si="981"/>
        <v>-4.30949632861942E-2</v>
      </c>
      <c r="Y933" s="13">
        <f t="shared" ref="Y933:Z933" ca="1" si="1017">+Y932</f>
        <v>0</v>
      </c>
      <c r="Z933" s="13">
        <f t="shared" ca="1" si="1017"/>
        <v>0</v>
      </c>
      <c r="AA933">
        <f t="shared" ca="1" si="988"/>
        <v>1</v>
      </c>
      <c r="AB933">
        <f t="shared" ca="1" si="989"/>
        <v>0</v>
      </c>
      <c r="AC933" s="24">
        <f t="shared" ca="1" si="990"/>
        <v>-4.30949632861942E-2</v>
      </c>
      <c r="AD933" s="24">
        <f t="shared" ca="1" si="991"/>
        <v>0</v>
      </c>
    </row>
    <row r="934" spans="3:30" x14ac:dyDescent="0.25">
      <c r="C934" s="6">
        <v>1028</v>
      </c>
      <c r="D934" s="36">
        <v>43469</v>
      </c>
      <c r="E934" s="38">
        <v>23.248999999999999</v>
      </c>
      <c r="F934" s="38">
        <v>49.453502651694265</v>
      </c>
      <c r="G934" s="38">
        <v>59.4</v>
      </c>
      <c r="H934" s="38">
        <v>2.5904620649537526</v>
      </c>
      <c r="I934" s="38">
        <v>7.781591560842692</v>
      </c>
      <c r="J934" s="10">
        <v>1</v>
      </c>
      <c r="K934" s="39">
        <v>0</v>
      </c>
      <c r="L934" s="39">
        <v>0</v>
      </c>
      <c r="M934" s="39">
        <v>0</v>
      </c>
      <c r="N934" s="39">
        <v>0</v>
      </c>
      <c r="O934" s="39">
        <v>0</v>
      </c>
      <c r="P934" s="39">
        <v>0</v>
      </c>
      <c r="Q934" s="39">
        <v>0</v>
      </c>
      <c r="R934" s="39">
        <v>0</v>
      </c>
      <c r="S934" s="39">
        <v>0</v>
      </c>
      <c r="T934" s="39">
        <v>0</v>
      </c>
      <c r="U934" s="29" cm="1">
        <f t="array" aca="1" ref="U934" ca="1">+fair_value_gap(OFFSET(T933,0,0,-1*$J$5,-1*$AA$1),OFFSET(E933,0,0,-1*$J$5,1),F934:T934,0)</f>
        <v>23.434478227058644</v>
      </c>
      <c r="V934" s="9" cm="1">
        <f t="array" aca="1" ref="V934" ca="1">z_score_diff(OFFSET(U934,0,0,$J$5*-1,1),OFFSET(E934,0,0,$J$5*-1,1))</f>
        <v>3.1361571944777733E-2</v>
      </c>
      <c r="W934" s="9">
        <f t="shared" ca="1" si="986"/>
        <v>-6.4681622381414427E-3</v>
      </c>
      <c r="X934" s="17">
        <f t="shared" ca="1" si="981"/>
        <v>-5.294951846283312E-2</v>
      </c>
      <c r="Y934" s="13">
        <f t="shared" ref="Y934:Z934" ca="1" si="1018">+Y933</f>
        <v>0</v>
      </c>
      <c r="Z934" s="13">
        <f t="shared" ca="1" si="1018"/>
        <v>0</v>
      </c>
      <c r="AA934">
        <f t="shared" ca="1" si="988"/>
        <v>1</v>
      </c>
      <c r="AB934">
        <f t="shared" ca="1" si="989"/>
        <v>0</v>
      </c>
      <c r="AC934" s="24">
        <f t="shared" ca="1" si="990"/>
        <v>-5.294951846283312E-2</v>
      </c>
      <c r="AD934" s="24">
        <f t="shared" ca="1" si="991"/>
        <v>0</v>
      </c>
    </row>
    <row r="935" spans="3:30" x14ac:dyDescent="0.25">
      <c r="C935" s="6">
        <v>1029</v>
      </c>
      <c r="D935" s="36">
        <v>43472</v>
      </c>
      <c r="E935" s="38">
        <v>22.681000000000001</v>
      </c>
      <c r="F935" s="38">
        <v>49.46760020040503</v>
      </c>
      <c r="G935" s="38">
        <v>57.85</v>
      </c>
      <c r="H935" s="38">
        <v>2.5920853529435126</v>
      </c>
      <c r="I935" s="38">
        <v>7.5870034124617804</v>
      </c>
      <c r="J935" s="10">
        <v>1</v>
      </c>
      <c r="K935" s="39">
        <v>0</v>
      </c>
      <c r="L935" s="39">
        <v>0</v>
      </c>
      <c r="M935" s="39">
        <v>0</v>
      </c>
      <c r="N935" s="39">
        <v>0</v>
      </c>
      <c r="O935" s="39">
        <v>0</v>
      </c>
      <c r="P935" s="39">
        <v>0</v>
      </c>
      <c r="Q935" s="39">
        <v>0</v>
      </c>
      <c r="R935" s="39">
        <v>0</v>
      </c>
      <c r="S935" s="39">
        <v>0</v>
      </c>
      <c r="T935" s="39">
        <v>0</v>
      </c>
      <c r="U935" s="29" cm="1">
        <f t="array" aca="1" ref="U935" ca="1">+fair_value_gap(OFFSET(T934,0,0,-1*$J$5,-1*$AA$1),OFFSET(E934,0,0,-1*$J$5,1),F935:T935,0)</f>
        <v>22.929590179743801</v>
      </c>
      <c r="V935" s="9" cm="1">
        <f t="array" aca="1" ref="V935" ca="1">z_score_diff(OFFSET(U935,0,0,$J$5*-1,1),OFFSET(E935,0,0,$J$5*-1,1))</f>
        <v>5.5886435885187935E-2</v>
      </c>
      <c r="W935" s="9">
        <f t="shared" ca="1" si="986"/>
        <v>-6.8436136157959994E-3</v>
      </c>
      <c r="X935" s="17">
        <f t="shared" ca="1" si="981"/>
        <v>-4.6475926840052924E-2</v>
      </c>
      <c r="Y935" s="13">
        <f t="shared" ref="Y935:Z935" ca="1" si="1019">+Y934</f>
        <v>0</v>
      </c>
      <c r="Z935" s="13">
        <f t="shared" ca="1" si="1019"/>
        <v>0</v>
      </c>
      <c r="AA935">
        <f t="shared" ca="1" si="988"/>
        <v>1</v>
      </c>
      <c r="AB935">
        <f t="shared" ca="1" si="989"/>
        <v>0</v>
      </c>
      <c r="AC935" s="24">
        <f t="shared" ca="1" si="990"/>
        <v>-4.6475926840052924E-2</v>
      </c>
      <c r="AD935" s="24">
        <f t="shared" ca="1" si="991"/>
        <v>0</v>
      </c>
    </row>
    <row r="936" spans="3:30" x14ac:dyDescent="0.25">
      <c r="C936" s="6">
        <v>1030</v>
      </c>
      <c r="D936" s="36">
        <v>43473</v>
      </c>
      <c r="E936" s="38">
        <v>22.998000000000001</v>
      </c>
      <c r="F936" s="38">
        <v>50.626991912897168</v>
      </c>
      <c r="G936" s="38">
        <v>58.56</v>
      </c>
      <c r="H936" s="38">
        <v>2.6211498155706803</v>
      </c>
      <c r="I936" s="38">
        <v>7.7092641634431773</v>
      </c>
      <c r="J936" s="10">
        <v>1</v>
      </c>
      <c r="K936" s="39">
        <v>0</v>
      </c>
      <c r="L936" s="39">
        <v>0</v>
      </c>
      <c r="M936" s="39">
        <v>0</v>
      </c>
      <c r="N936" s="39">
        <v>0</v>
      </c>
      <c r="O936" s="39">
        <v>0</v>
      </c>
      <c r="P936" s="39">
        <v>0</v>
      </c>
      <c r="Q936" s="39">
        <v>0</v>
      </c>
      <c r="R936" s="39">
        <v>0</v>
      </c>
      <c r="S936" s="39">
        <v>0</v>
      </c>
      <c r="T936" s="39">
        <v>0</v>
      </c>
      <c r="U936" s="29" cm="1">
        <f t="array" aca="1" ref="U936" ca="1">+fair_value_gap(OFFSET(T935,0,0,-1*$J$5,-1*$AA$1),OFFSET(E935,0,0,-1*$J$5,1),F936:T936,0)</f>
        <v>23.217459899904362</v>
      </c>
      <c r="V936" s="9" cm="1">
        <f t="array" aca="1" ref="V936" ca="1">z_score_diff(OFFSET(U936,0,0,$J$5*-1,1),OFFSET(E936,0,0,$J$5*-1,1))</f>
        <v>4.3772425365555478E-2</v>
      </c>
      <c r="W936" s="9">
        <f t="shared" ca="1" si="986"/>
        <v>-3.6816124928953551E-3</v>
      </c>
      <c r="X936" s="17">
        <f t="shared" ca="1" si="981"/>
        <v>-4.5729369229954249E-2</v>
      </c>
      <c r="Y936" s="13">
        <f t="shared" ref="Y936:Z936" ca="1" si="1020">+Y935</f>
        <v>0</v>
      </c>
      <c r="Z936" s="13">
        <f t="shared" ca="1" si="1020"/>
        <v>0</v>
      </c>
      <c r="AA936">
        <f t="shared" ca="1" si="988"/>
        <v>1</v>
      </c>
      <c r="AB936">
        <f t="shared" ca="1" si="989"/>
        <v>0</v>
      </c>
      <c r="AC936" s="24">
        <f t="shared" ca="1" si="990"/>
        <v>-4.5729369229954249E-2</v>
      </c>
      <c r="AD936" s="24">
        <f t="shared" ca="1" si="991"/>
        <v>0</v>
      </c>
    </row>
    <row r="937" spans="3:30" x14ac:dyDescent="0.25">
      <c r="C937" s="6">
        <v>1031</v>
      </c>
      <c r="D937" s="36">
        <v>43474</v>
      </c>
      <c r="E937" s="38">
        <v>22.753</v>
      </c>
      <c r="F937" s="38">
        <v>52.145342451846311</v>
      </c>
      <c r="G937" s="38">
        <v>58.16</v>
      </c>
      <c r="H937" s="38">
        <v>2.6185939467773505</v>
      </c>
      <c r="I937" s="38">
        <v>7.6351185247272957</v>
      </c>
      <c r="J937" s="10">
        <v>1</v>
      </c>
      <c r="K937" s="39">
        <v>0</v>
      </c>
      <c r="L937" s="39">
        <v>0</v>
      </c>
      <c r="M937" s="39">
        <v>0</v>
      </c>
      <c r="N937" s="39">
        <v>0</v>
      </c>
      <c r="O937" s="39">
        <v>0</v>
      </c>
      <c r="P937" s="39">
        <v>0</v>
      </c>
      <c r="Q937" s="39">
        <v>0</v>
      </c>
      <c r="R937" s="39">
        <v>0</v>
      </c>
      <c r="S937" s="39">
        <v>0</v>
      </c>
      <c r="T937" s="39">
        <v>0</v>
      </c>
      <c r="U937" s="29" cm="1">
        <f t="array" aca="1" ref="U937" ca="1">+fair_value_gap(OFFSET(T936,0,0,-1*$J$5,-1*$AA$1),OFFSET(E936,0,0,-1*$J$5,1),F937:T937,0)</f>
        <v>23.210388281166324</v>
      </c>
      <c r="V937" s="9" cm="1">
        <f t="array" aca="1" ref="V937" ca="1">z_score_diff(OFFSET(U937,0,0,$J$5*-1,1),OFFSET(E937,0,0,$J$5*-1,1))</f>
        <v>0.13871336259654343</v>
      </c>
      <c r="W937" s="9">
        <f t="shared" ca="1" si="986"/>
        <v>1.6553971113558792E-3</v>
      </c>
      <c r="X937" s="17">
        <f t="shared" ca="1" si="981"/>
        <v>-2.4604715956756014E-2</v>
      </c>
      <c r="Y937" s="13">
        <f t="shared" ref="Y937:Z937" ca="1" si="1021">+Y936</f>
        <v>0</v>
      </c>
      <c r="Z937" s="13">
        <f t="shared" ca="1" si="1021"/>
        <v>0</v>
      </c>
      <c r="AA937">
        <f t="shared" ca="1" si="988"/>
        <v>0</v>
      </c>
      <c r="AB937">
        <f t="shared" ca="1" si="989"/>
        <v>1</v>
      </c>
      <c r="AC937" s="24">
        <f t="shared" ca="1" si="990"/>
        <v>0</v>
      </c>
      <c r="AD937" s="24">
        <f t="shared" ca="1" si="991"/>
        <v>-2.4604715956756014E-2</v>
      </c>
    </row>
    <row r="938" spans="3:30" x14ac:dyDescent="0.25">
      <c r="C938" s="6">
        <v>1032</v>
      </c>
      <c r="D938" s="36">
        <v>43475</v>
      </c>
      <c r="E938" s="38">
        <v>22.763000000000002</v>
      </c>
      <c r="F938" s="38">
        <v>52.506823611127494</v>
      </c>
      <c r="G938" s="38">
        <v>57.91</v>
      </c>
      <c r="H938" s="38">
        <v>2.6333491244367044</v>
      </c>
      <c r="I938" s="38">
        <v>7.7129143689487334</v>
      </c>
      <c r="J938" s="10">
        <v>1</v>
      </c>
      <c r="K938" s="39">
        <v>0</v>
      </c>
      <c r="L938" s="39">
        <v>0</v>
      </c>
      <c r="M938" s="39">
        <v>0</v>
      </c>
      <c r="N938" s="39">
        <v>0</v>
      </c>
      <c r="O938" s="39">
        <v>0</v>
      </c>
      <c r="P938" s="39">
        <v>0</v>
      </c>
      <c r="Q938" s="39">
        <v>0</v>
      </c>
      <c r="R938" s="39">
        <v>0</v>
      </c>
      <c r="S938" s="39">
        <v>0</v>
      </c>
      <c r="T938" s="39">
        <v>0</v>
      </c>
      <c r="U938" s="29" cm="1">
        <f t="array" aca="1" ref="U938" ca="1">+fair_value_gap(OFFSET(T937,0,0,-1*$J$5,-1*$AA$1),OFFSET(E937,0,0,-1*$J$5,1),F938:T938,0)</f>
        <v>23.138957175351575</v>
      </c>
      <c r="V938" s="9" cm="1">
        <f t="array" aca="1" ref="V938" ca="1">z_score_diff(OFFSET(U938,0,0,$J$5*-1,1),OFFSET(E938,0,0,$J$5*-1,1))</f>
        <v>0.1049597307093284</v>
      </c>
      <c r="W938" s="9">
        <f t="shared" ca="1" si="986"/>
        <v>1.044738436611737E-2</v>
      </c>
      <c r="X938" s="17">
        <f t="shared" ca="1" si="981"/>
        <v>-3.8832439026873659E-2</v>
      </c>
      <c r="Y938" s="13">
        <f t="shared" ref="Y938:Z938" ca="1" si="1022">+Y937</f>
        <v>0</v>
      </c>
      <c r="Z938" s="13">
        <f t="shared" ca="1" si="1022"/>
        <v>0</v>
      </c>
      <c r="AA938">
        <f t="shared" ca="1" si="988"/>
        <v>0</v>
      </c>
      <c r="AB938">
        <f t="shared" ca="1" si="989"/>
        <v>1</v>
      </c>
      <c r="AC938" s="24">
        <f t="shared" ca="1" si="990"/>
        <v>0</v>
      </c>
      <c r="AD938" s="24">
        <f t="shared" ca="1" si="991"/>
        <v>-3.8832439026873659E-2</v>
      </c>
    </row>
    <row r="939" spans="3:30" x14ac:dyDescent="0.25">
      <c r="C939" s="6">
        <v>1033</v>
      </c>
      <c r="D939" s="36">
        <v>43476</v>
      </c>
      <c r="E939" s="38">
        <v>23.067</v>
      </c>
      <c r="F939" s="38">
        <v>51.616045622360645</v>
      </c>
      <c r="G939" s="38">
        <v>58.74</v>
      </c>
      <c r="H939" s="38">
        <v>2.6712825707902565</v>
      </c>
      <c r="I939" s="38">
        <v>7.7796136914436085</v>
      </c>
      <c r="J939" s="10">
        <v>1</v>
      </c>
      <c r="K939" s="39">
        <v>0</v>
      </c>
      <c r="L939" s="39">
        <v>0</v>
      </c>
      <c r="M939" s="39">
        <v>0</v>
      </c>
      <c r="N939" s="39">
        <v>0</v>
      </c>
      <c r="O939" s="39">
        <v>0</v>
      </c>
      <c r="P939" s="39">
        <v>0</v>
      </c>
      <c r="Q939" s="39">
        <v>0</v>
      </c>
      <c r="R939" s="39">
        <v>0</v>
      </c>
      <c r="S939" s="39">
        <v>0</v>
      </c>
      <c r="T939" s="39">
        <v>0</v>
      </c>
      <c r="U939" s="29" cm="1">
        <f t="array" aca="1" ref="U939" ca="1">+fair_value_gap(OFFSET(T938,0,0,-1*$J$5,-1*$AA$1),OFFSET(E938,0,0,-1*$J$5,1),F939:T939,0)</f>
        <v>23.241486673443674</v>
      </c>
      <c r="V939" s="9" cm="1">
        <f t="array" aca="1" ref="V939" ca="1">z_score_diff(OFFSET(U939,0,0,$J$5*-1,1),OFFSET(E939,0,0,$J$5*-1,1))</f>
        <v>2.3573166728275696E-2</v>
      </c>
      <c r="W939" s="9">
        <f t="shared" ca="1" si="986"/>
        <v>1.7228807276925825E-2</v>
      </c>
      <c r="X939" s="17">
        <f t="shared" ca="1" si="981"/>
        <v>-5.9111158065231796E-2</v>
      </c>
      <c r="Y939" s="13">
        <f t="shared" ref="Y939:Z939" ca="1" si="1023">+Y938</f>
        <v>0</v>
      </c>
      <c r="Z939" s="13">
        <f t="shared" ca="1" si="1023"/>
        <v>0</v>
      </c>
      <c r="AA939">
        <f t="shared" ca="1" si="988"/>
        <v>0</v>
      </c>
      <c r="AB939">
        <f t="shared" ca="1" si="989"/>
        <v>1</v>
      </c>
      <c r="AC939" s="24">
        <f t="shared" ca="1" si="990"/>
        <v>0</v>
      </c>
      <c r="AD939" s="24">
        <f t="shared" ca="1" si="991"/>
        <v>-5.9111158065231796E-2</v>
      </c>
    </row>
    <row r="940" spans="3:30" x14ac:dyDescent="0.25">
      <c r="C940" s="6">
        <v>1034</v>
      </c>
      <c r="D940" s="36">
        <v>43479</v>
      </c>
      <c r="E940" s="38">
        <v>22.61</v>
      </c>
      <c r="F940" s="38">
        <v>50.526137852343325</v>
      </c>
      <c r="G940" s="38">
        <v>57.7</v>
      </c>
      <c r="H940" s="38">
        <v>2.7308456239699108</v>
      </c>
      <c r="I940" s="38">
        <v>7.67020242572793</v>
      </c>
      <c r="J940" s="10">
        <v>1</v>
      </c>
      <c r="K940" s="39">
        <v>0</v>
      </c>
      <c r="L940" s="39">
        <v>0</v>
      </c>
      <c r="M940" s="39">
        <v>0</v>
      </c>
      <c r="N940" s="39">
        <v>0</v>
      </c>
      <c r="O940" s="39">
        <v>0</v>
      </c>
      <c r="P940" s="39">
        <v>0</v>
      </c>
      <c r="Q940" s="39">
        <v>0</v>
      </c>
      <c r="R940" s="39">
        <v>0</v>
      </c>
      <c r="S940" s="39">
        <v>0</v>
      </c>
      <c r="T940" s="39">
        <v>0</v>
      </c>
      <c r="U940" s="29" cm="1">
        <f t="array" aca="1" ref="U940" ca="1">+fair_value_gap(OFFSET(T939,0,0,-1*$J$5,-1*$AA$1),OFFSET(E939,0,0,-1*$J$5,1),F940:T940,0)</f>
        <v>22.816157507456623</v>
      </c>
      <c r="V940" s="9" cm="1">
        <f t="array" aca="1" ref="V940" ca="1">z_score_diff(OFFSET(U940,0,0,$J$5*-1,1),OFFSET(E940,0,0,$J$5*-1,1))</f>
        <v>3.5862390790080023E-2</v>
      </c>
      <c r="W940" s="9">
        <f t="shared" ca="1" si="986"/>
        <v>2.2571573496863159E-2</v>
      </c>
      <c r="X940" s="17">
        <f t="shared" ca="1" si="981"/>
        <v>-4.4634723298120439E-2</v>
      </c>
      <c r="Y940" s="13">
        <f t="shared" ref="Y940:Z940" ca="1" si="1024">+Y939</f>
        <v>0</v>
      </c>
      <c r="Z940" s="13">
        <f t="shared" ca="1" si="1024"/>
        <v>0</v>
      </c>
      <c r="AA940">
        <f t="shared" ca="1" si="988"/>
        <v>0</v>
      </c>
      <c r="AB940">
        <f t="shared" ca="1" si="989"/>
        <v>1</v>
      </c>
      <c r="AC940" s="24">
        <f t="shared" ca="1" si="990"/>
        <v>0</v>
      </c>
      <c r="AD940" s="24">
        <f t="shared" ca="1" si="991"/>
        <v>-4.4634723298120439E-2</v>
      </c>
    </row>
    <row r="941" spans="3:30" x14ac:dyDescent="0.25">
      <c r="C941" s="6">
        <v>1035</v>
      </c>
      <c r="D941" s="36">
        <v>43480</v>
      </c>
      <c r="E941" s="38">
        <v>22.8</v>
      </c>
      <c r="F941" s="38">
        <v>51.938828734388196</v>
      </c>
      <c r="G941" s="38">
        <v>57.85</v>
      </c>
      <c r="H941" s="38">
        <v>2.6878386345371972</v>
      </c>
      <c r="I941" s="38">
        <v>7.7559945427701056</v>
      </c>
      <c r="J941" s="10">
        <v>1</v>
      </c>
      <c r="K941" s="39">
        <v>0</v>
      </c>
      <c r="L941" s="39">
        <v>0</v>
      </c>
      <c r="M941" s="39">
        <v>0</v>
      </c>
      <c r="N941" s="39">
        <v>0</v>
      </c>
      <c r="O941" s="39">
        <v>0</v>
      </c>
      <c r="P941" s="39">
        <v>0</v>
      </c>
      <c r="Q941" s="39">
        <v>0</v>
      </c>
      <c r="R941" s="39">
        <v>0</v>
      </c>
      <c r="S941" s="39">
        <v>0</v>
      </c>
      <c r="T941" s="39">
        <v>0</v>
      </c>
      <c r="U941" s="29" cm="1">
        <f t="array" aca="1" ref="U941" ca="1">+fair_value_gap(OFFSET(T940,0,0,-1*$J$5,-1*$AA$1),OFFSET(E940,0,0,-1*$J$5,1),F941:T941,0)</f>
        <v>22.963956239994207</v>
      </c>
      <c r="V941" s="9" cm="1">
        <f t="array" aca="1" ref="V941" ca="1">z_score_diff(OFFSET(U941,0,0,$J$5*-1,1),OFFSET(E941,0,0,$J$5*-1,1))</f>
        <v>1.88918786887603E-2</v>
      </c>
      <c r="W941" s="9">
        <f t="shared" ca="1" si="986"/>
        <v>2.7147717625381609E-2</v>
      </c>
      <c r="X941" s="17">
        <f t="shared" ca="1" si="981"/>
        <v>-5.2217081982114361E-2</v>
      </c>
      <c r="Y941" s="13">
        <f t="shared" ref="Y941:Z941" ca="1" si="1025">+Y940</f>
        <v>0</v>
      </c>
      <c r="Z941" s="13">
        <f t="shared" ca="1" si="1025"/>
        <v>0</v>
      </c>
      <c r="AA941">
        <f t="shared" ca="1" si="988"/>
        <v>0</v>
      </c>
      <c r="AB941">
        <f t="shared" ca="1" si="989"/>
        <v>1</v>
      </c>
      <c r="AC941" s="24">
        <f t="shared" ca="1" si="990"/>
        <v>0</v>
      </c>
      <c r="AD941" s="24">
        <f t="shared" ca="1" si="991"/>
        <v>-5.2217081982114361E-2</v>
      </c>
    </row>
    <row r="942" spans="3:30" x14ac:dyDescent="0.25">
      <c r="C942" s="6">
        <v>1036</v>
      </c>
      <c r="D942" s="36">
        <v>43481</v>
      </c>
      <c r="E942" s="38">
        <v>22.963000000000001</v>
      </c>
      <c r="F942" s="38">
        <v>52.279679707254196</v>
      </c>
      <c r="G942" s="38">
        <v>58.65</v>
      </c>
      <c r="H942" s="38">
        <v>2.6841266683330867</v>
      </c>
      <c r="I942" s="38">
        <v>7.7156951267414504</v>
      </c>
      <c r="J942" s="10">
        <v>1</v>
      </c>
      <c r="K942" s="39">
        <v>0</v>
      </c>
      <c r="L942" s="39">
        <v>0</v>
      </c>
      <c r="M942" s="39">
        <v>0</v>
      </c>
      <c r="N942" s="39">
        <v>0</v>
      </c>
      <c r="O942" s="39">
        <v>0</v>
      </c>
      <c r="P942" s="39">
        <v>0</v>
      </c>
      <c r="Q942" s="39">
        <v>0</v>
      </c>
      <c r="R942" s="39">
        <v>0</v>
      </c>
      <c r="S942" s="39">
        <v>0</v>
      </c>
      <c r="T942" s="39">
        <v>0</v>
      </c>
      <c r="U942" s="29" cm="1">
        <f t="array" aca="1" ref="U942" ca="1">+fair_value_gap(OFFSET(T941,0,0,-1*$J$5,-1*$AA$1),OFFSET(E941,0,0,-1*$J$5,1),F942:T942,0)</f>
        <v>23.175600082178455</v>
      </c>
      <c r="V942" s="9" cm="1">
        <f t="array" aca="1" ref="V942" ca="1">z_score_diff(OFFSET(U942,0,0,$J$5*-1,1),OFFSET(E942,0,0,$J$5*-1,1))</f>
        <v>3.8337352922005463E-2</v>
      </c>
      <c r="W942" s="9">
        <f t="shared" ca="1" si="986"/>
        <v>3.4566018035512222E-2</v>
      </c>
      <c r="X942" s="17">
        <f t="shared" ca="1" si="981"/>
        <v>-3.9030860514935081E-2</v>
      </c>
      <c r="Y942" s="13">
        <f t="shared" ref="Y942:Z942" ca="1" si="1026">+Y941</f>
        <v>0</v>
      </c>
      <c r="Z942" s="13">
        <f t="shared" ca="1" si="1026"/>
        <v>0</v>
      </c>
      <c r="AA942">
        <f t="shared" ca="1" si="988"/>
        <v>0</v>
      </c>
      <c r="AB942">
        <f t="shared" ca="1" si="989"/>
        <v>1</v>
      </c>
      <c r="AC942" s="24">
        <f t="shared" ca="1" si="990"/>
        <v>0</v>
      </c>
      <c r="AD942" s="24">
        <f t="shared" ca="1" si="991"/>
        <v>-3.9030860514935081E-2</v>
      </c>
    </row>
    <row r="943" spans="3:30" x14ac:dyDescent="0.25">
      <c r="C943" s="6">
        <v>1037</v>
      </c>
      <c r="D943" s="36">
        <v>43482</v>
      </c>
      <c r="E943" s="38">
        <v>23.831</v>
      </c>
      <c r="F943" s="38">
        <v>52.011600101062776</v>
      </c>
      <c r="G943" s="38">
        <v>60.37</v>
      </c>
      <c r="H943" s="38">
        <v>2.7103198875038599</v>
      </c>
      <c r="I943" s="38">
        <v>7.9114798976101373</v>
      </c>
      <c r="J943" s="10">
        <v>1</v>
      </c>
      <c r="K943" s="39">
        <v>0</v>
      </c>
      <c r="L943" s="39">
        <v>0</v>
      </c>
      <c r="M943" s="39">
        <v>0</v>
      </c>
      <c r="N943" s="39">
        <v>0</v>
      </c>
      <c r="O943" s="39">
        <v>0</v>
      </c>
      <c r="P943" s="39">
        <v>0</v>
      </c>
      <c r="Q943" s="39">
        <v>0</v>
      </c>
      <c r="R943" s="39">
        <v>0</v>
      </c>
      <c r="S943" s="39">
        <v>0</v>
      </c>
      <c r="T943" s="39">
        <v>0</v>
      </c>
      <c r="U943" s="29" cm="1">
        <f t="array" aca="1" ref="U943" ca="1">+fair_value_gap(OFFSET(T942,0,0,-1*$J$5,-1*$AA$1),OFFSET(E942,0,0,-1*$J$5,1),F943:T943,0)</f>
        <v>23.630128797350203</v>
      </c>
      <c r="V943" s="9" cm="1">
        <f t="array" aca="1" ref="V943" ca="1">z_score_diff(OFFSET(U943,0,0,$J$5*-1,1),OFFSET(E943,0,0,$J$5*-1,1))</f>
        <v>-0.12594565085512577</v>
      </c>
      <c r="W943" s="9">
        <f t="shared" ca="1" si="986"/>
        <v>2.3408697888749188E-2</v>
      </c>
      <c r="X943" s="17">
        <f t="shared" ca="1" si="981"/>
        <v>-9.0224731402660588E-2</v>
      </c>
      <c r="Y943" s="13">
        <f t="shared" ref="Y943:Z943" ca="1" si="1027">+Y942</f>
        <v>0</v>
      </c>
      <c r="Z943" s="13">
        <f t="shared" ca="1" si="1027"/>
        <v>0</v>
      </c>
      <c r="AA943">
        <f t="shared" ca="1" si="988"/>
        <v>0</v>
      </c>
      <c r="AB943">
        <f t="shared" ca="1" si="989"/>
        <v>1</v>
      </c>
      <c r="AC943" s="24">
        <f t="shared" ca="1" si="990"/>
        <v>0</v>
      </c>
      <c r="AD943" s="24">
        <f t="shared" ca="1" si="991"/>
        <v>-9.0224731402660588E-2</v>
      </c>
    </row>
    <row r="944" spans="3:30" x14ac:dyDescent="0.25">
      <c r="C944" s="6">
        <v>1038</v>
      </c>
      <c r="D944" s="36">
        <v>43483</v>
      </c>
      <c r="E944" s="38">
        <v>23.805</v>
      </c>
      <c r="F944" s="38">
        <v>53.047457950809608</v>
      </c>
      <c r="G944" s="38">
        <v>61.08</v>
      </c>
      <c r="H944" s="38">
        <v>2.7487143110480585</v>
      </c>
      <c r="I944" s="38">
        <v>7.9716125335916077</v>
      </c>
      <c r="J944" s="10">
        <v>1</v>
      </c>
      <c r="K944" s="39">
        <v>0</v>
      </c>
      <c r="L944" s="39">
        <v>0</v>
      </c>
      <c r="M944" s="39">
        <v>0</v>
      </c>
      <c r="N944" s="39">
        <v>0</v>
      </c>
      <c r="O944" s="39">
        <v>0</v>
      </c>
      <c r="P944" s="39">
        <v>0</v>
      </c>
      <c r="Q944" s="39">
        <v>0</v>
      </c>
      <c r="R944" s="39">
        <v>0</v>
      </c>
      <c r="S944" s="39">
        <v>0</v>
      </c>
      <c r="T944" s="39">
        <v>0</v>
      </c>
      <c r="U944" s="29" cm="1">
        <f t="array" aca="1" ref="U944" ca="1">+fair_value_gap(OFFSET(T943,0,0,-1*$J$5,-1*$AA$1),OFFSET(E943,0,0,-1*$J$5,1),F944:T944,0)</f>
        <v>23.948038188574536</v>
      </c>
      <c r="V944" s="9" cm="1">
        <f t="array" aca="1" ref="V944" ca="1">z_score_diff(OFFSET(U944,0,0,$J$5*-1,1),OFFSET(E944,0,0,$J$5*-1,1))</f>
        <v>1.1925550300276644E-2</v>
      </c>
      <c r="W944" s="9">
        <f t="shared" ca="1" si="986"/>
        <v>1.8547621938065324E-2</v>
      </c>
      <c r="X944" s="17">
        <f t="shared" ca="1" si="981"/>
        <v>-0.102959610086159</v>
      </c>
      <c r="Y944" s="13">
        <f t="shared" ref="Y944:Z944" ca="1" si="1028">+Y943</f>
        <v>0</v>
      </c>
      <c r="Z944" s="13">
        <f t="shared" ca="1" si="1028"/>
        <v>0</v>
      </c>
      <c r="AA944">
        <f t="shared" ca="1" si="988"/>
        <v>0</v>
      </c>
      <c r="AB944">
        <f t="shared" ca="1" si="989"/>
        <v>1</v>
      </c>
      <c r="AC944" s="24">
        <f t="shared" ca="1" si="990"/>
        <v>0</v>
      </c>
      <c r="AD944" s="24">
        <f t="shared" ca="1" si="991"/>
        <v>-0.102959610086159</v>
      </c>
    </row>
    <row r="945" spans="3:30" x14ac:dyDescent="0.25">
      <c r="C945" s="6">
        <v>1039</v>
      </c>
      <c r="D945" s="36">
        <v>43486</v>
      </c>
      <c r="E945" s="38">
        <v>23.352</v>
      </c>
      <c r="F945" s="38">
        <v>53.050397877984082</v>
      </c>
      <c r="G945" s="38">
        <v>59.99</v>
      </c>
      <c r="H945" s="38">
        <v>2.7479833348107436</v>
      </c>
      <c r="I945" s="38">
        <v>7.969492611811555</v>
      </c>
      <c r="J945" s="10">
        <v>1</v>
      </c>
      <c r="K945" s="39">
        <v>0</v>
      </c>
      <c r="L945" s="39">
        <v>0</v>
      </c>
      <c r="M945" s="39">
        <v>0</v>
      </c>
      <c r="N945" s="39">
        <v>0</v>
      </c>
      <c r="O945" s="39">
        <v>0</v>
      </c>
      <c r="P945" s="39">
        <v>0</v>
      </c>
      <c r="Q945" s="39">
        <v>0</v>
      </c>
      <c r="R945" s="39">
        <v>0</v>
      </c>
      <c r="S945" s="39">
        <v>0</v>
      </c>
      <c r="T945" s="39">
        <v>0</v>
      </c>
      <c r="U945" s="29" cm="1">
        <f t="array" aca="1" ref="U945" ca="1">+fair_value_gap(OFFSET(T944,0,0,-1*$J$5,-1*$AA$1),OFFSET(E944,0,0,-1*$J$5,1),F945:T945,0)</f>
        <v>23.627914192441853</v>
      </c>
      <c r="V945" s="9" cm="1">
        <f t="array" aca="1" ref="V945" ca="1">z_score_diff(OFFSET(U945,0,0,$J$5*-1,1),OFFSET(E945,0,0,$J$5*-1,1))</f>
        <v>6.4663772450709311E-2</v>
      </c>
      <c r="W945" s="9">
        <f t="shared" ca="1" si="986"/>
        <v>1.373505022576201E-2</v>
      </c>
      <c r="X945" s="17">
        <f t="shared" ca="1" si="981"/>
        <v>-7.9379173150748633E-2</v>
      </c>
      <c r="Y945" s="13">
        <f t="shared" ref="Y945:Z945" ca="1" si="1029">+Y944</f>
        <v>0</v>
      </c>
      <c r="Z945" s="13">
        <f t="shared" ca="1" si="1029"/>
        <v>0</v>
      </c>
      <c r="AA945">
        <f t="shared" ca="1" si="988"/>
        <v>0</v>
      </c>
      <c r="AB945">
        <f t="shared" ca="1" si="989"/>
        <v>1</v>
      </c>
      <c r="AC945" s="24">
        <f t="shared" ca="1" si="990"/>
        <v>0</v>
      </c>
      <c r="AD945" s="24">
        <f t="shared" ca="1" si="991"/>
        <v>-7.9379173150748633E-2</v>
      </c>
    </row>
    <row r="946" spans="3:30" x14ac:dyDescent="0.25">
      <c r="C946" s="6">
        <v>1040</v>
      </c>
      <c r="D946" s="36">
        <v>43487</v>
      </c>
      <c r="E946" s="38">
        <v>23.36</v>
      </c>
      <c r="F946" s="38">
        <v>52.384916965513469</v>
      </c>
      <c r="G946" s="38">
        <v>60.97</v>
      </c>
      <c r="H946" s="38">
        <v>2.7203305683605676</v>
      </c>
      <c r="I946" s="38">
        <v>7.852192813345571</v>
      </c>
      <c r="J946" s="10">
        <v>1</v>
      </c>
      <c r="K946" s="39">
        <v>0</v>
      </c>
      <c r="L946" s="39">
        <v>0</v>
      </c>
      <c r="M946" s="39">
        <v>0</v>
      </c>
      <c r="N946" s="39">
        <v>0</v>
      </c>
      <c r="O946" s="39">
        <v>0</v>
      </c>
      <c r="P946" s="39">
        <v>0</v>
      </c>
      <c r="Q946" s="39">
        <v>0</v>
      </c>
      <c r="R946" s="39">
        <v>0</v>
      </c>
      <c r="S946" s="39">
        <v>0</v>
      </c>
      <c r="T946" s="39">
        <v>0</v>
      </c>
      <c r="U946" s="29" cm="1">
        <f t="array" aca="1" ref="U946" ca="1">+fair_value_gap(OFFSET(T945,0,0,-1*$J$5,-1*$AA$1),OFFSET(E945,0,0,-1*$J$5,1),F946:T946,0)</f>
        <v>23.791620245174993</v>
      </c>
      <c r="V946" s="9" cm="1">
        <f t="array" aca="1" ref="V946" ca="1">z_score_diff(OFFSET(U946,0,0,$J$5*-1,1),OFFSET(E946,0,0,$J$5*-1,1))</f>
        <v>0.12566398175785709</v>
      </c>
      <c r="W946" s="9">
        <f t="shared" ca="1" si="986"/>
        <v>7.5576168455167569E-3</v>
      </c>
      <c r="X946" s="17">
        <f t="shared" ca="1" si="981"/>
        <v>-9.1989500736797028E-2</v>
      </c>
      <c r="Y946" s="13">
        <f t="shared" ref="Y946:Z946" ca="1" si="1030">+Y945</f>
        <v>0</v>
      </c>
      <c r="Z946" s="13">
        <f t="shared" ca="1" si="1030"/>
        <v>0</v>
      </c>
      <c r="AA946">
        <f t="shared" ca="1" si="988"/>
        <v>0</v>
      </c>
      <c r="AB946">
        <f t="shared" ca="1" si="989"/>
        <v>1</v>
      </c>
      <c r="AC946" s="24">
        <f t="shared" ca="1" si="990"/>
        <v>0</v>
      </c>
      <c r="AD946" s="24">
        <f t="shared" ca="1" si="991"/>
        <v>-9.1989500736797028E-2</v>
      </c>
    </row>
    <row r="947" spans="3:30" x14ac:dyDescent="0.25">
      <c r="C947" s="6">
        <v>1041</v>
      </c>
      <c r="D947" s="36">
        <v>43488</v>
      </c>
      <c r="E947" s="38">
        <v>23.673999999999999</v>
      </c>
      <c r="F947" s="38">
        <v>52.067509040325504</v>
      </c>
      <c r="G947" s="38">
        <v>61.25</v>
      </c>
      <c r="H947" s="38">
        <v>2.6995446007831401</v>
      </c>
      <c r="I947" s="38">
        <v>7.8297006075677453</v>
      </c>
      <c r="J947" s="10">
        <v>1</v>
      </c>
      <c r="K947" s="39">
        <v>0</v>
      </c>
      <c r="L947" s="39">
        <v>0</v>
      </c>
      <c r="M947" s="39">
        <v>0</v>
      </c>
      <c r="N947" s="39">
        <v>0</v>
      </c>
      <c r="O947" s="39">
        <v>0</v>
      </c>
      <c r="P947" s="39">
        <v>0</v>
      </c>
      <c r="Q947" s="39">
        <v>0</v>
      </c>
      <c r="R947" s="39">
        <v>0</v>
      </c>
      <c r="S947" s="39">
        <v>0</v>
      </c>
      <c r="T947" s="39">
        <v>0</v>
      </c>
      <c r="U947" s="29" cm="1">
        <f t="array" aca="1" ref="U947" ca="1">+fair_value_gap(OFFSET(T946,0,0,-1*$J$5,-1*$AA$1),OFFSET(E946,0,0,-1*$J$5,1),F947:T947,0)</f>
        <v>23.796721478648827</v>
      </c>
      <c r="V947" s="9" cm="1">
        <f t="array" aca="1" ref="V947" ca="1">z_score_diff(OFFSET(U947,0,0,$J$5*-1,1),OFFSET(E947,0,0,$J$5*-1,1))</f>
        <v>2.4138914406837131E-3</v>
      </c>
      <c r="W947" s="9">
        <f t="shared" ca="1" si="986"/>
        <v>3.5823853184912178E-3</v>
      </c>
      <c r="X947" s="17">
        <f t="shared" ca="1" si="981"/>
        <v>-0.12033126569916029</v>
      </c>
      <c r="Y947" s="13">
        <f t="shared" ref="Y947:Z947" ca="1" si="1031">+Y946</f>
        <v>0</v>
      </c>
      <c r="Z947" s="13">
        <f t="shared" ca="1" si="1031"/>
        <v>0</v>
      </c>
      <c r="AA947">
        <f t="shared" ca="1" si="988"/>
        <v>0</v>
      </c>
      <c r="AB947">
        <f t="shared" ca="1" si="989"/>
        <v>1</v>
      </c>
      <c r="AC947" s="24">
        <f t="shared" ca="1" si="990"/>
        <v>0</v>
      </c>
      <c r="AD947" s="24">
        <f t="shared" ca="1" si="991"/>
        <v>-0.12033126569916029</v>
      </c>
    </row>
    <row r="948" spans="3:30" x14ac:dyDescent="0.25">
      <c r="C948" s="6">
        <v>1042</v>
      </c>
      <c r="D948" s="36">
        <v>43489</v>
      </c>
      <c r="E948" s="38">
        <v>23.056999999999999</v>
      </c>
      <c r="F948" s="38">
        <v>52.488559087536899</v>
      </c>
      <c r="G948" s="38">
        <v>60.43</v>
      </c>
      <c r="H948" s="38">
        <v>2.7533577428977245</v>
      </c>
      <c r="I948" s="38">
        <v>7.8600053799273883</v>
      </c>
      <c r="J948" s="10">
        <v>1</v>
      </c>
      <c r="K948" s="39">
        <v>0</v>
      </c>
      <c r="L948" s="39">
        <v>0</v>
      </c>
      <c r="M948" s="39">
        <v>0</v>
      </c>
      <c r="N948" s="39">
        <v>0</v>
      </c>
      <c r="O948" s="39">
        <v>0</v>
      </c>
      <c r="P948" s="39">
        <v>0</v>
      </c>
      <c r="Q948" s="39">
        <v>0</v>
      </c>
      <c r="R948" s="39">
        <v>0</v>
      </c>
      <c r="S948" s="39">
        <v>0</v>
      </c>
      <c r="T948" s="39">
        <v>0</v>
      </c>
      <c r="U948" s="29" cm="1">
        <f t="array" aca="1" ref="U948" ca="1">+fair_value_gap(OFFSET(T947,0,0,-1*$J$5,-1*$AA$1),OFFSET(E947,0,0,-1*$J$5,1),F948:T948,0)</f>
        <v>23.566822905171499</v>
      </c>
      <c r="V948" s="9" cm="1">
        <f t="array" aca="1" ref="V948" ca="1">z_score_diff(OFFSET(U948,0,0,$J$5*-1,1),OFFSET(E948,0,0,$J$5*-1,1))</f>
        <v>0.15640830849207243</v>
      </c>
      <c r="W948" s="9">
        <f t="shared" ca="1" si="986"/>
        <v>1.0897039965270364E-2</v>
      </c>
      <c r="X948" s="17">
        <f t="shared" ca="1" si="981"/>
        <v>-9.0831349360585054E-2</v>
      </c>
      <c r="Y948" s="13">
        <f t="shared" ref="Y948:Z948" ca="1" si="1032">+Y947</f>
        <v>0</v>
      </c>
      <c r="Z948" s="13">
        <f t="shared" ca="1" si="1032"/>
        <v>0</v>
      </c>
      <c r="AA948">
        <f t="shared" ca="1" si="988"/>
        <v>0</v>
      </c>
      <c r="AB948">
        <f t="shared" ca="1" si="989"/>
        <v>1</v>
      </c>
      <c r="AC948" s="24">
        <f t="shared" ca="1" si="990"/>
        <v>0</v>
      </c>
      <c r="AD948" s="24">
        <f t="shared" ca="1" si="991"/>
        <v>-9.0831349360585054E-2</v>
      </c>
    </row>
    <row r="949" spans="3:30" x14ac:dyDescent="0.25">
      <c r="C949" s="6">
        <v>1043</v>
      </c>
      <c r="D949" s="36">
        <v>43490</v>
      </c>
      <c r="E949" s="38">
        <v>23.077000000000002</v>
      </c>
      <c r="F949" s="38">
        <v>52.222668424685509</v>
      </c>
      <c r="G949" s="38">
        <v>59.68</v>
      </c>
      <c r="H949" s="38">
        <v>2.749946724557899</v>
      </c>
      <c r="I949" s="38">
        <v>7.7684509199459022</v>
      </c>
      <c r="J949" s="10">
        <v>1</v>
      </c>
      <c r="K949" s="39">
        <v>0</v>
      </c>
      <c r="L949" s="39">
        <v>0</v>
      </c>
      <c r="M949" s="39">
        <v>0</v>
      </c>
      <c r="N949" s="39">
        <v>0</v>
      </c>
      <c r="O949" s="39">
        <v>0</v>
      </c>
      <c r="P949" s="39">
        <v>0</v>
      </c>
      <c r="Q949" s="39">
        <v>0</v>
      </c>
      <c r="R949" s="39">
        <v>0</v>
      </c>
      <c r="S949" s="39">
        <v>0</v>
      </c>
      <c r="T949" s="39">
        <v>0</v>
      </c>
      <c r="U949" s="29" cm="1">
        <f t="array" aca="1" ref="U949" ca="1">+fair_value_gap(OFFSET(T948,0,0,-1*$J$5,-1*$AA$1),OFFSET(E948,0,0,-1*$J$5,1),F949:T949,0)</f>
        <v>23.27431372380584</v>
      </c>
      <c r="V949" s="9" cm="1">
        <f t="array" aca="1" ref="V949" ca="1">z_score_diff(OFFSET(U949,0,0,$J$5*-1,1),OFFSET(E949,0,0,$J$5*-1,1))</f>
        <v>3.2290294149579291E-2</v>
      </c>
      <c r="W949" s="9">
        <f t="shared" ca="1" si="986"/>
        <v>1.4811173114118803E-2</v>
      </c>
      <c r="X949" s="17">
        <f t="shared" ca="1" si="981"/>
        <v>-0.10119477389124151</v>
      </c>
      <c r="Y949" s="13">
        <f t="shared" ref="Y949:Z949" ca="1" si="1033">+Y948</f>
        <v>0</v>
      </c>
      <c r="Z949" s="13">
        <f t="shared" ca="1" si="1033"/>
        <v>0</v>
      </c>
      <c r="AA949">
        <f t="shared" ca="1" si="988"/>
        <v>0</v>
      </c>
      <c r="AB949">
        <f t="shared" ca="1" si="989"/>
        <v>1</v>
      </c>
      <c r="AC949" s="24">
        <f t="shared" ca="1" si="990"/>
        <v>0</v>
      </c>
      <c r="AD949" s="24">
        <f t="shared" ca="1" si="991"/>
        <v>-0.10119477389124151</v>
      </c>
    </row>
    <row r="950" spans="3:30" x14ac:dyDescent="0.25">
      <c r="C950" s="6">
        <v>1044</v>
      </c>
      <c r="D950" s="36">
        <v>43493</v>
      </c>
      <c r="E950" s="38">
        <v>22.843</v>
      </c>
      <c r="F950" s="38">
        <v>50.760732596259686</v>
      </c>
      <c r="G950" s="38">
        <v>59.1</v>
      </c>
      <c r="H950" s="38">
        <v>2.7118747551426408</v>
      </c>
      <c r="I950" s="38">
        <v>7.6743172401628836</v>
      </c>
      <c r="J950" s="10">
        <v>1</v>
      </c>
      <c r="K950" s="39">
        <v>0</v>
      </c>
      <c r="L950" s="39">
        <v>0</v>
      </c>
      <c r="M950" s="39">
        <v>0</v>
      </c>
      <c r="N950" s="39">
        <v>0</v>
      </c>
      <c r="O950" s="39">
        <v>0</v>
      </c>
      <c r="P950" s="39">
        <v>0</v>
      </c>
      <c r="Q950" s="39">
        <v>0</v>
      </c>
      <c r="R950" s="39">
        <v>0</v>
      </c>
      <c r="S950" s="39">
        <v>0</v>
      </c>
      <c r="T950" s="39">
        <v>0</v>
      </c>
      <c r="U950" s="29" cm="1">
        <f t="array" aca="1" ref="U950" ca="1">+fair_value_gap(OFFSET(T949,0,0,-1*$J$5,-1*$AA$1),OFFSET(E949,0,0,-1*$J$5,1),F950:T950,0)</f>
        <v>22.950391013607316</v>
      </c>
      <c r="V950" s="9" cm="1">
        <f t="array" aca="1" ref="V950" ca="1">z_score_diff(OFFSET(U950,0,0,$J$5*-1,1),OFFSET(E950,0,0,$J$5*-1,1))</f>
        <v>-2.6788862182784978E-3</v>
      </c>
      <c r="W950" s="9">
        <f t="shared" ca="1" si="986"/>
        <v>1.8382804167423075E-2</v>
      </c>
      <c r="X950" s="17">
        <f t="shared" ca="1" si="981"/>
        <v>-0.10466518818163889</v>
      </c>
      <c r="Y950" s="13">
        <f t="shared" ref="Y950:Z950" ca="1" si="1034">+Y949</f>
        <v>0</v>
      </c>
      <c r="Z950" s="13">
        <f t="shared" ca="1" si="1034"/>
        <v>0</v>
      </c>
      <c r="AA950">
        <f t="shared" ca="1" si="988"/>
        <v>0</v>
      </c>
      <c r="AB950">
        <f t="shared" ca="1" si="989"/>
        <v>1</v>
      </c>
      <c r="AC950" s="24">
        <f t="shared" ca="1" si="990"/>
        <v>0</v>
      </c>
      <c r="AD950" s="24">
        <f t="shared" ca="1" si="991"/>
        <v>-0.10466518818163889</v>
      </c>
    </row>
    <row r="951" spans="3:30" x14ac:dyDescent="0.25">
      <c r="C951" s="6">
        <v>1045</v>
      </c>
      <c r="D951" s="36">
        <v>43494</v>
      </c>
      <c r="E951" s="38">
        <v>22.954000000000001</v>
      </c>
      <c r="F951" s="38">
        <v>51.756132694996396</v>
      </c>
      <c r="G951" s="38">
        <v>59.2</v>
      </c>
      <c r="H951" s="38">
        <v>2.7327034698978943</v>
      </c>
      <c r="I951" s="38">
        <v>7.7108842096343677</v>
      </c>
      <c r="J951" s="10">
        <v>1</v>
      </c>
      <c r="K951" s="39">
        <v>0</v>
      </c>
      <c r="L951" s="39">
        <v>0</v>
      </c>
      <c r="M951" s="39">
        <v>0</v>
      </c>
      <c r="N951" s="39">
        <v>0</v>
      </c>
      <c r="O951" s="39">
        <v>0</v>
      </c>
      <c r="P951" s="39">
        <v>0</v>
      </c>
      <c r="Q951" s="39">
        <v>0</v>
      </c>
      <c r="R951" s="39">
        <v>0</v>
      </c>
      <c r="S951" s="39">
        <v>0</v>
      </c>
      <c r="T951" s="39">
        <v>0</v>
      </c>
      <c r="U951" s="29" cm="1">
        <f t="array" aca="1" ref="U951" ca="1">+fair_value_gap(OFFSET(T950,0,0,-1*$J$5,-1*$AA$1),OFFSET(E950,0,0,-1*$J$5,1),F951:T951,0)</f>
        <v>23.065442109573372</v>
      </c>
      <c r="V951" s="9" cm="1">
        <f t="array" aca="1" ref="V951" ca="1">z_score_diff(OFFSET(U951,0,0,$J$5*-1,1),OFFSET(E951,0,0,$J$5*-1,1))</f>
        <v>-1.2955591658772025E-3</v>
      </c>
      <c r="W951" s="9">
        <f t="shared" ca="1" si="986"/>
        <v>2.1569496755981129E-2</v>
      </c>
      <c r="X951" s="17">
        <f t="shared" ca="1" si="981"/>
        <v>-0.12533741970592852</v>
      </c>
      <c r="Y951" s="13">
        <f t="shared" ref="Y951:Z951" ca="1" si="1035">+Y950</f>
        <v>0</v>
      </c>
      <c r="Z951" s="13">
        <f t="shared" ca="1" si="1035"/>
        <v>0</v>
      </c>
      <c r="AA951">
        <f t="shared" ca="1" si="988"/>
        <v>0</v>
      </c>
      <c r="AB951">
        <f t="shared" ca="1" si="989"/>
        <v>1</v>
      </c>
      <c r="AC951" s="24">
        <f t="shared" ca="1" si="990"/>
        <v>0</v>
      </c>
      <c r="AD951" s="24">
        <f t="shared" ca="1" si="991"/>
        <v>-0.12533741970592852</v>
      </c>
    </row>
    <row r="952" spans="3:30" x14ac:dyDescent="0.25">
      <c r="C952" s="6">
        <v>1046</v>
      </c>
      <c r="D952" s="36">
        <v>43495</v>
      </c>
      <c r="E952" s="38">
        <v>22.72</v>
      </c>
      <c r="F952" s="38">
        <v>51.71949373159736</v>
      </c>
      <c r="G952" s="38">
        <v>59.11</v>
      </c>
      <c r="H952" s="38">
        <v>2.6438160795694912</v>
      </c>
      <c r="I952" s="38">
        <v>7.5911550799520047</v>
      </c>
      <c r="J952" s="10">
        <v>1</v>
      </c>
      <c r="K952" s="39">
        <v>0</v>
      </c>
      <c r="L952" s="39">
        <v>0</v>
      </c>
      <c r="M952" s="39">
        <v>0</v>
      </c>
      <c r="N952" s="39">
        <v>0</v>
      </c>
      <c r="O952" s="39">
        <v>0</v>
      </c>
      <c r="P952" s="39">
        <v>0</v>
      </c>
      <c r="Q952" s="39">
        <v>0</v>
      </c>
      <c r="R952" s="39">
        <v>0</v>
      </c>
      <c r="S952" s="39">
        <v>0</v>
      </c>
      <c r="T952" s="39">
        <v>0</v>
      </c>
      <c r="U952" s="29" cm="1">
        <f t="array" aca="1" ref="U952" ca="1">+fair_value_gap(OFFSET(T951,0,0,-1*$J$5,-1*$AA$1),OFFSET(E951,0,0,-1*$J$5,1),F952:T952,0)</f>
        <v>23.02052268614986</v>
      </c>
      <c r="V952" s="9" cm="1">
        <f t="array" aca="1" ref="V952" ca="1">z_score_diff(OFFSET(U952,0,0,$J$5*-1,1),OFFSET(E952,0,0,$J$5*-1,1))</f>
        <v>7.4013988892867588E-2</v>
      </c>
      <c r="W952" s="9">
        <f t="shared" ca="1" si="986"/>
        <v>2.9092290725797151E-2</v>
      </c>
      <c r="X952" s="17">
        <f t="shared" ca="1" si="981"/>
        <v>-0.12981596936163511</v>
      </c>
      <c r="Y952" s="13">
        <f t="shared" ref="Y952:Z952" ca="1" si="1036">+Y951</f>
        <v>0</v>
      </c>
      <c r="Z952" s="13">
        <f t="shared" ca="1" si="1036"/>
        <v>0</v>
      </c>
      <c r="AA952">
        <f t="shared" ca="1" si="988"/>
        <v>0</v>
      </c>
      <c r="AB952">
        <f t="shared" ca="1" si="989"/>
        <v>1</v>
      </c>
      <c r="AC952" s="24">
        <f t="shared" ca="1" si="990"/>
        <v>0</v>
      </c>
      <c r="AD952" s="24">
        <f t="shared" ca="1" si="991"/>
        <v>-0.12981596936163511</v>
      </c>
    </row>
    <row r="953" spans="3:30" x14ac:dyDescent="0.25">
      <c r="C953" s="6">
        <v>1047</v>
      </c>
      <c r="D953" s="36">
        <v>43496</v>
      </c>
      <c r="E953" s="38">
        <v>22.626999999999999</v>
      </c>
      <c r="F953" s="38">
        <v>51.300510718308786</v>
      </c>
      <c r="G953" s="38">
        <v>58.94</v>
      </c>
      <c r="H953" s="38">
        <v>2.6137258721594998</v>
      </c>
      <c r="I953" s="38">
        <v>7.5379650882111306</v>
      </c>
      <c r="J953" s="10">
        <v>1</v>
      </c>
      <c r="K953" s="39">
        <v>0</v>
      </c>
      <c r="L953" s="39">
        <v>0</v>
      </c>
      <c r="M953" s="39">
        <v>0</v>
      </c>
      <c r="N953" s="39">
        <v>0</v>
      </c>
      <c r="O953" s="39">
        <v>0</v>
      </c>
      <c r="P953" s="39">
        <v>0</v>
      </c>
      <c r="Q953" s="39">
        <v>0</v>
      </c>
      <c r="R953" s="39">
        <v>0</v>
      </c>
      <c r="S953" s="39">
        <v>0</v>
      </c>
      <c r="T953" s="39">
        <v>0</v>
      </c>
      <c r="U953" s="29" cm="1">
        <f t="array" aca="1" ref="U953" ca="1">+fair_value_gap(OFFSET(T952,0,0,-1*$J$5,-1*$AA$1),OFFSET(E952,0,0,-1*$J$5,1),F953:T953,0)</f>
        <v>22.912588527680587</v>
      </c>
      <c r="V953" s="9" cm="1">
        <f t="array" aca="1" ref="V953" ca="1">z_score_diff(OFFSET(U953,0,0,$J$5*-1,1),OFFSET(E953,0,0,$J$5*-1,1))</f>
        <v>6.8033318125974351E-2</v>
      </c>
      <c r="W953" s="9">
        <f t="shared" ca="1" si="986"/>
        <v>3.6297060378671066E-2</v>
      </c>
      <c r="X953" s="17">
        <f t="shared" ca="1" si="981"/>
        <v>-0.138576010434972</v>
      </c>
      <c r="Y953" s="13">
        <f t="shared" ref="Y953:Z953" ca="1" si="1037">+Y952</f>
        <v>0</v>
      </c>
      <c r="Z953" s="13">
        <f t="shared" ca="1" si="1037"/>
        <v>0</v>
      </c>
      <c r="AA953">
        <f t="shared" ca="1" si="988"/>
        <v>0</v>
      </c>
      <c r="AB953">
        <f t="shared" ca="1" si="989"/>
        <v>1</v>
      </c>
      <c r="AC953" s="24">
        <f t="shared" ca="1" si="990"/>
        <v>0</v>
      </c>
      <c r="AD953" s="24">
        <f t="shared" ca="1" si="991"/>
        <v>-0.138576010434972</v>
      </c>
    </row>
    <row r="954" spans="3:30" x14ac:dyDescent="0.25">
      <c r="C954" s="6">
        <v>1048</v>
      </c>
      <c r="D954" s="36">
        <v>43497</v>
      </c>
      <c r="E954" s="38">
        <v>22.451000000000001</v>
      </c>
      <c r="F954" s="38">
        <v>52.609895803813053</v>
      </c>
      <c r="G954" s="38">
        <v>59.05</v>
      </c>
      <c r="H954" s="38">
        <v>2.5674711973721278</v>
      </c>
      <c r="I954" s="38">
        <v>7.5205334249219824</v>
      </c>
      <c r="J954" s="10">
        <v>0</v>
      </c>
      <c r="K954" s="39">
        <v>1</v>
      </c>
      <c r="L954" s="39">
        <v>0</v>
      </c>
      <c r="M954" s="39">
        <v>0</v>
      </c>
      <c r="N954" s="39">
        <v>0</v>
      </c>
      <c r="O954" s="39">
        <v>0</v>
      </c>
      <c r="P954" s="39">
        <v>0</v>
      </c>
      <c r="Q954" s="39">
        <v>0</v>
      </c>
      <c r="R954" s="39">
        <v>0</v>
      </c>
      <c r="S954" s="39">
        <v>0</v>
      </c>
      <c r="T954" s="39">
        <v>0</v>
      </c>
      <c r="U954" s="29" cm="1">
        <f t="array" aca="1" ref="U954" ca="1">+fair_value_gap(OFFSET(T953,0,0,-1*$J$5,-1*$AA$1),OFFSET(E953,0,0,-1*$J$5,1),F954:T954,0)</f>
        <v>23.684848005247318</v>
      </c>
      <c r="V954" s="9" cm="1">
        <f t="array" aca="1" ref="V954" ca="1">z_score_diff(OFFSET(U954,0,0,$J$5*-1,1),OFFSET(E954,0,0,$J$5*-1,1))</f>
        <v>0.44345977743502374</v>
      </c>
      <c r="W954" s="9">
        <f t="shared" ca="1" si="986"/>
        <v>5.6369354973941126E-2</v>
      </c>
      <c r="X954" s="17">
        <f t="shared" ca="1" si="981"/>
        <v>-0.15913688509581578</v>
      </c>
      <c r="Y954" s="13">
        <f t="shared" ref="Y954:Z954" ca="1" si="1038">+Y953</f>
        <v>0</v>
      </c>
      <c r="Z954" s="13">
        <f t="shared" ca="1" si="1038"/>
        <v>0</v>
      </c>
      <c r="AA954">
        <f t="shared" ca="1" si="988"/>
        <v>0</v>
      </c>
      <c r="AB954">
        <f t="shared" ca="1" si="989"/>
        <v>1</v>
      </c>
      <c r="AC954" s="24">
        <f t="shared" ca="1" si="990"/>
        <v>0</v>
      </c>
      <c r="AD954" s="24">
        <f t="shared" ca="1" si="991"/>
        <v>-0.15913688509581578</v>
      </c>
    </row>
    <row r="955" spans="3:30" x14ac:dyDescent="0.25">
      <c r="C955" s="6">
        <v>1049</v>
      </c>
      <c r="D955" s="36">
        <v>43500</v>
      </c>
      <c r="E955" s="38">
        <v>22.46</v>
      </c>
      <c r="F955" s="38">
        <v>52.584612073020153</v>
      </c>
      <c r="G955" s="38">
        <v>58.13</v>
      </c>
      <c r="H955" s="38">
        <v>2.544061328657639</v>
      </c>
      <c r="I955" s="38">
        <v>7.5762519247832421</v>
      </c>
      <c r="J955" s="10">
        <v>0</v>
      </c>
      <c r="K955" s="39">
        <v>1</v>
      </c>
      <c r="L955" s="39">
        <v>0</v>
      </c>
      <c r="M955" s="39">
        <v>0</v>
      </c>
      <c r="N955" s="39">
        <v>0</v>
      </c>
      <c r="O955" s="39">
        <v>0</v>
      </c>
      <c r="P955" s="39">
        <v>0</v>
      </c>
      <c r="Q955" s="39">
        <v>0</v>
      </c>
      <c r="R955" s="39">
        <v>0</v>
      </c>
      <c r="S955" s="39">
        <v>0</v>
      </c>
      <c r="T955" s="39">
        <v>0</v>
      </c>
      <c r="U955" s="29" cm="1">
        <f t="array" aca="1" ref="U955" ca="1">+fair_value_gap(OFFSET(T954,0,0,-1*$J$5,-1*$AA$1),OFFSET(E954,0,0,-1*$J$5,1),F955:T955,0)</f>
        <v>23.122895885011012</v>
      </c>
      <c r="V955" s="9" cm="1">
        <f t="array" aca="1" ref="V955" ca="1">z_score_diff(OFFSET(U955,0,0,$J$5*-1,1),OFFSET(E955,0,0,$J$5*-1,1))</f>
        <v>0.21516859250955911</v>
      </c>
      <c r="W955" s="9">
        <f t="shared" ca="1" si="986"/>
        <v>7.0000686014547092E-2</v>
      </c>
      <c r="X955" s="17">
        <f t="shared" ca="1" si="981"/>
        <v>-0.17458663318860418</v>
      </c>
      <c r="Y955" s="13">
        <f t="shared" ref="Y955:Z955" ca="1" si="1039">+Y954</f>
        <v>0</v>
      </c>
      <c r="Z955" s="13">
        <f t="shared" ca="1" si="1039"/>
        <v>0</v>
      </c>
      <c r="AA955">
        <f t="shared" ca="1" si="988"/>
        <v>0</v>
      </c>
      <c r="AB955">
        <f t="shared" ca="1" si="989"/>
        <v>1</v>
      </c>
      <c r="AC955" s="24">
        <f t="shared" ca="1" si="990"/>
        <v>0</v>
      </c>
      <c r="AD955" s="24">
        <f t="shared" ca="1" si="991"/>
        <v>-0.17458663318860418</v>
      </c>
    </row>
    <row r="956" spans="3:30" x14ac:dyDescent="0.25">
      <c r="C956" s="6">
        <v>1050</v>
      </c>
      <c r="D956" s="36">
        <v>43501</v>
      </c>
      <c r="E956" s="38">
        <v>22.283999999999999</v>
      </c>
      <c r="F956" s="38">
        <v>52.456821255972976</v>
      </c>
      <c r="G956" s="38">
        <v>58.64</v>
      </c>
      <c r="H956" s="38">
        <v>2.5642158495388148</v>
      </c>
      <c r="I956" s="38">
        <v>7.6467669469348358</v>
      </c>
      <c r="J956" s="10">
        <v>0</v>
      </c>
      <c r="K956" s="39">
        <v>1</v>
      </c>
      <c r="L956" s="39">
        <v>0</v>
      </c>
      <c r="M956" s="39">
        <v>0</v>
      </c>
      <c r="N956" s="39">
        <v>0</v>
      </c>
      <c r="O956" s="39">
        <v>0</v>
      </c>
      <c r="P956" s="39">
        <v>0</v>
      </c>
      <c r="Q956" s="39">
        <v>0</v>
      </c>
      <c r="R956" s="39">
        <v>0</v>
      </c>
      <c r="S956" s="39">
        <v>0</v>
      </c>
      <c r="T956" s="39">
        <v>0</v>
      </c>
      <c r="U956" s="29" cm="1">
        <f t="array" aca="1" ref="U956" ca="1">+fair_value_gap(OFFSET(T955,0,0,-1*$J$5,-1*$AA$1),OFFSET(E955,0,0,-1*$J$5,1),F956:T956,0)</f>
        <v>23.139205510059419</v>
      </c>
      <c r="V956" s="9" cm="1">
        <f t="array" aca="1" ref="V956" ca="1">z_score_diff(OFFSET(U956,0,0,$J$5*-1,1),OFFSET(E956,0,0,$J$5*-1,1))</f>
        <v>0.29133052780247093</v>
      </c>
      <c r="W956" s="9">
        <f t="shared" ca="1" si="986"/>
        <v>8.9267749837297378E-2</v>
      </c>
      <c r="X956" s="17">
        <f t="shared" ca="1" si="981"/>
        <v>-0.16969296430368377</v>
      </c>
      <c r="Y956" s="13">
        <f t="shared" ref="Y956:Z956" ca="1" si="1040">+Y955</f>
        <v>0</v>
      </c>
      <c r="Z956" s="13">
        <f t="shared" ca="1" si="1040"/>
        <v>0</v>
      </c>
      <c r="AA956">
        <f t="shared" ca="1" si="988"/>
        <v>0</v>
      </c>
      <c r="AB956">
        <f t="shared" ca="1" si="989"/>
        <v>1</v>
      </c>
      <c r="AC956" s="24">
        <f t="shared" ca="1" si="990"/>
        <v>0</v>
      </c>
      <c r="AD956" s="24">
        <f t="shared" ca="1" si="991"/>
        <v>-0.16969296430368377</v>
      </c>
    </row>
    <row r="957" spans="3:30" x14ac:dyDescent="0.25">
      <c r="C957" s="6">
        <v>1051</v>
      </c>
      <c r="D957" s="36">
        <v>43502</v>
      </c>
      <c r="E957" s="38">
        <v>22.263000000000002</v>
      </c>
      <c r="F957" s="38">
        <v>53.106142374592267</v>
      </c>
      <c r="G957" s="38">
        <v>59.25</v>
      </c>
      <c r="H957" s="38">
        <v>2.5790027401371263</v>
      </c>
      <c r="I957" s="38">
        <v>7.6730660037137648</v>
      </c>
      <c r="J957" s="10">
        <v>0</v>
      </c>
      <c r="K957" s="39">
        <v>1</v>
      </c>
      <c r="L957" s="39">
        <v>0</v>
      </c>
      <c r="M957" s="39">
        <v>0</v>
      </c>
      <c r="N957" s="39">
        <v>0</v>
      </c>
      <c r="O957" s="39">
        <v>0</v>
      </c>
      <c r="P957" s="39">
        <v>0</v>
      </c>
      <c r="Q957" s="39">
        <v>0</v>
      </c>
      <c r="R957" s="39">
        <v>0</v>
      </c>
      <c r="S957" s="39">
        <v>0</v>
      </c>
      <c r="T957" s="39">
        <v>0</v>
      </c>
      <c r="U957" s="29" cm="1">
        <f t="array" aca="1" ref="U957" ca="1">+fair_value_gap(OFFSET(T956,0,0,-1*$J$5,-1*$AA$1),OFFSET(E956,0,0,-1*$J$5,1),F957:T957,0)</f>
        <v>23.227314400085135</v>
      </c>
      <c r="V957" s="9" cm="1">
        <f t="array" aca="1" ref="V957" ca="1">z_score_diff(OFFSET(U957,0,0,$J$5*-1,1),OFFSET(E957,0,0,$J$5*-1,1))</f>
        <v>0.33363425983965067</v>
      </c>
      <c r="W957" s="9">
        <f t="shared" ca="1" si="986"/>
        <v>0.1047331755056199</v>
      </c>
      <c r="X957" s="17">
        <f t="shared" ca="1" si="981"/>
        <v>-0.14931876040278638</v>
      </c>
      <c r="Y957" s="13">
        <f t="shared" ref="Y957:Z957" ca="1" si="1041">+Y956</f>
        <v>0</v>
      </c>
      <c r="Z957" s="13">
        <f t="shared" ca="1" si="1041"/>
        <v>0</v>
      </c>
      <c r="AA957">
        <f t="shared" ca="1" si="988"/>
        <v>0</v>
      </c>
      <c r="AB957">
        <f t="shared" ca="1" si="989"/>
        <v>1</v>
      </c>
      <c r="AC957" s="24">
        <f t="shared" ca="1" si="990"/>
        <v>0</v>
      </c>
      <c r="AD957" s="24">
        <f t="shared" ca="1" si="991"/>
        <v>-0.14931876040278638</v>
      </c>
    </row>
    <row r="958" spans="3:30" x14ac:dyDescent="0.25">
      <c r="C958" s="6">
        <v>1052</v>
      </c>
      <c r="D958" s="36">
        <v>43503</v>
      </c>
      <c r="E958" s="38">
        <v>22.164000000000001</v>
      </c>
      <c r="F958" s="38">
        <v>52.292073195226877</v>
      </c>
      <c r="G958" s="38">
        <v>58.67</v>
      </c>
      <c r="H958" s="38">
        <v>2.5445162128504477</v>
      </c>
      <c r="I958" s="38">
        <v>7.6497884128355755</v>
      </c>
      <c r="J958" s="10">
        <v>0</v>
      </c>
      <c r="K958" s="39">
        <v>1</v>
      </c>
      <c r="L958" s="39">
        <v>0</v>
      </c>
      <c r="M958" s="39">
        <v>0</v>
      </c>
      <c r="N958" s="39">
        <v>0</v>
      </c>
      <c r="O958" s="39">
        <v>0</v>
      </c>
      <c r="P958" s="39">
        <v>0</v>
      </c>
      <c r="Q958" s="39">
        <v>0</v>
      </c>
      <c r="R958" s="39">
        <v>0</v>
      </c>
      <c r="S958" s="39">
        <v>0</v>
      </c>
      <c r="T958" s="39">
        <v>0</v>
      </c>
      <c r="U958" s="29" cm="1">
        <f t="array" aca="1" ref="U958" ca="1">+fair_value_gap(OFFSET(T957,0,0,-1*$J$5,-1*$AA$1),OFFSET(E957,0,0,-1*$J$5,1),F958:T958,0)</f>
        <v>22.830860232471956</v>
      </c>
      <c r="V958" s="9" cm="1">
        <f t="array" aca="1" ref="V958" ca="1">z_score_diff(OFFSET(U958,0,0,$J$5*-1,1),OFFSET(E958,0,0,$J$5*-1,1))</f>
        <v>0.21427548339487384</v>
      </c>
      <c r="W958" s="9">
        <f t="shared" ca="1" si="986"/>
        <v>0.11332754165860695</v>
      </c>
      <c r="X958" s="17">
        <f t="shared" ca="1" si="981"/>
        <v>-0.16068403740596204</v>
      </c>
      <c r="Y958" s="13">
        <f t="shared" ref="Y958:Z958" ca="1" si="1042">+Y957</f>
        <v>0</v>
      </c>
      <c r="Z958" s="13">
        <f t="shared" ca="1" si="1042"/>
        <v>0</v>
      </c>
      <c r="AA958">
        <f t="shared" ca="1" si="988"/>
        <v>0</v>
      </c>
      <c r="AB958">
        <f t="shared" ca="1" si="989"/>
        <v>1</v>
      </c>
      <c r="AC958" s="24">
        <f t="shared" ca="1" si="990"/>
        <v>0</v>
      </c>
      <c r="AD958" s="24">
        <f t="shared" ca="1" si="991"/>
        <v>-0.16068403740596204</v>
      </c>
    </row>
    <row r="959" spans="3:30" x14ac:dyDescent="0.25">
      <c r="C959" s="6">
        <v>1053</v>
      </c>
      <c r="D959" s="36">
        <v>43504</v>
      </c>
      <c r="E959" s="38">
        <v>21.757999999999999</v>
      </c>
      <c r="F959" s="38">
        <v>52.527421900355471</v>
      </c>
      <c r="G959" s="38">
        <v>57.51</v>
      </c>
      <c r="H959" s="38">
        <v>2.5767038229241863</v>
      </c>
      <c r="I959" s="38">
        <v>7.4843441051370529</v>
      </c>
      <c r="J959" s="10">
        <v>0</v>
      </c>
      <c r="K959" s="39">
        <v>1</v>
      </c>
      <c r="L959" s="39">
        <v>0</v>
      </c>
      <c r="M959" s="39">
        <v>0</v>
      </c>
      <c r="N959" s="39">
        <v>0</v>
      </c>
      <c r="O959" s="39">
        <v>0</v>
      </c>
      <c r="P959" s="39">
        <v>0</v>
      </c>
      <c r="Q959" s="39">
        <v>0</v>
      </c>
      <c r="R959" s="39">
        <v>0</v>
      </c>
      <c r="S959" s="39">
        <v>0</v>
      </c>
      <c r="T959" s="39">
        <v>0</v>
      </c>
      <c r="U959" s="29" cm="1">
        <f t="array" aca="1" ref="U959" ca="1">+fair_value_gap(OFFSET(T958,0,0,-1*$J$5,-1*$AA$1),OFFSET(E958,0,0,-1*$J$5,1),F959:T959,0)</f>
        <v>22.448062494742942</v>
      </c>
      <c r="V959" s="9" cm="1">
        <f t="array" aca="1" ref="V959" ca="1">z_score_diff(OFFSET(U959,0,0,$J$5*-1,1),OFFSET(E959,0,0,$J$5*-1,1))</f>
        <v>0.22455459742546807</v>
      </c>
      <c r="W959" s="9">
        <f t="shared" ca="1" si="986"/>
        <v>0.11557934386548124</v>
      </c>
      <c r="X959" s="17">
        <f t="shared" ca="1" si="981"/>
        <v>-0.1384942472972957</v>
      </c>
      <c r="Y959" s="13">
        <f t="shared" ref="Y959:Z959" ca="1" si="1043">+Y958</f>
        <v>0</v>
      </c>
      <c r="Z959" s="13">
        <f t="shared" ca="1" si="1043"/>
        <v>0</v>
      </c>
      <c r="AA959">
        <f t="shared" ca="1" si="988"/>
        <v>0</v>
      </c>
      <c r="AB959">
        <f t="shared" ca="1" si="989"/>
        <v>1</v>
      </c>
      <c r="AC959" s="24">
        <f t="shared" ca="1" si="990"/>
        <v>0</v>
      </c>
      <c r="AD959" s="24">
        <f t="shared" ca="1" si="991"/>
        <v>-0.1384942472972957</v>
      </c>
    </row>
    <row r="960" spans="3:30" x14ac:dyDescent="0.25">
      <c r="C960" s="6">
        <v>1054</v>
      </c>
      <c r="D960" s="36">
        <v>43507</v>
      </c>
      <c r="E960" s="38">
        <v>21.745999999999999</v>
      </c>
      <c r="F960" s="38">
        <v>52.457020833225876</v>
      </c>
      <c r="G960" s="38">
        <v>56.81</v>
      </c>
      <c r="H960" s="38">
        <v>2.6090963328226899</v>
      </c>
      <c r="I960" s="38">
        <v>7.5564931682080534</v>
      </c>
      <c r="J960" s="10">
        <v>0</v>
      </c>
      <c r="K960" s="39">
        <v>1</v>
      </c>
      <c r="L960" s="39">
        <v>0</v>
      </c>
      <c r="M960" s="39">
        <v>0</v>
      </c>
      <c r="N960" s="39">
        <v>0</v>
      </c>
      <c r="O960" s="39">
        <v>0</v>
      </c>
      <c r="P960" s="39">
        <v>0</v>
      </c>
      <c r="Q960" s="39">
        <v>0</v>
      </c>
      <c r="R960" s="39">
        <v>0</v>
      </c>
      <c r="S960" s="39">
        <v>0</v>
      </c>
      <c r="T960" s="39">
        <v>0</v>
      </c>
      <c r="U960" s="29" cm="1">
        <f t="array" aca="1" ref="U960" ca="1">+fair_value_gap(OFFSET(T959,0,0,-1*$J$5,-1*$AA$1),OFFSET(E959,0,0,-1*$J$5,1),F960:T960,0)</f>
        <v>22.223347088562726</v>
      </c>
      <c r="V960" s="9" cm="1">
        <f t="array" aca="1" ref="V960" ca="1">z_score_diff(OFFSET(U960,0,0,$J$5*-1,1),OFFSET(E960,0,0,$J$5*-1,1))</f>
        <v>0.13827678270049648</v>
      </c>
      <c r="W960" s="9">
        <f t="shared" ca="1" si="986"/>
        <v>0.11429697040582616</v>
      </c>
      <c r="X960" s="17">
        <f t="shared" ca="1" si="981"/>
        <v>-0.15021136307990618</v>
      </c>
      <c r="Y960" s="13">
        <f t="shared" ref="Y960:Z960" ca="1" si="1044">+Y959</f>
        <v>0</v>
      </c>
      <c r="Z960" s="13">
        <f t="shared" ca="1" si="1044"/>
        <v>0</v>
      </c>
      <c r="AA960">
        <f t="shared" ca="1" si="988"/>
        <v>0</v>
      </c>
      <c r="AB960">
        <f t="shared" ca="1" si="989"/>
        <v>1</v>
      </c>
      <c r="AC960" s="24">
        <f t="shared" ca="1" si="990"/>
        <v>0</v>
      </c>
      <c r="AD960" s="24">
        <f t="shared" ca="1" si="991"/>
        <v>-0.15021136307990618</v>
      </c>
    </row>
    <row r="961" spans="3:30" x14ac:dyDescent="0.25">
      <c r="C961" s="6">
        <v>1055</v>
      </c>
      <c r="D961" s="36">
        <v>43508</v>
      </c>
      <c r="E961" s="38">
        <v>21.535</v>
      </c>
      <c r="F961" s="38">
        <v>52.727700434122454</v>
      </c>
      <c r="G961" s="38">
        <v>56.33</v>
      </c>
      <c r="H961" s="38">
        <v>2.627830884711619</v>
      </c>
      <c r="I961" s="38">
        <v>7.4634845277047113</v>
      </c>
      <c r="J961" s="10">
        <v>0</v>
      </c>
      <c r="K961" s="39">
        <v>1</v>
      </c>
      <c r="L961" s="39">
        <v>0</v>
      </c>
      <c r="M961" s="39">
        <v>0</v>
      </c>
      <c r="N961" s="39">
        <v>0</v>
      </c>
      <c r="O961" s="39">
        <v>0</v>
      </c>
      <c r="P961" s="39">
        <v>0</v>
      </c>
      <c r="Q961" s="39">
        <v>0</v>
      </c>
      <c r="R961" s="39">
        <v>0</v>
      </c>
      <c r="S961" s="39">
        <v>0</v>
      </c>
      <c r="T961" s="39">
        <v>0</v>
      </c>
      <c r="U961" s="29" cm="1">
        <f t="array" aca="1" ref="U961" ca="1">+fair_value_gap(OFFSET(T960,0,0,-1*$J$5,-1*$AA$1),OFFSET(E960,0,0,-1*$J$5,1),F961:T961,0)</f>
        <v>22.050164619902098</v>
      </c>
      <c r="V961" s="9" cm="1">
        <f t="array" aca="1" ref="V961" ca="1">z_score_diff(OFFSET(U961,0,0,$J$5*-1,1),OFFSET(E961,0,0,$J$5*-1,1))</f>
        <v>0.15347474311536793</v>
      </c>
      <c r="W961" s="9">
        <f t="shared" ca="1" si="986"/>
        <v>0.12096693606586922</v>
      </c>
      <c r="X961" s="17">
        <f t="shared" ca="1" si="981"/>
        <v>-0.12988287728238626</v>
      </c>
      <c r="Y961" s="13">
        <f t="shared" ref="Y961:Z961" ca="1" si="1045">+Y960</f>
        <v>0</v>
      </c>
      <c r="Z961" s="13">
        <f t="shared" ca="1" si="1045"/>
        <v>0</v>
      </c>
      <c r="AA961">
        <f t="shared" ca="1" si="988"/>
        <v>0</v>
      </c>
      <c r="AB961">
        <f t="shared" ca="1" si="989"/>
        <v>1</v>
      </c>
      <c r="AC961" s="24">
        <f t="shared" ca="1" si="990"/>
        <v>0</v>
      </c>
      <c r="AD961" s="24">
        <f t="shared" ca="1" si="991"/>
        <v>-0.12988287728238626</v>
      </c>
    </row>
    <row r="962" spans="3:30" x14ac:dyDescent="0.25">
      <c r="C962" s="6">
        <v>1056</v>
      </c>
      <c r="D962" s="36">
        <v>43509</v>
      </c>
      <c r="E962" s="38">
        <v>21.794</v>
      </c>
      <c r="F962" s="38">
        <v>53.804078171985594</v>
      </c>
      <c r="G962" s="38">
        <v>55.75</v>
      </c>
      <c r="H962" s="38">
        <v>2.5934649155619076</v>
      </c>
      <c r="I962" s="38">
        <v>7.5155448813034056</v>
      </c>
      <c r="J962" s="10">
        <v>0</v>
      </c>
      <c r="K962" s="39">
        <v>1</v>
      </c>
      <c r="L962" s="39">
        <v>0</v>
      </c>
      <c r="M962" s="39">
        <v>0</v>
      </c>
      <c r="N962" s="39">
        <v>0</v>
      </c>
      <c r="O962" s="39">
        <v>0</v>
      </c>
      <c r="P962" s="39">
        <v>0</v>
      </c>
      <c r="Q962" s="39">
        <v>0</v>
      </c>
      <c r="R962" s="39">
        <v>0</v>
      </c>
      <c r="S962" s="39">
        <v>0</v>
      </c>
      <c r="T962" s="39">
        <v>0</v>
      </c>
      <c r="U962" s="29" cm="1">
        <f t="array" aca="1" ref="U962" ca="1">+fair_value_gap(OFFSET(T961,0,0,-1*$J$5,-1*$AA$1),OFFSET(E961,0,0,-1*$J$5,1),F962:T962,0)</f>
        <v>21.947948328211009</v>
      </c>
      <c r="V962" s="9" cm="1">
        <f t="array" aca="1" ref="V962" ca="1">z_score_diff(OFFSET(U962,0,0,$J$5*-1,1),OFFSET(E962,0,0,$J$5*-1,1))</f>
        <v>6.0242897099213044E-3</v>
      </c>
      <c r="W962" s="9">
        <f t="shared" ca="1" si="986"/>
        <v>0.10601215943093077</v>
      </c>
      <c r="X962" s="17">
        <f t="shared" ca="1" si="981"/>
        <v>-0.11945921252954611</v>
      </c>
      <c r="Y962" s="13">
        <f t="shared" ref="Y962:Z962" ca="1" si="1046">+Y961</f>
        <v>0</v>
      </c>
      <c r="Z962" s="13">
        <f t="shared" ca="1" si="1046"/>
        <v>0</v>
      </c>
      <c r="AA962">
        <f t="shared" ca="1" si="988"/>
        <v>0</v>
      </c>
      <c r="AB962">
        <f t="shared" ca="1" si="989"/>
        <v>1</v>
      </c>
      <c r="AC962" s="24">
        <f t="shared" ca="1" si="990"/>
        <v>0</v>
      </c>
      <c r="AD962" s="24">
        <f t="shared" ca="1" si="991"/>
        <v>-0.11945921252954611</v>
      </c>
    </row>
    <row r="963" spans="3:30" x14ac:dyDescent="0.25">
      <c r="C963" s="6">
        <v>1057</v>
      </c>
      <c r="D963" s="36">
        <v>43510</v>
      </c>
      <c r="E963" s="38">
        <v>21.709</v>
      </c>
      <c r="F963" s="38">
        <v>54.394849785407722</v>
      </c>
      <c r="G963" s="38">
        <v>56.16</v>
      </c>
      <c r="H963" s="38">
        <v>2.5776824034334762</v>
      </c>
      <c r="I963" s="38">
        <v>7.5965665236051496</v>
      </c>
      <c r="J963" s="10">
        <v>0</v>
      </c>
      <c r="K963" s="39">
        <v>1</v>
      </c>
      <c r="L963" s="39">
        <v>0</v>
      </c>
      <c r="M963" s="39">
        <v>0</v>
      </c>
      <c r="N963" s="39">
        <v>0</v>
      </c>
      <c r="O963" s="39">
        <v>0</v>
      </c>
      <c r="P963" s="39">
        <v>0</v>
      </c>
      <c r="Q963" s="39">
        <v>0</v>
      </c>
      <c r="R963" s="39">
        <v>0</v>
      </c>
      <c r="S963" s="39">
        <v>0</v>
      </c>
      <c r="T963" s="39">
        <v>0</v>
      </c>
      <c r="U963" s="29" cm="1">
        <f t="array" aca="1" ref="U963" ca="1">+fair_value_gap(OFFSET(T962,0,0,-1*$J$5,-1*$AA$1),OFFSET(E962,0,0,-1*$J$5,1),F963:T963,0)</f>
        <v>22.075655680585726</v>
      </c>
      <c r="V963" s="9" cm="1">
        <f t="array" aca="1" ref="V963" ca="1">z_score_diff(OFFSET(U963,0,0,$J$5*-1,1),OFFSET(E963,0,0,$J$5*-1,1))</f>
        <v>9.1981947882528781E-2</v>
      </c>
      <c r="W963" s="9">
        <f t="shared" ca="1" si="986"/>
        <v>0.1003010775605538</v>
      </c>
      <c r="X963" s="17">
        <f t="shared" ca="1" si="981"/>
        <v>-0.12652141293610167</v>
      </c>
      <c r="Y963" s="13">
        <f t="shared" ref="Y963:Z963" ca="1" si="1047">+Y962</f>
        <v>0</v>
      </c>
      <c r="Z963" s="13">
        <f t="shared" ca="1" si="1047"/>
        <v>0</v>
      </c>
      <c r="AA963">
        <f t="shared" ca="1" si="988"/>
        <v>0</v>
      </c>
      <c r="AB963">
        <f t="shared" ca="1" si="989"/>
        <v>1</v>
      </c>
      <c r="AC963" s="24">
        <f t="shared" ca="1" si="990"/>
        <v>0</v>
      </c>
      <c r="AD963" s="24">
        <f t="shared" ca="1" si="991"/>
        <v>-0.12652141293610167</v>
      </c>
    </row>
    <row r="964" spans="3:30" x14ac:dyDescent="0.25">
      <c r="C964" s="6">
        <v>1058</v>
      </c>
      <c r="D964" s="36">
        <v>43511</v>
      </c>
      <c r="E964" s="38">
        <v>22.05</v>
      </c>
      <c r="F964" s="38">
        <v>55.789047182477134</v>
      </c>
      <c r="G964" s="38">
        <v>56.47</v>
      </c>
      <c r="H964" s="38">
        <v>2.5890100985128641</v>
      </c>
      <c r="I964" s="38">
        <v>7.6614440083644944</v>
      </c>
      <c r="J964" s="10">
        <v>0</v>
      </c>
      <c r="K964" s="39">
        <v>1</v>
      </c>
      <c r="L964" s="39">
        <v>0</v>
      </c>
      <c r="M964" s="39">
        <v>0</v>
      </c>
      <c r="N964" s="39">
        <v>0</v>
      </c>
      <c r="O964" s="39">
        <v>0</v>
      </c>
      <c r="P964" s="39">
        <v>0</v>
      </c>
      <c r="Q964" s="39">
        <v>0</v>
      </c>
      <c r="R964" s="39">
        <v>0</v>
      </c>
      <c r="S964" s="39">
        <v>0</v>
      </c>
      <c r="T964" s="39">
        <v>0</v>
      </c>
      <c r="U964" s="29" cm="1">
        <f t="array" aca="1" ref="U964" ca="1">+fair_value_gap(OFFSET(T963,0,0,-1*$J$5,-1*$AA$1),OFFSET(E963,0,0,-1*$J$5,1),F964:T964,0)</f>
        <v>22.253926762294192</v>
      </c>
      <c r="V964" s="9" cm="1">
        <f t="array" aca="1" ref="V964" ca="1">z_score_diff(OFFSET(U964,0,0,$J$5*-1,1),OFFSET(E964,0,0,$J$5*-1,1))</f>
        <v>2.4553213076643987E-2</v>
      </c>
      <c r="W964" s="9">
        <f t="shared" ca="1" si="986"/>
        <v>0.10007413226494934</v>
      </c>
      <c r="X964" s="17">
        <f t="shared" ca="1" si="981"/>
        <v>-0.19717969356161877</v>
      </c>
      <c r="Y964" s="13">
        <f t="shared" ref="Y964:Z964" ca="1" si="1048">+Y963</f>
        <v>0</v>
      </c>
      <c r="Z964" s="13">
        <f t="shared" ca="1" si="1048"/>
        <v>0</v>
      </c>
      <c r="AA964">
        <f t="shared" ca="1" si="988"/>
        <v>0</v>
      </c>
      <c r="AB964">
        <f t="shared" ca="1" si="989"/>
        <v>1</v>
      </c>
      <c r="AC964" s="24">
        <f t="shared" ca="1" si="990"/>
        <v>0</v>
      </c>
      <c r="AD964" s="24">
        <f t="shared" ca="1" si="991"/>
        <v>-0.19717969356161877</v>
      </c>
    </row>
    <row r="965" spans="3:30" x14ac:dyDescent="0.25">
      <c r="C965" s="6">
        <v>1059</v>
      </c>
      <c r="D965" s="36">
        <v>43514</v>
      </c>
      <c r="E965" s="38">
        <v>21.651</v>
      </c>
      <c r="F965" s="38">
        <v>55.957838810574579</v>
      </c>
      <c r="G965" s="38">
        <v>56.12</v>
      </c>
      <c r="H965" s="38">
        <v>2.5845151891683451</v>
      </c>
      <c r="I965" s="38">
        <v>7.648142593941472</v>
      </c>
      <c r="J965" s="10">
        <v>0</v>
      </c>
      <c r="K965" s="39">
        <v>1</v>
      </c>
      <c r="L965" s="39">
        <v>0</v>
      </c>
      <c r="M965" s="39">
        <v>0</v>
      </c>
      <c r="N965" s="39">
        <v>0</v>
      </c>
      <c r="O965" s="39">
        <v>0</v>
      </c>
      <c r="P965" s="39">
        <v>0</v>
      </c>
      <c r="Q965" s="39">
        <v>0</v>
      </c>
      <c r="R965" s="39">
        <v>0</v>
      </c>
      <c r="S965" s="39">
        <v>0</v>
      </c>
      <c r="T965" s="39">
        <v>0</v>
      </c>
      <c r="U965" s="29" cm="1">
        <f t="array" aca="1" ref="U965" ca="1">+fair_value_gap(OFFSET(T964,0,0,-1*$J$5,-1*$AA$1),OFFSET(E964,0,0,-1*$J$5,1),F965:T965,0)</f>
        <v>22.114717665996029</v>
      </c>
      <c r="V965" s="9" cm="1">
        <f t="array" aca="1" ref="V965" ca="1">z_score_diff(OFFSET(U965,0,0,$J$5*-1,1),OFFSET(E965,0,0,$J$5*-1,1))</f>
        <v>0.1311726413736887</v>
      </c>
      <c r="W965" s="9">
        <f t="shared" ca="1" si="986"/>
        <v>0.10258367244789937</v>
      </c>
      <c r="X965" s="17">
        <f t="shared" ca="1" si="981"/>
        <v>-0.18007937235540342</v>
      </c>
      <c r="Y965" s="13">
        <f t="shared" ref="Y965:Z965" ca="1" si="1049">+Y964</f>
        <v>0</v>
      </c>
      <c r="Z965" s="13">
        <f t="shared" ca="1" si="1049"/>
        <v>0</v>
      </c>
      <c r="AA965">
        <f t="shared" ca="1" si="988"/>
        <v>0</v>
      </c>
      <c r="AB965">
        <f t="shared" ca="1" si="989"/>
        <v>1</v>
      </c>
      <c r="AC965" s="24">
        <f t="shared" ca="1" si="990"/>
        <v>0</v>
      </c>
      <c r="AD965" s="24">
        <f t="shared" ca="1" si="991"/>
        <v>-0.18007937235540342</v>
      </c>
    </row>
    <row r="966" spans="3:30" x14ac:dyDescent="0.25">
      <c r="C966" s="6">
        <v>1060</v>
      </c>
      <c r="D966" s="36">
        <v>43515</v>
      </c>
      <c r="E966" s="38">
        <v>21.97</v>
      </c>
      <c r="F966" s="38">
        <v>55.84433349292113</v>
      </c>
      <c r="G966" s="38">
        <v>56.17</v>
      </c>
      <c r="H966" s="38">
        <v>2.6084057178031599</v>
      </c>
      <c r="I966" s="38">
        <v>7.4806784761644209</v>
      </c>
      <c r="J966" s="10">
        <v>0</v>
      </c>
      <c r="K966" s="39">
        <v>1</v>
      </c>
      <c r="L966" s="39">
        <v>0</v>
      </c>
      <c r="M966" s="39">
        <v>0</v>
      </c>
      <c r="N966" s="39">
        <v>0</v>
      </c>
      <c r="O966" s="39">
        <v>0</v>
      </c>
      <c r="P966" s="39">
        <v>0</v>
      </c>
      <c r="Q966" s="39">
        <v>0</v>
      </c>
      <c r="R966" s="39">
        <v>0</v>
      </c>
      <c r="S966" s="39">
        <v>0</v>
      </c>
      <c r="T966" s="39">
        <v>0</v>
      </c>
      <c r="U966" s="29" cm="1">
        <f t="array" aca="1" ref="U966" ca="1">+fair_value_gap(OFFSET(T965,0,0,-1*$J$5,-1*$AA$1),OFFSET(E965,0,0,-1*$J$5,1),F966:T966,0)</f>
        <v>21.993892223556124</v>
      </c>
      <c r="V966" s="9" cm="1">
        <f t="array" aca="1" ref="V966" ca="1">z_score_diff(OFFSET(U966,0,0,$J$5*-1,1),OFFSET(E966,0,0,$J$5*-1,1))</f>
        <v>-4.9096915754557213E-2</v>
      </c>
      <c r="W966" s="9">
        <f t="shared" ca="1" si="986"/>
        <v>9.9488027743895605E-2</v>
      </c>
      <c r="X966" s="17">
        <f t="shared" ca="1" si="981"/>
        <v>-0.20192065450782698</v>
      </c>
      <c r="Y966" s="13">
        <f t="shared" ref="Y966:Z966" ca="1" si="1050">+Y965</f>
        <v>0</v>
      </c>
      <c r="Z966" s="13">
        <f t="shared" ca="1" si="1050"/>
        <v>0</v>
      </c>
      <c r="AA966">
        <f t="shared" ca="1" si="988"/>
        <v>0</v>
      </c>
      <c r="AB966">
        <f t="shared" ca="1" si="989"/>
        <v>1</v>
      </c>
      <c r="AC966" s="24">
        <f t="shared" ca="1" si="990"/>
        <v>0</v>
      </c>
      <c r="AD966" s="24">
        <f t="shared" ca="1" si="991"/>
        <v>-0.20192065450782698</v>
      </c>
    </row>
    <row r="967" spans="3:30" x14ac:dyDescent="0.25">
      <c r="C967" s="6">
        <v>1061</v>
      </c>
      <c r="D967" s="36">
        <v>43516</v>
      </c>
      <c r="E967" s="38">
        <v>22.2</v>
      </c>
      <c r="F967" s="38">
        <v>56.277844917759928</v>
      </c>
      <c r="G967" s="38">
        <v>56.79</v>
      </c>
      <c r="H967" s="38">
        <v>2.581254345924004</v>
      </c>
      <c r="I967" s="38">
        <v>7.5350731569219604</v>
      </c>
      <c r="J967" s="10">
        <v>0</v>
      </c>
      <c r="K967" s="39">
        <v>1</v>
      </c>
      <c r="L967" s="39">
        <v>0</v>
      </c>
      <c r="M967" s="39">
        <v>0</v>
      </c>
      <c r="N967" s="39">
        <v>0</v>
      </c>
      <c r="O967" s="39">
        <v>0</v>
      </c>
      <c r="P967" s="39">
        <v>0</v>
      </c>
      <c r="Q967" s="39">
        <v>0</v>
      </c>
      <c r="R967" s="39">
        <v>0</v>
      </c>
      <c r="S967" s="39">
        <v>0</v>
      </c>
      <c r="T967" s="39">
        <v>0</v>
      </c>
      <c r="U967" s="29" cm="1">
        <f t="array" aca="1" ref="U967" ca="1">+fair_value_gap(OFFSET(T966,0,0,-1*$J$5,-1*$AA$1),OFFSET(E966,0,0,-1*$J$5,1),F967:T967,0)</f>
        <v>22.153193074331316</v>
      </c>
      <c r="V967" s="9" cm="1">
        <f t="array" aca="1" ref="V967" ca="1">z_score_diff(OFFSET(U967,0,0,$J$5*-1,1),OFFSET(E967,0,0,$J$5*-1,1))</f>
        <v>-7.8583581259864088E-2</v>
      </c>
      <c r="W967" s="9">
        <f t="shared" ca="1" si="986"/>
        <v>9.2244796282015373E-2</v>
      </c>
      <c r="X967" s="17">
        <f t="shared" ref="X967:X1030" ca="1" si="1051">+LN(OFFSET(E967,$X$3,0,1,1)/E967)</f>
        <v>-0.18670954834126788</v>
      </c>
      <c r="Y967" s="13">
        <f t="shared" ref="Y967:Z967" ca="1" si="1052">+Y966</f>
        <v>0</v>
      </c>
      <c r="Z967" s="13">
        <f t="shared" ca="1" si="1052"/>
        <v>0</v>
      </c>
      <c r="AA967">
        <f t="shared" ca="1" si="988"/>
        <v>0</v>
      </c>
      <c r="AB967">
        <f t="shared" ca="1" si="989"/>
        <v>1</v>
      </c>
      <c r="AC967" s="24">
        <f t="shared" ca="1" si="990"/>
        <v>0</v>
      </c>
      <c r="AD967" s="24">
        <f t="shared" ca="1" si="991"/>
        <v>-0.18670954834126788</v>
      </c>
    </row>
    <row r="968" spans="3:30" x14ac:dyDescent="0.25">
      <c r="C968" s="6">
        <v>1062</v>
      </c>
      <c r="D968" s="36">
        <v>43517</v>
      </c>
      <c r="E968" s="38">
        <v>21.896000000000001</v>
      </c>
      <c r="F968" s="38">
        <v>56.354300385109106</v>
      </c>
      <c r="G968" s="38">
        <v>56.17</v>
      </c>
      <c r="H968" s="38">
        <v>2.6041934103551561</v>
      </c>
      <c r="I968" s="38">
        <v>7.5438596491228056</v>
      </c>
      <c r="J968" s="10">
        <v>0</v>
      </c>
      <c r="K968" s="39">
        <v>1</v>
      </c>
      <c r="L968" s="39">
        <v>0</v>
      </c>
      <c r="M968" s="39">
        <v>0</v>
      </c>
      <c r="N968" s="39">
        <v>0</v>
      </c>
      <c r="O968" s="39">
        <v>0</v>
      </c>
      <c r="P968" s="39">
        <v>0</v>
      </c>
      <c r="Q968" s="39">
        <v>0</v>
      </c>
      <c r="R968" s="39">
        <v>0</v>
      </c>
      <c r="S968" s="39">
        <v>0</v>
      </c>
      <c r="T968" s="39">
        <v>0</v>
      </c>
      <c r="U968" s="29" cm="1">
        <f t="array" aca="1" ref="U968" ca="1">+fair_value_gap(OFFSET(T967,0,0,-1*$J$5,-1*$AA$1),OFFSET(E967,0,0,-1*$J$5,1),F968:T968,0)</f>
        <v>21.90317960592181</v>
      </c>
      <c r="V968" s="9" cm="1">
        <f t="array" aca="1" ref="V968" ca="1">z_score_diff(OFFSET(U968,0,0,$J$5*-1,1),OFFSET(E968,0,0,$J$5*-1,1))</f>
        <v>-5.4603590756117759E-2</v>
      </c>
      <c r="W968" s="9">
        <f t="shared" ca="1" si="986"/>
        <v>8.6926018899833812E-2</v>
      </c>
      <c r="X968" s="17">
        <f t="shared" ca="1" si="1051"/>
        <v>-0.13541217265754069</v>
      </c>
      <c r="Y968" s="13">
        <f t="shared" ref="Y968:Z968" ca="1" si="1053">+Y967</f>
        <v>0</v>
      </c>
      <c r="Z968" s="13">
        <f t="shared" ca="1" si="1053"/>
        <v>0</v>
      </c>
      <c r="AA968">
        <f t="shared" ca="1" si="988"/>
        <v>0</v>
      </c>
      <c r="AB968">
        <f t="shared" ca="1" si="989"/>
        <v>1</v>
      </c>
      <c r="AC968" s="24">
        <f t="shared" ca="1" si="990"/>
        <v>0</v>
      </c>
      <c r="AD968" s="24">
        <f t="shared" ca="1" si="991"/>
        <v>-0.13541217265754069</v>
      </c>
    </row>
    <row r="969" spans="3:30" x14ac:dyDescent="0.25">
      <c r="C969" s="6">
        <v>1063</v>
      </c>
      <c r="D969" s="36">
        <v>43518</v>
      </c>
      <c r="E969" s="38">
        <v>21.742999999999999</v>
      </c>
      <c r="F969" s="38">
        <v>56.43696402860455</v>
      </c>
      <c r="G969" s="38">
        <v>56.03</v>
      </c>
      <c r="H969" s="38">
        <v>2.6185450168891444</v>
      </c>
      <c r="I969" s="38">
        <v>7.5157977274556016</v>
      </c>
      <c r="J969" s="10">
        <v>0</v>
      </c>
      <c r="K969" s="39">
        <v>1</v>
      </c>
      <c r="L969" s="39">
        <v>0</v>
      </c>
      <c r="M969" s="39">
        <v>0</v>
      </c>
      <c r="N969" s="39">
        <v>0</v>
      </c>
      <c r="O969" s="39">
        <v>0</v>
      </c>
      <c r="P969" s="39">
        <v>0</v>
      </c>
      <c r="Q969" s="39">
        <v>0</v>
      </c>
      <c r="R969" s="39">
        <v>0</v>
      </c>
      <c r="S969" s="39">
        <v>0</v>
      </c>
      <c r="T969" s="39">
        <v>0</v>
      </c>
      <c r="U969" s="29" cm="1">
        <f t="array" aca="1" ref="U969" ca="1">+fair_value_gap(OFFSET(T968,0,0,-1*$J$5,-1*$AA$1),OFFSET(E968,0,0,-1*$J$5,1),F969:T969,0)</f>
        <v>21.8619193674472</v>
      </c>
      <c r="V969" s="9" cm="1">
        <f t="array" aca="1" ref="V969" ca="1">z_score_diff(OFFSET(U969,0,0,$J$5*-1,1),OFFSET(E969,0,0,$J$5*-1,1))</f>
        <v>-7.835577528235188E-3</v>
      </c>
      <c r="W969" s="9">
        <f t="shared" ca="1" si="986"/>
        <v>8.5879060757950126E-2</v>
      </c>
      <c r="X969" s="17">
        <f t="shared" ca="1" si="1051"/>
        <v>-7.623647271914942E-2</v>
      </c>
      <c r="Y969" s="13">
        <f t="shared" ref="Y969:Z969" ca="1" si="1054">+Y968</f>
        <v>0</v>
      </c>
      <c r="Z969" s="13">
        <f t="shared" ca="1" si="1054"/>
        <v>0</v>
      </c>
      <c r="AA969">
        <f t="shared" ca="1" si="988"/>
        <v>0</v>
      </c>
      <c r="AB969">
        <f t="shared" ca="1" si="989"/>
        <v>1</v>
      </c>
      <c r="AC969" s="24">
        <f t="shared" ca="1" si="990"/>
        <v>0</v>
      </c>
      <c r="AD969" s="24">
        <f t="shared" ca="1" si="991"/>
        <v>-7.623647271914942E-2</v>
      </c>
    </row>
    <row r="970" spans="3:30" x14ac:dyDescent="0.25">
      <c r="C970" s="6">
        <v>1064</v>
      </c>
      <c r="D970" s="36">
        <v>43521</v>
      </c>
      <c r="E970" s="38">
        <v>21.623000000000001</v>
      </c>
      <c r="F970" s="38">
        <v>54.636972696877905</v>
      </c>
      <c r="G970" s="38">
        <v>55.33</v>
      </c>
      <c r="H970" s="38">
        <v>2.6392363627362361</v>
      </c>
      <c r="I970" s="38">
        <v>7.4473923883808721</v>
      </c>
      <c r="J970" s="10">
        <v>0</v>
      </c>
      <c r="K970" s="39">
        <v>1</v>
      </c>
      <c r="L970" s="39">
        <v>0</v>
      </c>
      <c r="M970" s="39">
        <v>0</v>
      </c>
      <c r="N970" s="39">
        <v>0</v>
      </c>
      <c r="O970" s="39">
        <v>0</v>
      </c>
      <c r="P970" s="39">
        <v>0</v>
      </c>
      <c r="Q970" s="39">
        <v>0</v>
      </c>
      <c r="R970" s="39">
        <v>0</v>
      </c>
      <c r="S970" s="39">
        <v>0</v>
      </c>
      <c r="T970" s="39">
        <v>0</v>
      </c>
      <c r="U970" s="29" cm="1">
        <f t="array" aca="1" ref="U970" ca="1">+fair_value_gap(OFFSET(T969,0,0,-1*$J$5,-1*$AA$1),OFFSET(E969,0,0,-1*$J$5,1),F970:T970,0)</f>
        <v>21.473270695709235</v>
      </c>
      <c r="V970" s="9" cm="1">
        <f t="array" aca="1" ref="V970" ca="1">z_score_diff(OFFSET(U970,0,0,$J$5*-1,1),OFFSET(E970,0,0,$J$5*-1,1))</f>
        <v>-0.11809495631243207</v>
      </c>
      <c r="W970" s="9">
        <f t="shared" ca="1" si="986"/>
        <v>8.0747149187866393E-2</v>
      </c>
      <c r="X970" s="17">
        <f t="shared" ca="1" si="1051"/>
        <v>-9.0047264665092483E-2</v>
      </c>
      <c r="Y970" s="13">
        <f t="shared" ref="Y970:Z970" ca="1" si="1055">+Y969</f>
        <v>0</v>
      </c>
      <c r="Z970" s="13">
        <f t="shared" ca="1" si="1055"/>
        <v>0</v>
      </c>
      <c r="AA970">
        <f t="shared" ca="1" si="988"/>
        <v>0</v>
      </c>
      <c r="AB970">
        <f t="shared" ca="1" si="989"/>
        <v>1</v>
      </c>
      <c r="AC970" s="24">
        <f t="shared" ca="1" si="990"/>
        <v>0</v>
      </c>
      <c r="AD970" s="24">
        <f t="shared" ca="1" si="991"/>
        <v>-9.0047264665092483E-2</v>
      </c>
    </row>
    <row r="971" spans="3:30" x14ac:dyDescent="0.25">
      <c r="C971" s="6">
        <v>1065</v>
      </c>
      <c r="D971" s="36">
        <v>43522</v>
      </c>
      <c r="E971" s="38">
        <v>21.64</v>
      </c>
      <c r="F971" s="38">
        <v>54.962367724980375</v>
      </c>
      <c r="G971" s="38">
        <v>56.01</v>
      </c>
      <c r="H971" s="38">
        <v>2.6229329499990635</v>
      </c>
      <c r="I971" s="38">
        <v>7.4302240223187743</v>
      </c>
      <c r="J971" s="10">
        <v>0</v>
      </c>
      <c r="K971" s="39">
        <v>1</v>
      </c>
      <c r="L971" s="39">
        <v>0</v>
      </c>
      <c r="M971" s="39">
        <v>0</v>
      </c>
      <c r="N971" s="39">
        <v>0</v>
      </c>
      <c r="O971" s="39">
        <v>0</v>
      </c>
      <c r="P971" s="39">
        <v>0</v>
      </c>
      <c r="Q971" s="39">
        <v>0</v>
      </c>
      <c r="R971" s="39">
        <v>0</v>
      </c>
      <c r="S971" s="39">
        <v>0</v>
      </c>
      <c r="T971" s="39">
        <v>0</v>
      </c>
      <c r="U971" s="29" cm="1">
        <f t="array" aca="1" ref="U971" ca="1">+fair_value_gap(OFFSET(T970,0,0,-1*$J$5,-1*$AA$1),OFFSET(E970,0,0,-1*$J$5,1),F971:T971,0)</f>
        <v>21.706326018235682</v>
      </c>
      <c r="V971" s="9" cm="1">
        <f t="array" aca="1" ref="V971" ca="1">z_score_diff(OFFSET(U971,0,0,$J$5*-1,1),OFFSET(E971,0,0,$J$5*-1,1))</f>
        <v>-2.8553342171818569E-2</v>
      </c>
      <c r="W971" s="9">
        <f t="shared" ref="W971:W1034" ca="1" si="1056">+IF(ISERROR(AVERAGE(OFFSET(V971,0,0,$W$5*-1,1))),"",AVERAGE(OFFSET(V971,0,0,$W$5*-1,1)))</f>
        <v>7.9165641825847108E-2</v>
      </c>
      <c r="X971" s="17">
        <f t="shared" ca="1" si="1051"/>
        <v>-5.3143433675712094E-2</v>
      </c>
      <c r="Y971" s="13">
        <f t="shared" ref="Y971:Z971" ca="1" si="1057">+Y970</f>
        <v>0</v>
      </c>
      <c r="Z971" s="13">
        <f t="shared" ca="1" si="1057"/>
        <v>0</v>
      </c>
      <c r="AA971">
        <f t="shared" ref="AA971:AA1034" ca="1" si="1058">+IF(W971="","",IF(W971&lt;Y971,1,0))</f>
        <v>0</v>
      </c>
      <c r="AB971">
        <f t="shared" ref="AB971:AB1034" ca="1" si="1059">+IF(W971="","",IF(W971&gt;Z971,1,0))</f>
        <v>1</v>
      </c>
      <c r="AC971" s="24">
        <f t="shared" ref="AC971:AC1034" ca="1" si="1060">+IF(ISERROR(AA971*X971),"",AA971*X971)</f>
        <v>0</v>
      </c>
      <c r="AD971" s="24">
        <f t="shared" ref="AD971:AD1034" ca="1" si="1061">+IF(ISERROR(AB971*X971),"",AB971*X971)</f>
        <v>-5.3143433675712094E-2</v>
      </c>
    </row>
    <row r="972" spans="3:30" x14ac:dyDescent="0.25">
      <c r="C972" s="6">
        <v>1066</v>
      </c>
      <c r="D972" s="36">
        <v>43523</v>
      </c>
      <c r="E972" s="38">
        <v>22.084</v>
      </c>
      <c r="F972" s="38">
        <v>55.847291602522176</v>
      </c>
      <c r="G972" s="38">
        <v>56.83</v>
      </c>
      <c r="H972" s="38">
        <v>2.527115531739053</v>
      </c>
      <c r="I972" s="38">
        <v>7.3305966909541551</v>
      </c>
      <c r="J972" s="10">
        <v>0</v>
      </c>
      <c r="K972" s="39">
        <v>1</v>
      </c>
      <c r="L972" s="39">
        <v>0</v>
      </c>
      <c r="M972" s="39">
        <v>0</v>
      </c>
      <c r="N972" s="39">
        <v>0</v>
      </c>
      <c r="O972" s="39">
        <v>0</v>
      </c>
      <c r="P972" s="39">
        <v>0</v>
      </c>
      <c r="Q972" s="39">
        <v>0</v>
      </c>
      <c r="R972" s="39">
        <v>0</v>
      </c>
      <c r="S972" s="39">
        <v>0</v>
      </c>
      <c r="T972" s="39">
        <v>0</v>
      </c>
      <c r="U972" s="29" cm="1">
        <f t="array" aca="1" ref="U972" ca="1">+fair_value_gap(OFFSET(T971,0,0,-1*$J$5,-1*$AA$1),OFFSET(E971,0,0,-1*$J$5,1),F972:T972,0)</f>
        <v>21.999503545002359</v>
      </c>
      <c r="V972" s="9" cm="1">
        <f t="array" aca="1" ref="V972" ca="1">z_score_diff(OFFSET(U972,0,0,$J$5*-1,1),OFFSET(E972,0,0,$J$5*-1,1))</f>
        <v>-9.3172538484759537E-2</v>
      </c>
      <c r="W972" s="9">
        <f t="shared" ca="1" si="1056"/>
        <v>7.4781978778954941E-2</v>
      </c>
      <c r="X972" s="17">
        <f t="shared" ca="1" si="1051"/>
        <v>-8.6599810314135439E-2</v>
      </c>
      <c r="Y972" s="13">
        <f t="shared" ref="Y972:Z972" ca="1" si="1062">+Y971</f>
        <v>0</v>
      </c>
      <c r="Z972" s="13">
        <f t="shared" ca="1" si="1062"/>
        <v>0</v>
      </c>
      <c r="AA972">
        <f t="shared" ca="1" si="1058"/>
        <v>0</v>
      </c>
      <c r="AB972">
        <f t="shared" ca="1" si="1059"/>
        <v>1</v>
      </c>
      <c r="AC972" s="24">
        <f t="shared" ca="1" si="1060"/>
        <v>0</v>
      </c>
      <c r="AD972" s="24">
        <f t="shared" ca="1" si="1061"/>
        <v>-8.6599810314135439E-2</v>
      </c>
    </row>
    <row r="973" spans="3:30" x14ac:dyDescent="0.25">
      <c r="C973" s="6">
        <v>1067</v>
      </c>
      <c r="D973" s="36">
        <v>43524</v>
      </c>
      <c r="E973" s="38">
        <v>21.774999999999999</v>
      </c>
      <c r="F973" s="38">
        <v>55.729428720056617</v>
      </c>
      <c r="G973" s="38">
        <v>56.25</v>
      </c>
      <c r="H973" s="38">
        <v>2.5583517392527906</v>
      </c>
      <c r="I973" s="38">
        <v>7.3168859742629815</v>
      </c>
      <c r="J973" s="10">
        <v>0</v>
      </c>
      <c r="K973" s="39">
        <v>1</v>
      </c>
      <c r="L973" s="39">
        <v>0</v>
      </c>
      <c r="M973" s="39">
        <v>0</v>
      </c>
      <c r="N973" s="39">
        <v>0</v>
      </c>
      <c r="O973" s="39">
        <v>0</v>
      </c>
      <c r="P973" s="39">
        <v>0</v>
      </c>
      <c r="Q973" s="39">
        <v>0</v>
      </c>
      <c r="R973" s="39">
        <v>0</v>
      </c>
      <c r="S973" s="39">
        <v>0</v>
      </c>
      <c r="T973" s="39">
        <v>0</v>
      </c>
      <c r="U973" s="29" cm="1">
        <f t="array" aca="1" ref="U973" ca="1">+fair_value_gap(OFFSET(T972,0,0,-1*$J$5,-1*$AA$1),OFFSET(E972,0,0,-1*$J$5,1),F973:T973,0)</f>
        <v>21.816909360693057</v>
      </c>
      <c r="V973" s="9" cm="1">
        <f t="array" aca="1" ref="V973" ca="1">z_score_diff(OFFSET(U973,0,0,$J$5*-1,1),OFFSET(E973,0,0,$J$5*-1,1))</f>
        <v>-3.9306836391590799E-2</v>
      </c>
      <c r="W973" s="9">
        <f t="shared" ca="1" si="1056"/>
        <v>7.7669939261072768E-2</v>
      </c>
      <c r="X973" s="17">
        <f t="shared" ca="1" si="1051"/>
        <v>-6.6552027938802286E-2</v>
      </c>
      <c r="Y973" s="13">
        <f t="shared" ref="Y973:Z973" ca="1" si="1063">+Y972</f>
        <v>0</v>
      </c>
      <c r="Z973" s="13">
        <f t="shared" ca="1" si="1063"/>
        <v>0</v>
      </c>
      <c r="AA973">
        <f t="shared" ca="1" si="1058"/>
        <v>0</v>
      </c>
      <c r="AB973">
        <f t="shared" ca="1" si="1059"/>
        <v>1</v>
      </c>
      <c r="AC973" s="24">
        <f t="shared" ca="1" si="1060"/>
        <v>0</v>
      </c>
      <c r="AD973" s="24">
        <f t="shared" ca="1" si="1061"/>
        <v>-6.6552027938802286E-2</v>
      </c>
    </row>
    <row r="974" spans="3:30" x14ac:dyDescent="0.25">
      <c r="C974" s="6">
        <v>1068</v>
      </c>
      <c r="D974" s="36">
        <v>43525</v>
      </c>
      <c r="E974" s="38">
        <v>21.475999999999999</v>
      </c>
      <c r="F974" s="38">
        <v>54.835544558679231</v>
      </c>
      <c r="G974" s="38">
        <v>56.81</v>
      </c>
      <c r="H974" s="38">
        <v>2.5758286762510134</v>
      </c>
      <c r="I974" s="38">
        <v>7.3077087154984852</v>
      </c>
      <c r="J974" s="10">
        <v>0</v>
      </c>
      <c r="K974" s="39">
        <v>0</v>
      </c>
      <c r="L974" s="39">
        <v>1</v>
      </c>
      <c r="M974" s="39">
        <v>0</v>
      </c>
      <c r="N974" s="39">
        <v>0</v>
      </c>
      <c r="O974" s="39">
        <v>0</v>
      </c>
      <c r="P974" s="39">
        <v>0</v>
      </c>
      <c r="Q974" s="39">
        <v>0</v>
      </c>
      <c r="R974" s="39">
        <v>0</v>
      </c>
      <c r="S974" s="39">
        <v>0</v>
      </c>
      <c r="T974" s="39">
        <v>0</v>
      </c>
      <c r="U974" s="29" cm="1">
        <f t="array" aca="1" ref="U974" ca="1">+fair_value_gap(OFFSET(T973,0,0,-1*$J$5,-1*$AA$1),OFFSET(E973,0,0,-1*$J$5,1),F974:T974,0)</f>
        <v>23.426766347857548</v>
      </c>
      <c r="V974" s="9" cm="1">
        <f t="array" aca="1" ref="V974" ca="1">z_score_diff(OFFSET(U974,0,0,$J$5*-1,1),OFFSET(E974,0,0,$J$5*-1,1))</f>
        <v>0.76097469741991863</v>
      </c>
      <c r="W974" s="9">
        <f t="shared" ca="1" si="1056"/>
        <v>0.10263824416506083</v>
      </c>
      <c r="X974" s="17">
        <f t="shared" ca="1" si="1051"/>
        <v>-5.4051700188766455E-2</v>
      </c>
      <c r="Y974" s="13">
        <f t="shared" ref="Y974:Z974" ca="1" si="1064">+Y973</f>
        <v>0</v>
      </c>
      <c r="Z974" s="13">
        <f t="shared" ca="1" si="1064"/>
        <v>0</v>
      </c>
      <c r="AA974">
        <f t="shared" ca="1" si="1058"/>
        <v>0</v>
      </c>
      <c r="AB974">
        <f t="shared" ca="1" si="1059"/>
        <v>1</v>
      </c>
      <c r="AC974" s="24">
        <f t="shared" ca="1" si="1060"/>
        <v>0</v>
      </c>
      <c r="AD974" s="24">
        <f t="shared" ca="1" si="1061"/>
        <v>-5.4051700188766455E-2</v>
      </c>
    </row>
    <row r="975" spans="3:30" x14ac:dyDescent="0.25">
      <c r="C975" s="6">
        <v>1069</v>
      </c>
      <c r="D975" s="36">
        <v>43528</v>
      </c>
      <c r="E975" s="38">
        <v>21.57</v>
      </c>
      <c r="F975" s="38">
        <v>55.624116441185464</v>
      </c>
      <c r="G975" s="38">
        <v>57.29</v>
      </c>
      <c r="H975" s="38">
        <v>2.5836478439240662</v>
      </c>
      <c r="I975" s="38">
        <v>7.3122108790303768</v>
      </c>
      <c r="J975" s="10">
        <v>0</v>
      </c>
      <c r="K975" s="39">
        <v>0</v>
      </c>
      <c r="L975" s="39">
        <v>1</v>
      </c>
      <c r="M975" s="39">
        <v>0</v>
      </c>
      <c r="N975" s="39">
        <v>0</v>
      </c>
      <c r="O975" s="39">
        <v>0</v>
      </c>
      <c r="P975" s="39">
        <v>0</v>
      </c>
      <c r="Q975" s="39">
        <v>0</v>
      </c>
      <c r="R975" s="39">
        <v>0</v>
      </c>
      <c r="S975" s="39">
        <v>0</v>
      </c>
      <c r="T975" s="39">
        <v>0</v>
      </c>
      <c r="U975" s="29" cm="1">
        <f t="array" aca="1" ref="U975" ca="1">+fair_value_gap(OFFSET(T974,0,0,-1*$J$5,-1*$AA$1),OFFSET(E974,0,0,-1*$J$5,1),F975:T975,0)</f>
        <v>23.315668255871298</v>
      </c>
      <c r="V975" s="9" cm="1">
        <f t="array" aca="1" ref="V975" ca="1">z_score_diff(OFFSET(U975,0,0,$J$5*-1,1),OFFSET(E975,0,0,$J$5*-1,1))</f>
        <v>0.67242514702863898</v>
      </c>
      <c r="W975" s="9">
        <f t="shared" ca="1" si="1056"/>
        <v>0.12289695665099183</v>
      </c>
      <c r="X975" s="17">
        <f t="shared" ca="1" si="1051"/>
        <v>-7.8525546673510624E-2</v>
      </c>
      <c r="Y975" s="13">
        <f t="shared" ref="Y975:Z975" ca="1" si="1065">+Y974</f>
        <v>0</v>
      </c>
      <c r="Z975" s="13">
        <f t="shared" ca="1" si="1065"/>
        <v>0</v>
      </c>
      <c r="AA975">
        <f t="shared" ca="1" si="1058"/>
        <v>0</v>
      </c>
      <c r="AB975">
        <f t="shared" ca="1" si="1059"/>
        <v>1</v>
      </c>
      <c r="AC975" s="24">
        <f t="shared" ca="1" si="1060"/>
        <v>0</v>
      </c>
      <c r="AD975" s="24">
        <f t="shared" ca="1" si="1061"/>
        <v>-7.8525546673510624E-2</v>
      </c>
    </row>
    <row r="976" spans="3:30" x14ac:dyDescent="0.25">
      <c r="C976" s="6">
        <v>1070</v>
      </c>
      <c r="D976" s="36">
        <v>43529</v>
      </c>
      <c r="E976" s="38">
        <v>21.306999999999999</v>
      </c>
      <c r="F976" s="38">
        <v>55.859551168720714</v>
      </c>
      <c r="G976" s="38">
        <v>56.8</v>
      </c>
      <c r="H976" s="38">
        <v>2.5936322683864947</v>
      </c>
      <c r="I976" s="38">
        <v>7.2493093650273774</v>
      </c>
      <c r="J976" s="10">
        <v>0</v>
      </c>
      <c r="K976" s="39">
        <v>0</v>
      </c>
      <c r="L976" s="39">
        <v>1</v>
      </c>
      <c r="M976" s="39">
        <v>0</v>
      </c>
      <c r="N976" s="39">
        <v>0</v>
      </c>
      <c r="O976" s="39">
        <v>0</v>
      </c>
      <c r="P976" s="39">
        <v>0</v>
      </c>
      <c r="Q976" s="39">
        <v>0</v>
      </c>
      <c r="R976" s="39">
        <v>0</v>
      </c>
      <c r="S976" s="39">
        <v>0</v>
      </c>
      <c r="T976" s="39">
        <v>0</v>
      </c>
      <c r="U976" s="29" cm="1">
        <f t="array" aca="1" ref="U976" ca="1">+fair_value_gap(OFFSET(T975,0,0,-1*$J$5,-1*$AA$1),OFFSET(E975,0,0,-1*$J$5,1),F976:T976,0)</f>
        <v>22.952589921585457</v>
      </c>
      <c r="V976" s="9" cm="1">
        <f t="array" aca="1" ref="V976" ca="1">z_score_diff(OFFSET(U976,0,0,$J$5*-1,1),OFFSET(E976,0,0,$J$5*-1,1))</f>
        <v>0.63013912535785077</v>
      </c>
      <c r="W976" s="9">
        <f t="shared" ca="1" si="1056"/>
        <v>0.13971279477099163</v>
      </c>
      <c r="X976" s="17">
        <f t="shared" ca="1" si="1051"/>
        <v>-7.6135362484616526E-2</v>
      </c>
      <c r="Y976" s="13">
        <f t="shared" ref="Y976:Z976" ca="1" si="1066">+Y975</f>
        <v>0</v>
      </c>
      <c r="Z976" s="13">
        <f t="shared" ca="1" si="1066"/>
        <v>0</v>
      </c>
      <c r="AA976">
        <f t="shared" ca="1" si="1058"/>
        <v>0</v>
      </c>
      <c r="AB976">
        <f t="shared" ca="1" si="1059"/>
        <v>1</v>
      </c>
      <c r="AC976" s="24">
        <f t="shared" ca="1" si="1060"/>
        <v>0</v>
      </c>
      <c r="AD976" s="24">
        <f t="shared" ca="1" si="1061"/>
        <v>-7.6135362484616526E-2</v>
      </c>
    </row>
    <row r="977" spans="3:30" x14ac:dyDescent="0.25">
      <c r="C977" s="6">
        <v>1071</v>
      </c>
      <c r="D977" s="36">
        <v>43530</v>
      </c>
      <c r="E977" s="38">
        <v>20.99</v>
      </c>
      <c r="F977" s="38">
        <v>55.760440184216101</v>
      </c>
      <c r="G977" s="38">
        <v>56.11</v>
      </c>
      <c r="H977" s="38">
        <v>2.5663693290997811</v>
      </c>
      <c r="I977" s="38">
        <v>7.1854911386088105</v>
      </c>
      <c r="J977" s="10">
        <v>0</v>
      </c>
      <c r="K977" s="39">
        <v>0</v>
      </c>
      <c r="L977" s="39">
        <v>1</v>
      </c>
      <c r="M977" s="39">
        <v>0</v>
      </c>
      <c r="N977" s="39">
        <v>0</v>
      </c>
      <c r="O977" s="39">
        <v>0</v>
      </c>
      <c r="P977" s="39">
        <v>0</v>
      </c>
      <c r="Q977" s="39">
        <v>0</v>
      </c>
      <c r="R977" s="39">
        <v>0</v>
      </c>
      <c r="S977" s="39">
        <v>0</v>
      </c>
      <c r="T977" s="39">
        <v>0</v>
      </c>
      <c r="U977" s="29" cm="1">
        <f t="array" aca="1" ref="U977" ca="1">+fair_value_gap(OFFSET(T976,0,0,-1*$J$5,-1*$AA$1),OFFSET(E976,0,0,-1*$J$5,1),F977:T977,0)</f>
        <v>22.55031993529586</v>
      </c>
      <c r="V977" s="9" cm="1">
        <f t="array" aca="1" ref="V977" ca="1">z_score_diff(OFFSET(U977,0,0,$J$5*-1,1),OFFSET(E977,0,0,$J$5*-1,1))</f>
        <v>0.59508972440388586</v>
      </c>
      <c r="W977" s="9">
        <f t="shared" ca="1" si="1056"/>
        <v>0.15946865586976505</v>
      </c>
      <c r="X977" s="17">
        <f t="shared" ca="1" si="1051"/>
        <v>-4.4371641045926648E-2</v>
      </c>
      <c r="Y977" s="13">
        <f t="shared" ref="Y977:Z977" ca="1" si="1067">+Y976</f>
        <v>0</v>
      </c>
      <c r="Z977" s="13">
        <f t="shared" ca="1" si="1067"/>
        <v>0</v>
      </c>
      <c r="AA977">
        <f t="shared" ca="1" si="1058"/>
        <v>0</v>
      </c>
      <c r="AB977">
        <f t="shared" ca="1" si="1059"/>
        <v>1</v>
      </c>
      <c r="AC977" s="24">
        <f t="shared" ca="1" si="1060"/>
        <v>0</v>
      </c>
      <c r="AD977" s="24">
        <f t="shared" ca="1" si="1061"/>
        <v>-4.4371641045926648E-2</v>
      </c>
    </row>
    <row r="978" spans="3:30" x14ac:dyDescent="0.25">
      <c r="C978" s="6">
        <v>1072</v>
      </c>
      <c r="D978" s="36">
        <v>43531</v>
      </c>
      <c r="E978" s="38">
        <v>21.055</v>
      </c>
      <c r="F978" s="38">
        <v>56.56948230772965</v>
      </c>
      <c r="G978" s="38">
        <v>56.1</v>
      </c>
      <c r="H978" s="38">
        <v>2.6134337779812564</v>
      </c>
      <c r="I978" s="38">
        <v>7.2315984433854279</v>
      </c>
      <c r="J978" s="10">
        <v>0</v>
      </c>
      <c r="K978" s="39">
        <v>0</v>
      </c>
      <c r="L978" s="39">
        <v>1</v>
      </c>
      <c r="M978" s="39">
        <v>0</v>
      </c>
      <c r="N978" s="39">
        <v>0</v>
      </c>
      <c r="O978" s="39">
        <v>0</v>
      </c>
      <c r="P978" s="39">
        <v>0</v>
      </c>
      <c r="Q978" s="39">
        <v>0</v>
      </c>
      <c r="R978" s="39">
        <v>0</v>
      </c>
      <c r="S978" s="39">
        <v>0</v>
      </c>
      <c r="T978" s="39">
        <v>0</v>
      </c>
      <c r="U978" s="29" cm="1">
        <f t="array" aca="1" ref="U978" ca="1">+fair_value_gap(OFFSET(T977,0,0,-1*$J$5,-1*$AA$1),OFFSET(E977,0,0,-1*$J$5,1),F978:T978,0)</f>
        <v>22.531412829069488</v>
      </c>
      <c r="V978" s="9" cm="1">
        <f t="array" aca="1" ref="V978" ca="1">z_score_diff(OFFSET(U978,0,0,$J$5*-1,1),OFFSET(E978,0,0,$J$5*-1,1))</f>
        <v>0.55838178980071418</v>
      </c>
      <c r="W978" s="9">
        <f t="shared" ca="1" si="1056"/>
        <v>0.17286777191338645</v>
      </c>
      <c r="X978" s="17">
        <f t="shared" ca="1" si="1051"/>
        <v>-6.4389715618194773E-2</v>
      </c>
      <c r="Y978" s="13">
        <f t="shared" ref="Y978:Z978" ca="1" si="1068">+Y977</f>
        <v>0</v>
      </c>
      <c r="Z978" s="13">
        <f t="shared" ca="1" si="1068"/>
        <v>0</v>
      </c>
      <c r="AA978">
        <f t="shared" ca="1" si="1058"/>
        <v>0</v>
      </c>
      <c r="AB978">
        <f t="shared" ca="1" si="1059"/>
        <v>1</v>
      </c>
      <c r="AC978" s="24">
        <f t="shared" ca="1" si="1060"/>
        <v>0</v>
      </c>
      <c r="AD978" s="24">
        <f t="shared" ca="1" si="1061"/>
        <v>-6.4389715618194773E-2</v>
      </c>
    </row>
    <row r="979" spans="3:30" x14ac:dyDescent="0.25">
      <c r="C979" s="6">
        <v>1073</v>
      </c>
      <c r="D979" s="36">
        <v>43532</v>
      </c>
      <c r="E979" s="38">
        <v>20.856000000000002</v>
      </c>
      <c r="F979" s="38">
        <v>55.943198527983263</v>
      </c>
      <c r="G979" s="38">
        <v>56.12</v>
      </c>
      <c r="H979" s="38">
        <v>2.6015875469179432</v>
      </c>
      <c r="I979" s="38">
        <v>7.2012081451362917</v>
      </c>
      <c r="J979" s="10">
        <v>0</v>
      </c>
      <c r="K979" s="39">
        <v>0</v>
      </c>
      <c r="L979" s="39">
        <v>1</v>
      </c>
      <c r="M979" s="39">
        <v>0</v>
      </c>
      <c r="N979" s="39">
        <v>0</v>
      </c>
      <c r="O979" s="39">
        <v>0</v>
      </c>
      <c r="P979" s="39">
        <v>0</v>
      </c>
      <c r="Q979" s="39">
        <v>0</v>
      </c>
      <c r="R979" s="39">
        <v>0</v>
      </c>
      <c r="S979" s="39">
        <v>0</v>
      </c>
      <c r="T979" s="39">
        <v>0</v>
      </c>
      <c r="U979" s="29" cm="1">
        <f t="array" aca="1" ref="U979" ca="1">+fair_value_gap(OFFSET(T978,0,0,-1*$J$5,-1*$AA$1),OFFSET(E978,0,0,-1*$J$5,1),F979:T979,0)</f>
        <v>22.315051391471457</v>
      </c>
      <c r="V979" s="9" cm="1">
        <f t="array" aca="1" ref="V979" ca="1">z_score_diff(OFFSET(U979,0,0,$J$5*-1,1),OFFSET(E979,0,0,$J$5*-1,1))</f>
        <v>0.55104192424315934</v>
      </c>
      <c r="W979" s="9">
        <f t="shared" ca="1" si="1056"/>
        <v>0.19015949291650577</v>
      </c>
      <c r="X979" s="17">
        <f t="shared" ca="1" si="1051"/>
        <v>-4.0710122501727557E-2</v>
      </c>
      <c r="Y979" s="13">
        <f t="shared" ref="Y979:Z979" ca="1" si="1069">+Y978</f>
        <v>0</v>
      </c>
      <c r="Z979" s="13">
        <f t="shared" ca="1" si="1069"/>
        <v>0</v>
      </c>
      <c r="AA979">
        <f t="shared" ca="1" si="1058"/>
        <v>0</v>
      </c>
      <c r="AB979">
        <f t="shared" ca="1" si="1059"/>
        <v>1</v>
      </c>
      <c r="AC979" s="24">
        <f t="shared" ca="1" si="1060"/>
        <v>0</v>
      </c>
      <c r="AD979" s="24">
        <f t="shared" ca="1" si="1061"/>
        <v>-4.0710122501727557E-2</v>
      </c>
    </row>
    <row r="980" spans="3:30" x14ac:dyDescent="0.25">
      <c r="C980" s="6">
        <v>1074</v>
      </c>
      <c r="D980" s="36">
        <v>43535</v>
      </c>
      <c r="E980" s="38">
        <v>20.573</v>
      </c>
      <c r="F980" s="38">
        <v>56.386925200876803</v>
      </c>
      <c r="G980" s="38">
        <v>55.87</v>
      </c>
      <c r="H980" s="38">
        <v>2.5541837046183988</v>
      </c>
      <c r="I980" s="38">
        <v>7.2132838248254236</v>
      </c>
      <c r="J980" s="10">
        <v>0</v>
      </c>
      <c r="K980" s="39">
        <v>0</v>
      </c>
      <c r="L980" s="39">
        <v>1</v>
      </c>
      <c r="M980" s="39">
        <v>0</v>
      </c>
      <c r="N980" s="39">
        <v>0</v>
      </c>
      <c r="O980" s="39">
        <v>0</v>
      </c>
      <c r="P980" s="39">
        <v>0</v>
      </c>
      <c r="Q980" s="39">
        <v>0</v>
      </c>
      <c r="R980" s="39">
        <v>0</v>
      </c>
      <c r="S980" s="39">
        <v>0</v>
      </c>
      <c r="T980" s="39">
        <v>0</v>
      </c>
      <c r="U980" s="29" cm="1">
        <f t="array" aca="1" ref="U980" ca="1">+fair_value_gap(OFFSET(T979,0,0,-1*$J$5,-1*$AA$1),OFFSET(E979,0,0,-1*$J$5,1),F980:T980,0)</f>
        <v>22.123275354970755</v>
      </c>
      <c r="V980" s="9" cm="1">
        <f t="array" aca="1" ref="V980" ca="1">z_score_diff(OFFSET(U980,0,0,$J$5*-1,1),OFFSET(E980,0,0,$J$5*-1,1))</f>
        <v>0.59016996762147822</v>
      </c>
      <c r="W980" s="9">
        <f t="shared" ca="1" si="1056"/>
        <v>0.209921121377831</v>
      </c>
      <c r="X980" s="17">
        <f t="shared" ca="1" si="1051"/>
        <v>-3.0850648808217522E-2</v>
      </c>
      <c r="Y980" s="13">
        <f t="shared" ref="Y980:Z980" ca="1" si="1070">+Y979</f>
        <v>0</v>
      </c>
      <c r="Z980" s="13">
        <f t="shared" ca="1" si="1070"/>
        <v>0</v>
      </c>
      <c r="AA980">
        <f t="shared" ca="1" si="1058"/>
        <v>0</v>
      </c>
      <c r="AB980">
        <f t="shared" ca="1" si="1059"/>
        <v>1</v>
      </c>
      <c r="AC980" s="24">
        <f t="shared" ca="1" si="1060"/>
        <v>0</v>
      </c>
      <c r="AD980" s="24">
        <f t="shared" ca="1" si="1061"/>
        <v>-3.0850648808217522E-2</v>
      </c>
    </row>
    <row r="981" spans="3:30" x14ac:dyDescent="0.25">
      <c r="C981" s="6">
        <v>1075</v>
      </c>
      <c r="D981" s="36">
        <v>43536</v>
      </c>
      <c r="E981" s="38">
        <v>20.25</v>
      </c>
      <c r="F981" s="38">
        <v>56.241655253946611</v>
      </c>
      <c r="G981" s="38">
        <v>55.5</v>
      </c>
      <c r="H981" s="38">
        <v>2.5483157574580764</v>
      </c>
      <c r="I981" s="38">
        <v>7.0624260034745072</v>
      </c>
      <c r="J981" s="10">
        <v>0</v>
      </c>
      <c r="K981" s="39">
        <v>0</v>
      </c>
      <c r="L981" s="39">
        <v>1</v>
      </c>
      <c r="M981" s="39">
        <v>0</v>
      </c>
      <c r="N981" s="39">
        <v>0</v>
      </c>
      <c r="O981" s="39">
        <v>0</v>
      </c>
      <c r="P981" s="39">
        <v>0</v>
      </c>
      <c r="Q981" s="39">
        <v>0</v>
      </c>
      <c r="R981" s="39">
        <v>0</v>
      </c>
      <c r="S981" s="39">
        <v>0</v>
      </c>
      <c r="T981" s="39">
        <v>0</v>
      </c>
      <c r="U981" s="29" cm="1">
        <f t="array" aca="1" ref="U981" ca="1">+fair_value_gap(OFFSET(T980,0,0,-1*$J$5,-1*$AA$1),OFFSET(E980,0,0,-1*$J$5,1),F981:T981,0)</f>
        <v>21.808920631718557</v>
      </c>
      <c r="V981" s="9" cm="1">
        <f t="array" aca="1" ref="V981" ca="1">z_score_diff(OFFSET(U981,0,0,$J$5*-1,1),OFFSET(E981,0,0,$J$5*-1,1))</f>
        <v>0.59344233799551793</v>
      </c>
      <c r="W981" s="9">
        <f t="shared" ca="1" si="1056"/>
        <v>0.22974571794987753</v>
      </c>
      <c r="X981" s="17">
        <f t="shared" ca="1" si="1051"/>
        <v>-5.1986749092375545E-3</v>
      </c>
      <c r="Y981" s="13">
        <f t="shared" ref="Y981:Z981" ca="1" si="1071">+Y980</f>
        <v>0</v>
      </c>
      <c r="Z981" s="13">
        <f t="shared" ca="1" si="1071"/>
        <v>0</v>
      </c>
      <c r="AA981">
        <f t="shared" ca="1" si="1058"/>
        <v>0</v>
      </c>
      <c r="AB981">
        <f t="shared" ca="1" si="1059"/>
        <v>1</v>
      </c>
      <c r="AC981" s="24">
        <f t="shared" ca="1" si="1060"/>
        <v>0</v>
      </c>
      <c r="AD981" s="24">
        <f t="shared" ca="1" si="1061"/>
        <v>-5.1986749092375545E-3</v>
      </c>
    </row>
    <row r="982" spans="3:30" x14ac:dyDescent="0.25">
      <c r="C982" s="6">
        <v>1076</v>
      </c>
      <c r="D982" s="36">
        <v>43537</v>
      </c>
      <c r="E982" s="38">
        <v>19.954000000000001</v>
      </c>
      <c r="F982" s="38">
        <v>56.695418140479319</v>
      </c>
      <c r="G982" s="38">
        <v>53.9</v>
      </c>
      <c r="H982" s="38">
        <v>2.5492821262622285</v>
      </c>
      <c r="I982" s="38">
        <v>6.8782679262985251</v>
      </c>
      <c r="J982" s="10">
        <v>0</v>
      </c>
      <c r="K982" s="39">
        <v>0</v>
      </c>
      <c r="L982" s="39">
        <v>1</v>
      </c>
      <c r="M982" s="39">
        <v>0</v>
      </c>
      <c r="N982" s="39">
        <v>0</v>
      </c>
      <c r="O982" s="39">
        <v>0</v>
      </c>
      <c r="P982" s="39">
        <v>0</v>
      </c>
      <c r="Q982" s="39">
        <v>0</v>
      </c>
      <c r="R982" s="39">
        <v>0</v>
      </c>
      <c r="S982" s="39">
        <v>0</v>
      </c>
      <c r="T982" s="39">
        <v>0</v>
      </c>
      <c r="U982" s="29" cm="1">
        <f t="array" aca="1" ref="U982" ca="1">+fair_value_gap(OFFSET(T981,0,0,-1*$J$5,-1*$AA$1),OFFSET(E981,0,0,-1*$J$5,1),F982:T982,0)</f>
        <v>21.308164302897811</v>
      </c>
      <c r="V982" s="9" cm="1">
        <f t="array" aca="1" ref="V982" ca="1">z_score_diff(OFFSET(U982,0,0,$J$5*-1,1),OFFSET(E982,0,0,$J$5*-1,1))</f>
        <v>0.50385319588120658</v>
      </c>
      <c r="W982" s="9">
        <f t="shared" ca="1" si="1056"/>
        <v>0.24407369151615549</v>
      </c>
      <c r="X982" s="17">
        <f t="shared" ca="1" si="1051"/>
        <v>-4.2688963203634037E-3</v>
      </c>
      <c r="Y982" s="13">
        <f t="shared" ref="Y982:Z982" ca="1" si="1072">+Y981</f>
        <v>0</v>
      </c>
      <c r="Z982" s="13">
        <f t="shared" ca="1" si="1072"/>
        <v>0</v>
      </c>
      <c r="AA982">
        <f t="shared" ca="1" si="1058"/>
        <v>0</v>
      </c>
      <c r="AB982">
        <f t="shared" ca="1" si="1059"/>
        <v>1</v>
      </c>
      <c r="AC982" s="24">
        <f t="shared" ca="1" si="1060"/>
        <v>0</v>
      </c>
      <c r="AD982" s="24">
        <f t="shared" ca="1" si="1061"/>
        <v>-4.2688963203634037E-3</v>
      </c>
    </row>
    <row r="983" spans="3:30" x14ac:dyDescent="0.25">
      <c r="C983" s="6">
        <v>1077</v>
      </c>
      <c r="D983" s="36">
        <v>43538</v>
      </c>
      <c r="E983" s="38">
        <v>19.699000000000002</v>
      </c>
      <c r="F983" s="38">
        <v>56.468472055829984</v>
      </c>
      <c r="G983" s="38">
        <v>54.27</v>
      </c>
      <c r="H983" s="38">
        <v>2.5608194622279132</v>
      </c>
      <c r="I983" s="38">
        <v>6.6852491993148266</v>
      </c>
      <c r="J983" s="10">
        <v>0</v>
      </c>
      <c r="K983" s="39">
        <v>0</v>
      </c>
      <c r="L983" s="39">
        <v>1</v>
      </c>
      <c r="M983" s="39">
        <v>0</v>
      </c>
      <c r="N983" s="39">
        <v>0</v>
      </c>
      <c r="O983" s="39">
        <v>0</v>
      </c>
      <c r="P983" s="39">
        <v>0</v>
      </c>
      <c r="Q983" s="39">
        <v>0</v>
      </c>
      <c r="R983" s="39">
        <v>0</v>
      </c>
      <c r="S983" s="39">
        <v>0</v>
      </c>
      <c r="T983" s="39">
        <v>0</v>
      </c>
      <c r="U983" s="29" cm="1">
        <f t="array" aca="1" ref="U983" ca="1">+fair_value_gap(OFFSET(T982,0,0,-1*$J$5,-1*$AA$1),OFFSET(E982,0,0,-1*$J$5,1),F983:T983,0)</f>
        <v>21.112045302097279</v>
      </c>
      <c r="V983" s="9" cm="1">
        <f t="array" aca="1" ref="V983" ca="1">z_score_diff(OFFSET(U983,0,0,$J$5*-1,1),OFFSET(E983,0,0,$J$5*-1,1))</f>
        <v>0.52724260694449099</v>
      </c>
      <c r="W983" s="9">
        <f t="shared" ca="1" si="1056"/>
        <v>0.25938066781010605</v>
      </c>
      <c r="X983" s="17">
        <f t="shared" ca="1" si="1051"/>
        <v>2.8893696441599443E-3</v>
      </c>
      <c r="Y983" s="13">
        <f t="shared" ref="Y983:Z983" ca="1" si="1073">+Y982</f>
        <v>0</v>
      </c>
      <c r="Z983" s="13">
        <f t="shared" ca="1" si="1073"/>
        <v>0</v>
      </c>
      <c r="AA983">
        <f t="shared" ca="1" si="1058"/>
        <v>0</v>
      </c>
      <c r="AB983">
        <f t="shared" ca="1" si="1059"/>
        <v>1</v>
      </c>
      <c r="AC983" s="24">
        <f t="shared" ca="1" si="1060"/>
        <v>0</v>
      </c>
      <c r="AD983" s="24">
        <f t="shared" ca="1" si="1061"/>
        <v>2.8893696441599443E-3</v>
      </c>
    </row>
    <row r="984" spans="3:30" x14ac:dyDescent="0.25">
      <c r="C984" s="6">
        <v>1078</v>
      </c>
      <c r="D984" s="36">
        <v>43539</v>
      </c>
      <c r="E984" s="38">
        <v>19.148</v>
      </c>
      <c r="F984" s="38">
        <v>56.205900463401079</v>
      </c>
      <c r="G984" s="38">
        <v>53.19</v>
      </c>
      <c r="H984" s="38">
        <v>2.5392426462590918</v>
      </c>
      <c r="I984" s="38">
        <v>6.6285794543154717</v>
      </c>
      <c r="J984" s="10">
        <v>0</v>
      </c>
      <c r="K984" s="39">
        <v>0</v>
      </c>
      <c r="L984" s="39">
        <v>1</v>
      </c>
      <c r="M984" s="39">
        <v>0</v>
      </c>
      <c r="N984" s="39">
        <v>0</v>
      </c>
      <c r="O984" s="39">
        <v>0</v>
      </c>
      <c r="P984" s="39">
        <v>0</v>
      </c>
      <c r="Q984" s="39">
        <v>0</v>
      </c>
      <c r="R984" s="39">
        <v>0</v>
      </c>
      <c r="S984" s="39">
        <v>0</v>
      </c>
      <c r="T984" s="39">
        <v>0</v>
      </c>
      <c r="U984" s="29" cm="1">
        <f t="array" aca="1" ref="U984" ca="1">+fair_value_gap(OFFSET(T983,0,0,-1*$J$5,-1*$AA$1),OFFSET(E983,0,0,-1*$J$5,1),F984:T984,0)</f>
        <v>20.60965508537841</v>
      </c>
      <c r="V984" s="9" cm="1">
        <f t="array" aca="1" ref="V984" ca="1">z_score_diff(OFFSET(U984,0,0,$J$5*-1,1),OFFSET(E984,0,0,$J$5*-1,1))</f>
        <v>0.54605476262590713</v>
      </c>
      <c r="W984" s="9">
        <f t="shared" ca="1" si="1056"/>
        <v>0.26280050064980215</v>
      </c>
      <c r="X984" s="17">
        <f t="shared" ca="1" si="1051"/>
        <v>-3.4914144305413487E-2</v>
      </c>
      <c r="Y984" s="13">
        <f t="shared" ref="Y984:Z984" ca="1" si="1074">+Y983</f>
        <v>0</v>
      </c>
      <c r="Z984" s="13">
        <f t="shared" ca="1" si="1074"/>
        <v>0</v>
      </c>
      <c r="AA984">
        <f t="shared" ca="1" si="1058"/>
        <v>0</v>
      </c>
      <c r="AB984">
        <f t="shared" ca="1" si="1059"/>
        <v>1</v>
      </c>
      <c r="AC984" s="24">
        <f t="shared" ca="1" si="1060"/>
        <v>0</v>
      </c>
      <c r="AD984" s="24">
        <f t="shared" ca="1" si="1061"/>
        <v>-3.4914144305413487E-2</v>
      </c>
    </row>
    <row r="985" spans="3:30" x14ac:dyDescent="0.25">
      <c r="C985" s="6">
        <v>1079</v>
      </c>
      <c r="D985" s="36">
        <v>43542</v>
      </c>
      <c r="E985" s="38">
        <v>18.861999999999998</v>
      </c>
      <c r="F985" s="38">
        <v>56.23358143607706</v>
      </c>
      <c r="G985" s="38">
        <v>52.14</v>
      </c>
      <c r="H985" s="38">
        <v>2.5679660135726796</v>
      </c>
      <c r="I985" s="38">
        <v>5.8106323883537652</v>
      </c>
      <c r="J985" s="10">
        <v>0</v>
      </c>
      <c r="K985" s="39">
        <v>0</v>
      </c>
      <c r="L985" s="39">
        <v>1</v>
      </c>
      <c r="M985" s="39">
        <v>0</v>
      </c>
      <c r="N985" s="39">
        <v>0</v>
      </c>
      <c r="O985" s="39">
        <v>0</v>
      </c>
      <c r="P985" s="39">
        <v>0</v>
      </c>
      <c r="Q985" s="39">
        <v>0</v>
      </c>
      <c r="R985" s="39">
        <v>0</v>
      </c>
      <c r="S985" s="39">
        <v>0</v>
      </c>
      <c r="T985" s="39">
        <v>0</v>
      </c>
      <c r="U985" s="29" cm="1">
        <f t="array" aca="1" ref="U985" ca="1">+fair_value_gap(OFFSET(T984,0,0,-1*$J$5,-1*$AA$1),OFFSET(E984,0,0,-1*$J$5,1),F985:T985,0)</f>
        <v>19.654251365474355</v>
      </c>
      <c r="V985" s="9" cm="1">
        <f t="array" aca="1" ref="V985" ca="1">z_score_diff(OFFSET(U985,0,0,$J$5*-1,1),OFFSET(E985,0,0,$J$5*-1,1))</f>
        <v>0.25142808900410241</v>
      </c>
      <c r="W985" s="9">
        <f t="shared" ca="1" si="1056"/>
        <v>0.2640091505329536</v>
      </c>
      <c r="X985" s="17">
        <f t="shared" ca="1" si="1051"/>
        <v>-4.333903229308593E-2</v>
      </c>
      <c r="Y985" s="13">
        <f t="shared" ref="Y985:Z985" ca="1" si="1075">+Y984</f>
        <v>0</v>
      </c>
      <c r="Z985" s="13">
        <f t="shared" ca="1" si="1075"/>
        <v>0</v>
      </c>
      <c r="AA985">
        <f t="shared" ca="1" si="1058"/>
        <v>0</v>
      </c>
      <c r="AB985">
        <f t="shared" ca="1" si="1059"/>
        <v>1</v>
      </c>
      <c r="AC985" s="24">
        <f t="shared" ca="1" si="1060"/>
        <v>0</v>
      </c>
      <c r="AD985" s="24">
        <f t="shared" ca="1" si="1061"/>
        <v>-4.333903229308593E-2</v>
      </c>
    </row>
    <row r="986" spans="3:30" x14ac:dyDescent="0.25">
      <c r="C986" s="6">
        <v>1080</v>
      </c>
      <c r="D986" s="36">
        <v>43543</v>
      </c>
      <c r="E986" s="38">
        <v>18.806000000000001</v>
      </c>
      <c r="F986" s="38">
        <v>56.233051911769984</v>
      </c>
      <c r="G986" s="38">
        <v>52.55</v>
      </c>
      <c r="H986" s="38">
        <v>2.5707270313357018</v>
      </c>
      <c r="I986" s="38">
        <v>5.7881939638748356</v>
      </c>
      <c r="J986" s="10">
        <v>0</v>
      </c>
      <c r="K986" s="39">
        <v>0</v>
      </c>
      <c r="L986" s="39">
        <v>1</v>
      </c>
      <c r="M986" s="39">
        <v>0</v>
      </c>
      <c r="N986" s="39">
        <v>0</v>
      </c>
      <c r="O986" s="39">
        <v>0</v>
      </c>
      <c r="P986" s="39">
        <v>0</v>
      </c>
      <c r="Q986" s="39">
        <v>0</v>
      </c>
      <c r="R986" s="39">
        <v>0</v>
      </c>
      <c r="S986" s="39">
        <v>0</v>
      </c>
      <c r="T986" s="39">
        <v>0</v>
      </c>
      <c r="U986" s="29" cm="1">
        <f t="array" aca="1" ref="U986" ca="1">+fair_value_gap(OFFSET(T985,0,0,-1*$J$5,-1*$AA$1),OFFSET(E985,0,0,-1*$J$5,1),F986:T986,0)</f>
        <v>19.408982918847528</v>
      </c>
      <c r="V986" s="9" cm="1">
        <f t="array" aca="1" ref="V986" ca="1">z_score_diff(OFFSET(U986,0,0,$J$5*-1,1),OFFSET(E986,0,0,$J$5*-1,1))</f>
        <v>0.16552230138752111</v>
      </c>
      <c r="W986" s="9">
        <f t="shared" ca="1" si="1056"/>
        <v>0.25981554298578863</v>
      </c>
      <c r="X986" s="17">
        <f t="shared" ca="1" si="1051"/>
        <v>-5.1724380759860536E-2</v>
      </c>
      <c r="Y986" s="13">
        <f t="shared" ref="Y986:Z986" ca="1" si="1076">+Y985</f>
        <v>0</v>
      </c>
      <c r="Z986" s="13">
        <f t="shared" ca="1" si="1076"/>
        <v>0</v>
      </c>
      <c r="AA986">
        <f t="shared" ca="1" si="1058"/>
        <v>0</v>
      </c>
      <c r="AB986">
        <f t="shared" ca="1" si="1059"/>
        <v>1</v>
      </c>
      <c r="AC986" s="24">
        <f t="shared" ca="1" si="1060"/>
        <v>0</v>
      </c>
      <c r="AD986" s="24">
        <f t="shared" ca="1" si="1061"/>
        <v>-5.1724380759860536E-2</v>
      </c>
    </row>
    <row r="987" spans="3:30" x14ac:dyDescent="0.25">
      <c r="C987" s="6">
        <v>1081</v>
      </c>
      <c r="D987" s="36">
        <v>43544</v>
      </c>
      <c r="E987" s="38">
        <v>19.175000000000001</v>
      </c>
      <c r="F987" s="38">
        <v>56.4624086831246</v>
      </c>
      <c r="G987" s="38">
        <v>52.47</v>
      </c>
      <c r="H987" s="38">
        <v>2.5337112793074574</v>
      </c>
      <c r="I987" s="38">
        <v>5.7244365870968563</v>
      </c>
      <c r="J987" s="10">
        <v>0</v>
      </c>
      <c r="K987" s="39">
        <v>0</v>
      </c>
      <c r="L987" s="39">
        <v>1</v>
      </c>
      <c r="M987" s="39">
        <v>0</v>
      </c>
      <c r="N987" s="39">
        <v>0</v>
      </c>
      <c r="O987" s="39">
        <v>0</v>
      </c>
      <c r="P987" s="39">
        <v>0</v>
      </c>
      <c r="Q987" s="39">
        <v>0</v>
      </c>
      <c r="R987" s="39">
        <v>0</v>
      </c>
      <c r="S987" s="39">
        <v>0</v>
      </c>
      <c r="T987" s="39">
        <v>0</v>
      </c>
      <c r="U987" s="29" cm="1">
        <f t="array" aca="1" ref="U987" ca="1">+fair_value_gap(OFFSET(T986,0,0,-1*$J$5,-1*$AA$1),OFFSET(E986,0,0,-1*$J$5,1),F987:T987,0)</f>
        <v>19.10029613316922</v>
      </c>
      <c r="V987" s="9" cm="1">
        <f t="array" aca="1" ref="V987" ca="1">z_score_diff(OFFSET(U987,0,0,$J$5*-1,1),OFFSET(E987,0,0,$J$5*-1,1))</f>
        <v>-0.13190429830116823</v>
      </c>
      <c r="W987" s="9">
        <f t="shared" ca="1" si="1056"/>
        <v>0.2442975910477613</v>
      </c>
      <c r="X987" s="17">
        <f t="shared" ca="1" si="1051"/>
        <v>-4.3541900456420625E-2</v>
      </c>
      <c r="Y987" s="13">
        <f t="shared" ref="Y987:Z987" ca="1" si="1077">+Y986</f>
        <v>0</v>
      </c>
      <c r="Z987" s="13">
        <f t="shared" ca="1" si="1077"/>
        <v>0</v>
      </c>
      <c r="AA987">
        <f t="shared" ca="1" si="1058"/>
        <v>0</v>
      </c>
      <c r="AB987">
        <f t="shared" ca="1" si="1059"/>
        <v>1</v>
      </c>
      <c r="AC987" s="24">
        <f t="shared" ca="1" si="1060"/>
        <v>0</v>
      </c>
      <c r="AD987" s="24">
        <f t="shared" ca="1" si="1061"/>
        <v>-4.3541900456420625E-2</v>
      </c>
    </row>
    <row r="988" spans="3:30" x14ac:dyDescent="0.25">
      <c r="C988" s="6">
        <v>1082</v>
      </c>
      <c r="D988" s="36">
        <v>43545</v>
      </c>
      <c r="E988" s="38">
        <v>18.873999999999999</v>
      </c>
      <c r="F988" s="38">
        <v>56.235017000986709</v>
      </c>
      <c r="G988" s="38">
        <v>52.36</v>
      </c>
      <c r="H988" s="38">
        <v>2.5507876228382051</v>
      </c>
      <c r="I988" s="38">
        <v>5.777862301815059</v>
      </c>
      <c r="J988" s="10">
        <v>0</v>
      </c>
      <c r="K988" s="39">
        <v>0</v>
      </c>
      <c r="L988" s="39">
        <v>1</v>
      </c>
      <c r="M988" s="39">
        <v>0</v>
      </c>
      <c r="N988" s="39">
        <v>0</v>
      </c>
      <c r="O988" s="39">
        <v>0</v>
      </c>
      <c r="P988" s="39">
        <v>0</v>
      </c>
      <c r="Q988" s="39">
        <v>0</v>
      </c>
      <c r="R988" s="39">
        <v>0</v>
      </c>
      <c r="S988" s="39">
        <v>0</v>
      </c>
      <c r="T988" s="39">
        <v>0</v>
      </c>
      <c r="U988" s="29" cm="1">
        <f t="array" aca="1" ref="U988" ca="1">+fair_value_gap(OFFSET(T987,0,0,-1*$J$5,-1*$AA$1),OFFSET(E987,0,0,-1*$J$5,1),F988:T988,0)</f>
        <v>19.016710595883016</v>
      </c>
      <c r="V988" s="9" cm="1">
        <f t="array" aca="1" ref="V988" ca="1">z_score_diff(OFFSET(U988,0,0,$J$5*-1,1),OFFSET(E988,0,0,$J$5*-1,1))</f>
        <v>-3.6977798002705509E-2</v>
      </c>
      <c r="W988" s="9">
        <f t="shared" ca="1" si="1056"/>
        <v>0.23592248166784202</v>
      </c>
      <c r="X988" s="17">
        <f t="shared" ca="1" si="1051"/>
        <v>-2.7883296650343541E-2</v>
      </c>
      <c r="Y988" s="13">
        <f t="shared" ref="Y988:Z988" ca="1" si="1078">+Y987</f>
        <v>0</v>
      </c>
      <c r="Z988" s="13">
        <f t="shared" ca="1" si="1078"/>
        <v>0</v>
      </c>
      <c r="AA988">
        <f t="shared" ca="1" si="1058"/>
        <v>0</v>
      </c>
      <c r="AB988">
        <f t="shared" ca="1" si="1059"/>
        <v>1</v>
      </c>
      <c r="AC988" s="24">
        <f t="shared" ca="1" si="1060"/>
        <v>0</v>
      </c>
      <c r="AD988" s="24">
        <f t="shared" ca="1" si="1061"/>
        <v>-2.7883296650343541E-2</v>
      </c>
    </row>
    <row r="989" spans="3:30" x14ac:dyDescent="0.25">
      <c r="C989" s="6">
        <v>1083</v>
      </c>
      <c r="D989" s="36">
        <v>43546</v>
      </c>
      <c r="E989" s="38">
        <v>18.943999999999999</v>
      </c>
      <c r="F989" s="38">
        <v>55.836008433322426</v>
      </c>
      <c r="G989" s="38">
        <v>51.3</v>
      </c>
      <c r="H989" s="38">
        <v>2.5459572310076481</v>
      </c>
      <c r="I989" s="38">
        <v>5.7234697441257198</v>
      </c>
      <c r="J989" s="10">
        <v>0</v>
      </c>
      <c r="K989" s="39">
        <v>0</v>
      </c>
      <c r="L989" s="39">
        <v>1</v>
      </c>
      <c r="M989" s="39">
        <v>0</v>
      </c>
      <c r="N989" s="39">
        <v>0</v>
      </c>
      <c r="O989" s="39">
        <v>0</v>
      </c>
      <c r="P989" s="39">
        <v>0</v>
      </c>
      <c r="Q989" s="39">
        <v>0</v>
      </c>
      <c r="R989" s="39">
        <v>0</v>
      </c>
      <c r="S989" s="39">
        <v>0</v>
      </c>
      <c r="T989" s="39">
        <v>0</v>
      </c>
      <c r="U989" s="29" cm="1">
        <f t="array" aca="1" ref="U989" ca="1">+fair_value_gap(OFFSET(T988,0,0,-1*$J$5,-1*$AA$1),OFFSET(E988,0,0,-1*$J$5,1),F989:T989,0)</f>
        <v>18.626949860515182</v>
      </c>
      <c r="V989" s="9" cm="1">
        <f t="array" aca="1" ref="V989" ca="1">z_score_diff(OFFSET(U989,0,0,$J$5*-1,1),OFFSET(E989,0,0,$J$5*-1,1))</f>
        <v>-0.2340593936858002</v>
      </c>
      <c r="W989" s="9">
        <f t="shared" ca="1" si="1056"/>
        <v>0.22063534863079973</v>
      </c>
      <c r="X989" s="17">
        <f t="shared" ca="1" si="1051"/>
        <v>-2.4581765693575033E-2</v>
      </c>
      <c r="Y989" s="13">
        <f t="shared" ref="Y989:Z989" ca="1" si="1079">+Y988</f>
        <v>0</v>
      </c>
      <c r="Z989" s="13">
        <f t="shared" ca="1" si="1079"/>
        <v>0</v>
      </c>
      <c r="AA989">
        <f t="shared" ca="1" si="1058"/>
        <v>0</v>
      </c>
      <c r="AB989">
        <f t="shared" ca="1" si="1059"/>
        <v>1</v>
      </c>
      <c r="AC989" s="24">
        <f t="shared" ca="1" si="1060"/>
        <v>0</v>
      </c>
      <c r="AD989" s="24">
        <f t="shared" ca="1" si="1061"/>
        <v>-2.4581765693575033E-2</v>
      </c>
    </row>
    <row r="990" spans="3:30" x14ac:dyDescent="0.25">
      <c r="C990" s="6">
        <v>1084</v>
      </c>
      <c r="D990" s="36">
        <v>43549</v>
      </c>
      <c r="E990" s="38">
        <v>18.713000000000001</v>
      </c>
      <c r="F990" s="38">
        <v>55.878677177465867</v>
      </c>
      <c r="G990" s="38">
        <v>51.07</v>
      </c>
      <c r="H990" s="38">
        <v>2.5475870024995193</v>
      </c>
      <c r="I990" s="38">
        <v>5.7166204301370618</v>
      </c>
      <c r="J990" s="10">
        <v>0</v>
      </c>
      <c r="K990" s="39">
        <v>0</v>
      </c>
      <c r="L990" s="39">
        <v>1</v>
      </c>
      <c r="M990" s="39">
        <v>0</v>
      </c>
      <c r="N990" s="39">
        <v>0</v>
      </c>
      <c r="O990" s="39">
        <v>0</v>
      </c>
      <c r="P990" s="39">
        <v>0</v>
      </c>
      <c r="Q990" s="39">
        <v>0</v>
      </c>
      <c r="R990" s="39">
        <v>0</v>
      </c>
      <c r="S990" s="39">
        <v>0</v>
      </c>
      <c r="T990" s="39">
        <v>0</v>
      </c>
      <c r="U990" s="29" cm="1">
        <f t="array" aca="1" ref="U990" ca="1">+fair_value_gap(OFFSET(T989,0,0,-1*$J$5,-1*$AA$1),OFFSET(E989,0,0,-1*$J$5,1),F990:T990,0)</f>
        <v>18.602001480477217</v>
      </c>
      <c r="V990" s="9" cm="1">
        <f t="array" aca="1" ref="V990" ca="1">z_score_diff(OFFSET(U990,0,0,$J$5*-1,1),OFFSET(E990,0,0,$J$5*-1,1))</f>
        <v>-0.14114012018608646</v>
      </c>
      <c r="W990" s="9">
        <f t="shared" ca="1" si="1056"/>
        <v>0.21132145186791357</v>
      </c>
      <c r="X990" s="17">
        <f t="shared" ca="1" si="1051"/>
        <v>-1.4262505968948316E-2</v>
      </c>
      <c r="Y990" s="13">
        <f t="shared" ref="Y990:Z990" ca="1" si="1080">+Y989</f>
        <v>0</v>
      </c>
      <c r="Z990" s="13">
        <f t="shared" ca="1" si="1080"/>
        <v>0</v>
      </c>
      <c r="AA990">
        <f t="shared" ca="1" si="1058"/>
        <v>0</v>
      </c>
      <c r="AB990">
        <f t="shared" ca="1" si="1059"/>
        <v>1</v>
      </c>
      <c r="AC990" s="24">
        <f t="shared" ca="1" si="1060"/>
        <v>0</v>
      </c>
      <c r="AD990" s="24">
        <f t="shared" ca="1" si="1061"/>
        <v>-1.4262505968948316E-2</v>
      </c>
    </row>
    <row r="991" spans="3:30" x14ac:dyDescent="0.25">
      <c r="C991" s="6">
        <v>1085</v>
      </c>
      <c r="D991" s="36">
        <v>43550</v>
      </c>
      <c r="E991" s="38">
        <v>18.911999999999999</v>
      </c>
      <c r="F991" s="38">
        <v>56.360451882974957</v>
      </c>
      <c r="G991" s="38">
        <v>52.06</v>
      </c>
      <c r="H991" s="38">
        <v>2.5457831750869917</v>
      </c>
      <c r="I991" s="38">
        <v>5.737704211871189</v>
      </c>
      <c r="J991" s="10">
        <v>0</v>
      </c>
      <c r="K991" s="39">
        <v>0</v>
      </c>
      <c r="L991" s="39">
        <v>1</v>
      </c>
      <c r="M991" s="39">
        <v>0</v>
      </c>
      <c r="N991" s="39">
        <v>0</v>
      </c>
      <c r="O991" s="39">
        <v>0</v>
      </c>
      <c r="P991" s="39">
        <v>0</v>
      </c>
      <c r="Q991" s="39">
        <v>0</v>
      </c>
      <c r="R991" s="39">
        <v>0</v>
      </c>
      <c r="S991" s="39">
        <v>0</v>
      </c>
      <c r="T991" s="39">
        <v>0</v>
      </c>
      <c r="U991" s="29" cm="1">
        <f t="array" aca="1" ref="U991" ca="1">+fair_value_gap(OFFSET(T990,0,0,-1*$J$5,-1*$AA$1),OFFSET(E990,0,0,-1*$J$5,1),F991:T991,0)</f>
        <v>18.923913135853493</v>
      </c>
      <c r="V991" s="9" cm="1">
        <f t="array" aca="1" ref="V991" ca="1">z_score_diff(OFFSET(U991,0,0,$J$5*-1,1),OFFSET(E991,0,0,$J$5*-1,1))</f>
        <v>-8.5336973396469951E-2</v>
      </c>
      <c r="W991" s="9">
        <f t="shared" ca="1" si="1056"/>
        <v>0.20336106131751899</v>
      </c>
      <c r="X991" s="17">
        <f t="shared" ca="1" si="1051"/>
        <v>-3.4426807750088009E-2</v>
      </c>
      <c r="Y991" s="13">
        <f t="shared" ref="Y991:Z991" ca="1" si="1081">+Y990</f>
        <v>0</v>
      </c>
      <c r="Z991" s="13">
        <f t="shared" ca="1" si="1081"/>
        <v>0</v>
      </c>
      <c r="AA991">
        <f t="shared" ca="1" si="1058"/>
        <v>0</v>
      </c>
      <c r="AB991">
        <f t="shared" ca="1" si="1059"/>
        <v>1</v>
      </c>
      <c r="AC991" s="24">
        <f t="shared" ca="1" si="1060"/>
        <v>0</v>
      </c>
      <c r="AD991" s="24">
        <f t="shared" ca="1" si="1061"/>
        <v>-3.4426807750088009E-2</v>
      </c>
    </row>
    <row r="992" spans="3:30" x14ac:dyDescent="0.25">
      <c r="C992" s="6">
        <v>1086</v>
      </c>
      <c r="D992" s="36">
        <v>43551</v>
      </c>
      <c r="E992" s="38">
        <v>19.34</v>
      </c>
      <c r="F992" s="38">
        <v>56.281356725065436</v>
      </c>
      <c r="G992" s="38">
        <v>52.53</v>
      </c>
      <c r="H992" s="38">
        <v>2.5339988244869209</v>
      </c>
      <c r="I992" s="38">
        <v>5.8042037107202127</v>
      </c>
      <c r="J992" s="10">
        <v>0</v>
      </c>
      <c r="K992" s="39">
        <v>0</v>
      </c>
      <c r="L992" s="39">
        <v>1</v>
      </c>
      <c r="M992" s="39">
        <v>0</v>
      </c>
      <c r="N992" s="39">
        <v>0</v>
      </c>
      <c r="O992" s="39">
        <v>0</v>
      </c>
      <c r="P992" s="39">
        <v>0</v>
      </c>
      <c r="Q992" s="39">
        <v>0</v>
      </c>
      <c r="R992" s="39">
        <v>0</v>
      </c>
      <c r="S992" s="39">
        <v>0</v>
      </c>
      <c r="T992" s="39">
        <v>0</v>
      </c>
      <c r="U992" s="29" cm="1">
        <f t="array" aca="1" ref="U992" ca="1">+fair_value_gap(OFFSET(T991,0,0,-1*$J$5,-1*$AA$1),OFFSET(E991,0,0,-1*$J$5,1),F992:T992,0)</f>
        <v>19.081690445184229</v>
      </c>
      <c r="V992" s="9" cm="1">
        <f t="array" aca="1" ref="V992" ca="1">z_score_diff(OFFSET(U992,0,0,$J$5*-1,1),OFFSET(E992,0,0,$J$5*-1,1))</f>
        <v>-0.20484985702543734</v>
      </c>
      <c r="W992" s="9">
        <f t="shared" ca="1" si="1056"/>
        <v>0.19633192309300701</v>
      </c>
      <c r="X992" s="17">
        <f t="shared" ca="1" si="1051"/>
        <v>-7.776591511542344E-2</v>
      </c>
      <c r="Y992" s="13">
        <f t="shared" ref="Y992:Z992" ca="1" si="1082">+Y991</f>
        <v>0</v>
      </c>
      <c r="Z992" s="13">
        <f t="shared" ca="1" si="1082"/>
        <v>0</v>
      </c>
      <c r="AA992">
        <f t="shared" ca="1" si="1058"/>
        <v>0</v>
      </c>
      <c r="AB992">
        <f t="shared" ca="1" si="1059"/>
        <v>1</v>
      </c>
      <c r="AC992" s="24">
        <f t="shared" ca="1" si="1060"/>
        <v>0</v>
      </c>
      <c r="AD992" s="24">
        <f t="shared" ca="1" si="1061"/>
        <v>-7.776591511542344E-2</v>
      </c>
    </row>
    <row r="993" spans="3:30" x14ac:dyDescent="0.25">
      <c r="C993" s="6">
        <v>1087</v>
      </c>
      <c r="D993" s="36">
        <v>43552</v>
      </c>
      <c r="E993" s="38">
        <v>19.129000000000001</v>
      </c>
      <c r="F993" s="38">
        <v>56.24346571820675</v>
      </c>
      <c r="G993" s="38">
        <v>52.52</v>
      </c>
      <c r="H993" s="38">
        <v>2.2708385758919265</v>
      </c>
      <c r="I993" s="38">
        <v>5.7376290750353895</v>
      </c>
      <c r="J993" s="10">
        <v>0</v>
      </c>
      <c r="K993" s="39">
        <v>0</v>
      </c>
      <c r="L993" s="39">
        <v>1</v>
      </c>
      <c r="M993" s="39">
        <v>0</v>
      </c>
      <c r="N993" s="39">
        <v>0</v>
      </c>
      <c r="O993" s="39">
        <v>0</v>
      </c>
      <c r="P993" s="39">
        <v>0</v>
      </c>
      <c r="Q993" s="39">
        <v>0</v>
      </c>
      <c r="R993" s="39">
        <v>0</v>
      </c>
      <c r="S993" s="39">
        <v>0</v>
      </c>
      <c r="T993" s="39">
        <v>0</v>
      </c>
      <c r="U993" s="29" cm="1">
        <f t="array" aca="1" ref="U993" ca="1">+fair_value_gap(OFFSET(T992,0,0,-1*$J$5,-1*$AA$1),OFFSET(E992,0,0,-1*$J$5,1),F993:T993,0)</f>
        <v>19.133760756694439</v>
      </c>
      <c r="V993" s="9" cm="1">
        <f t="array" aca="1" ref="V993" ca="1">z_score_diff(OFFSET(U993,0,0,$J$5*-1,1),OFFSET(E993,0,0,$J$5*-1,1))</f>
        <v>-8.7482375258270073E-2</v>
      </c>
      <c r="W993" s="9">
        <f t="shared" ca="1" si="1056"/>
        <v>0.19034977898831371</v>
      </c>
      <c r="X993" s="17">
        <f t="shared" ca="1" si="1051"/>
        <v>-6.5120703921056469E-2</v>
      </c>
      <c r="Y993" s="13">
        <f t="shared" ref="Y993:Z993" ca="1" si="1083">+Y992</f>
        <v>0</v>
      </c>
      <c r="Z993" s="13">
        <f t="shared" ca="1" si="1083"/>
        <v>0</v>
      </c>
      <c r="AA993">
        <f t="shared" ca="1" si="1058"/>
        <v>0</v>
      </c>
      <c r="AB993">
        <f t="shared" ca="1" si="1059"/>
        <v>1</v>
      </c>
      <c r="AC993" s="24">
        <f t="shared" ca="1" si="1060"/>
        <v>0</v>
      </c>
      <c r="AD993" s="24">
        <f t="shared" ca="1" si="1061"/>
        <v>-6.5120703921056469E-2</v>
      </c>
    </row>
    <row r="994" spans="3:30" x14ac:dyDescent="0.25">
      <c r="C994" s="6">
        <v>1088</v>
      </c>
      <c r="D994" s="36">
        <v>43553</v>
      </c>
      <c r="E994" s="38">
        <v>18.103999999999999</v>
      </c>
      <c r="F994" s="38">
        <v>56.631518852664634</v>
      </c>
      <c r="G994" s="38">
        <v>48.86</v>
      </c>
      <c r="H994" s="38">
        <v>2.2662987535356858</v>
      </c>
      <c r="I994" s="38">
        <v>5.6397968981117064</v>
      </c>
      <c r="J994" s="10">
        <v>0</v>
      </c>
      <c r="K994" s="39">
        <v>0</v>
      </c>
      <c r="L994" s="39">
        <v>1</v>
      </c>
      <c r="M994" s="39">
        <v>0</v>
      </c>
      <c r="N994" s="39">
        <v>0</v>
      </c>
      <c r="O994" s="39">
        <v>0</v>
      </c>
      <c r="P994" s="39">
        <v>0</v>
      </c>
      <c r="Q994" s="39">
        <v>0</v>
      </c>
      <c r="R994" s="39">
        <v>0</v>
      </c>
      <c r="S994" s="39">
        <v>0</v>
      </c>
      <c r="T994" s="39">
        <v>0</v>
      </c>
      <c r="U994" s="29" cm="1">
        <f t="array" aca="1" ref="U994" ca="1">+fair_value_gap(OFFSET(T993,0,0,-1*$J$5,-1*$AA$1),OFFSET(E993,0,0,-1*$J$5,1),F994:T994,0)</f>
        <v>18.133068428789596</v>
      </c>
      <c r="V994" s="9" cm="1">
        <f t="array" aca="1" ref="V994" ca="1">z_score_diff(OFFSET(U994,0,0,$J$5*-1,1),OFFSET(E994,0,0,$J$5*-1,1))</f>
        <v>-7.4850561798034398E-2</v>
      </c>
      <c r="W994" s="9">
        <f t="shared" ca="1" si="1056"/>
        <v>0.18703631982582444</v>
      </c>
      <c r="X994" s="17">
        <f t="shared" ca="1" si="1051"/>
        <v>7.178156626377652E-4</v>
      </c>
      <c r="Y994" s="13">
        <f t="shared" ref="Y994:Z994" ca="1" si="1084">+Y993</f>
        <v>0</v>
      </c>
      <c r="Z994" s="13">
        <f t="shared" ca="1" si="1084"/>
        <v>0</v>
      </c>
      <c r="AA994">
        <f t="shared" ca="1" si="1058"/>
        <v>0</v>
      </c>
      <c r="AB994">
        <f t="shared" ca="1" si="1059"/>
        <v>1</v>
      </c>
      <c r="AC994" s="24">
        <f t="shared" ca="1" si="1060"/>
        <v>0</v>
      </c>
      <c r="AD994" s="24">
        <f t="shared" ca="1" si="1061"/>
        <v>7.178156626377652E-4</v>
      </c>
    </row>
    <row r="995" spans="3:30" x14ac:dyDescent="0.25">
      <c r="C995" s="6">
        <v>1089</v>
      </c>
      <c r="D995" s="36">
        <v>43556</v>
      </c>
      <c r="E995" s="38">
        <v>18.082999999999998</v>
      </c>
      <c r="F995" s="38">
        <v>57.437567390843071</v>
      </c>
      <c r="G995" s="38">
        <v>48.2</v>
      </c>
      <c r="H995" s="38">
        <v>2.2647653607818858</v>
      </c>
      <c r="I995" s="38">
        <v>5.6077842107314373</v>
      </c>
      <c r="J995" s="10">
        <v>0</v>
      </c>
      <c r="K995" s="39">
        <v>0</v>
      </c>
      <c r="L995" s="39">
        <v>0</v>
      </c>
      <c r="M995" s="39">
        <v>1</v>
      </c>
      <c r="N995" s="39">
        <v>0</v>
      </c>
      <c r="O995" s="39">
        <v>0</v>
      </c>
      <c r="P995" s="39">
        <v>0</v>
      </c>
      <c r="Q995" s="39">
        <v>0</v>
      </c>
      <c r="R995" s="39">
        <v>0</v>
      </c>
      <c r="S995" s="39">
        <v>0</v>
      </c>
      <c r="T995" s="39">
        <v>0</v>
      </c>
      <c r="U995" s="29" cm="1">
        <f t="array" aca="1" ref="U995" ca="1">+fair_value_gap(OFFSET(T994,0,0,-1*$J$5,-1*$AA$1),OFFSET(E994,0,0,-1*$J$5,1),F995:T995,0)</f>
        <v>20.225308026198974</v>
      </c>
      <c r="V995" s="9" cm="1">
        <f t="array" aca="1" ref="V995" ca="1">z_score_diff(OFFSET(U995,0,0,$J$5*-1,1),OFFSET(E995,0,0,$J$5*-1,1))</f>
        <v>0.86524311500288575</v>
      </c>
      <c r="W995" s="9">
        <f t="shared" ca="1" si="1056"/>
        <v>0.21150533561346432</v>
      </c>
      <c r="X995" s="17">
        <f t="shared" ca="1" si="1051"/>
        <v>1.4221241733909869E-2</v>
      </c>
      <c r="Y995" s="13">
        <f t="shared" ref="Y995:Z995" ca="1" si="1085">+Y994</f>
        <v>0</v>
      </c>
      <c r="Z995" s="13">
        <f t="shared" ca="1" si="1085"/>
        <v>0</v>
      </c>
      <c r="AA995">
        <f t="shared" ca="1" si="1058"/>
        <v>0</v>
      </c>
      <c r="AB995">
        <f t="shared" ca="1" si="1059"/>
        <v>1</v>
      </c>
      <c r="AC995" s="24">
        <f t="shared" ca="1" si="1060"/>
        <v>0</v>
      </c>
      <c r="AD995" s="24">
        <f t="shared" ca="1" si="1061"/>
        <v>1.4221241733909869E-2</v>
      </c>
    </row>
    <row r="996" spans="3:30" x14ac:dyDescent="0.25">
      <c r="C996" s="6">
        <v>1090</v>
      </c>
      <c r="D996" s="36">
        <v>43557</v>
      </c>
      <c r="E996" s="38">
        <v>17.952999999999999</v>
      </c>
      <c r="F996" s="38">
        <v>57.556499622296293</v>
      </c>
      <c r="G996" s="38">
        <v>47.69</v>
      </c>
      <c r="H996" s="38">
        <v>2.2740188366726035</v>
      </c>
      <c r="I996" s="38">
        <v>5.5875891415383974</v>
      </c>
      <c r="J996" s="10">
        <v>0</v>
      </c>
      <c r="K996" s="39">
        <v>0</v>
      </c>
      <c r="L996" s="39">
        <v>0</v>
      </c>
      <c r="M996" s="39">
        <v>1</v>
      </c>
      <c r="N996" s="39">
        <v>0</v>
      </c>
      <c r="O996" s="39">
        <v>0</v>
      </c>
      <c r="P996" s="39">
        <v>0</v>
      </c>
      <c r="Q996" s="39">
        <v>0</v>
      </c>
      <c r="R996" s="39">
        <v>0</v>
      </c>
      <c r="S996" s="39">
        <v>0</v>
      </c>
      <c r="T996" s="39">
        <v>0</v>
      </c>
      <c r="U996" s="29" cm="1">
        <f t="array" aca="1" ref="U996" ca="1">+fair_value_gap(OFFSET(T995,0,0,-1*$J$5,-1*$AA$1),OFFSET(E995,0,0,-1*$J$5,1),F996:T996,0)</f>
        <v>19.693113272225958</v>
      </c>
      <c r="V996" s="9" cm="1">
        <f t="array" aca="1" ref="V996" ca="1">z_score_diff(OFFSET(U996,0,0,$J$5*-1,1),OFFSET(E996,0,0,$J$5*-1,1))</f>
        <v>0.67767264933367899</v>
      </c>
      <c r="W996" s="9">
        <f t="shared" ca="1" si="1056"/>
        <v>0.23573098778307217</v>
      </c>
      <c r="X996" s="17">
        <f t="shared" ca="1" si="1051"/>
        <v>6.2744868389599771E-3</v>
      </c>
      <c r="Y996" s="13">
        <f t="shared" ref="Y996:Z996" ca="1" si="1086">+Y995</f>
        <v>0</v>
      </c>
      <c r="Z996" s="13">
        <f t="shared" ca="1" si="1086"/>
        <v>0</v>
      </c>
      <c r="AA996">
        <f t="shared" ca="1" si="1058"/>
        <v>0</v>
      </c>
      <c r="AB996">
        <f t="shared" ca="1" si="1059"/>
        <v>1</v>
      </c>
      <c r="AC996" s="24">
        <f t="shared" ca="1" si="1060"/>
        <v>0</v>
      </c>
      <c r="AD996" s="24">
        <f t="shared" ca="1" si="1061"/>
        <v>6.2744868389599771E-3</v>
      </c>
    </row>
    <row r="997" spans="3:30" x14ac:dyDescent="0.25">
      <c r="C997" s="6">
        <v>1091</v>
      </c>
      <c r="D997" s="36">
        <v>43558</v>
      </c>
      <c r="E997" s="38">
        <v>18.419</v>
      </c>
      <c r="F997" s="38">
        <v>57.361971137653185</v>
      </c>
      <c r="G997" s="38">
        <v>49.09</v>
      </c>
      <c r="H997" s="38">
        <v>2.2739245709942915</v>
      </c>
      <c r="I997" s="38">
        <v>5.6135623666778942</v>
      </c>
      <c r="J997" s="10">
        <v>0</v>
      </c>
      <c r="K997" s="39">
        <v>0</v>
      </c>
      <c r="L997" s="39">
        <v>0</v>
      </c>
      <c r="M997" s="39">
        <v>1</v>
      </c>
      <c r="N997" s="39">
        <v>0</v>
      </c>
      <c r="O997" s="39">
        <v>0</v>
      </c>
      <c r="P997" s="39">
        <v>0</v>
      </c>
      <c r="Q997" s="39">
        <v>0</v>
      </c>
      <c r="R997" s="39">
        <v>0</v>
      </c>
      <c r="S997" s="39">
        <v>0</v>
      </c>
      <c r="T997" s="39">
        <v>0</v>
      </c>
      <c r="U997" s="29" cm="1">
        <f t="array" aca="1" ref="U997" ca="1">+fair_value_gap(OFFSET(T996,0,0,-1*$J$5,-1*$AA$1),OFFSET(E996,0,0,-1*$J$5,1),F997:T997,0)</f>
        <v>19.743436367999287</v>
      </c>
      <c r="V997" s="9" cm="1">
        <f t="array" aca="1" ref="V997" ca="1">z_score_diff(OFFSET(U997,0,0,$J$5*-1,1),OFFSET(E997,0,0,$J$5*-1,1))</f>
        <v>0.4860062891186675</v>
      </c>
      <c r="W997" s="9">
        <f t="shared" ca="1" si="1056"/>
        <v>0.25455065012902328</v>
      </c>
      <c r="X997" s="17">
        <f t="shared" ca="1" si="1051"/>
        <v>-2.919674172788737E-2</v>
      </c>
      <c r="Y997" s="13">
        <f t="shared" ref="Y997:Z997" ca="1" si="1087">+Y996</f>
        <v>0</v>
      </c>
      <c r="Z997" s="13">
        <f t="shared" ca="1" si="1087"/>
        <v>0</v>
      </c>
      <c r="AA997">
        <f t="shared" ca="1" si="1058"/>
        <v>0</v>
      </c>
      <c r="AB997">
        <f t="shared" ca="1" si="1059"/>
        <v>1</v>
      </c>
      <c r="AC997" s="24">
        <f t="shared" ca="1" si="1060"/>
        <v>0</v>
      </c>
      <c r="AD997" s="24">
        <f t="shared" ca="1" si="1061"/>
        <v>-2.919674172788737E-2</v>
      </c>
    </row>
    <row r="998" spans="3:30" x14ac:dyDescent="0.25">
      <c r="C998" s="6">
        <v>1092</v>
      </c>
      <c r="D998" s="36">
        <v>43559</v>
      </c>
      <c r="E998" s="38">
        <v>19.123000000000001</v>
      </c>
      <c r="F998" s="38">
        <v>57.416640361156638</v>
      </c>
      <c r="G998" s="38">
        <v>50.25</v>
      </c>
      <c r="H998" s="38">
        <v>2.2667421959119074</v>
      </c>
      <c r="I998" s="38">
        <v>5.6646933930648586</v>
      </c>
      <c r="J998" s="10">
        <v>0</v>
      </c>
      <c r="K998" s="39">
        <v>0</v>
      </c>
      <c r="L998" s="39">
        <v>0</v>
      </c>
      <c r="M998" s="39">
        <v>1</v>
      </c>
      <c r="N998" s="39">
        <v>0</v>
      </c>
      <c r="O998" s="39">
        <v>0</v>
      </c>
      <c r="P998" s="39">
        <v>0</v>
      </c>
      <c r="Q998" s="39">
        <v>0</v>
      </c>
      <c r="R998" s="39">
        <v>0</v>
      </c>
      <c r="S998" s="39">
        <v>0</v>
      </c>
      <c r="T998" s="39">
        <v>0</v>
      </c>
      <c r="U998" s="29" cm="1">
        <f t="array" aca="1" ref="U998" ca="1">+fair_value_gap(OFFSET(T997,0,0,-1*$J$5,-1*$AA$1),OFFSET(E997,0,0,-1*$J$5,1),F998:T998,0)</f>
        <v>19.829647057550019</v>
      </c>
      <c r="V998" s="9" cm="1">
        <f t="array" aca="1" ref="V998" ca="1">z_score_diff(OFFSET(U998,0,0,$J$5*-1,1),OFFSET(E998,0,0,$J$5*-1,1))</f>
        <v>0.20603715635992237</v>
      </c>
      <c r="W998" s="9">
        <f t="shared" ca="1" si="1056"/>
        <v>0.26323867503289128</v>
      </c>
      <c r="X998" s="17">
        <f t="shared" ca="1" si="1051"/>
        <v>-6.8104284542980495E-2</v>
      </c>
      <c r="Y998" s="13">
        <f t="shared" ref="Y998:Z998" ca="1" si="1088">+Y997</f>
        <v>0</v>
      </c>
      <c r="Z998" s="13">
        <f t="shared" ca="1" si="1088"/>
        <v>0</v>
      </c>
      <c r="AA998">
        <f t="shared" ca="1" si="1058"/>
        <v>0</v>
      </c>
      <c r="AB998">
        <f t="shared" ca="1" si="1059"/>
        <v>1</v>
      </c>
      <c r="AC998" s="24">
        <f t="shared" ca="1" si="1060"/>
        <v>0</v>
      </c>
      <c r="AD998" s="24">
        <f t="shared" ca="1" si="1061"/>
        <v>-6.8104284542980495E-2</v>
      </c>
    </row>
    <row r="999" spans="3:30" x14ac:dyDescent="0.25">
      <c r="C999" s="6">
        <v>1093</v>
      </c>
      <c r="D999" s="36">
        <v>43560</v>
      </c>
      <c r="E999" s="38">
        <v>20.146999999999998</v>
      </c>
      <c r="F999" s="38">
        <v>57.913204573897715</v>
      </c>
      <c r="G999" s="38">
        <v>51.35</v>
      </c>
      <c r="H999" s="38">
        <v>2.2763971690337335</v>
      </c>
      <c r="I999" s="38">
        <v>6.0715456408118573</v>
      </c>
      <c r="J999" s="10">
        <v>0</v>
      </c>
      <c r="K999" s="39">
        <v>0</v>
      </c>
      <c r="L999" s="39">
        <v>0</v>
      </c>
      <c r="M999" s="39">
        <v>1</v>
      </c>
      <c r="N999" s="39">
        <v>0</v>
      </c>
      <c r="O999" s="39">
        <v>0</v>
      </c>
      <c r="P999" s="39">
        <v>0</v>
      </c>
      <c r="Q999" s="39">
        <v>0</v>
      </c>
      <c r="R999" s="39">
        <v>0</v>
      </c>
      <c r="S999" s="39">
        <v>0</v>
      </c>
      <c r="T999" s="39">
        <v>0</v>
      </c>
      <c r="U999" s="29" cm="1">
        <f t="array" aca="1" ref="U999" ca="1">+fair_value_gap(OFFSET(T998,0,0,-1*$J$5,-1*$AA$1),OFFSET(E998,0,0,-1*$J$5,1),F999:T999,0)</f>
        <v>20.384344478601125</v>
      </c>
      <c r="V999" s="9" cm="1">
        <f t="array" aca="1" ref="V999" ca="1">z_score_diff(OFFSET(U999,0,0,$J$5*-1,1),OFFSET(E999,0,0,$J$5*-1,1))</f>
        <v>-3.9818582384202328E-3</v>
      </c>
      <c r="W999" s="9">
        <f t="shared" ca="1" si="1056"/>
        <v>0.26336713234255177</v>
      </c>
      <c r="X999" s="17">
        <f t="shared" ca="1" si="1051"/>
        <v>-0.11982015160692741</v>
      </c>
      <c r="Y999" s="13">
        <f t="shared" ref="Y999:Z999" ca="1" si="1089">+Y998</f>
        <v>0</v>
      </c>
      <c r="Z999" s="13">
        <f t="shared" ca="1" si="1089"/>
        <v>0</v>
      </c>
      <c r="AA999">
        <f t="shared" ca="1" si="1058"/>
        <v>0</v>
      </c>
      <c r="AB999">
        <f t="shared" ca="1" si="1059"/>
        <v>1</v>
      </c>
      <c r="AC999" s="24">
        <f t="shared" ca="1" si="1060"/>
        <v>0</v>
      </c>
      <c r="AD999" s="24">
        <f t="shared" ca="1" si="1061"/>
        <v>-0.11982015160692741</v>
      </c>
    </row>
    <row r="1000" spans="3:30" x14ac:dyDescent="0.25">
      <c r="C1000" s="6">
        <v>1094</v>
      </c>
      <c r="D1000" s="36">
        <v>43563</v>
      </c>
      <c r="E1000" s="38">
        <v>19.760999999999999</v>
      </c>
      <c r="F1000" s="38">
        <v>58.032261009935347</v>
      </c>
      <c r="G1000" s="38">
        <v>51.19</v>
      </c>
      <c r="H1000" s="38">
        <v>2.2844226836625876</v>
      </c>
      <c r="I1000" s="38">
        <v>5.8790289653081302</v>
      </c>
      <c r="J1000" s="10">
        <v>0</v>
      </c>
      <c r="K1000" s="39">
        <v>0</v>
      </c>
      <c r="L1000" s="39">
        <v>0</v>
      </c>
      <c r="M1000" s="39">
        <v>1</v>
      </c>
      <c r="N1000" s="39">
        <v>0</v>
      </c>
      <c r="O1000" s="39">
        <v>0</v>
      </c>
      <c r="P1000" s="39">
        <v>0</v>
      </c>
      <c r="Q1000" s="39">
        <v>0</v>
      </c>
      <c r="R1000" s="39">
        <v>0</v>
      </c>
      <c r="S1000" s="39">
        <v>0</v>
      </c>
      <c r="T1000" s="39">
        <v>0</v>
      </c>
      <c r="U1000" s="29" cm="1">
        <f t="array" aca="1" ref="U1000" ca="1">+fair_value_gap(OFFSET(T999,0,0,-1*$J$5,-1*$AA$1),OFFSET(E999,0,0,-1*$J$5,1),F1000:T1000,0)</f>
        <v>20.111688530977492</v>
      </c>
      <c r="V1000" s="9" cm="1">
        <f t="array" aca="1" ref="V1000" ca="1">z_score_diff(OFFSET(U1000,0,0,$J$5*-1,1),OFFSET(E1000,0,0,$J$5*-1,1))</f>
        <v>4.4795285140186603E-2</v>
      </c>
      <c r="W1000" s="9">
        <f t="shared" ca="1" si="1056"/>
        <v>0.26879680705763903</v>
      </c>
      <c r="X1000" s="17">
        <f t="shared" ca="1" si="1051"/>
        <v>-9.2117064513819985E-2</v>
      </c>
      <c r="Y1000" s="13">
        <f t="shared" ref="Y1000:Z1000" ca="1" si="1090">+Y999</f>
        <v>0</v>
      </c>
      <c r="Z1000" s="13">
        <f t="shared" ca="1" si="1090"/>
        <v>0</v>
      </c>
      <c r="AA1000">
        <f t="shared" ca="1" si="1058"/>
        <v>0</v>
      </c>
      <c r="AB1000">
        <f t="shared" ca="1" si="1059"/>
        <v>1</v>
      </c>
      <c r="AC1000" s="24">
        <f t="shared" ca="1" si="1060"/>
        <v>0</v>
      </c>
      <c r="AD1000" s="24">
        <f t="shared" ca="1" si="1061"/>
        <v>-9.2117064513819985E-2</v>
      </c>
    </row>
    <row r="1001" spans="3:30" x14ac:dyDescent="0.25">
      <c r="C1001" s="6">
        <v>1095</v>
      </c>
      <c r="D1001" s="36">
        <v>43564</v>
      </c>
      <c r="E1001" s="38">
        <v>20.52</v>
      </c>
      <c r="F1001" s="38">
        <v>57.804762905710177</v>
      </c>
      <c r="G1001" s="38">
        <v>51.94</v>
      </c>
      <c r="H1001" s="38">
        <v>2.2854848880603447</v>
      </c>
      <c r="I1001" s="38">
        <v>5.9010823532654957</v>
      </c>
      <c r="J1001" s="10">
        <v>0</v>
      </c>
      <c r="K1001" s="39">
        <v>0</v>
      </c>
      <c r="L1001" s="39">
        <v>0</v>
      </c>
      <c r="M1001" s="39">
        <v>1</v>
      </c>
      <c r="N1001" s="39">
        <v>0</v>
      </c>
      <c r="O1001" s="39">
        <v>0</v>
      </c>
      <c r="P1001" s="39">
        <v>0</v>
      </c>
      <c r="Q1001" s="39">
        <v>0</v>
      </c>
      <c r="R1001" s="39">
        <v>0</v>
      </c>
      <c r="S1001" s="39">
        <v>0</v>
      </c>
      <c r="T1001" s="39">
        <v>0</v>
      </c>
      <c r="U1001" s="29" cm="1">
        <f t="array" aca="1" ref="U1001" ca="1">+fair_value_gap(OFFSET(T1000,0,0,-1*$J$5,-1*$AA$1),OFFSET(E1000,0,0,-1*$J$5,1),F1001:T1001,0)</f>
        <v>20.204662799348995</v>
      </c>
      <c r="V1001" s="9" cm="1">
        <f t="array" aca="1" ref="V1001" ca="1">z_score_diff(OFFSET(U1001,0,0,$J$5*-1,1),OFFSET(E1001,0,0,$J$5*-1,1))</f>
        <v>-0.25964804917621737</v>
      </c>
      <c r="W1001" s="9">
        <f t="shared" ca="1" si="1056"/>
        <v>0.26109365015749236</v>
      </c>
      <c r="X1001" s="17">
        <f t="shared" ca="1" si="1051"/>
        <v>-0.13738173637857942</v>
      </c>
      <c r="Y1001" s="13">
        <f t="shared" ref="Y1001:Z1001" ca="1" si="1091">+Y1000</f>
        <v>0</v>
      </c>
      <c r="Z1001" s="13">
        <f t="shared" ca="1" si="1091"/>
        <v>0</v>
      </c>
      <c r="AA1001">
        <f t="shared" ca="1" si="1058"/>
        <v>0</v>
      </c>
      <c r="AB1001">
        <f t="shared" ca="1" si="1059"/>
        <v>1</v>
      </c>
      <c r="AC1001" s="24">
        <f t="shared" ca="1" si="1060"/>
        <v>0</v>
      </c>
      <c r="AD1001" s="24">
        <f t="shared" ca="1" si="1061"/>
        <v>-0.13738173637857942</v>
      </c>
    </row>
    <row r="1002" spans="3:30" x14ac:dyDescent="0.25">
      <c r="C1002" s="6">
        <v>1096</v>
      </c>
      <c r="D1002" s="36">
        <v>43565</v>
      </c>
      <c r="E1002" s="38">
        <v>20.251999999999999</v>
      </c>
      <c r="F1002" s="38">
        <v>58.564889122593826</v>
      </c>
      <c r="G1002" s="38">
        <v>52.87</v>
      </c>
      <c r="H1002" s="38">
        <v>2.2806312443038008</v>
      </c>
      <c r="I1002" s="38">
        <v>6.0070966359398232</v>
      </c>
      <c r="J1002" s="10">
        <v>0</v>
      </c>
      <c r="K1002" s="39">
        <v>0</v>
      </c>
      <c r="L1002" s="39">
        <v>0</v>
      </c>
      <c r="M1002" s="39">
        <v>1</v>
      </c>
      <c r="N1002" s="39">
        <v>0</v>
      </c>
      <c r="O1002" s="39">
        <v>0</v>
      </c>
      <c r="P1002" s="39">
        <v>0</v>
      </c>
      <c r="Q1002" s="39">
        <v>0</v>
      </c>
      <c r="R1002" s="39">
        <v>0</v>
      </c>
      <c r="S1002" s="39">
        <v>0</v>
      </c>
      <c r="T1002" s="39">
        <v>0</v>
      </c>
      <c r="U1002" s="29" cm="1">
        <f t="array" aca="1" ref="U1002" ca="1">+fair_value_gap(OFFSET(T1001,0,0,-1*$J$5,-1*$AA$1),OFFSET(E1001,0,0,-1*$J$5,1),F1002:T1002,0)</f>
        <v>20.565761199681976</v>
      </c>
      <c r="V1002" s="9" cm="1">
        <f t="array" aca="1" ref="V1002" ca="1">z_score_diff(OFFSET(U1002,0,0,$J$5*-1,1),OFFSET(E1002,0,0,$J$5*-1,1))</f>
        <v>2.8648129547791834E-2</v>
      </c>
      <c r="W1002" s="9">
        <f t="shared" ca="1" si="1056"/>
        <v>0.26515433909191077</v>
      </c>
      <c r="X1002" s="17">
        <f t="shared" ca="1" si="1051"/>
        <v>-0.13158638771261147</v>
      </c>
      <c r="Y1002" s="13">
        <f t="shared" ref="Y1002:Z1002" ca="1" si="1092">+Y1001</f>
        <v>0</v>
      </c>
      <c r="Z1002" s="13">
        <f t="shared" ca="1" si="1092"/>
        <v>0</v>
      </c>
      <c r="AA1002">
        <f t="shared" ca="1" si="1058"/>
        <v>0</v>
      </c>
      <c r="AB1002">
        <f t="shared" ca="1" si="1059"/>
        <v>1</v>
      </c>
      <c r="AC1002" s="24">
        <f t="shared" ca="1" si="1060"/>
        <v>0</v>
      </c>
      <c r="AD1002" s="24">
        <f t="shared" ca="1" si="1061"/>
        <v>-0.13158638771261147</v>
      </c>
    </row>
    <row r="1003" spans="3:30" x14ac:dyDescent="0.25">
      <c r="C1003" s="6">
        <v>1097</v>
      </c>
      <c r="D1003" s="36">
        <v>43566</v>
      </c>
      <c r="E1003" s="38">
        <v>20.373000000000001</v>
      </c>
      <c r="F1003" s="38">
        <v>58.156423280842859</v>
      </c>
      <c r="G1003" s="38">
        <v>52.11</v>
      </c>
      <c r="H1003" s="38">
        <v>2.2781595780534705</v>
      </c>
      <c r="I1003" s="38">
        <v>6.2104198864454245</v>
      </c>
      <c r="J1003" s="10">
        <v>0</v>
      </c>
      <c r="K1003" s="39">
        <v>0</v>
      </c>
      <c r="L1003" s="39">
        <v>0</v>
      </c>
      <c r="M1003" s="39">
        <v>1</v>
      </c>
      <c r="N1003" s="39">
        <v>0</v>
      </c>
      <c r="O1003" s="39">
        <v>0</v>
      </c>
      <c r="P1003" s="39">
        <v>0</v>
      </c>
      <c r="Q1003" s="39">
        <v>0</v>
      </c>
      <c r="R1003" s="39">
        <v>0</v>
      </c>
      <c r="S1003" s="39">
        <v>0</v>
      </c>
      <c r="T1003" s="39">
        <v>0</v>
      </c>
      <c r="U1003" s="29" cm="1">
        <f t="array" aca="1" ref="U1003" ca="1">+fair_value_gap(OFFSET(T1002,0,0,-1*$J$5,-1*$AA$1),OFFSET(E1002,0,0,-1*$J$5,1),F1003:T1003,0)</f>
        <v>20.551310246778723</v>
      </c>
      <c r="V1003" s="9" cm="1">
        <f t="array" aca="1" ref="V1003" ca="1">z_score_diff(OFFSET(U1003,0,0,$J$5*-1,1),OFFSET(E1003,0,0,$J$5*-1,1))</f>
        <v>-3.501171402309583E-2</v>
      </c>
      <c r="W1003" s="9">
        <f t="shared" ca="1" si="1056"/>
        <v>0.26529750983752726</v>
      </c>
      <c r="X1003" s="17">
        <f t="shared" ca="1" si="1051"/>
        <v>-0.14455177850114101</v>
      </c>
      <c r="Y1003" s="13">
        <f t="shared" ref="Y1003:Z1003" ca="1" si="1093">+Y1002</f>
        <v>0</v>
      </c>
      <c r="Z1003" s="13">
        <f t="shared" ca="1" si="1093"/>
        <v>0</v>
      </c>
      <c r="AA1003">
        <f t="shared" ca="1" si="1058"/>
        <v>0</v>
      </c>
      <c r="AB1003">
        <f t="shared" ca="1" si="1059"/>
        <v>1</v>
      </c>
      <c r="AC1003" s="24">
        <f t="shared" ca="1" si="1060"/>
        <v>0</v>
      </c>
      <c r="AD1003" s="24">
        <f t="shared" ca="1" si="1061"/>
        <v>-0.14455177850114101</v>
      </c>
    </row>
    <row r="1004" spans="3:30" x14ac:dyDescent="0.25">
      <c r="C1004" s="6">
        <v>1098</v>
      </c>
      <c r="D1004" s="36">
        <v>43567</v>
      </c>
      <c r="E1004" s="38">
        <v>20.346</v>
      </c>
      <c r="F1004" s="38">
        <v>58.327281716907954</v>
      </c>
      <c r="G1004" s="38">
        <v>52.38</v>
      </c>
      <c r="H1004" s="38">
        <v>2.271287526459727</v>
      </c>
      <c r="I1004" s="38">
        <v>6.1932500012875771</v>
      </c>
      <c r="J1004" s="10">
        <v>0</v>
      </c>
      <c r="K1004" s="39">
        <v>0</v>
      </c>
      <c r="L1004" s="39">
        <v>0</v>
      </c>
      <c r="M1004" s="39">
        <v>1</v>
      </c>
      <c r="N1004" s="39">
        <v>0</v>
      </c>
      <c r="O1004" s="39">
        <v>0</v>
      </c>
      <c r="P1004" s="39">
        <v>0</v>
      </c>
      <c r="Q1004" s="39">
        <v>0</v>
      </c>
      <c r="R1004" s="39">
        <v>0</v>
      </c>
      <c r="S1004" s="39">
        <v>0</v>
      </c>
      <c r="T1004" s="39">
        <v>0</v>
      </c>
      <c r="U1004" s="29" cm="1">
        <f t="array" aca="1" ref="U1004" ca="1">+fair_value_gap(OFFSET(T1003,0,0,-1*$J$5,-1*$AA$1),OFFSET(E1003,0,0,-1*$J$5,1),F1004:T1004,0)</f>
        <v>20.56052377287644</v>
      </c>
      <c r="V1004" s="9" cm="1">
        <f t="array" aca="1" ref="V1004" ca="1">z_score_diff(OFFSET(U1004,0,0,$J$5*-1,1),OFFSET(E1004,0,0,$J$5*-1,1))</f>
        <v>-1.9600403960145618E-2</v>
      </c>
      <c r="W1004" s="9">
        <f t="shared" ca="1" si="1056"/>
        <v>0.23927833979152516</v>
      </c>
      <c r="X1004" s="17">
        <f t="shared" ca="1" si="1051"/>
        <v>-0.1187972625797665</v>
      </c>
      <c r="Y1004" s="13">
        <f t="shared" ref="Y1004:Z1004" ca="1" si="1094">+Y1003</f>
        <v>0</v>
      </c>
      <c r="Z1004" s="13">
        <f t="shared" ca="1" si="1094"/>
        <v>0</v>
      </c>
      <c r="AA1004">
        <f t="shared" ca="1" si="1058"/>
        <v>0</v>
      </c>
      <c r="AB1004">
        <f t="shared" ca="1" si="1059"/>
        <v>1</v>
      </c>
      <c r="AC1004" s="24">
        <f t="shared" ca="1" si="1060"/>
        <v>0</v>
      </c>
      <c r="AD1004" s="24">
        <f t="shared" ca="1" si="1061"/>
        <v>-0.1187972625797665</v>
      </c>
    </row>
    <row r="1005" spans="3:30" x14ac:dyDescent="0.25">
      <c r="C1005" s="6">
        <v>1099</v>
      </c>
      <c r="D1005" s="36">
        <v>43570</v>
      </c>
      <c r="E1005" s="38">
        <v>19.940999999999999</v>
      </c>
      <c r="F1005" s="38">
        <v>58.30185651031676</v>
      </c>
      <c r="G1005" s="38">
        <v>52.36</v>
      </c>
      <c r="H1005" s="38">
        <v>2.2486510239515667</v>
      </c>
      <c r="I1005" s="38">
        <v>6.1151292158988211</v>
      </c>
      <c r="J1005" s="10">
        <v>0</v>
      </c>
      <c r="K1005" s="39">
        <v>0</v>
      </c>
      <c r="L1005" s="39">
        <v>0</v>
      </c>
      <c r="M1005" s="39">
        <v>1</v>
      </c>
      <c r="N1005" s="39">
        <v>0</v>
      </c>
      <c r="O1005" s="39">
        <v>0</v>
      </c>
      <c r="P1005" s="39">
        <v>0</v>
      </c>
      <c r="Q1005" s="39">
        <v>0</v>
      </c>
      <c r="R1005" s="39">
        <v>0</v>
      </c>
      <c r="S1005" s="39">
        <v>0</v>
      </c>
      <c r="T1005" s="39">
        <v>0</v>
      </c>
      <c r="U1005" s="29" cm="1">
        <f t="array" aca="1" ref="U1005" ca="1">+fair_value_gap(OFFSET(T1004,0,0,-1*$J$5,-1*$AA$1),OFFSET(E1004,0,0,-1*$J$5,1),F1005:T1005,0)</f>
        <v>20.438361274497435</v>
      </c>
      <c r="V1005" s="9" cm="1">
        <f t="array" aca="1" ref="V1005" ca="1">z_score_diff(OFFSET(U1005,0,0,$J$5*-1,1),OFFSET(E1005,0,0,$J$5*-1,1))</f>
        <v>0.1087307982464869</v>
      </c>
      <c r="W1005" s="9">
        <f t="shared" ca="1" si="1056"/>
        <v>0.22048852816545336</v>
      </c>
      <c r="X1005" s="17">
        <f t="shared" ca="1" si="1051"/>
        <v>-0.10024183300201304</v>
      </c>
      <c r="Y1005" s="13">
        <f t="shared" ref="Y1005:Z1005" ca="1" si="1095">+Y1004</f>
        <v>0</v>
      </c>
      <c r="Z1005" s="13">
        <f t="shared" ca="1" si="1095"/>
        <v>0</v>
      </c>
      <c r="AA1005">
        <f t="shared" ca="1" si="1058"/>
        <v>0</v>
      </c>
      <c r="AB1005">
        <f t="shared" ca="1" si="1059"/>
        <v>1</v>
      </c>
      <c r="AC1005" s="24">
        <f t="shared" ca="1" si="1060"/>
        <v>0</v>
      </c>
      <c r="AD1005" s="24">
        <f t="shared" ca="1" si="1061"/>
        <v>-0.10024183300201304</v>
      </c>
    </row>
    <row r="1006" spans="3:30" x14ac:dyDescent="0.25">
      <c r="C1006" s="6">
        <v>1100</v>
      </c>
      <c r="D1006" s="36">
        <v>43571</v>
      </c>
      <c r="E1006" s="38">
        <v>19.745000000000001</v>
      </c>
      <c r="F1006" s="38">
        <v>58.584452521503025</v>
      </c>
      <c r="G1006" s="38">
        <v>51.44</v>
      </c>
      <c r="H1006" s="38">
        <v>2.245250431778929</v>
      </c>
      <c r="I1006" s="38">
        <v>5.9074231605358349</v>
      </c>
      <c r="J1006" s="10">
        <v>0</v>
      </c>
      <c r="K1006" s="39">
        <v>0</v>
      </c>
      <c r="L1006" s="39">
        <v>0</v>
      </c>
      <c r="M1006" s="39">
        <v>1</v>
      </c>
      <c r="N1006" s="39">
        <v>0</v>
      </c>
      <c r="O1006" s="39">
        <v>0</v>
      </c>
      <c r="P1006" s="39">
        <v>0</v>
      </c>
      <c r="Q1006" s="39">
        <v>0</v>
      </c>
      <c r="R1006" s="39">
        <v>0</v>
      </c>
      <c r="S1006" s="39">
        <v>0</v>
      </c>
      <c r="T1006" s="39">
        <v>0</v>
      </c>
      <c r="U1006" s="29" cm="1">
        <f t="array" aca="1" ref="U1006" ca="1">+fair_value_gap(OFFSET(T1005,0,0,-1*$J$5,-1*$AA$1),OFFSET(E1005,0,0,-1*$J$5,1),F1006:T1006,0)</f>
        <v>19.995684651036683</v>
      </c>
      <c r="V1006" s="9" cm="1">
        <f t="array" aca="1" ref="V1006" ca="1">z_score_diff(OFFSET(U1006,0,0,$J$5*-1,1),OFFSET(E1006,0,0,$J$5*-1,1))</f>
        <v>-1.223570555822906E-2</v>
      </c>
      <c r="W1006" s="9">
        <f t="shared" ca="1" si="1056"/>
        <v>0.19907603380158406</v>
      </c>
      <c r="X1006" s="17">
        <f t="shared" ca="1" si="1051"/>
        <v>-0.1020178628635639</v>
      </c>
      <c r="Y1006" s="13">
        <f t="shared" ref="Y1006:Z1006" ca="1" si="1096">+Y1005</f>
        <v>0</v>
      </c>
      <c r="Z1006" s="13">
        <f t="shared" ca="1" si="1096"/>
        <v>0</v>
      </c>
      <c r="AA1006">
        <f t="shared" ca="1" si="1058"/>
        <v>0</v>
      </c>
      <c r="AB1006">
        <f t="shared" ca="1" si="1059"/>
        <v>1</v>
      </c>
      <c r="AC1006" s="24">
        <f t="shared" ca="1" si="1060"/>
        <v>0</v>
      </c>
      <c r="AD1006" s="24">
        <f t="shared" ca="1" si="1061"/>
        <v>-0.1020178628635639</v>
      </c>
    </row>
    <row r="1007" spans="3:30" x14ac:dyDescent="0.25">
      <c r="C1007" s="6">
        <v>1101</v>
      </c>
      <c r="D1007" s="36">
        <v>43572</v>
      </c>
      <c r="E1007" s="38">
        <v>20.079000000000001</v>
      </c>
      <c r="F1007" s="38">
        <v>58.419890062437595</v>
      </c>
      <c r="G1007" s="38">
        <v>52.27</v>
      </c>
      <c r="H1007" s="38">
        <v>2.2157492468942164</v>
      </c>
      <c r="I1007" s="38">
        <v>6.0308556603765489</v>
      </c>
      <c r="J1007" s="10">
        <v>0</v>
      </c>
      <c r="K1007" s="39">
        <v>0</v>
      </c>
      <c r="L1007" s="39">
        <v>0</v>
      </c>
      <c r="M1007" s="39">
        <v>1</v>
      </c>
      <c r="N1007" s="39">
        <v>0</v>
      </c>
      <c r="O1007" s="39">
        <v>0</v>
      </c>
      <c r="P1007" s="39">
        <v>0</v>
      </c>
      <c r="Q1007" s="39">
        <v>0</v>
      </c>
      <c r="R1007" s="39">
        <v>0</v>
      </c>
      <c r="S1007" s="39">
        <v>0</v>
      </c>
      <c r="T1007" s="39">
        <v>0</v>
      </c>
      <c r="U1007" s="29" cm="1">
        <f t="array" aca="1" ref="U1007" ca="1">+fair_value_gap(OFFSET(T1006,0,0,-1*$J$5,-1*$AA$1),OFFSET(E1006,0,0,-1*$J$5,1),F1007:T1007,0)</f>
        <v>20.215817803174069</v>
      </c>
      <c r="V1007" s="9" cm="1">
        <f t="array" aca="1" ref="V1007" ca="1">z_score_diff(OFFSET(U1007,0,0,$J$5*-1,1),OFFSET(E1007,0,0,$J$5*-1,1))</f>
        <v>-6.6062395615070213E-2</v>
      </c>
      <c r="W1007" s="9">
        <f t="shared" ca="1" si="1056"/>
        <v>0.17703762980095222</v>
      </c>
      <c r="X1007" s="17">
        <f t="shared" ca="1" si="1051"/>
        <v>-0.17698693924636941</v>
      </c>
      <c r="Y1007" s="13">
        <f t="shared" ref="Y1007:Z1007" ca="1" si="1097">+Y1006</f>
        <v>0</v>
      </c>
      <c r="Z1007" s="13">
        <f t="shared" ca="1" si="1097"/>
        <v>0</v>
      </c>
      <c r="AA1007">
        <f t="shared" ca="1" si="1058"/>
        <v>0</v>
      </c>
      <c r="AB1007">
        <f t="shared" ca="1" si="1059"/>
        <v>1</v>
      </c>
      <c r="AC1007" s="24">
        <f t="shared" ca="1" si="1060"/>
        <v>0</v>
      </c>
      <c r="AD1007" s="24">
        <f t="shared" ca="1" si="1061"/>
        <v>-0.17698693924636941</v>
      </c>
    </row>
    <row r="1008" spans="3:30" x14ac:dyDescent="0.25">
      <c r="C1008" s="6">
        <v>1102</v>
      </c>
      <c r="D1008" s="36">
        <v>43573</v>
      </c>
      <c r="E1008" s="38">
        <v>19.742000000000001</v>
      </c>
      <c r="F1008" s="38">
        <v>58.833536411076558</v>
      </c>
      <c r="G1008" s="38">
        <v>51.86</v>
      </c>
      <c r="H1008" s="38">
        <v>2.2080926552638012</v>
      </c>
      <c r="I1008" s="38">
        <v>6.0146129620306512</v>
      </c>
      <c r="J1008" s="10">
        <v>0</v>
      </c>
      <c r="K1008" s="39">
        <v>0</v>
      </c>
      <c r="L1008" s="39">
        <v>0</v>
      </c>
      <c r="M1008" s="39">
        <v>1</v>
      </c>
      <c r="N1008" s="39">
        <v>0</v>
      </c>
      <c r="O1008" s="39">
        <v>0</v>
      </c>
      <c r="P1008" s="39">
        <v>0</v>
      </c>
      <c r="Q1008" s="39">
        <v>0</v>
      </c>
      <c r="R1008" s="39">
        <v>0</v>
      </c>
      <c r="S1008" s="39">
        <v>0</v>
      </c>
      <c r="T1008" s="39">
        <v>0</v>
      </c>
      <c r="U1008" s="29" cm="1">
        <f t="array" aca="1" ref="U1008" ca="1">+fair_value_gap(OFFSET(T1007,0,0,-1*$J$5,-1*$AA$1),OFFSET(E1007,0,0,-1*$J$5,1),F1008:T1008,0)</f>
        <v>20.051774390796901</v>
      </c>
      <c r="V1008" s="9" cm="1">
        <f t="array" aca="1" ref="V1008" ca="1">z_score_diff(OFFSET(U1008,0,0,$J$5*-1,1),OFFSET(E1008,0,0,$J$5*-1,1))</f>
        <v>1.1936997781016978E-2</v>
      </c>
      <c r="W1008" s="9">
        <f t="shared" ca="1" si="1056"/>
        <v>0.1588228034002957</v>
      </c>
      <c r="X1008" s="17">
        <f t="shared" ca="1" si="1051"/>
        <v>-0.1676390726000784</v>
      </c>
      <c r="Y1008" s="13">
        <f t="shared" ref="Y1008:Z1008" ca="1" si="1098">+Y1007</f>
        <v>0</v>
      </c>
      <c r="Z1008" s="13">
        <f t="shared" ca="1" si="1098"/>
        <v>0</v>
      </c>
      <c r="AA1008">
        <f t="shared" ca="1" si="1058"/>
        <v>0</v>
      </c>
      <c r="AB1008">
        <f t="shared" ca="1" si="1059"/>
        <v>1</v>
      </c>
      <c r="AC1008" s="24">
        <f t="shared" ca="1" si="1060"/>
        <v>0</v>
      </c>
      <c r="AD1008" s="24">
        <f t="shared" ca="1" si="1061"/>
        <v>-0.1676390726000784</v>
      </c>
    </row>
    <row r="1009" spans="3:30" x14ac:dyDescent="0.25">
      <c r="C1009" s="6">
        <v>1103</v>
      </c>
      <c r="D1009" s="36">
        <v>43578</v>
      </c>
      <c r="E1009" s="38">
        <v>20.024000000000001</v>
      </c>
      <c r="F1009" s="38">
        <v>60.149336283185839</v>
      </c>
      <c r="G1009" s="38">
        <v>51.94</v>
      </c>
      <c r="H1009" s="38">
        <v>2.1830060840707963</v>
      </c>
      <c r="I1009" s="38">
        <v>6.0581443584070795</v>
      </c>
      <c r="J1009" s="10">
        <v>0</v>
      </c>
      <c r="K1009" s="39">
        <v>0</v>
      </c>
      <c r="L1009" s="39">
        <v>0</v>
      </c>
      <c r="M1009" s="39">
        <v>1</v>
      </c>
      <c r="N1009" s="39">
        <v>0</v>
      </c>
      <c r="O1009" s="39">
        <v>0</v>
      </c>
      <c r="P1009" s="39">
        <v>0</v>
      </c>
      <c r="Q1009" s="39">
        <v>0</v>
      </c>
      <c r="R1009" s="39">
        <v>0</v>
      </c>
      <c r="S1009" s="39">
        <v>0</v>
      </c>
      <c r="T1009" s="39">
        <v>0</v>
      </c>
      <c r="U1009" s="29" cm="1">
        <f t="array" aca="1" ref="U1009" ca="1">+fair_value_gap(OFFSET(T1008,0,0,-1*$J$5,-1*$AA$1),OFFSET(E1008,0,0,-1*$J$5,1),F1009:T1009,0)</f>
        <v>20.087119471819996</v>
      </c>
      <c r="V1009" s="9" cm="1">
        <f t="array" aca="1" ref="V1009" ca="1">z_score_diff(OFFSET(U1009,0,0,$J$5*-1,1),OFFSET(E1009,0,0,$J$5*-1,1))</f>
        <v>-9.9939276796675025E-2</v>
      </c>
      <c r="W1009" s="9">
        <f t="shared" ca="1" si="1056"/>
        <v>0.13712343003230124</v>
      </c>
      <c r="X1009" s="17">
        <f t="shared" ca="1" si="1051"/>
        <v>-0.17960850054952113</v>
      </c>
      <c r="Y1009" s="13">
        <f t="shared" ref="Y1009:Z1009" ca="1" si="1099">+Y1008</f>
        <v>0</v>
      </c>
      <c r="Z1009" s="13">
        <f t="shared" ca="1" si="1099"/>
        <v>0</v>
      </c>
      <c r="AA1009">
        <f t="shared" ca="1" si="1058"/>
        <v>0</v>
      </c>
      <c r="AB1009">
        <f t="shared" ca="1" si="1059"/>
        <v>1</v>
      </c>
      <c r="AC1009" s="24">
        <f t="shared" ca="1" si="1060"/>
        <v>0</v>
      </c>
      <c r="AD1009" s="24">
        <f t="shared" ca="1" si="1061"/>
        <v>-0.17960850054952113</v>
      </c>
    </row>
    <row r="1010" spans="3:30" x14ac:dyDescent="0.25">
      <c r="C1010" s="6">
        <v>1104</v>
      </c>
      <c r="D1010" s="36">
        <v>43579</v>
      </c>
      <c r="E1010" s="38">
        <v>19.948</v>
      </c>
      <c r="F1010" s="38">
        <v>60.551736141327993</v>
      </c>
      <c r="G1010" s="38">
        <v>51.65</v>
      </c>
      <c r="H1010" s="38">
        <v>2.1982421025150116</v>
      </c>
      <c r="I1010" s="38">
        <v>6.1134801148725089</v>
      </c>
      <c r="J1010" s="10">
        <v>0</v>
      </c>
      <c r="K1010" s="39">
        <v>0</v>
      </c>
      <c r="L1010" s="39">
        <v>0</v>
      </c>
      <c r="M1010" s="39">
        <v>1</v>
      </c>
      <c r="N1010" s="39">
        <v>0</v>
      </c>
      <c r="O1010" s="39">
        <v>0</v>
      </c>
      <c r="P1010" s="39">
        <v>0</v>
      </c>
      <c r="Q1010" s="39">
        <v>0</v>
      </c>
      <c r="R1010" s="39">
        <v>0</v>
      </c>
      <c r="S1010" s="39">
        <v>0</v>
      </c>
      <c r="T1010" s="39">
        <v>0</v>
      </c>
      <c r="U1010" s="29" cm="1">
        <f t="array" aca="1" ref="U1010" ca="1">+fair_value_gap(OFFSET(T1009,0,0,-1*$J$5,-1*$AA$1),OFFSET(E1009,0,0,-1*$J$5,1),F1010:T1010,0)</f>
        <v>20.058566796901978</v>
      </c>
      <c r="V1010" s="9" cm="1">
        <f t="array" aca="1" ref="V1010" ca="1">z_score_diff(OFFSET(U1010,0,0,$J$5*-1,1),OFFSET(E1010,0,0,$J$5*-1,1))</f>
        <v>-7.6491744326139699E-2</v>
      </c>
      <c r="W1010" s="9">
        <f t="shared" ca="1" si="1056"/>
        <v>0.11490137296738061</v>
      </c>
      <c r="X1010" s="17">
        <f t="shared" ca="1" si="1051"/>
        <v>-0.1718690559804408</v>
      </c>
      <c r="Y1010" s="13">
        <f t="shared" ref="Y1010:Z1010" ca="1" si="1100">+Y1009</f>
        <v>0</v>
      </c>
      <c r="Z1010" s="13">
        <f t="shared" ca="1" si="1100"/>
        <v>0</v>
      </c>
      <c r="AA1010">
        <f t="shared" ca="1" si="1058"/>
        <v>0</v>
      </c>
      <c r="AB1010">
        <f t="shared" ca="1" si="1059"/>
        <v>1</v>
      </c>
      <c r="AC1010" s="24">
        <f t="shared" ca="1" si="1060"/>
        <v>0</v>
      </c>
      <c r="AD1010" s="24">
        <f t="shared" ca="1" si="1061"/>
        <v>-0.1718690559804408</v>
      </c>
    </row>
    <row r="1011" spans="3:30" x14ac:dyDescent="0.25">
      <c r="C1011" s="6">
        <v>1105</v>
      </c>
      <c r="D1011" s="36">
        <v>43580</v>
      </c>
      <c r="E1011" s="38">
        <v>20.145</v>
      </c>
      <c r="F1011" s="38">
        <v>60.350614141378927</v>
      </c>
      <c r="G1011" s="38">
        <v>51.44</v>
      </c>
      <c r="H1011" s="38">
        <v>2.2211955053045429</v>
      </c>
      <c r="I1011" s="38">
        <v>6.1457724930914539</v>
      </c>
      <c r="J1011" s="10">
        <v>0</v>
      </c>
      <c r="K1011" s="39">
        <v>0</v>
      </c>
      <c r="L1011" s="39">
        <v>0</v>
      </c>
      <c r="M1011" s="39">
        <v>1</v>
      </c>
      <c r="N1011" s="39">
        <v>0</v>
      </c>
      <c r="O1011" s="39">
        <v>0</v>
      </c>
      <c r="P1011" s="39">
        <v>0</v>
      </c>
      <c r="Q1011" s="39">
        <v>0</v>
      </c>
      <c r="R1011" s="39">
        <v>0</v>
      </c>
      <c r="S1011" s="39">
        <v>0</v>
      </c>
      <c r="T1011" s="39">
        <v>0</v>
      </c>
      <c r="U1011" s="29" cm="1">
        <f t="array" aca="1" ref="U1011" ca="1">+fair_value_gap(OFFSET(T1010,0,0,-1*$J$5,-1*$AA$1),OFFSET(E1010,0,0,-1*$J$5,1),F1011:T1011,0)</f>
        <v>19.992563748491293</v>
      </c>
      <c r="V1011" s="9" cm="1">
        <f t="array" aca="1" ref="V1011" ca="1">z_score_diff(OFFSET(U1011,0,0,$J$5*-1,1),OFFSET(E1011,0,0,$J$5*-1,1))</f>
        <v>-0.20123334802534942</v>
      </c>
      <c r="W1011" s="9">
        <f t="shared" ca="1" si="1056"/>
        <v>8.8412183433351679E-2</v>
      </c>
      <c r="X1011" s="17">
        <f t="shared" ca="1" si="1051"/>
        <v>-0.18569283256778416</v>
      </c>
      <c r="Y1011" s="13">
        <f t="shared" ref="Y1011:Z1011" ca="1" si="1101">+Y1010</f>
        <v>0</v>
      </c>
      <c r="Z1011" s="13">
        <f t="shared" ca="1" si="1101"/>
        <v>0</v>
      </c>
      <c r="AA1011">
        <f t="shared" ca="1" si="1058"/>
        <v>0</v>
      </c>
      <c r="AB1011">
        <f t="shared" ca="1" si="1059"/>
        <v>1</v>
      </c>
      <c r="AC1011" s="24">
        <f t="shared" ca="1" si="1060"/>
        <v>0</v>
      </c>
      <c r="AD1011" s="24">
        <f t="shared" ca="1" si="1061"/>
        <v>-0.18569283256778416</v>
      </c>
    </row>
    <row r="1012" spans="3:30" x14ac:dyDescent="0.25">
      <c r="C1012" s="6">
        <v>1106</v>
      </c>
      <c r="D1012" s="36">
        <v>43581</v>
      </c>
      <c r="E1012" s="38">
        <v>19.869</v>
      </c>
      <c r="F1012" s="38">
        <v>58.749281846828808</v>
      </c>
      <c r="G1012" s="38">
        <v>50.95</v>
      </c>
      <c r="H1012" s="38">
        <v>2.2206166541896626</v>
      </c>
      <c r="I1012" s="38">
        <v>6.084715959539686</v>
      </c>
      <c r="J1012" s="10">
        <v>0</v>
      </c>
      <c r="K1012" s="39">
        <v>0</v>
      </c>
      <c r="L1012" s="39">
        <v>0</v>
      </c>
      <c r="M1012" s="39">
        <v>1</v>
      </c>
      <c r="N1012" s="39">
        <v>0</v>
      </c>
      <c r="O1012" s="39">
        <v>0</v>
      </c>
      <c r="P1012" s="39">
        <v>0</v>
      </c>
      <c r="Q1012" s="39">
        <v>0</v>
      </c>
      <c r="R1012" s="39">
        <v>0</v>
      </c>
      <c r="S1012" s="39">
        <v>0</v>
      </c>
      <c r="T1012" s="39">
        <v>0</v>
      </c>
      <c r="U1012" s="29" cm="1">
        <f t="array" aca="1" ref="U1012" ca="1">+fair_value_gap(OFFSET(T1011,0,0,-1*$J$5,-1*$AA$1),OFFSET(E1011,0,0,-1*$J$5,1),F1012:T1012,0)</f>
        <v>19.732603741396517</v>
      </c>
      <c r="V1012" s="9" cm="1">
        <f t="array" aca="1" ref="V1012" ca="1">z_score_diff(OFFSET(U1012,0,0,$J$5*-1,1),OFFSET(E1012,0,0,$J$5*-1,1))</f>
        <v>-0.19633935603370545</v>
      </c>
      <c r="W1012" s="9">
        <f t="shared" ca="1" si="1056"/>
        <v>6.5072431702854608E-2</v>
      </c>
      <c r="X1012" s="17">
        <f t="shared" ca="1" si="1051"/>
        <v>-0.14088492408483638</v>
      </c>
      <c r="Y1012" s="13">
        <f t="shared" ref="Y1012:Z1012" ca="1" si="1102">+Y1011</f>
        <v>0</v>
      </c>
      <c r="Z1012" s="13">
        <f t="shared" ca="1" si="1102"/>
        <v>0</v>
      </c>
      <c r="AA1012">
        <f t="shared" ca="1" si="1058"/>
        <v>0</v>
      </c>
      <c r="AB1012">
        <f t="shared" ca="1" si="1059"/>
        <v>1</v>
      </c>
      <c r="AC1012" s="24">
        <f t="shared" ca="1" si="1060"/>
        <v>0</v>
      </c>
      <c r="AD1012" s="24">
        <f t="shared" ca="1" si="1061"/>
        <v>-0.14088492408483638</v>
      </c>
    </row>
    <row r="1013" spans="3:30" x14ac:dyDescent="0.25">
      <c r="C1013" s="6">
        <v>1107</v>
      </c>
      <c r="D1013" s="36">
        <v>43584</v>
      </c>
      <c r="E1013" s="38">
        <v>19.756</v>
      </c>
      <c r="F1013" s="38">
        <v>58.596292112017572</v>
      </c>
      <c r="G1013" s="38">
        <v>51.18</v>
      </c>
      <c r="H1013" s="38">
        <v>2.1874907806070825</v>
      </c>
      <c r="I1013" s="38">
        <v>5.9871822237956653</v>
      </c>
      <c r="J1013" s="10">
        <v>0</v>
      </c>
      <c r="K1013" s="39">
        <v>0</v>
      </c>
      <c r="L1013" s="39">
        <v>0</v>
      </c>
      <c r="M1013" s="39">
        <v>1</v>
      </c>
      <c r="N1013" s="39">
        <v>0</v>
      </c>
      <c r="O1013" s="39">
        <v>0</v>
      </c>
      <c r="P1013" s="39">
        <v>0</v>
      </c>
      <c r="Q1013" s="39">
        <v>0</v>
      </c>
      <c r="R1013" s="39">
        <v>0</v>
      </c>
      <c r="S1013" s="39">
        <v>0</v>
      </c>
      <c r="T1013" s="39">
        <v>0</v>
      </c>
      <c r="U1013" s="29" cm="1">
        <f t="array" aca="1" ref="U1013" ca="1">+fair_value_gap(OFFSET(T1012,0,0,-1*$J$5,-1*$AA$1),OFFSET(E1012,0,0,-1*$J$5,1),F1013:T1013,0)</f>
        <v>19.742510334384306</v>
      </c>
      <c r="V1013" s="9" cm="1">
        <f t="array" aca="1" ref="V1013" ca="1">z_score_diff(OFFSET(U1013,0,0,$J$5*-1,1),OFFSET(E1013,0,0,$J$5*-1,1))</f>
        <v>-0.13802273900870832</v>
      </c>
      <c r="W1013" s="9">
        <f t="shared" ca="1" si="1056"/>
        <v>4.2896920171081314E-2</v>
      </c>
      <c r="X1013" s="17">
        <f t="shared" ca="1" si="1051"/>
        <v>-0.12108494786967995</v>
      </c>
      <c r="Y1013" s="13">
        <f t="shared" ref="Y1013:Z1013" ca="1" si="1103">+Y1012</f>
        <v>0</v>
      </c>
      <c r="Z1013" s="13">
        <f t="shared" ca="1" si="1103"/>
        <v>0</v>
      </c>
      <c r="AA1013">
        <f t="shared" ca="1" si="1058"/>
        <v>0</v>
      </c>
      <c r="AB1013">
        <f t="shared" ca="1" si="1059"/>
        <v>1</v>
      </c>
      <c r="AC1013" s="24">
        <f t="shared" ca="1" si="1060"/>
        <v>0</v>
      </c>
      <c r="AD1013" s="24">
        <f t="shared" ca="1" si="1061"/>
        <v>-0.12108494786967995</v>
      </c>
    </row>
    <row r="1014" spans="3:30" x14ac:dyDescent="0.25">
      <c r="C1014" s="6">
        <v>1108</v>
      </c>
      <c r="D1014" s="36">
        <v>43585</v>
      </c>
      <c r="E1014" s="38">
        <v>18.491</v>
      </c>
      <c r="F1014" s="38">
        <v>58.793347656010035</v>
      </c>
      <c r="G1014" s="38">
        <v>48.04</v>
      </c>
      <c r="H1014" s="38">
        <v>2.1916637176258043</v>
      </c>
      <c r="I1014" s="38">
        <v>6.0134476263321517</v>
      </c>
      <c r="J1014" s="10">
        <v>0</v>
      </c>
      <c r="K1014" s="39">
        <v>0</v>
      </c>
      <c r="L1014" s="39">
        <v>0</v>
      </c>
      <c r="M1014" s="39">
        <v>1</v>
      </c>
      <c r="N1014" s="39">
        <v>0</v>
      </c>
      <c r="O1014" s="39">
        <v>0</v>
      </c>
      <c r="P1014" s="39">
        <v>0</v>
      </c>
      <c r="Q1014" s="39">
        <v>0</v>
      </c>
      <c r="R1014" s="39">
        <v>0</v>
      </c>
      <c r="S1014" s="39">
        <v>0</v>
      </c>
      <c r="T1014" s="39">
        <v>0</v>
      </c>
      <c r="U1014" s="29" cm="1">
        <f t="array" aca="1" ref="U1014" ca="1">+fair_value_gap(OFFSET(T1013,0,0,-1*$J$5,-1*$AA$1),OFFSET(E1013,0,0,-1*$J$5,1),F1014:T1014,0)</f>
        <v>18.933604277497111</v>
      </c>
      <c r="V1014" s="9" cm="1">
        <f t="array" aca="1" ref="V1014" ca="1">z_score_diff(OFFSET(U1014,0,0,$J$5*-1,1),OFFSET(E1014,0,0,$J$5*-1,1))</f>
        <v>7.1465759853420741E-2</v>
      </c>
      <c r="W1014" s="9">
        <f t="shared" ca="1" si="1056"/>
        <v>2.7077286745331771E-2</v>
      </c>
      <c r="X1014" s="17">
        <f t="shared" ca="1" si="1051"/>
        <v>-9.0680816678829504E-2</v>
      </c>
      <c r="Y1014" s="13">
        <f t="shared" ref="Y1014:Z1014" ca="1" si="1104">+Y1013</f>
        <v>0</v>
      </c>
      <c r="Z1014" s="13">
        <f t="shared" ca="1" si="1104"/>
        <v>0</v>
      </c>
      <c r="AA1014">
        <f t="shared" ca="1" si="1058"/>
        <v>0</v>
      </c>
      <c r="AB1014">
        <f t="shared" ca="1" si="1059"/>
        <v>1</v>
      </c>
      <c r="AC1014" s="24">
        <f t="shared" ca="1" si="1060"/>
        <v>0</v>
      </c>
      <c r="AD1014" s="24">
        <f t="shared" ca="1" si="1061"/>
        <v>-9.0680816678829504E-2</v>
      </c>
    </row>
    <row r="1015" spans="3:30" x14ac:dyDescent="0.25">
      <c r="C1015" s="6">
        <v>1109</v>
      </c>
      <c r="D1015" s="36">
        <v>43586</v>
      </c>
      <c r="E1015" s="38">
        <v>18.062000000000001</v>
      </c>
      <c r="F1015" s="38">
        <v>58.610795028612081</v>
      </c>
      <c r="G1015" s="38">
        <v>47.86</v>
      </c>
      <c r="H1015" s="38">
        <v>2.2029963176509231</v>
      </c>
      <c r="I1015" s="38">
        <v>5.9581430699646329</v>
      </c>
      <c r="J1015" s="10">
        <v>0</v>
      </c>
      <c r="K1015" s="39">
        <v>0</v>
      </c>
      <c r="L1015" s="39">
        <v>0</v>
      </c>
      <c r="M1015" s="39">
        <v>0</v>
      </c>
      <c r="N1015" s="39">
        <v>1</v>
      </c>
      <c r="O1015" s="39">
        <v>0</v>
      </c>
      <c r="P1015" s="39">
        <v>0</v>
      </c>
      <c r="Q1015" s="39">
        <v>0</v>
      </c>
      <c r="R1015" s="39">
        <v>0</v>
      </c>
      <c r="S1015" s="39">
        <v>0</v>
      </c>
      <c r="T1015" s="39">
        <v>0</v>
      </c>
      <c r="U1015" s="29" cm="1">
        <f t="array" aca="1" ref="U1015" ca="1">+fair_value_gap(OFFSET(T1014,0,0,-1*$J$5,-1*$AA$1),OFFSET(E1014,0,0,-1*$J$5,1),F1015:T1015,0)</f>
        <v>20.352336243184233</v>
      </c>
      <c r="V1015" s="9" cm="1">
        <f t="array" aca="1" ref="V1015" ca="1">z_score_diff(OFFSET(U1015,0,0,$J$5*-1,1),OFFSET(E1015,0,0,$J$5*-1,1))</f>
        <v>0.96006225179442395</v>
      </c>
      <c r="W1015" s="9">
        <f t="shared" ca="1" si="1056"/>
        <v>5.0698425505009151E-2</v>
      </c>
      <c r="X1015" s="17">
        <f t="shared" ca="1" si="1051"/>
        <v>-6.9400281610201744E-2</v>
      </c>
      <c r="Y1015" s="13">
        <f t="shared" ref="Y1015:Z1015" ca="1" si="1105">+Y1014</f>
        <v>0</v>
      </c>
      <c r="Z1015" s="13">
        <f t="shared" ca="1" si="1105"/>
        <v>0</v>
      </c>
      <c r="AA1015">
        <f t="shared" ca="1" si="1058"/>
        <v>0</v>
      </c>
      <c r="AB1015">
        <f t="shared" ca="1" si="1059"/>
        <v>1</v>
      </c>
      <c r="AC1015" s="24">
        <f t="shared" ca="1" si="1060"/>
        <v>0</v>
      </c>
      <c r="AD1015" s="24">
        <f t="shared" ca="1" si="1061"/>
        <v>-6.9400281610201744E-2</v>
      </c>
    </row>
    <row r="1016" spans="3:30" x14ac:dyDescent="0.25">
      <c r="C1016" s="6">
        <v>1110</v>
      </c>
      <c r="D1016" s="36">
        <v>43587</v>
      </c>
      <c r="E1016" s="38">
        <v>17.858000000000001</v>
      </c>
      <c r="F1016" s="38">
        <v>57.440677480493527</v>
      </c>
      <c r="G1016" s="38">
        <v>46.84</v>
      </c>
      <c r="H1016" s="38">
        <v>2.2104589610842882</v>
      </c>
      <c r="I1016" s="38">
        <v>5.9255233344070186</v>
      </c>
      <c r="J1016" s="10">
        <v>0</v>
      </c>
      <c r="K1016" s="39">
        <v>0</v>
      </c>
      <c r="L1016" s="39">
        <v>0</v>
      </c>
      <c r="M1016" s="39">
        <v>0</v>
      </c>
      <c r="N1016" s="39">
        <v>1</v>
      </c>
      <c r="O1016" s="39">
        <v>0</v>
      </c>
      <c r="P1016" s="39">
        <v>0</v>
      </c>
      <c r="Q1016" s="39">
        <v>0</v>
      </c>
      <c r="R1016" s="39">
        <v>0</v>
      </c>
      <c r="S1016" s="39">
        <v>0</v>
      </c>
      <c r="T1016" s="39">
        <v>0</v>
      </c>
      <c r="U1016" s="29" cm="1">
        <f t="array" aca="1" ref="U1016" ca="1">+fair_value_gap(OFFSET(T1015,0,0,-1*$J$5,-1*$AA$1),OFFSET(E1015,0,0,-1*$J$5,1),F1016:T1016,0)</f>
        <v>19.693149964440462</v>
      </c>
      <c r="V1016" s="9" cm="1">
        <f t="array" aca="1" ref="V1016" ca="1">z_score_diff(OFFSET(U1016,0,0,$J$5*-1,1),OFFSET(E1016,0,0,$J$5*-1,1))</f>
        <v>0.72404253667785867</v>
      </c>
      <c r="W1016" s="9">
        <f t="shared" ca="1" si="1056"/>
        <v>6.9315766681353738E-2</v>
      </c>
      <c r="X1016" s="17">
        <f t="shared" ca="1" si="1051"/>
        <v>-4.4719058189922653E-2</v>
      </c>
      <c r="Y1016" s="13">
        <f t="shared" ref="Y1016:Z1016" ca="1" si="1106">+Y1015</f>
        <v>0</v>
      </c>
      <c r="Z1016" s="13">
        <f t="shared" ca="1" si="1106"/>
        <v>0</v>
      </c>
      <c r="AA1016">
        <f t="shared" ca="1" si="1058"/>
        <v>0</v>
      </c>
      <c r="AB1016">
        <f t="shared" ca="1" si="1059"/>
        <v>1</v>
      </c>
      <c r="AC1016" s="24">
        <f t="shared" ca="1" si="1060"/>
        <v>0</v>
      </c>
      <c r="AD1016" s="24">
        <f t="shared" ca="1" si="1061"/>
        <v>-4.4719058189922653E-2</v>
      </c>
    </row>
    <row r="1017" spans="3:30" x14ac:dyDescent="0.25">
      <c r="C1017" s="6">
        <v>1111</v>
      </c>
      <c r="D1017" s="36">
        <v>43588</v>
      </c>
      <c r="E1017" s="38">
        <v>18.358000000000001</v>
      </c>
      <c r="F1017" s="38">
        <v>57.203887161781161</v>
      </c>
      <c r="G1017" s="38">
        <v>46.94</v>
      </c>
      <c r="H1017" s="38">
        <v>2.1914875002923426</v>
      </c>
      <c r="I1017" s="38">
        <v>5.9334740620563426</v>
      </c>
      <c r="J1017" s="10">
        <v>0</v>
      </c>
      <c r="K1017" s="39">
        <v>0</v>
      </c>
      <c r="L1017" s="39">
        <v>0</v>
      </c>
      <c r="M1017" s="39">
        <v>0</v>
      </c>
      <c r="N1017" s="39">
        <v>1</v>
      </c>
      <c r="O1017" s="39">
        <v>0</v>
      </c>
      <c r="P1017" s="39">
        <v>0</v>
      </c>
      <c r="Q1017" s="39">
        <v>0</v>
      </c>
      <c r="R1017" s="39">
        <v>0</v>
      </c>
      <c r="S1017" s="39">
        <v>0</v>
      </c>
      <c r="T1017" s="39">
        <v>0</v>
      </c>
      <c r="U1017" s="29" cm="1">
        <f t="array" aca="1" ref="U1017" ca="1">+fair_value_gap(OFFSET(T1016,0,0,-1*$J$5,-1*$AA$1),OFFSET(E1016,0,0,-1*$J$5,1),F1017:T1017,0)</f>
        <v>19.494013103566886</v>
      </c>
      <c r="V1017" s="9" cm="1">
        <f t="array" aca="1" ref="V1017" ca="1">z_score_diff(OFFSET(U1017,0,0,$J$5*-1,1),OFFSET(E1017,0,0,$J$5*-1,1))</f>
        <v>0.38054039119081784</v>
      </c>
      <c r="W1017" s="9">
        <f t="shared" ca="1" si="1056"/>
        <v>8.6397256331086608E-2</v>
      </c>
      <c r="X1017" s="17">
        <f t="shared" ca="1" si="1051"/>
        <v>-8.6070936497217906E-2</v>
      </c>
      <c r="Y1017" s="13">
        <f t="shared" ref="Y1017:Z1017" ca="1" si="1107">+Y1016</f>
        <v>0</v>
      </c>
      <c r="Z1017" s="13">
        <f t="shared" ca="1" si="1107"/>
        <v>0</v>
      </c>
      <c r="AA1017">
        <f t="shared" ca="1" si="1058"/>
        <v>0</v>
      </c>
      <c r="AB1017">
        <f t="shared" ca="1" si="1059"/>
        <v>1</v>
      </c>
      <c r="AC1017" s="24">
        <f t="shared" ca="1" si="1060"/>
        <v>0</v>
      </c>
      <c r="AD1017" s="24">
        <f t="shared" ca="1" si="1061"/>
        <v>-8.6070936497217906E-2</v>
      </c>
    </row>
    <row r="1018" spans="3:30" x14ac:dyDescent="0.25">
      <c r="C1018" s="6">
        <v>1112</v>
      </c>
      <c r="D1018" s="36">
        <v>43591</v>
      </c>
      <c r="E1018" s="38">
        <v>18.355</v>
      </c>
      <c r="F1018" s="38">
        <v>57.519121771914762</v>
      </c>
      <c r="G1018" s="38">
        <v>47.38</v>
      </c>
      <c r="H1018" s="38">
        <v>2.1775467462009912</v>
      </c>
      <c r="I1018" s="38">
        <v>5.9356128975235931</v>
      </c>
      <c r="J1018" s="10">
        <v>0</v>
      </c>
      <c r="K1018" s="39">
        <v>0</v>
      </c>
      <c r="L1018" s="39">
        <v>0</v>
      </c>
      <c r="M1018" s="39">
        <v>0</v>
      </c>
      <c r="N1018" s="39">
        <v>1</v>
      </c>
      <c r="O1018" s="39">
        <v>0</v>
      </c>
      <c r="P1018" s="39">
        <v>0</v>
      </c>
      <c r="Q1018" s="39">
        <v>0</v>
      </c>
      <c r="R1018" s="39">
        <v>0</v>
      </c>
      <c r="S1018" s="39">
        <v>0</v>
      </c>
      <c r="T1018" s="39">
        <v>0</v>
      </c>
      <c r="U1018" s="29" cm="1">
        <f t="array" aca="1" ref="U1018" ca="1">+fair_value_gap(OFFSET(T1017,0,0,-1*$J$5,-1*$AA$1),OFFSET(E1017,0,0,-1*$J$5,1),F1018:T1018,0)</f>
        <v>19.480612126325873</v>
      </c>
      <c r="V1018" s="9" cm="1">
        <f t="array" aca="1" ref="V1018" ca="1">z_score_diff(OFFSET(U1018,0,0,$J$5*-1,1),OFFSET(E1018,0,0,$J$5*-1,1))</f>
        <v>0.3679175065451894</v>
      </c>
      <c r="W1018" s="9">
        <f t="shared" ca="1" si="1056"/>
        <v>9.9893766482683125E-2</v>
      </c>
      <c r="X1018" s="17">
        <f t="shared" ca="1" si="1051"/>
        <v>-8.578877705562564E-2</v>
      </c>
      <c r="Y1018" s="13">
        <f t="shared" ref="Y1018:Z1018" ca="1" si="1108">+Y1017</f>
        <v>0</v>
      </c>
      <c r="Z1018" s="13">
        <f t="shared" ca="1" si="1108"/>
        <v>0</v>
      </c>
      <c r="AA1018">
        <f t="shared" ca="1" si="1058"/>
        <v>0</v>
      </c>
      <c r="AB1018">
        <f t="shared" ca="1" si="1059"/>
        <v>1</v>
      </c>
      <c r="AC1018" s="24">
        <f t="shared" ca="1" si="1060"/>
        <v>0</v>
      </c>
      <c r="AD1018" s="24">
        <f t="shared" ca="1" si="1061"/>
        <v>-8.578877705562564E-2</v>
      </c>
    </row>
    <row r="1019" spans="3:30" x14ac:dyDescent="0.25">
      <c r="C1019" s="6">
        <v>1113</v>
      </c>
      <c r="D1019" s="36">
        <v>43592</v>
      </c>
      <c r="E1019" s="38">
        <v>18.484000000000002</v>
      </c>
      <c r="F1019" s="38">
        <v>56.630502443989371</v>
      </c>
      <c r="G1019" s="38">
        <v>47.69</v>
      </c>
      <c r="H1019" s="38">
        <v>2.1925679834790128</v>
      </c>
      <c r="I1019" s="38">
        <v>6.0254438454642711</v>
      </c>
      <c r="J1019" s="10">
        <v>0</v>
      </c>
      <c r="K1019" s="39">
        <v>0</v>
      </c>
      <c r="L1019" s="39">
        <v>0</v>
      </c>
      <c r="M1019" s="39">
        <v>0</v>
      </c>
      <c r="N1019" s="39">
        <v>1</v>
      </c>
      <c r="O1019" s="39">
        <v>0</v>
      </c>
      <c r="P1019" s="39">
        <v>0</v>
      </c>
      <c r="Q1019" s="39">
        <v>0</v>
      </c>
      <c r="R1019" s="39">
        <v>0</v>
      </c>
      <c r="S1019" s="39">
        <v>0</v>
      </c>
      <c r="T1019" s="39">
        <v>0</v>
      </c>
      <c r="U1019" s="29" cm="1">
        <f t="array" aca="1" ref="U1019" ca="1">+fair_value_gap(OFFSET(T1018,0,0,-1*$J$5,-1*$AA$1),OFFSET(E1018,0,0,-1*$J$5,1),F1019:T1019,0)</f>
        <v>19.406929016963566</v>
      </c>
      <c r="V1019" s="9" cm="1">
        <f t="array" aca="1" ref="V1019" ca="1">z_score_diff(OFFSET(U1019,0,0,$J$5*-1,1),OFFSET(E1019,0,0,$J$5*-1,1))</f>
        <v>0.26485673554592637</v>
      </c>
      <c r="W1019" s="9">
        <f t="shared" ca="1" si="1056"/>
        <v>0.11652430412374067</v>
      </c>
      <c r="X1019" s="17">
        <f t="shared" ca="1" si="1051"/>
        <v>-0.10383483406108827</v>
      </c>
      <c r="Y1019" s="13">
        <f t="shared" ref="Y1019:Z1019" ca="1" si="1109">+Y1018</f>
        <v>0</v>
      </c>
      <c r="Z1019" s="13">
        <f t="shared" ca="1" si="1109"/>
        <v>0</v>
      </c>
      <c r="AA1019">
        <f t="shared" ca="1" si="1058"/>
        <v>0</v>
      </c>
      <c r="AB1019">
        <f t="shared" ca="1" si="1059"/>
        <v>1</v>
      </c>
      <c r="AC1019" s="24">
        <f t="shared" ca="1" si="1060"/>
        <v>0</v>
      </c>
      <c r="AD1019" s="24">
        <f t="shared" ca="1" si="1061"/>
        <v>-0.10383483406108827</v>
      </c>
    </row>
    <row r="1020" spans="3:30" x14ac:dyDescent="0.25">
      <c r="C1020" s="6">
        <v>1114</v>
      </c>
      <c r="D1020" s="36">
        <v>43593</v>
      </c>
      <c r="E1020" s="38">
        <v>18.448</v>
      </c>
      <c r="F1020" s="38">
        <v>57.28244719491115</v>
      </c>
      <c r="G1020" s="38">
        <v>48.31</v>
      </c>
      <c r="H1020" s="38">
        <v>2.2131066538832953</v>
      </c>
      <c r="I1020" s="38">
        <v>5.9380260787702985</v>
      </c>
      <c r="J1020" s="10">
        <v>0</v>
      </c>
      <c r="K1020" s="39">
        <v>0</v>
      </c>
      <c r="L1020" s="39">
        <v>0</v>
      </c>
      <c r="M1020" s="39">
        <v>0</v>
      </c>
      <c r="N1020" s="39">
        <v>1</v>
      </c>
      <c r="O1020" s="39">
        <v>0</v>
      </c>
      <c r="P1020" s="39">
        <v>0</v>
      </c>
      <c r="Q1020" s="39">
        <v>0</v>
      </c>
      <c r="R1020" s="39">
        <v>0</v>
      </c>
      <c r="S1020" s="39">
        <v>0</v>
      </c>
      <c r="T1020" s="39">
        <v>0</v>
      </c>
      <c r="U1020" s="29" cm="1">
        <f t="array" aca="1" ref="U1020" ca="1">+fair_value_gap(OFFSET(T1019,0,0,-1*$J$5,-1*$AA$1),OFFSET(E1019,0,0,-1*$J$5,1),F1020:T1020,0)</f>
        <v>19.38049700155949</v>
      </c>
      <c r="V1020" s="9" cm="1">
        <f t="array" aca="1" ref="V1020" ca="1">z_score_diff(OFFSET(U1020,0,0,$J$5*-1,1),OFFSET(E1020,0,0,$J$5*-1,1))</f>
        <v>0.26380980222846073</v>
      </c>
      <c r="W1020" s="9">
        <f t="shared" ca="1" si="1056"/>
        <v>0.13002263487089225</v>
      </c>
      <c r="X1020" s="17">
        <f t="shared" ca="1" si="1051"/>
        <v>-0.11135318775775249</v>
      </c>
      <c r="Y1020" s="13">
        <f t="shared" ref="Y1020:Z1020" ca="1" si="1110">+Y1019</f>
        <v>0</v>
      </c>
      <c r="Z1020" s="13">
        <f t="shared" ca="1" si="1110"/>
        <v>0</v>
      </c>
      <c r="AA1020">
        <f t="shared" ca="1" si="1058"/>
        <v>0</v>
      </c>
      <c r="AB1020">
        <f t="shared" ca="1" si="1059"/>
        <v>1</v>
      </c>
      <c r="AC1020" s="24">
        <f t="shared" ca="1" si="1060"/>
        <v>0</v>
      </c>
      <c r="AD1020" s="24">
        <f t="shared" ca="1" si="1061"/>
        <v>-0.11135318775775249</v>
      </c>
    </row>
    <row r="1021" spans="3:30" x14ac:dyDescent="0.25">
      <c r="C1021" s="6">
        <v>1115</v>
      </c>
      <c r="D1021" s="36">
        <v>43594</v>
      </c>
      <c r="E1021" s="38">
        <v>18.271999999999998</v>
      </c>
      <c r="F1021" s="38">
        <v>56.783562971681782</v>
      </c>
      <c r="G1021" s="38">
        <v>48.57</v>
      </c>
      <c r="H1021" s="38">
        <v>2.2104133490272102</v>
      </c>
      <c r="I1021" s="38">
        <v>5.9068406840684071</v>
      </c>
      <c r="J1021" s="10">
        <v>0</v>
      </c>
      <c r="K1021" s="39">
        <v>0</v>
      </c>
      <c r="L1021" s="39">
        <v>0</v>
      </c>
      <c r="M1021" s="39">
        <v>0</v>
      </c>
      <c r="N1021" s="39">
        <v>1</v>
      </c>
      <c r="O1021" s="39">
        <v>0</v>
      </c>
      <c r="P1021" s="39">
        <v>0</v>
      </c>
      <c r="Q1021" s="39">
        <v>0</v>
      </c>
      <c r="R1021" s="39">
        <v>0</v>
      </c>
      <c r="S1021" s="39">
        <v>0</v>
      </c>
      <c r="T1021" s="39">
        <v>0</v>
      </c>
      <c r="U1021" s="29" cm="1">
        <f t="array" aca="1" ref="U1021" ca="1">+fair_value_gap(OFFSET(T1020,0,0,-1*$J$5,-1*$AA$1),OFFSET(E1020,0,0,-1*$J$5,1),F1021:T1021,0)</f>
        <v>19.232737464072851</v>
      </c>
      <c r="V1021" s="9" cm="1">
        <f t="array" aca="1" ref="V1021" ca="1">z_score_diff(OFFSET(U1021,0,0,$J$5*-1,1),OFFSET(E1021,0,0,$J$5*-1,1))</f>
        <v>0.2674174010257544</v>
      </c>
      <c r="W1021" s="9">
        <f t="shared" ca="1" si="1056"/>
        <v>0.14178111401829974</v>
      </c>
      <c r="X1021" s="17">
        <f t="shared" ca="1" si="1051"/>
        <v>-8.9482186838670777E-2</v>
      </c>
      <c r="Y1021" s="13">
        <f t="shared" ref="Y1021:Z1021" ca="1" si="1111">+Y1020</f>
        <v>0</v>
      </c>
      <c r="Z1021" s="13">
        <f t="shared" ca="1" si="1111"/>
        <v>0</v>
      </c>
      <c r="AA1021">
        <f t="shared" ca="1" si="1058"/>
        <v>0</v>
      </c>
      <c r="AB1021">
        <f t="shared" ca="1" si="1059"/>
        <v>1</v>
      </c>
      <c r="AC1021" s="24">
        <f t="shared" ca="1" si="1060"/>
        <v>0</v>
      </c>
      <c r="AD1021" s="24">
        <f t="shared" ca="1" si="1061"/>
        <v>-8.9482186838670777E-2</v>
      </c>
    </row>
    <row r="1022" spans="3:30" x14ac:dyDescent="0.25">
      <c r="C1022" s="6">
        <v>1116</v>
      </c>
      <c r="D1022" s="36">
        <v>43595</v>
      </c>
      <c r="E1022" s="38">
        <v>17.893000000000001</v>
      </c>
      <c r="F1022" s="38">
        <v>56.664520283322609</v>
      </c>
      <c r="G1022" s="38">
        <v>47.64</v>
      </c>
      <c r="H1022" s="38">
        <v>2.2065973197578188</v>
      </c>
      <c r="I1022" s="38">
        <v>5.8773449958296782</v>
      </c>
      <c r="J1022" s="10">
        <v>0</v>
      </c>
      <c r="K1022" s="39">
        <v>0</v>
      </c>
      <c r="L1022" s="39">
        <v>0</v>
      </c>
      <c r="M1022" s="39">
        <v>0</v>
      </c>
      <c r="N1022" s="39">
        <v>1</v>
      </c>
      <c r="O1022" s="39">
        <v>0</v>
      </c>
      <c r="P1022" s="39">
        <v>0</v>
      </c>
      <c r="Q1022" s="39">
        <v>0</v>
      </c>
      <c r="R1022" s="39">
        <v>0</v>
      </c>
      <c r="S1022" s="39">
        <v>0</v>
      </c>
      <c r="T1022" s="39">
        <v>0</v>
      </c>
      <c r="U1022" s="29" cm="1">
        <f t="array" aca="1" ref="U1022" ca="1">+fair_value_gap(OFFSET(T1021,0,0,-1*$J$5,-1*$AA$1),OFFSET(E1021,0,0,-1*$J$5,1),F1022:T1022,0)</f>
        <v>18.870296524479414</v>
      </c>
      <c r="V1022" s="9" cm="1">
        <f t="array" aca="1" ref="V1022" ca="1">z_score_diff(OFFSET(U1022,0,0,$J$5*-1,1),OFFSET(E1022,0,0,$J$5*-1,1))</f>
        <v>0.26086888764656302</v>
      </c>
      <c r="W1022" s="9">
        <f t="shared" ca="1" si="1056"/>
        <v>0.15730507217403306</v>
      </c>
      <c r="X1022" s="17">
        <f t="shared" ca="1" si="1051"/>
        <v>-4.8083433578947538E-2</v>
      </c>
      <c r="Y1022" s="13">
        <f t="shared" ref="Y1022:Z1022" ca="1" si="1112">+Y1021</f>
        <v>0</v>
      </c>
      <c r="Z1022" s="13">
        <f t="shared" ca="1" si="1112"/>
        <v>0</v>
      </c>
      <c r="AA1022">
        <f t="shared" ca="1" si="1058"/>
        <v>0</v>
      </c>
      <c r="AB1022">
        <f t="shared" ca="1" si="1059"/>
        <v>1</v>
      </c>
      <c r="AC1022" s="24">
        <f t="shared" ca="1" si="1060"/>
        <v>0</v>
      </c>
      <c r="AD1022" s="24">
        <f t="shared" ca="1" si="1061"/>
        <v>-4.8083433578947538E-2</v>
      </c>
    </row>
    <row r="1023" spans="3:30" x14ac:dyDescent="0.25">
      <c r="C1023" s="6">
        <v>1117</v>
      </c>
      <c r="D1023" s="36">
        <v>43598</v>
      </c>
      <c r="E1023" s="38">
        <v>17.922999999999998</v>
      </c>
      <c r="F1023" s="38">
        <v>56.510965066027559</v>
      </c>
      <c r="G1023" s="38">
        <v>47.42</v>
      </c>
      <c r="H1023" s="38">
        <v>2.2140457748337949</v>
      </c>
      <c r="I1023" s="38">
        <v>5.8120865433967683</v>
      </c>
      <c r="J1023" s="10">
        <v>0</v>
      </c>
      <c r="K1023" s="39">
        <v>0</v>
      </c>
      <c r="L1023" s="39">
        <v>0</v>
      </c>
      <c r="M1023" s="39">
        <v>0</v>
      </c>
      <c r="N1023" s="39">
        <v>1</v>
      </c>
      <c r="O1023" s="39">
        <v>0</v>
      </c>
      <c r="P1023" s="39">
        <v>0</v>
      </c>
      <c r="Q1023" s="39">
        <v>0</v>
      </c>
      <c r="R1023" s="39">
        <v>0</v>
      </c>
      <c r="S1023" s="39">
        <v>0</v>
      </c>
      <c r="T1023" s="39">
        <v>0</v>
      </c>
      <c r="U1023" s="29" cm="1">
        <f t="array" aca="1" ref="U1023" ca="1">+fair_value_gap(OFFSET(T1022,0,0,-1*$J$5,-1*$AA$1),OFFSET(E1022,0,0,-1*$J$5,1),F1023:T1023,0)</f>
        <v>18.623396533310189</v>
      </c>
      <c r="V1023" s="9" cm="1">
        <f t="array" aca="1" ref="V1023" ca="1">z_score_diff(OFFSET(U1023,0,0,$J$5*-1,1),OFFSET(E1023,0,0,$J$5*-1,1))</f>
        <v>0.1212333399932477</v>
      </c>
      <c r="W1023" s="9">
        <f t="shared" ca="1" si="1056"/>
        <v>0.164262262682417</v>
      </c>
      <c r="X1023" s="17">
        <f t="shared" ca="1" si="1051"/>
        <v>-3.7287638819167045E-2</v>
      </c>
      <c r="Y1023" s="13">
        <f t="shared" ref="Y1023:Z1023" ca="1" si="1113">+Y1022</f>
        <v>0</v>
      </c>
      <c r="Z1023" s="13">
        <f t="shared" ca="1" si="1113"/>
        <v>0</v>
      </c>
      <c r="AA1023">
        <f t="shared" ca="1" si="1058"/>
        <v>0</v>
      </c>
      <c r="AB1023">
        <f t="shared" ca="1" si="1059"/>
        <v>1</v>
      </c>
      <c r="AC1023" s="24">
        <f t="shared" ca="1" si="1060"/>
        <v>0</v>
      </c>
      <c r="AD1023" s="24">
        <f t="shared" ca="1" si="1061"/>
        <v>-3.7287638819167045E-2</v>
      </c>
    </row>
    <row r="1024" spans="3:30" x14ac:dyDescent="0.25">
      <c r="C1024" s="6">
        <v>1118</v>
      </c>
      <c r="D1024" s="36">
        <v>43599</v>
      </c>
      <c r="E1024" s="38">
        <v>18.117000000000001</v>
      </c>
      <c r="F1024" s="38">
        <v>57.227741639310182</v>
      </c>
      <c r="G1024" s="38">
        <v>46.82</v>
      </c>
      <c r="H1024" s="38">
        <v>2.2329819577136623</v>
      </c>
      <c r="I1024" s="38">
        <v>5.8033278187282926</v>
      </c>
      <c r="J1024" s="10">
        <v>0</v>
      </c>
      <c r="K1024" s="39">
        <v>0</v>
      </c>
      <c r="L1024" s="39">
        <v>0</v>
      </c>
      <c r="M1024" s="39">
        <v>0</v>
      </c>
      <c r="N1024" s="39">
        <v>1</v>
      </c>
      <c r="O1024" s="39">
        <v>0</v>
      </c>
      <c r="P1024" s="39">
        <v>0</v>
      </c>
      <c r="Q1024" s="39">
        <v>0</v>
      </c>
      <c r="R1024" s="39">
        <v>0</v>
      </c>
      <c r="S1024" s="39">
        <v>0</v>
      </c>
      <c r="T1024" s="39">
        <v>0</v>
      </c>
      <c r="U1024" s="29" cm="1">
        <f t="array" aca="1" ref="U1024" ca="1">+fair_value_gap(OFFSET(T1023,0,0,-1*$J$5,-1*$AA$1),OFFSET(E1023,0,0,-1*$J$5,1),F1024:T1024,0)</f>
        <v>18.444696964341691</v>
      </c>
      <c r="V1024" s="9" cm="1">
        <f t="array" aca="1" ref="V1024" ca="1">z_score_diff(OFFSET(U1024,0,0,$J$5*-1,1),OFFSET(E1024,0,0,$J$5*-1,1))</f>
        <v>-5.7448748680906991E-2</v>
      </c>
      <c r="W1024" s="9">
        <f t="shared" ca="1" si="1056"/>
        <v>0.16484232311965458</v>
      </c>
      <c r="X1024" s="17">
        <f t="shared" ca="1" si="1051"/>
        <v>-5.7830741727417916E-2</v>
      </c>
      <c r="Y1024" s="13">
        <f t="shared" ref="Y1024:Z1024" ca="1" si="1114">+Y1023</f>
        <v>0</v>
      </c>
      <c r="Z1024" s="13">
        <f t="shared" ca="1" si="1114"/>
        <v>0</v>
      </c>
      <c r="AA1024">
        <f t="shared" ca="1" si="1058"/>
        <v>0</v>
      </c>
      <c r="AB1024">
        <f t="shared" ca="1" si="1059"/>
        <v>1</v>
      </c>
      <c r="AC1024" s="24">
        <f t="shared" ca="1" si="1060"/>
        <v>0</v>
      </c>
      <c r="AD1024" s="24">
        <f t="shared" ca="1" si="1061"/>
        <v>-5.7830741727417916E-2</v>
      </c>
    </row>
    <row r="1025" spans="3:30" x14ac:dyDescent="0.25">
      <c r="C1025" s="6">
        <v>1119</v>
      </c>
      <c r="D1025" s="36">
        <v>43600</v>
      </c>
      <c r="E1025" s="38">
        <v>18.341999999999999</v>
      </c>
      <c r="F1025" s="38">
        <v>57.746591208577804</v>
      </c>
      <c r="G1025" s="38">
        <v>47.42</v>
      </c>
      <c r="H1025" s="38">
        <v>2.2228232976849345</v>
      </c>
      <c r="I1025" s="38">
        <v>5.8301430097235505</v>
      </c>
      <c r="J1025" s="10">
        <v>0</v>
      </c>
      <c r="K1025" s="39">
        <v>0</v>
      </c>
      <c r="L1025" s="39">
        <v>0</v>
      </c>
      <c r="M1025" s="39">
        <v>0</v>
      </c>
      <c r="N1025" s="39">
        <v>1</v>
      </c>
      <c r="O1025" s="39">
        <v>0</v>
      </c>
      <c r="P1025" s="39">
        <v>0</v>
      </c>
      <c r="Q1025" s="39">
        <v>0</v>
      </c>
      <c r="R1025" s="39">
        <v>0</v>
      </c>
      <c r="S1025" s="39">
        <v>0</v>
      </c>
      <c r="T1025" s="39">
        <v>0</v>
      </c>
      <c r="U1025" s="29" cm="1">
        <f t="array" aca="1" ref="U1025" ca="1">+fair_value_gap(OFFSET(T1024,0,0,-1*$J$5,-1*$AA$1),OFFSET(E1024,0,0,-1*$J$5,1),F1025:T1025,0)</f>
        <v>18.562816655107991</v>
      </c>
      <c r="V1025" s="9" cm="1">
        <f t="array" aca="1" ref="V1025" ca="1">z_score_diff(OFFSET(U1025,0,0,$J$5*-1,1),OFFSET(E1025,0,0,$J$5*-1,1))</f>
        <v>-0.10371888478396429</v>
      </c>
      <c r="W1025" s="9">
        <f t="shared" ca="1" si="1056"/>
        <v>0.13254358979342626</v>
      </c>
      <c r="X1025" s="17">
        <f t="shared" ca="1" si="1051"/>
        <v>-6.4167856007464497E-2</v>
      </c>
      <c r="Y1025" s="13">
        <f t="shared" ref="Y1025:Z1025" ca="1" si="1115">+Y1024</f>
        <v>0</v>
      </c>
      <c r="Z1025" s="13">
        <f t="shared" ca="1" si="1115"/>
        <v>0</v>
      </c>
      <c r="AA1025">
        <f t="shared" ca="1" si="1058"/>
        <v>0</v>
      </c>
      <c r="AB1025">
        <f t="shared" ca="1" si="1059"/>
        <v>1</v>
      </c>
      <c r="AC1025" s="24">
        <f t="shared" ca="1" si="1060"/>
        <v>0</v>
      </c>
      <c r="AD1025" s="24">
        <f t="shared" ca="1" si="1061"/>
        <v>-6.4167856007464497E-2</v>
      </c>
    </row>
    <row r="1026" spans="3:30" x14ac:dyDescent="0.25">
      <c r="C1026" s="6">
        <v>1120</v>
      </c>
      <c r="D1026" s="36">
        <v>43601</v>
      </c>
      <c r="E1026" s="38">
        <v>18.065999999999999</v>
      </c>
      <c r="F1026" s="38">
        <v>58.301187478447588</v>
      </c>
      <c r="G1026" s="38">
        <v>47.75</v>
      </c>
      <c r="H1026" s="38">
        <v>2.2453600958251938</v>
      </c>
      <c r="I1026" s="38">
        <v>5.6590023304839994</v>
      </c>
      <c r="J1026" s="10">
        <v>0</v>
      </c>
      <c r="K1026" s="39">
        <v>0</v>
      </c>
      <c r="L1026" s="39">
        <v>0</v>
      </c>
      <c r="M1026" s="39">
        <v>0</v>
      </c>
      <c r="N1026" s="39">
        <v>1</v>
      </c>
      <c r="O1026" s="39">
        <v>0</v>
      </c>
      <c r="P1026" s="39">
        <v>0</v>
      </c>
      <c r="Q1026" s="39">
        <v>0</v>
      </c>
      <c r="R1026" s="39">
        <v>0</v>
      </c>
      <c r="S1026" s="39">
        <v>0</v>
      </c>
      <c r="T1026" s="39">
        <v>0</v>
      </c>
      <c r="U1026" s="29" cm="1">
        <f t="array" aca="1" ref="U1026" ca="1">+fair_value_gap(OFFSET(T1025,0,0,-1*$J$5,-1*$AA$1),OFFSET(E1025,0,0,-1*$J$5,1),F1026:T1026,0)</f>
        <v>18.437618535418729</v>
      </c>
      <c r="V1026" s="9" cm="1">
        <f t="array" aca="1" ref="V1026" ca="1">z_score_diff(OFFSET(U1026,0,0,$J$5*-1,1),OFFSET(E1026,0,0,$J$5*-1,1))</f>
        <v>-3.7505973948408267E-2</v>
      </c>
      <c r="W1026" s="9">
        <f t="shared" ca="1" si="1056"/>
        <v>0.10870430235068997</v>
      </c>
      <c r="X1026" s="17">
        <f t="shared" ca="1" si="1051"/>
        <v>-6.0524300268492995E-2</v>
      </c>
      <c r="Y1026" s="13">
        <f t="shared" ref="Y1026:Z1026" ca="1" si="1116">+Y1025</f>
        <v>0</v>
      </c>
      <c r="Z1026" s="13">
        <f t="shared" ca="1" si="1116"/>
        <v>0</v>
      </c>
      <c r="AA1026">
        <f t="shared" ca="1" si="1058"/>
        <v>0</v>
      </c>
      <c r="AB1026">
        <f t="shared" ca="1" si="1059"/>
        <v>1</v>
      </c>
      <c r="AC1026" s="24">
        <f t="shared" ca="1" si="1060"/>
        <v>0</v>
      </c>
      <c r="AD1026" s="24">
        <f t="shared" ca="1" si="1061"/>
        <v>-6.0524300268492995E-2</v>
      </c>
    </row>
    <row r="1027" spans="3:30" x14ac:dyDescent="0.25">
      <c r="C1027" s="6">
        <v>1121</v>
      </c>
      <c r="D1027" s="36">
        <v>43602</v>
      </c>
      <c r="E1027" s="38">
        <v>17.888999999999999</v>
      </c>
      <c r="F1027" s="38">
        <v>58.114432156884597</v>
      </c>
      <c r="G1027" s="38">
        <v>46.6</v>
      </c>
      <c r="H1027" s="38">
        <v>2.2484957798267362</v>
      </c>
      <c r="I1027" s="38">
        <v>5.5973007604668652</v>
      </c>
      <c r="J1027" s="10">
        <v>0</v>
      </c>
      <c r="K1027" s="39">
        <v>0</v>
      </c>
      <c r="L1027" s="39">
        <v>0</v>
      </c>
      <c r="M1027" s="39">
        <v>0</v>
      </c>
      <c r="N1027" s="39">
        <v>1</v>
      </c>
      <c r="O1027" s="39">
        <v>0</v>
      </c>
      <c r="P1027" s="39">
        <v>0</v>
      </c>
      <c r="Q1027" s="39">
        <v>0</v>
      </c>
      <c r="R1027" s="39">
        <v>0</v>
      </c>
      <c r="S1027" s="39">
        <v>0</v>
      </c>
      <c r="T1027" s="39">
        <v>0</v>
      </c>
      <c r="U1027" s="29" cm="1">
        <f t="array" aca="1" ref="U1027" ca="1">+fair_value_gap(OFFSET(T1026,0,0,-1*$J$5,-1*$AA$1),OFFSET(E1026,0,0,-1*$J$5,1),F1027:T1027,0)</f>
        <v>18.04658893790592</v>
      </c>
      <c r="V1027" s="9" cm="1">
        <f t="array" aca="1" ref="V1027" ca="1">z_score_diff(OFFSET(U1027,0,0,$J$5*-1,1),OFFSET(E1027,0,0,$J$5*-1,1))</f>
        <v>-0.14088194708740098</v>
      </c>
      <c r="W1027" s="9">
        <f t="shared" ca="1" si="1056"/>
        <v>8.7808027810487702E-2</v>
      </c>
      <c r="X1027" s="17">
        <f t="shared" ca="1" si="1051"/>
        <v>-7.3158118750836193E-2</v>
      </c>
      <c r="Y1027" s="13">
        <f t="shared" ref="Y1027:Z1027" ca="1" si="1117">+Y1026</f>
        <v>0</v>
      </c>
      <c r="Z1027" s="13">
        <f t="shared" ca="1" si="1117"/>
        <v>0</v>
      </c>
      <c r="AA1027">
        <f t="shared" ca="1" si="1058"/>
        <v>0</v>
      </c>
      <c r="AB1027">
        <f t="shared" ca="1" si="1059"/>
        <v>1</v>
      </c>
      <c r="AC1027" s="24">
        <f t="shared" ca="1" si="1060"/>
        <v>0</v>
      </c>
      <c r="AD1027" s="24">
        <f t="shared" ca="1" si="1061"/>
        <v>-7.3158118750836193E-2</v>
      </c>
    </row>
    <row r="1028" spans="3:30" x14ac:dyDescent="0.25">
      <c r="C1028" s="6">
        <v>1122</v>
      </c>
      <c r="D1028" s="36">
        <v>43605</v>
      </c>
      <c r="E1028" s="38">
        <v>17.864000000000001</v>
      </c>
      <c r="F1028" s="38">
        <v>58.165256428642827</v>
      </c>
      <c r="G1028" s="38">
        <v>46.57</v>
      </c>
      <c r="H1028" s="38">
        <v>2.2468199023915378</v>
      </c>
      <c r="I1028" s="38">
        <v>5.5931474165916999</v>
      </c>
      <c r="J1028" s="10">
        <v>0</v>
      </c>
      <c r="K1028" s="39">
        <v>0</v>
      </c>
      <c r="L1028" s="39">
        <v>0</v>
      </c>
      <c r="M1028" s="39">
        <v>0</v>
      </c>
      <c r="N1028" s="39">
        <v>1</v>
      </c>
      <c r="O1028" s="39">
        <v>0</v>
      </c>
      <c r="P1028" s="39">
        <v>0</v>
      </c>
      <c r="Q1028" s="39">
        <v>0</v>
      </c>
      <c r="R1028" s="39">
        <v>0</v>
      </c>
      <c r="S1028" s="39">
        <v>0</v>
      </c>
      <c r="T1028" s="39">
        <v>0</v>
      </c>
      <c r="U1028" s="29" cm="1">
        <f t="array" aca="1" ref="U1028" ca="1">+fair_value_gap(OFFSET(T1027,0,0,-1*$J$5,-1*$AA$1),OFFSET(E1027,0,0,-1*$J$5,1),F1028:T1028,0)</f>
        <v>17.994176591555771</v>
      </c>
      <c r="V1028" s="9" cm="1">
        <f t="array" aca="1" ref="V1028" ca="1">z_score_diff(OFFSET(U1028,0,0,$J$5*-1,1),OFFSET(E1028,0,0,$J$5*-1,1))</f>
        <v>-0.1506692423785656</v>
      </c>
      <c r="W1028" s="9">
        <f t="shared" ca="1" si="1056"/>
        <v>7.5917814519204749E-2</v>
      </c>
      <c r="X1028" s="17">
        <f t="shared" ca="1" si="1051"/>
        <v>-7.0317239854877131E-2</v>
      </c>
      <c r="Y1028" s="13">
        <f t="shared" ref="Y1028:Z1028" ca="1" si="1118">+Y1027</f>
        <v>0</v>
      </c>
      <c r="Z1028" s="13">
        <f t="shared" ca="1" si="1118"/>
        <v>0</v>
      </c>
      <c r="AA1028">
        <f t="shared" ca="1" si="1058"/>
        <v>0</v>
      </c>
      <c r="AB1028">
        <f t="shared" ca="1" si="1059"/>
        <v>1</v>
      </c>
      <c r="AC1028" s="24">
        <f t="shared" ca="1" si="1060"/>
        <v>0</v>
      </c>
      <c r="AD1028" s="24">
        <f t="shared" ca="1" si="1061"/>
        <v>-7.0317239854877131E-2</v>
      </c>
    </row>
    <row r="1029" spans="3:30" x14ac:dyDescent="0.25">
      <c r="C1029" s="6">
        <v>1123</v>
      </c>
      <c r="D1029" s="36">
        <v>43606</v>
      </c>
      <c r="E1029" s="38">
        <v>17.872</v>
      </c>
      <c r="F1029" s="38">
        <v>58.314970407717823</v>
      </c>
      <c r="G1029" s="38">
        <v>46.19</v>
      </c>
      <c r="H1029" s="38">
        <v>2.2313780803191756</v>
      </c>
      <c r="I1029" s="38">
        <v>5.5654012915209377</v>
      </c>
      <c r="J1029" s="10">
        <v>0</v>
      </c>
      <c r="K1029" s="39">
        <v>0</v>
      </c>
      <c r="L1029" s="39">
        <v>0</v>
      </c>
      <c r="M1029" s="39">
        <v>0</v>
      </c>
      <c r="N1029" s="39">
        <v>1</v>
      </c>
      <c r="O1029" s="39">
        <v>0</v>
      </c>
      <c r="P1029" s="39">
        <v>0</v>
      </c>
      <c r="Q1029" s="39">
        <v>0</v>
      </c>
      <c r="R1029" s="39">
        <v>0</v>
      </c>
      <c r="S1029" s="39">
        <v>0</v>
      </c>
      <c r="T1029" s="39">
        <v>0</v>
      </c>
      <c r="U1029" s="29" cm="1">
        <f t="array" aca="1" ref="U1029" ca="1">+fair_value_gap(OFFSET(T1028,0,0,-1*$J$5,-1*$AA$1),OFFSET(E1028,0,0,-1*$J$5,1),F1029:T1029,0)</f>
        <v>17.85130527252657</v>
      </c>
      <c r="V1029" s="9" cm="1">
        <f t="array" aca="1" ref="V1029" ca="1">z_score_diff(OFFSET(U1029,0,0,$J$5*-1,1),OFFSET(E1029,0,0,$J$5*-1,1))</f>
        <v>-0.21702180111187097</v>
      </c>
      <c r="W1029" s="9">
        <f t="shared" ca="1" si="1056"/>
        <v>6.8816483090089725E-2</v>
      </c>
      <c r="X1029" s="17">
        <f t="shared" ca="1" si="1051"/>
        <v>-9.5019264201364695E-2</v>
      </c>
      <c r="Y1029" s="13">
        <f t="shared" ref="Y1029:Z1029" ca="1" si="1119">+Y1028</f>
        <v>0</v>
      </c>
      <c r="Z1029" s="13">
        <f t="shared" ca="1" si="1119"/>
        <v>0</v>
      </c>
      <c r="AA1029">
        <f t="shared" ca="1" si="1058"/>
        <v>0</v>
      </c>
      <c r="AB1029">
        <f t="shared" ca="1" si="1059"/>
        <v>1</v>
      </c>
      <c r="AC1029" s="24">
        <f t="shared" ca="1" si="1060"/>
        <v>0</v>
      </c>
      <c r="AD1029" s="24">
        <f t="shared" ca="1" si="1061"/>
        <v>-9.5019264201364695E-2</v>
      </c>
    </row>
    <row r="1030" spans="3:30" x14ac:dyDescent="0.25">
      <c r="C1030" s="6">
        <v>1124</v>
      </c>
      <c r="D1030" s="36">
        <v>43607</v>
      </c>
      <c r="E1030" s="38">
        <v>18.021999999999998</v>
      </c>
      <c r="F1030" s="38">
        <v>57.209193849881117</v>
      </c>
      <c r="G1030" s="38">
        <v>46.92</v>
      </c>
      <c r="H1030" s="38">
        <v>2.2051733680498748</v>
      </c>
      <c r="I1030" s="38">
        <v>5.8479735727289492</v>
      </c>
      <c r="J1030" s="10">
        <v>0</v>
      </c>
      <c r="K1030" s="39">
        <v>0</v>
      </c>
      <c r="L1030" s="39">
        <v>0</v>
      </c>
      <c r="M1030" s="39">
        <v>0</v>
      </c>
      <c r="N1030" s="39">
        <v>1</v>
      </c>
      <c r="O1030" s="39">
        <v>0</v>
      </c>
      <c r="P1030" s="39">
        <v>0</v>
      </c>
      <c r="Q1030" s="39">
        <v>0</v>
      </c>
      <c r="R1030" s="39">
        <v>0</v>
      </c>
      <c r="S1030" s="39">
        <v>0</v>
      </c>
      <c r="T1030" s="39">
        <v>0</v>
      </c>
      <c r="U1030" s="29" cm="1">
        <f t="array" aca="1" ref="U1030" ca="1">+fair_value_gap(OFFSET(T1029,0,0,-1*$J$5,-1*$AA$1),OFFSET(E1029,0,0,-1*$J$5,1),F1030:T1030,0)</f>
        <v>18.130782977978232</v>
      </c>
      <c r="V1030" s="9" cm="1">
        <f t="array" aca="1" ref="V1030" ca="1">z_score_diff(OFFSET(U1030,0,0,$J$5*-1,1),OFFSET(E1030,0,0,$J$5*-1,1))</f>
        <v>-0.14853111703957111</v>
      </c>
      <c r="W1030" s="9">
        <f t="shared" ca="1" si="1056"/>
        <v>6.23722696840978E-2</v>
      </c>
      <c r="X1030" s="17">
        <f t="shared" ca="1" si="1051"/>
        <v>-0.10750834643463787</v>
      </c>
      <c r="Y1030" s="13">
        <f t="shared" ref="Y1030:Z1030" ca="1" si="1120">+Y1029</f>
        <v>0</v>
      </c>
      <c r="Z1030" s="13">
        <f t="shared" ca="1" si="1120"/>
        <v>0</v>
      </c>
      <c r="AA1030">
        <f t="shared" ca="1" si="1058"/>
        <v>0</v>
      </c>
      <c r="AB1030">
        <f t="shared" ca="1" si="1059"/>
        <v>1</v>
      </c>
      <c r="AC1030" s="24">
        <f t="shared" ca="1" si="1060"/>
        <v>0</v>
      </c>
      <c r="AD1030" s="24">
        <f t="shared" ca="1" si="1061"/>
        <v>-0.10750834643463787</v>
      </c>
    </row>
    <row r="1031" spans="3:30" x14ac:dyDescent="0.25">
      <c r="C1031" s="6">
        <v>1125</v>
      </c>
      <c r="D1031" s="36">
        <v>43608</v>
      </c>
      <c r="E1031" s="38">
        <v>17.885999999999999</v>
      </c>
      <c r="F1031" s="38">
        <v>54.285788746709756</v>
      </c>
      <c r="G1031" s="38">
        <v>47.09</v>
      </c>
      <c r="H1031" s="38">
        <v>2.2039213642247182</v>
      </c>
      <c r="I1031" s="38">
        <v>5.8116806963592298</v>
      </c>
      <c r="J1031" s="10">
        <v>0</v>
      </c>
      <c r="K1031" s="39">
        <v>0</v>
      </c>
      <c r="L1031" s="39">
        <v>0</v>
      </c>
      <c r="M1031" s="39">
        <v>0</v>
      </c>
      <c r="N1031" s="39">
        <v>1</v>
      </c>
      <c r="O1031" s="39">
        <v>0</v>
      </c>
      <c r="P1031" s="39">
        <v>0</v>
      </c>
      <c r="Q1031" s="39">
        <v>0</v>
      </c>
      <c r="R1031" s="39">
        <v>0</v>
      </c>
      <c r="S1031" s="39">
        <v>0</v>
      </c>
      <c r="T1031" s="39">
        <v>0</v>
      </c>
      <c r="U1031" s="29" cm="1">
        <f t="array" aca="1" ref="U1031" ca="1">+fair_value_gap(OFFSET(T1030,0,0,-1*$J$5,-1*$AA$1),OFFSET(E1030,0,0,-1*$J$5,1),F1031:T1031,0)</f>
        <v>17.900010225215201</v>
      </c>
      <c r="V1031" s="9" cm="1">
        <f t="array" aca="1" ref="V1031" ca="1">z_score_diff(OFFSET(U1031,0,0,$J$5*-1,1),OFFSET(E1031,0,0,$J$5*-1,1))</f>
        <v>-0.18853832887917221</v>
      </c>
      <c r="W1031" s="9">
        <f t="shared" ca="1" si="1056"/>
        <v>6.4742593693999304E-2</v>
      </c>
      <c r="X1031" s="17">
        <f t="shared" ref="X1031:X1094" ca="1" si="1121">+LN(OFFSET(E1031,$X$3,0,1,1)/E1031)</f>
        <v>-9.1198104779961903E-2</v>
      </c>
      <c r="Y1031" s="13">
        <f t="shared" ref="Y1031:Z1031" ca="1" si="1122">+Y1030</f>
        <v>0</v>
      </c>
      <c r="Z1031" s="13">
        <f t="shared" ca="1" si="1122"/>
        <v>0</v>
      </c>
      <c r="AA1031">
        <f t="shared" ca="1" si="1058"/>
        <v>0</v>
      </c>
      <c r="AB1031">
        <f t="shared" ca="1" si="1059"/>
        <v>1</v>
      </c>
      <c r="AC1031" s="24">
        <f t="shared" ca="1" si="1060"/>
        <v>0</v>
      </c>
      <c r="AD1031" s="24">
        <f t="shared" ca="1" si="1061"/>
        <v>-9.1198104779961903E-2</v>
      </c>
    </row>
    <row r="1032" spans="3:30" x14ac:dyDescent="0.25">
      <c r="C1032" s="6">
        <v>1126</v>
      </c>
      <c r="D1032" s="36">
        <v>43609</v>
      </c>
      <c r="E1032" s="38">
        <v>17.754999999999999</v>
      </c>
      <c r="F1032" s="38">
        <v>55.090852646494149</v>
      </c>
      <c r="G1032" s="38">
        <v>46.7</v>
      </c>
      <c r="H1032" s="38">
        <v>2.1982576965034264</v>
      </c>
      <c r="I1032" s="38">
        <v>5.7189386621065461</v>
      </c>
      <c r="J1032" s="10">
        <v>0</v>
      </c>
      <c r="K1032" s="39">
        <v>0</v>
      </c>
      <c r="L1032" s="39">
        <v>0</v>
      </c>
      <c r="M1032" s="39">
        <v>0</v>
      </c>
      <c r="N1032" s="39">
        <v>1</v>
      </c>
      <c r="O1032" s="39">
        <v>0</v>
      </c>
      <c r="P1032" s="39">
        <v>0</v>
      </c>
      <c r="Q1032" s="39">
        <v>0</v>
      </c>
      <c r="R1032" s="39">
        <v>0</v>
      </c>
      <c r="S1032" s="39">
        <v>0</v>
      </c>
      <c r="T1032" s="39">
        <v>0</v>
      </c>
      <c r="U1032" s="29" cm="1">
        <f t="array" aca="1" ref="U1032" ca="1">+fair_value_gap(OFFSET(T1031,0,0,-1*$J$5,-1*$AA$1),OFFSET(E1031,0,0,-1*$J$5,1),F1032:T1032,0)</f>
        <v>17.751942768506904</v>
      </c>
      <c r="V1032" s="9" cm="1">
        <f t="array" aca="1" ref="V1032" ca="1">z_score_diff(OFFSET(U1032,0,0,$J$5*-1,1),OFFSET(E1032,0,0,$J$5*-1,1))</f>
        <v>-0.19015318635957823</v>
      </c>
      <c r="W1032" s="9">
        <f t="shared" ca="1" si="1056"/>
        <v>5.7449216497086973E-2</v>
      </c>
      <c r="X1032" s="17">
        <f t="shared" ca="1" si="1121"/>
        <v>-6.4437146383177324E-2</v>
      </c>
      <c r="Y1032" s="13">
        <f t="shared" ref="Y1032:Z1032" ca="1" si="1123">+Y1031</f>
        <v>0</v>
      </c>
      <c r="Z1032" s="13">
        <f t="shared" ca="1" si="1123"/>
        <v>0</v>
      </c>
      <c r="AA1032">
        <f t="shared" ca="1" si="1058"/>
        <v>0</v>
      </c>
      <c r="AB1032">
        <f t="shared" ca="1" si="1059"/>
        <v>1</v>
      </c>
      <c r="AC1032" s="24">
        <f t="shared" ca="1" si="1060"/>
        <v>0</v>
      </c>
      <c r="AD1032" s="24">
        <f t="shared" ca="1" si="1061"/>
        <v>-6.4437146383177324E-2</v>
      </c>
    </row>
    <row r="1033" spans="3:30" x14ac:dyDescent="0.25">
      <c r="C1033" s="6">
        <v>1127</v>
      </c>
      <c r="D1033" s="36">
        <v>43612</v>
      </c>
      <c r="E1033" s="38">
        <v>17.631</v>
      </c>
      <c r="F1033" s="38">
        <v>56.152483530744632</v>
      </c>
      <c r="G1033" s="38">
        <v>46.91</v>
      </c>
      <c r="H1033" s="38">
        <v>2.1990815039462017</v>
      </c>
      <c r="I1033" s="38">
        <v>5.7210818613511636</v>
      </c>
      <c r="J1033" s="10">
        <v>0</v>
      </c>
      <c r="K1033" s="39">
        <v>0</v>
      </c>
      <c r="L1033" s="39">
        <v>0</v>
      </c>
      <c r="M1033" s="39">
        <v>0</v>
      </c>
      <c r="N1033" s="39">
        <v>1</v>
      </c>
      <c r="O1033" s="39">
        <v>0</v>
      </c>
      <c r="P1033" s="39">
        <v>0</v>
      </c>
      <c r="Q1033" s="39">
        <v>0</v>
      </c>
      <c r="R1033" s="39">
        <v>0</v>
      </c>
      <c r="S1033" s="39">
        <v>0</v>
      </c>
      <c r="T1033" s="39">
        <v>0</v>
      </c>
      <c r="U1033" s="29" cm="1">
        <f t="array" aca="1" ref="U1033" ca="1">+fair_value_gap(OFFSET(T1032,0,0,-1*$J$5,-1*$AA$1),OFFSET(E1032,0,0,-1*$J$5,1),F1033:T1033,0)</f>
        <v>17.870158590130977</v>
      </c>
      <c r="V1033" s="9" cm="1">
        <f t="array" aca="1" ref="V1033" ca="1">z_score_diff(OFFSET(U1033,0,0,$J$5*-1,1),OFFSET(E1033,0,0,$J$5*-1,1))</f>
        <v>-7.5441684371688966E-2</v>
      </c>
      <c r="W1033" s="9">
        <f t="shared" ca="1" si="1056"/>
        <v>5.6101550818800527E-2</v>
      </c>
      <c r="X1033" s="17">
        <f t="shared" ca="1" si="1121"/>
        <v>-3.6563026222188488E-2</v>
      </c>
      <c r="Y1033" s="13">
        <f t="shared" ref="Y1033:Z1033" ca="1" si="1124">+Y1032</f>
        <v>0</v>
      </c>
      <c r="Z1033" s="13">
        <f t="shared" ca="1" si="1124"/>
        <v>0</v>
      </c>
      <c r="AA1033">
        <f t="shared" ca="1" si="1058"/>
        <v>0</v>
      </c>
      <c r="AB1033">
        <f t="shared" ca="1" si="1059"/>
        <v>1</v>
      </c>
      <c r="AC1033" s="24">
        <f t="shared" ca="1" si="1060"/>
        <v>0</v>
      </c>
      <c r="AD1033" s="24">
        <f t="shared" ca="1" si="1061"/>
        <v>-3.6563026222188488E-2</v>
      </c>
    </row>
    <row r="1034" spans="3:30" x14ac:dyDescent="0.25">
      <c r="C1034" s="6">
        <v>1128</v>
      </c>
      <c r="D1034" s="36">
        <v>43613</v>
      </c>
      <c r="E1034" s="38">
        <v>18.067</v>
      </c>
      <c r="F1034" s="38">
        <v>56.325872228839295</v>
      </c>
      <c r="G1034" s="38">
        <v>46.56</v>
      </c>
      <c r="H1034" s="38">
        <v>2.1968308214059196</v>
      </c>
      <c r="I1034" s="38">
        <v>5.737861095909718</v>
      </c>
      <c r="J1034" s="10">
        <v>0</v>
      </c>
      <c r="K1034" s="39">
        <v>0</v>
      </c>
      <c r="L1034" s="39">
        <v>0</v>
      </c>
      <c r="M1034" s="39">
        <v>0</v>
      </c>
      <c r="N1034" s="39">
        <v>1</v>
      </c>
      <c r="O1034" s="39">
        <v>0</v>
      </c>
      <c r="P1034" s="39">
        <v>0</v>
      </c>
      <c r="Q1034" s="39">
        <v>0</v>
      </c>
      <c r="R1034" s="39">
        <v>0</v>
      </c>
      <c r="S1034" s="39">
        <v>0</v>
      </c>
      <c r="T1034" s="39">
        <v>0</v>
      </c>
      <c r="U1034" s="29" cm="1">
        <f t="array" aca="1" ref="U1034" ca="1">+fair_value_gap(OFFSET(T1033,0,0,-1*$J$5,-1*$AA$1),OFFSET(E1033,0,0,-1*$J$5,1),F1034:T1034,0)</f>
        <v>17.787861035916293</v>
      </c>
      <c r="V1034" s="9" cm="1">
        <f t="array" aca="1" ref="V1034" ca="1">z_score_diff(OFFSET(U1034,0,0,$J$5*-1,1),OFFSET(E1034,0,0,$J$5*-1,1))</f>
        <v>-0.30470462875594917</v>
      </c>
      <c r="W1034" s="9">
        <f t="shared" ca="1" si="1056"/>
        <v>4.6598076658940418E-2</v>
      </c>
      <c r="X1034" s="17">
        <f t="shared" ca="1" si="1121"/>
        <v>-6.4055252015517705E-2</v>
      </c>
      <c r="Y1034" s="13">
        <f t="shared" ref="Y1034:Z1034" ca="1" si="1125">+Y1033</f>
        <v>0</v>
      </c>
      <c r="Z1034" s="13">
        <f t="shared" ca="1" si="1125"/>
        <v>0</v>
      </c>
      <c r="AA1034">
        <f t="shared" ca="1" si="1058"/>
        <v>0</v>
      </c>
      <c r="AB1034">
        <f t="shared" ca="1" si="1059"/>
        <v>1</v>
      </c>
      <c r="AC1034" s="24">
        <f t="shared" ca="1" si="1060"/>
        <v>0</v>
      </c>
      <c r="AD1034" s="24">
        <f t="shared" ca="1" si="1061"/>
        <v>-6.4055252015517705E-2</v>
      </c>
    </row>
    <row r="1035" spans="3:30" x14ac:dyDescent="0.25">
      <c r="C1035" s="6">
        <v>1129</v>
      </c>
      <c r="D1035" s="36">
        <v>43614</v>
      </c>
      <c r="E1035" s="38">
        <v>18.039000000000001</v>
      </c>
      <c r="F1035" s="38">
        <v>56.069790480180494</v>
      </c>
      <c r="G1035" s="38">
        <v>46.92</v>
      </c>
      <c r="H1035" s="38">
        <v>2.2091008671440977</v>
      </c>
      <c r="I1035" s="38">
        <v>5.6514927359770963</v>
      </c>
      <c r="J1035" s="10">
        <v>0</v>
      </c>
      <c r="K1035" s="39">
        <v>0</v>
      </c>
      <c r="L1035" s="39">
        <v>0</v>
      </c>
      <c r="M1035" s="39">
        <v>0</v>
      </c>
      <c r="N1035" s="39">
        <v>1</v>
      </c>
      <c r="O1035" s="39">
        <v>0</v>
      </c>
      <c r="P1035" s="39">
        <v>0</v>
      </c>
      <c r="Q1035" s="39">
        <v>0</v>
      </c>
      <c r="R1035" s="39">
        <v>0</v>
      </c>
      <c r="S1035" s="39">
        <v>0</v>
      </c>
      <c r="T1035" s="39">
        <v>0</v>
      </c>
      <c r="U1035" s="29" cm="1">
        <f t="array" aca="1" ref="U1035" ca="1">+fair_value_gap(OFFSET(T1034,0,0,-1*$J$5,-1*$AA$1),OFFSET(E1034,0,0,-1*$J$5,1),F1035:T1035,0)</f>
        <v>17.824762045152049</v>
      </c>
      <c r="V1035" s="9" cm="1">
        <f t="array" aca="1" ref="V1035" ca="1">z_score_diff(OFFSET(U1035,0,0,$J$5*-1,1),OFFSET(E1035,0,0,$J$5*-1,1))</f>
        <v>-0.27120042408385769</v>
      </c>
      <c r="W1035" s="9">
        <f t="shared" ref="W1035:W1098" ca="1" si="1126">+IF(ISERROR(AVERAGE(OFFSET(V1035,0,0,$W$5*-1,1))),"",AVERAGE(OFFSET(V1035,0,0,$W$5*-1,1)))</f>
        <v>3.3933702581262257E-2</v>
      </c>
      <c r="X1035" s="17">
        <f t="shared" ca="1" si="1121"/>
        <v>-3.4113758136157031E-2</v>
      </c>
      <c r="Y1035" s="13">
        <f t="shared" ref="Y1035:Z1035" ca="1" si="1127">+Y1034</f>
        <v>0</v>
      </c>
      <c r="Z1035" s="13">
        <f t="shared" ca="1" si="1127"/>
        <v>0</v>
      </c>
      <c r="AA1035">
        <f t="shared" ref="AA1035:AA1098" ca="1" si="1128">+IF(W1035="","",IF(W1035&lt;Y1035,1,0))</f>
        <v>0</v>
      </c>
      <c r="AB1035">
        <f t="shared" ref="AB1035:AB1098" ca="1" si="1129">+IF(W1035="","",IF(W1035&gt;Z1035,1,0))</f>
        <v>1</v>
      </c>
      <c r="AC1035" s="24">
        <f t="shared" ref="AC1035:AC1098" ca="1" si="1130">+IF(ISERROR(AA1035*X1035),"",AA1035*X1035)</f>
        <v>0</v>
      </c>
      <c r="AD1035" s="24">
        <f t="shared" ref="AD1035:AD1098" ca="1" si="1131">+IF(ISERROR(AB1035*X1035),"",AB1035*X1035)</f>
        <v>-3.4113758136157031E-2</v>
      </c>
    </row>
    <row r="1036" spans="3:30" x14ac:dyDescent="0.25">
      <c r="C1036" s="6">
        <v>1130</v>
      </c>
      <c r="D1036" s="36">
        <v>43615</v>
      </c>
      <c r="E1036" s="38">
        <v>17.829999999999998</v>
      </c>
      <c r="F1036" s="38">
        <v>54.308636478712174</v>
      </c>
      <c r="G1036" s="38">
        <v>46.24</v>
      </c>
      <c r="H1036" s="38">
        <v>2.2243755947236554</v>
      </c>
      <c r="I1036" s="38">
        <v>5.5347493212511676</v>
      </c>
      <c r="J1036" s="10">
        <v>0</v>
      </c>
      <c r="K1036" s="39">
        <v>0</v>
      </c>
      <c r="L1036" s="39">
        <v>0</v>
      </c>
      <c r="M1036" s="39">
        <v>0</v>
      </c>
      <c r="N1036" s="39">
        <v>1</v>
      </c>
      <c r="O1036" s="39">
        <v>0</v>
      </c>
      <c r="P1036" s="39">
        <v>0</v>
      </c>
      <c r="Q1036" s="39">
        <v>0</v>
      </c>
      <c r="R1036" s="39">
        <v>0</v>
      </c>
      <c r="S1036" s="39">
        <v>0</v>
      </c>
      <c r="T1036" s="39">
        <v>0</v>
      </c>
      <c r="U1036" s="29" cm="1">
        <f t="array" aca="1" ref="U1036" ca="1">+fair_value_gap(OFFSET(T1035,0,0,-1*$J$5,-1*$AA$1),OFFSET(E1035,0,0,-1*$J$5,1),F1036:T1036,0)</f>
        <v>17.481890170274529</v>
      </c>
      <c r="V1036" s="9" cm="1">
        <f t="array" aca="1" ref="V1036" ca="1">z_score_diff(OFFSET(U1036,0,0,$J$5*-1,1),OFFSET(E1036,0,0,$J$5*-1,1))</f>
        <v>-0.33139914233070655</v>
      </c>
      <c r="W1036" s="9">
        <f t="shared" ca="1" si="1126"/>
        <v>2.3294921355513011E-2</v>
      </c>
      <c r="X1036" s="17">
        <f t="shared" ca="1" si="1121"/>
        <v>1.9879604087715056E-2</v>
      </c>
      <c r="Y1036" s="13">
        <f t="shared" ref="Y1036:Z1036" ca="1" si="1132">+Y1035</f>
        <v>0</v>
      </c>
      <c r="Z1036" s="13">
        <f t="shared" ca="1" si="1132"/>
        <v>0</v>
      </c>
      <c r="AA1036">
        <f t="shared" ca="1" si="1128"/>
        <v>0</v>
      </c>
      <c r="AB1036">
        <f t="shared" ca="1" si="1129"/>
        <v>1</v>
      </c>
      <c r="AC1036" s="24">
        <f t="shared" ca="1" si="1130"/>
        <v>0</v>
      </c>
      <c r="AD1036" s="24">
        <f t="shared" ca="1" si="1131"/>
        <v>1.9879604087715056E-2</v>
      </c>
    </row>
    <row r="1037" spans="3:30" x14ac:dyDescent="0.25">
      <c r="C1037" s="6">
        <v>1131</v>
      </c>
      <c r="D1037" s="36">
        <v>43616</v>
      </c>
      <c r="E1037" s="38">
        <v>16.821999999999999</v>
      </c>
      <c r="F1037" s="38">
        <v>51.631933222583548</v>
      </c>
      <c r="G1037" s="38">
        <v>43.55</v>
      </c>
      <c r="H1037" s="38">
        <v>2.1969923331762389</v>
      </c>
      <c r="I1037" s="38">
        <v>5.2572754681675669</v>
      </c>
      <c r="J1037" s="10">
        <v>0</v>
      </c>
      <c r="K1037" s="39">
        <v>0</v>
      </c>
      <c r="L1037" s="39">
        <v>0</v>
      </c>
      <c r="M1037" s="39">
        <v>0</v>
      </c>
      <c r="N1037" s="39">
        <v>1</v>
      </c>
      <c r="O1037" s="39">
        <v>0</v>
      </c>
      <c r="P1037" s="39">
        <v>0</v>
      </c>
      <c r="Q1037" s="39">
        <v>0</v>
      </c>
      <c r="R1037" s="39">
        <v>0</v>
      </c>
      <c r="S1037" s="39">
        <v>0</v>
      </c>
      <c r="T1037" s="39">
        <v>0</v>
      </c>
      <c r="U1037" s="29" cm="1">
        <f t="array" aca="1" ref="U1037" ca="1">+fair_value_gap(OFFSET(T1036,0,0,-1*$J$5,-1*$AA$1),OFFSET(E1036,0,0,-1*$J$5,1),F1037:T1037,0)</f>
        <v>16.477434711217406</v>
      </c>
      <c r="V1037" s="9" cm="1">
        <f t="array" aca="1" ref="V1037" ca="1">z_score_diff(OFFSET(U1037,0,0,$J$5*-1,1),OFFSET(E1037,0,0,$J$5*-1,1))</f>
        <v>-0.33405005201908233</v>
      </c>
      <c r="W1037" s="9">
        <f t="shared" ca="1" si="1126"/>
        <v>1.4361999475379269E-2</v>
      </c>
      <c r="X1037" s="17">
        <f t="shared" ca="1" si="1121"/>
        <v>9.5515517504507597E-2</v>
      </c>
      <c r="Y1037" s="13">
        <f t="shared" ref="Y1037:Z1037" ca="1" si="1133">+Y1036</f>
        <v>0</v>
      </c>
      <c r="Z1037" s="13">
        <f t="shared" ca="1" si="1133"/>
        <v>0</v>
      </c>
      <c r="AA1037">
        <f t="shared" ca="1" si="1128"/>
        <v>0</v>
      </c>
      <c r="AB1037">
        <f t="shared" ca="1" si="1129"/>
        <v>1</v>
      </c>
      <c r="AC1037" s="24">
        <f t="shared" ca="1" si="1130"/>
        <v>0</v>
      </c>
      <c r="AD1037" s="24">
        <f t="shared" ca="1" si="1131"/>
        <v>9.5515517504507597E-2</v>
      </c>
    </row>
    <row r="1038" spans="3:30" x14ac:dyDescent="0.25">
      <c r="C1038" s="6">
        <v>1132</v>
      </c>
      <c r="D1038" s="36">
        <v>43619</v>
      </c>
      <c r="E1038" s="38">
        <v>16.695</v>
      </c>
      <c r="F1038" s="38">
        <v>50.954994663672778</v>
      </c>
      <c r="G1038" s="38">
        <v>42.95</v>
      </c>
      <c r="H1038" s="38">
        <v>2.1691823637850498</v>
      </c>
      <c r="I1038" s="38">
        <v>5.1890584501088055</v>
      </c>
      <c r="J1038" s="10">
        <v>0</v>
      </c>
      <c r="K1038" s="39">
        <v>0</v>
      </c>
      <c r="L1038" s="39">
        <v>0</v>
      </c>
      <c r="M1038" s="39">
        <v>0</v>
      </c>
      <c r="N1038" s="39">
        <v>0</v>
      </c>
      <c r="O1038" s="39">
        <v>1</v>
      </c>
      <c r="P1038" s="39">
        <v>0</v>
      </c>
      <c r="Q1038" s="39">
        <v>0</v>
      </c>
      <c r="R1038" s="39">
        <v>0</v>
      </c>
      <c r="S1038" s="39">
        <v>0</v>
      </c>
      <c r="T1038" s="39">
        <v>0</v>
      </c>
      <c r="U1038" s="29" cm="1">
        <f t="array" aca="1" ref="U1038" ca="1">+fair_value_gap(OFFSET(T1037,0,0,-1*$J$5,-1*$AA$1),OFFSET(E1037,0,0,-1*$J$5,1),F1038:T1038,0)</f>
        <v>17.667847804226167</v>
      </c>
      <c r="V1038" s="9" cm="1">
        <f t="array" aca="1" ref="V1038" ca="1">z_score_diff(OFFSET(U1038,0,0,$J$5*-1,1),OFFSET(E1038,0,0,$J$5*-1,1))</f>
        <v>0.26171048111413886</v>
      </c>
      <c r="W1038" s="9">
        <f t="shared" ca="1" si="1126"/>
        <v>2.2687782253150015E-2</v>
      </c>
      <c r="X1038" s="17">
        <f t="shared" ca="1" si="1121"/>
        <v>7.9918296036740791E-2</v>
      </c>
      <c r="Y1038" s="13">
        <f t="shared" ref="Y1038:Z1038" ca="1" si="1134">+Y1037</f>
        <v>0</v>
      </c>
      <c r="Z1038" s="13">
        <f t="shared" ca="1" si="1134"/>
        <v>0</v>
      </c>
      <c r="AA1038">
        <f t="shared" ca="1" si="1128"/>
        <v>0</v>
      </c>
      <c r="AB1038">
        <f t="shared" ca="1" si="1129"/>
        <v>1</v>
      </c>
      <c r="AC1038" s="24">
        <f t="shared" ca="1" si="1130"/>
        <v>0</v>
      </c>
      <c r="AD1038" s="24">
        <f t="shared" ca="1" si="1131"/>
        <v>7.9918296036740791E-2</v>
      </c>
    </row>
    <row r="1039" spans="3:30" x14ac:dyDescent="0.25">
      <c r="C1039" s="6">
        <v>1133</v>
      </c>
      <c r="D1039" s="36">
        <v>43620</v>
      </c>
      <c r="E1039" s="38">
        <v>16.731999999999999</v>
      </c>
      <c r="F1039" s="38">
        <v>51.081689165801315</v>
      </c>
      <c r="G1039" s="38">
        <v>43.14</v>
      </c>
      <c r="H1039" s="38">
        <v>2.1780893042575284</v>
      </c>
      <c r="I1039" s="38">
        <v>5.2137417791623406</v>
      </c>
      <c r="J1039" s="10">
        <v>0</v>
      </c>
      <c r="K1039" s="39">
        <v>0</v>
      </c>
      <c r="L1039" s="39">
        <v>0</v>
      </c>
      <c r="M1039" s="39">
        <v>0</v>
      </c>
      <c r="N1039" s="39">
        <v>0</v>
      </c>
      <c r="O1039" s="39">
        <v>1</v>
      </c>
      <c r="P1039" s="39">
        <v>0</v>
      </c>
      <c r="Q1039" s="39">
        <v>0</v>
      </c>
      <c r="R1039" s="39">
        <v>0</v>
      </c>
      <c r="S1039" s="39">
        <v>0</v>
      </c>
      <c r="T1039" s="39">
        <v>0</v>
      </c>
      <c r="U1039" s="29" cm="1">
        <f t="array" aca="1" ref="U1039" ca="1">+fair_value_gap(OFFSET(T1038,0,0,-1*$J$5,-1*$AA$1),OFFSET(E1038,0,0,-1*$J$5,1),F1039:T1039,0)</f>
        <v>17.527403690322835</v>
      </c>
      <c r="V1039" s="9" cm="1">
        <f t="array" aca="1" ref="V1039" ca="1">z_score_diff(OFFSET(U1039,0,0,$J$5*-1,1),OFFSET(E1039,0,0,$J$5*-1,1))</f>
        <v>0.17470890121530092</v>
      </c>
      <c r="W1039" s="9">
        <f t="shared" ca="1" si="1126"/>
        <v>3.1842721520215861E-2</v>
      </c>
      <c r="X1039" s="17">
        <f t="shared" ca="1" si="1121"/>
        <v>3.5000636678682792E-2</v>
      </c>
      <c r="Y1039" s="13">
        <f t="shared" ref="Y1039:Z1039" ca="1" si="1135">+Y1038</f>
        <v>0</v>
      </c>
      <c r="Z1039" s="13">
        <f t="shared" ca="1" si="1135"/>
        <v>0</v>
      </c>
      <c r="AA1039">
        <f t="shared" ca="1" si="1128"/>
        <v>0</v>
      </c>
      <c r="AB1039">
        <f t="shared" ca="1" si="1129"/>
        <v>1</v>
      </c>
      <c r="AC1039" s="24">
        <f t="shared" ca="1" si="1130"/>
        <v>0</v>
      </c>
      <c r="AD1039" s="24">
        <f t="shared" ca="1" si="1131"/>
        <v>3.5000636678682792E-2</v>
      </c>
    </row>
    <row r="1040" spans="3:30" x14ac:dyDescent="0.25">
      <c r="C1040" s="6">
        <v>1134</v>
      </c>
      <c r="D1040" s="36">
        <v>43621</v>
      </c>
      <c r="E1040" s="38">
        <v>16.797999999999998</v>
      </c>
      <c r="F1040" s="38">
        <v>49.776500389204337</v>
      </c>
      <c r="G1040" s="38">
        <v>43.42</v>
      </c>
      <c r="H1040" s="38">
        <v>2.187701490257743</v>
      </c>
      <c r="I1040" s="38">
        <v>5.2588143716628011</v>
      </c>
      <c r="J1040" s="10">
        <v>0</v>
      </c>
      <c r="K1040" s="39">
        <v>0</v>
      </c>
      <c r="L1040" s="39">
        <v>0</v>
      </c>
      <c r="M1040" s="39">
        <v>0</v>
      </c>
      <c r="N1040" s="39">
        <v>0</v>
      </c>
      <c r="O1040" s="39">
        <v>1</v>
      </c>
      <c r="P1040" s="39">
        <v>0</v>
      </c>
      <c r="Q1040" s="39">
        <v>0</v>
      </c>
      <c r="R1040" s="39">
        <v>0</v>
      </c>
      <c r="S1040" s="39">
        <v>0</v>
      </c>
      <c r="T1040" s="39">
        <v>0</v>
      </c>
      <c r="U1040" s="29" cm="1">
        <f t="array" aca="1" ref="U1040" ca="1">+fair_value_gap(OFFSET(T1039,0,0,-1*$J$5,-1*$AA$1),OFFSET(E1039,0,0,-1*$J$5,1),F1040:T1040,0)</f>
        <v>17.395680941208141</v>
      </c>
      <c r="V1040" s="9" cm="1">
        <f t="array" aca="1" ref="V1040" ca="1">z_score_diff(OFFSET(U1040,0,0,$J$5*-1,1),OFFSET(E1040,0,0,$J$5*-1,1))</f>
        <v>8.0563449929114572E-2</v>
      </c>
      <c r="W1040" s="9">
        <f t="shared" ca="1" si="1126"/>
        <v>3.7077894662057687E-2</v>
      </c>
      <c r="X1040" s="17">
        <f t="shared" ca="1" si="1121"/>
        <v>2.9446669800298048E-2</v>
      </c>
      <c r="Y1040" s="13">
        <f t="shared" ref="Y1040:Z1040" ca="1" si="1136">+Y1039</f>
        <v>0</v>
      </c>
      <c r="Z1040" s="13">
        <f t="shared" ca="1" si="1136"/>
        <v>0</v>
      </c>
      <c r="AA1040">
        <f t="shared" ca="1" si="1128"/>
        <v>0</v>
      </c>
      <c r="AB1040">
        <f t="shared" ca="1" si="1129"/>
        <v>1</v>
      </c>
      <c r="AC1040" s="24">
        <f t="shared" ca="1" si="1130"/>
        <v>0</v>
      </c>
      <c r="AD1040" s="24">
        <f t="shared" ca="1" si="1131"/>
        <v>2.9446669800298048E-2</v>
      </c>
    </row>
    <row r="1041" spans="3:30" x14ac:dyDescent="0.25">
      <c r="C1041" s="6">
        <v>1135</v>
      </c>
      <c r="D1041" s="36">
        <v>43622</v>
      </c>
      <c r="E1041" s="38">
        <v>16.731000000000002</v>
      </c>
      <c r="F1041" s="38">
        <v>50.288795694318736</v>
      </c>
      <c r="G1041" s="38">
        <v>43.66</v>
      </c>
      <c r="H1041" s="38">
        <v>2.1590587194881823</v>
      </c>
      <c r="I1041" s="38">
        <v>5.1946952790885659</v>
      </c>
      <c r="J1041" s="10">
        <v>0</v>
      </c>
      <c r="K1041" s="39">
        <v>0</v>
      </c>
      <c r="L1041" s="39">
        <v>0</v>
      </c>
      <c r="M1041" s="39">
        <v>0</v>
      </c>
      <c r="N1041" s="39">
        <v>0</v>
      </c>
      <c r="O1041" s="39">
        <v>1</v>
      </c>
      <c r="P1041" s="39">
        <v>0</v>
      </c>
      <c r="Q1041" s="39">
        <v>0</v>
      </c>
      <c r="R1041" s="39">
        <v>0</v>
      </c>
      <c r="S1041" s="39">
        <v>0</v>
      </c>
      <c r="T1041" s="39">
        <v>0</v>
      </c>
      <c r="U1041" s="29" cm="1">
        <f t="array" aca="1" ref="U1041" ca="1">+fair_value_gap(OFFSET(T1040,0,0,-1*$J$5,-1*$AA$1),OFFSET(E1040,0,0,-1*$J$5,1),F1041:T1041,0)</f>
        <v>17.34187062069465</v>
      </c>
      <c r="V1041" s="9" cm="1">
        <f t="array" aca="1" ref="V1041" ca="1">z_score_diff(OFFSET(U1041,0,0,$J$5*-1,1),OFFSET(E1041,0,0,$J$5*-1,1))</f>
        <v>8.2088093444249388E-2</v>
      </c>
      <c r="W1041" s="9">
        <f t="shared" ca="1" si="1126"/>
        <v>4.6521942711044324E-2</v>
      </c>
      <c r="X1041" s="17">
        <f t="shared" ca="1" si="1121"/>
        <v>2.06449022848973E-2</v>
      </c>
      <c r="Y1041" s="13">
        <f t="shared" ref="Y1041:Z1041" ca="1" si="1137">+Y1040</f>
        <v>0</v>
      </c>
      <c r="Z1041" s="13">
        <f t="shared" ca="1" si="1137"/>
        <v>0</v>
      </c>
      <c r="AA1041">
        <f t="shared" ca="1" si="1128"/>
        <v>0</v>
      </c>
      <c r="AB1041">
        <f t="shared" ca="1" si="1129"/>
        <v>1</v>
      </c>
      <c r="AC1041" s="24">
        <f t="shared" ca="1" si="1130"/>
        <v>0</v>
      </c>
      <c r="AD1041" s="24">
        <f t="shared" ca="1" si="1131"/>
        <v>2.06449022848973E-2</v>
      </c>
    </row>
    <row r="1042" spans="3:30" x14ac:dyDescent="0.25">
      <c r="C1042" s="6">
        <v>1136</v>
      </c>
      <c r="D1042" s="36">
        <v>43623</v>
      </c>
      <c r="E1042" s="38">
        <v>17.257999999999999</v>
      </c>
      <c r="F1042" s="38">
        <v>51.289942924248891</v>
      </c>
      <c r="G1042" s="38">
        <v>44.05</v>
      </c>
      <c r="H1042" s="38">
        <v>2.1569974320640375</v>
      </c>
      <c r="I1042" s="38">
        <v>5.3043739162355958</v>
      </c>
      <c r="J1042" s="10">
        <v>0</v>
      </c>
      <c r="K1042" s="39">
        <v>0</v>
      </c>
      <c r="L1042" s="39">
        <v>0</v>
      </c>
      <c r="M1042" s="39">
        <v>0</v>
      </c>
      <c r="N1042" s="39">
        <v>0</v>
      </c>
      <c r="O1042" s="39">
        <v>1</v>
      </c>
      <c r="P1042" s="39">
        <v>0</v>
      </c>
      <c r="Q1042" s="39">
        <v>0</v>
      </c>
      <c r="R1042" s="39">
        <v>0</v>
      </c>
      <c r="S1042" s="39">
        <v>0</v>
      </c>
      <c r="T1042" s="39">
        <v>0</v>
      </c>
      <c r="U1042" s="29" cm="1">
        <f t="array" aca="1" ref="U1042" ca="1">+fair_value_gap(OFFSET(T1041,0,0,-1*$J$5,-1*$AA$1),OFFSET(E1041,0,0,-1*$J$5,1),F1042:T1042,0)</f>
        <v>17.505952926209481</v>
      </c>
      <c r="V1042" s="9" cm="1">
        <f t="array" aca="1" ref="V1042" ca="1">z_score_diff(OFFSET(U1042,0,0,$J$5*-1,1),OFFSET(E1042,0,0,$J$5*-1,1))</f>
        <v>-7.3491021392084077E-2</v>
      </c>
      <c r="W1042" s="9">
        <f t="shared" ca="1" si="1126"/>
        <v>5.0616887199098376E-2</v>
      </c>
      <c r="X1042" s="17">
        <f t="shared" ca="1" si="1121"/>
        <v>1.8524956090834039E-3</v>
      </c>
      <c r="Y1042" s="13">
        <f t="shared" ref="Y1042:Z1042" ca="1" si="1138">+Y1041</f>
        <v>0</v>
      </c>
      <c r="Z1042" s="13">
        <f t="shared" ca="1" si="1138"/>
        <v>0</v>
      </c>
      <c r="AA1042">
        <f t="shared" ca="1" si="1128"/>
        <v>0</v>
      </c>
      <c r="AB1042">
        <f t="shared" ca="1" si="1129"/>
        <v>1</v>
      </c>
      <c r="AC1042" s="24">
        <f t="shared" ca="1" si="1130"/>
        <v>0</v>
      </c>
      <c r="AD1042" s="24">
        <f t="shared" ca="1" si="1131"/>
        <v>1.8524956090834039E-3</v>
      </c>
    </row>
    <row r="1043" spans="3:30" x14ac:dyDescent="0.25">
      <c r="C1043" s="6">
        <v>1137</v>
      </c>
      <c r="D1043" s="36">
        <v>43626</v>
      </c>
      <c r="E1043" s="38">
        <v>17.503</v>
      </c>
      <c r="F1043" s="38">
        <v>51.140285497399958</v>
      </c>
      <c r="G1043" s="38">
        <v>44.47</v>
      </c>
      <c r="H1043" s="38">
        <v>2.1533657743940537</v>
      </c>
      <c r="I1043" s="38">
        <v>5.3963243027380967</v>
      </c>
      <c r="J1043" s="10">
        <v>0</v>
      </c>
      <c r="K1043" s="39">
        <v>0</v>
      </c>
      <c r="L1043" s="39">
        <v>0</v>
      </c>
      <c r="M1043" s="39">
        <v>0</v>
      </c>
      <c r="N1043" s="39">
        <v>0</v>
      </c>
      <c r="O1043" s="39">
        <v>1</v>
      </c>
      <c r="P1043" s="39">
        <v>0</v>
      </c>
      <c r="Q1043" s="39">
        <v>0</v>
      </c>
      <c r="R1043" s="39">
        <v>0</v>
      </c>
      <c r="S1043" s="39">
        <v>0</v>
      </c>
      <c r="T1043" s="39">
        <v>0</v>
      </c>
      <c r="U1043" s="29" cm="1">
        <f t="array" aca="1" ref="U1043" ca="1">+fair_value_gap(OFFSET(T1042,0,0,-1*$J$5,-1*$AA$1),OFFSET(E1042,0,0,-1*$J$5,1),F1043:T1043,0)</f>
        <v>17.646437631356516</v>
      </c>
      <c r="V1043" s="9" cm="1">
        <f t="array" aca="1" ref="V1043" ca="1">z_score_diff(OFFSET(U1043,0,0,$J$5*-1,1),OFFSET(E1043,0,0,$J$5*-1,1))</f>
        <v>-0.11657120060640902</v>
      </c>
      <c r="W1043" s="9">
        <f t="shared" ca="1" si="1126"/>
        <v>5.1331938479175006E-2</v>
      </c>
      <c r="X1043" s="17">
        <f t="shared" ca="1" si="1121"/>
        <v>-2.0665708893814864E-2</v>
      </c>
      <c r="Y1043" s="13">
        <f t="shared" ref="Y1043:Z1043" ca="1" si="1139">+Y1042</f>
        <v>0</v>
      </c>
      <c r="Z1043" s="13">
        <f t="shared" ca="1" si="1139"/>
        <v>0</v>
      </c>
      <c r="AA1043">
        <f t="shared" ca="1" si="1128"/>
        <v>0</v>
      </c>
      <c r="AB1043">
        <f t="shared" ca="1" si="1129"/>
        <v>1</v>
      </c>
      <c r="AC1043" s="24">
        <f t="shared" ca="1" si="1130"/>
        <v>0</v>
      </c>
      <c r="AD1043" s="24">
        <f t="shared" ca="1" si="1131"/>
        <v>-2.0665708893814864E-2</v>
      </c>
    </row>
    <row r="1044" spans="3:30" x14ac:dyDescent="0.25">
      <c r="C1044" s="6">
        <v>1138</v>
      </c>
      <c r="D1044" s="36">
        <v>43627</v>
      </c>
      <c r="E1044" s="38">
        <v>16.888000000000002</v>
      </c>
      <c r="F1044" s="38">
        <v>51.330520780526371</v>
      </c>
      <c r="G1044" s="38">
        <v>44.15</v>
      </c>
      <c r="H1044" s="38">
        <v>2.15409467018379</v>
      </c>
      <c r="I1044" s="38">
        <v>5.2542037926501299</v>
      </c>
      <c r="J1044" s="10">
        <v>0</v>
      </c>
      <c r="K1044" s="39">
        <v>0</v>
      </c>
      <c r="L1044" s="39">
        <v>0</v>
      </c>
      <c r="M1044" s="39">
        <v>0</v>
      </c>
      <c r="N1044" s="39">
        <v>0</v>
      </c>
      <c r="O1044" s="39">
        <v>1</v>
      </c>
      <c r="P1044" s="39">
        <v>0</v>
      </c>
      <c r="Q1044" s="39">
        <v>0</v>
      </c>
      <c r="R1044" s="39">
        <v>0</v>
      </c>
      <c r="S1044" s="39">
        <v>0</v>
      </c>
      <c r="T1044" s="39">
        <v>0</v>
      </c>
      <c r="U1044" s="29" cm="1">
        <f t="array" aca="1" ref="U1044" ca="1">+fair_value_gap(OFFSET(T1043,0,0,-1*$J$5,-1*$AA$1),OFFSET(E1043,0,0,-1*$J$5,1),F1044:T1044,0)</f>
        <v>17.455426453078037</v>
      </c>
      <c r="V1044" s="9" cm="1">
        <f t="array" aca="1" ref="V1044" ca="1">z_score_diff(OFFSET(U1044,0,0,$J$5*-1,1),OFFSET(E1044,0,0,$J$5*-1,1))</f>
        <v>6.2645320563315288E-2</v>
      </c>
      <c r="W1044" s="9">
        <f t="shared" ca="1" si="1126"/>
        <v>5.1037923836171513E-2</v>
      </c>
      <c r="X1044" s="17">
        <f t="shared" ca="1" si="1121"/>
        <v>2.3698484797765547E-2</v>
      </c>
      <c r="Y1044" s="13">
        <f t="shared" ref="Y1044:Z1044" ca="1" si="1140">+Y1043</f>
        <v>0</v>
      </c>
      <c r="Z1044" s="13">
        <f t="shared" ca="1" si="1140"/>
        <v>0</v>
      </c>
      <c r="AA1044">
        <f t="shared" ca="1" si="1128"/>
        <v>0</v>
      </c>
      <c r="AB1044">
        <f t="shared" ca="1" si="1129"/>
        <v>1</v>
      </c>
      <c r="AC1044" s="24">
        <f t="shared" ca="1" si="1130"/>
        <v>0</v>
      </c>
      <c r="AD1044" s="24">
        <f t="shared" ca="1" si="1131"/>
        <v>2.3698484797765547E-2</v>
      </c>
    </row>
    <row r="1045" spans="3:30" x14ac:dyDescent="0.25">
      <c r="C1045" s="6">
        <v>1139</v>
      </c>
      <c r="D1045" s="36">
        <v>43628</v>
      </c>
      <c r="E1045" s="38">
        <v>16.850999999999999</v>
      </c>
      <c r="F1045" s="38">
        <v>49.8766667241647</v>
      </c>
      <c r="G1045" s="38">
        <v>43.36</v>
      </c>
      <c r="H1045" s="38">
        <v>2.1648008555706966</v>
      </c>
      <c r="I1045" s="38">
        <v>5.2826315698687321</v>
      </c>
      <c r="J1045" s="10">
        <v>0</v>
      </c>
      <c r="K1045" s="39">
        <v>0</v>
      </c>
      <c r="L1045" s="39">
        <v>0</v>
      </c>
      <c r="M1045" s="39">
        <v>0</v>
      </c>
      <c r="N1045" s="39">
        <v>0</v>
      </c>
      <c r="O1045" s="39">
        <v>1</v>
      </c>
      <c r="P1045" s="39">
        <v>0</v>
      </c>
      <c r="Q1045" s="39">
        <v>0</v>
      </c>
      <c r="R1045" s="39">
        <v>0</v>
      </c>
      <c r="S1045" s="39">
        <v>0</v>
      </c>
      <c r="T1045" s="39">
        <v>0</v>
      </c>
      <c r="U1045" s="29" cm="1">
        <f t="array" aca="1" ref="U1045" ca="1">+fair_value_gap(OFFSET(T1044,0,0,-1*$J$5,-1*$AA$1),OFFSET(E1044,0,0,-1*$J$5,1),F1045:T1045,0)</f>
        <v>17.143481839583981</v>
      </c>
      <c r="V1045" s="9" cm="1">
        <f t="array" aca="1" ref="V1045" ca="1">z_score_diff(OFFSET(U1045,0,0,$J$5*-1,1),OFFSET(E1045,0,0,$J$5*-1,1))</f>
        <v>-6.1938577683728901E-2</v>
      </c>
      <c r="W1045" s="9">
        <f t="shared" ca="1" si="1126"/>
        <v>1.6971229520233059E-2</v>
      </c>
      <c r="X1045" s="17">
        <f t="shared" ca="1" si="1121"/>
        <v>1.3205403238448364E-2</v>
      </c>
      <c r="Y1045" s="13">
        <f t="shared" ref="Y1045:Z1045" ca="1" si="1141">+Y1044</f>
        <v>0</v>
      </c>
      <c r="Z1045" s="13">
        <f t="shared" ca="1" si="1141"/>
        <v>0</v>
      </c>
      <c r="AA1045">
        <f t="shared" ca="1" si="1128"/>
        <v>0</v>
      </c>
      <c r="AB1045">
        <f t="shared" ca="1" si="1129"/>
        <v>1</v>
      </c>
      <c r="AC1045" s="24">
        <f t="shared" ca="1" si="1130"/>
        <v>0</v>
      </c>
      <c r="AD1045" s="24">
        <f t="shared" ca="1" si="1131"/>
        <v>1.3205403238448364E-2</v>
      </c>
    </row>
    <row r="1046" spans="3:30" x14ac:dyDescent="0.25">
      <c r="C1046" s="6">
        <v>1140</v>
      </c>
      <c r="D1046" s="36">
        <v>43629</v>
      </c>
      <c r="E1046" s="38">
        <v>17.077000000000002</v>
      </c>
      <c r="F1046" s="38">
        <v>50.771898673833519</v>
      </c>
      <c r="G1046" s="38">
        <v>44.27</v>
      </c>
      <c r="H1046" s="38">
        <v>2.16594526065614</v>
      </c>
      <c r="I1046" s="38">
        <v>5.319865552488765</v>
      </c>
      <c r="J1046" s="10">
        <v>0</v>
      </c>
      <c r="K1046" s="39">
        <v>0</v>
      </c>
      <c r="L1046" s="39">
        <v>0</v>
      </c>
      <c r="M1046" s="39">
        <v>0</v>
      </c>
      <c r="N1046" s="39">
        <v>0</v>
      </c>
      <c r="O1046" s="39">
        <v>1</v>
      </c>
      <c r="P1046" s="39">
        <v>0</v>
      </c>
      <c r="Q1046" s="39">
        <v>0</v>
      </c>
      <c r="R1046" s="39">
        <v>0</v>
      </c>
      <c r="S1046" s="39">
        <v>0</v>
      </c>
      <c r="T1046" s="39">
        <v>0</v>
      </c>
      <c r="U1046" s="29" cm="1">
        <f t="array" aca="1" ref="U1046" ca="1">+fair_value_gap(OFFSET(T1045,0,0,-1*$J$5,-1*$AA$1),OFFSET(E1045,0,0,-1*$J$5,1),F1046:T1046,0)</f>
        <v>17.411657546323251</v>
      </c>
      <c r="V1046" s="9" cm="1">
        <f t="array" aca="1" ref="V1046" ca="1">z_score_diff(OFFSET(U1046,0,0,$J$5*-1,1),OFFSET(E1046,0,0,$J$5*-1,1))</f>
        <v>-4.2721937415480804E-2</v>
      </c>
      <c r="W1046" s="9">
        <f t="shared" ca="1" si="1126"/>
        <v>-8.5875862828782568E-3</v>
      </c>
      <c r="X1046" s="17">
        <f t="shared" ca="1" si="1121"/>
        <v>6.7116304351071895E-3</v>
      </c>
      <c r="Y1046" s="13">
        <f t="shared" ref="Y1046:Z1046" ca="1" si="1142">+Y1045</f>
        <v>0</v>
      </c>
      <c r="Z1046" s="13">
        <f t="shared" ca="1" si="1142"/>
        <v>0</v>
      </c>
      <c r="AA1046">
        <f t="shared" ca="1" si="1128"/>
        <v>1</v>
      </c>
      <c r="AB1046">
        <f t="shared" ca="1" si="1129"/>
        <v>0</v>
      </c>
      <c r="AC1046" s="24">
        <f t="shared" ca="1" si="1130"/>
        <v>6.7116304351071895E-3</v>
      </c>
      <c r="AD1046" s="24">
        <f t="shared" ca="1" si="1131"/>
        <v>0</v>
      </c>
    </row>
    <row r="1047" spans="3:30" x14ac:dyDescent="0.25">
      <c r="C1047" s="6">
        <v>1141</v>
      </c>
      <c r="D1047" s="36">
        <v>43630</v>
      </c>
      <c r="E1047" s="38">
        <v>16.844000000000001</v>
      </c>
      <c r="F1047" s="38">
        <v>51.265291363823636</v>
      </c>
      <c r="G1047" s="38">
        <v>43.67</v>
      </c>
      <c r="H1047" s="38">
        <v>2.1929862684117847</v>
      </c>
      <c r="I1047" s="38">
        <v>5.2934151306491346</v>
      </c>
      <c r="J1047" s="10">
        <v>0</v>
      </c>
      <c r="K1047" s="39">
        <v>0</v>
      </c>
      <c r="L1047" s="39">
        <v>0</v>
      </c>
      <c r="M1047" s="39">
        <v>0</v>
      </c>
      <c r="N1047" s="39">
        <v>0</v>
      </c>
      <c r="O1047" s="39">
        <v>1</v>
      </c>
      <c r="P1047" s="39">
        <v>0</v>
      </c>
      <c r="Q1047" s="39">
        <v>0</v>
      </c>
      <c r="R1047" s="39">
        <v>0</v>
      </c>
      <c r="S1047" s="39">
        <v>0</v>
      </c>
      <c r="T1047" s="39">
        <v>0</v>
      </c>
      <c r="U1047" s="29" cm="1">
        <f t="array" aca="1" ref="U1047" ca="1">+fair_value_gap(OFFSET(T1046,0,0,-1*$J$5,-1*$AA$1),OFFSET(E1046,0,0,-1*$J$5,1),F1047:T1047,0)</f>
        <v>17.243255730461335</v>
      </c>
      <c r="V1047" s="9" cm="1">
        <f t="array" aca="1" ref="V1047" ca="1">z_score_diff(OFFSET(U1047,0,0,$J$5*-1,1),OFFSET(E1047,0,0,$J$5*-1,1))</f>
        <v>-2.034430560949918E-2</v>
      </c>
      <c r="W1047" s="9">
        <f t="shared" ca="1" si="1126"/>
        <v>-2.1950409509555492E-2</v>
      </c>
      <c r="X1047" s="17">
        <f t="shared" ca="1" si="1121"/>
        <v>-2.8971821852922953E-2</v>
      </c>
      <c r="Y1047" s="13">
        <f t="shared" ref="Y1047:Z1047" ca="1" si="1143">+Y1046</f>
        <v>0</v>
      </c>
      <c r="Z1047" s="13">
        <f t="shared" ca="1" si="1143"/>
        <v>0</v>
      </c>
      <c r="AA1047">
        <f t="shared" ca="1" si="1128"/>
        <v>1</v>
      </c>
      <c r="AB1047">
        <f t="shared" ca="1" si="1129"/>
        <v>0</v>
      </c>
      <c r="AC1047" s="24">
        <f t="shared" ca="1" si="1130"/>
        <v>-2.8971821852922953E-2</v>
      </c>
      <c r="AD1047" s="24">
        <f t="shared" ca="1" si="1131"/>
        <v>0</v>
      </c>
    </row>
    <row r="1048" spans="3:30" x14ac:dyDescent="0.25">
      <c r="C1048" s="6">
        <v>1142</v>
      </c>
      <c r="D1048" s="36">
        <v>43633</v>
      </c>
      <c r="E1048" s="38">
        <v>16.846</v>
      </c>
      <c r="F1048" s="38">
        <v>50.674048168989877</v>
      </c>
      <c r="G1048" s="38">
        <v>43.63</v>
      </c>
      <c r="H1048" s="38">
        <v>2.1821609643172413</v>
      </c>
      <c r="I1048" s="38">
        <v>5.2080213945518885</v>
      </c>
      <c r="J1048" s="10">
        <v>0</v>
      </c>
      <c r="K1048" s="39">
        <v>0</v>
      </c>
      <c r="L1048" s="39">
        <v>0</v>
      </c>
      <c r="M1048" s="39">
        <v>0</v>
      </c>
      <c r="N1048" s="39">
        <v>0</v>
      </c>
      <c r="O1048" s="39">
        <v>1</v>
      </c>
      <c r="P1048" s="39">
        <v>0</v>
      </c>
      <c r="Q1048" s="39">
        <v>0</v>
      </c>
      <c r="R1048" s="39">
        <v>0</v>
      </c>
      <c r="S1048" s="39">
        <v>0</v>
      </c>
      <c r="T1048" s="39">
        <v>0</v>
      </c>
      <c r="U1048" s="29" cm="1">
        <f t="array" aca="1" ref="U1048" ca="1">+fair_value_gap(OFFSET(T1047,0,0,-1*$J$5,-1*$AA$1),OFFSET(E1047,0,0,-1*$J$5,1),F1048:T1048,0)</f>
        <v>17.071674569822317</v>
      </c>
      <c r="V1048" s="9" cm="1">
        <f t="array" aca="1" ref="V1048" ca="1">z_score_diff(OFFSET(U1048,0,0,$J$5*-1,1),OFFSET(E1048,0,0,$J$5*-1,1))</f>
        <v>-9.9963090360223328E-2</v>
      </c>
      <c r="W1048" s="9">
        <f t="shared" ca="1" si="1126"/>
        <v>-3.7546429406402584E-2</v>
      </c>
      <c r="X1048" s="17">
        <f t="shared" ca="1" si="1121"/>
        <v>-4.3246376209165167E-2</v>
      </c>
      <c r="Y1048" s="13">
        <f t="shared" ref="Y1048:Z1048" ca="1" si="1144">+Y1047</f>
        <v>0</v>
      </c>
      <c r="Z1048" s="13">
        <f t="shared" ca="1" si="1144"/>
        <v>0</v>
      </c>
      <c r="AA1048">
        <f t="shared" ca="1" si="1128"/>
        <v>1</v>
      </c>
      <c r="AB1048">
        <f t="shared" ca="1" si="1129"/>
        <v>0</v>
      </c>
      <c r="AC1048" s="24">
        <f t="shared" ca="1" si="1130"/>
        <v>-4.3246376209165167E-2</v>
      </c>
      <c r="AD1048" s="24">
        <f t="shared" ca="1" si="1131"/>
        <v>0</v>
      </c>
    </row>
    <row r="1049" spans="3:30" x14ac:dyDescent="0.25">
      <c r="C1049" s="6">
        <v>1143</v>
      </c>
      <c r="D1049" s="36">
        <v>43634</v>
      </c>
      <c r="E1049" s="38">
        <v>16.661000000000001</v>
      </c>
      <c r="F1049" s="38">
        <v>51.879083901481053</v>
      </c>
      <c r="G1049" s="38">
        <v>43.8</v>
      </c>
      <c r="H1049" s="38">
        <v>2.1682239089085042</v>
      </c>
      <c r="I1049" s="38">
        <v>5.2792294934114006</v>
      </c>
      <c r="J1049" s="10">
        <v>0</v>
      </c>
      <c r="K1049" s="39">
        <v>0</v>
      </c>
      <c r="L1049" s="39">
        <v>0</v>
      </c>
      <c r="M1049" s="39">
        <v>0</v>
      </c>
      <c r="N1049" s="39">
        <v>0</v>
      </c>
      <c r="O1049" s="39">
        <v>1</v>
      </c>
      <c r="P1049" s="39">
        <v>0</v>
      </c>
      <c r="Q1049" s="39">
        <v>0</v>
      </c>
      <c r="R1049" s="39">
        <v>0</v>
      </c>
      <c r="S1049" s="39">
        <v>0</v>
      </c>
      <c r="T1049" s="39">
        <v>0</v>
      </c>
      <c r="U1049" s="29" cm="1">
        <f t="array" aca="1" ref="U1049" ca="1">+fair_value_gap(OFFSET(T1048,0,0,-1*$J$5,-1*$AA$1),OFFSET(E1048,0,0,-1*$J$5,1),F1049:T1049,0)</f>
        <v>17.21099290090082</v>
      </c>
      <c r="V1049" s="9" cm="1">
        <f t="array" aca="1" ref="V1049" ca="1">z_score_diff(OFFSET(U1049,0,0,$J$5*-1,1),OFFSET(E1049,0,0,$J$5*-1,1))</f>
        <v>3.7032507912799328E-2</v>
      </c>
      <c r="W1049" s="9">
        <f t="shared" ca="1" si="1126"/>
        <v>-4.5140570327506818E-2</v>
      </c>
      <c r="X1049" s="17">
        <f t="shared" ca="1" si="1121"/>
        <v>-3.6614425180661263E-2</v>
      </c>
      <c r="Y1049" s="13">
        <f t="shared" ref="Y1049:Z1049" ca="1" si="1145">+Y1048</f>
        <v>0</v>
      </c>
      <c r="Z1049" s="13">
        <f t="shared" ca="1" si="1145"/>
        <v>0</v>
      </c>
      <c r="AA1049">
        <f t="shared" ca="1" si="1128"/>
        <v>1</v>
      </c>
      <c r="AB1049">
        <f t="shared" ca="1" si="1129"/>
        <v>0</v>
      </c>
      <c r="AC1049" s="24">
        <f t="shared" ca="1" si="1130"/>
        <v>-3.6614425180661263E-2</v>
      </c>
      <c r="AD1049" s="24">
        <f t="shared" ca="1" si="1131"/>
        <v>0</v>
      </c>
    </row>
    <row r="1050" spans="3:30" x14ac:dyDescent="0.25">
      <c r="C1050" s="6">
        <v>1144</v>
      </c>
      <c r="D1050" s="36">
        <v>43635</v>
      </c>
      <c r="E1050" s="38">
        <v>16.504000000000001</v>
      </c>
      <c r="F1050" s="38">
        <v>51.514502065525889</v>
      </c>
      <c r="G1050" s="38">
        <v>43.09</v>
      </c>
      <c r="H1050" s="38">
        <v>2.1379776501508472</v>
      </c>
      <c r="I1050" s="38">
        <v>5.2147912651812467</v>
      </c>
      <c r="J1050" s="10">
        <v>0</v>
      </c>
      <c r="K1050" s="39">
        <v>0</v>
      </c>
      <c r="L1050" s="39">
        <v>0</v>
      </c>
      <c r="M1050" s="39">
        <v>0</v>
      </c>
      <c r="N1050" s="39">
        <v>0</v>
      </c>
      <c r="O1050" s="39">
        <v>1</v>
      </c>
      <c r="P1050" s="39">
        <v>0</v>
      </c>
      <c r="Q1050" s="39">
        <v>0</v>
      </c>
      <c r="R1050" s="39">
        <v>0</v>
      </c>
      <c r="S1050" s="39">
        <v>0</v>
      </c>
      <c r="T1050" s="39">
        <v>0</v>
      </c>
      <c r="U1050" s="29" cm="1">
        <f t="array" aca="1" ref="U1050" ca="1">+fair_value_gap(OFFSET(T1049,0,0,-1*$J$5,-1*$AA$1),OFFSET(E1049,0,0,-1*$J$5,1),F1050:T1050,0)</f>
        <v>16.912225551621969</v>
      </c>
      <c r="V1050" s="9" cm="1">
        <f t="array" aca="1" ref="V1050" ca="1">z_score_diff(OFFSET(U1050,0,0,$J$5*-1,1),OFFSET(E1050,0,0,$J$5*-1,1))</f>
        <v>-2.9284787240265953E-2</v>
      </c>
      <c r="W1050" s="9">
        <f t="shared" ca="1" si="1126"/>
        <v>-5.4910389976464372E-2</v>
      </c>
      <c r="X1050" s="17">
        <f t="shared" ca="1" si="1121"/>
        <v>5.3901378501597048E-2</v>
      </c>
      <c r="Y1050" s="13">
        <f t="shared" ref="Y1050:Z1050" ca="1" si="1146">+Y1049</f>
        <v>0</v>
      </c>
      <c r="Z1050" s="13">
        <f t="shared" ca="1" si="1146"/>
        <v>0</v>
      </c>
      <c r="AA1050">
        <f t="shared" ca="1" si="1128"/>
        <v>1</v>
      </c>
      <c r="AB1050">
        <f t="shared" ca="1" si="1129"/>
        <v>0</v>
      </c>
      <c r="AC1050" s="24">
        <f t="shared" ca="1" si="1130"/>
        <v>5.3901378501597048E-2</v>
      </c>
      <c r="AD1050" s="24">
        <f t="shared" ca="1" si="1131"/>
        <v>0</v>
      </c>
    </row>
    <row r="1051" spans="3:30" x14ac:dyDescent="0.25">
      <c r="C1051" s="6">
        <v>1145</v>
      </c>
      <c r="D1051" s="36">
        <v>43636</v>
      </c>
      <c r="E1051" s="38">
        <v>16.707999999999998</v>
      </c>
      <c r="F1051" s="38">
        <v>53.241184465248168</v>
      </c>
      <c r="G1051" s="38">
        <v>43.17</v>
      </c>
      <c r="H1051" s="38">
        <v>2.0679960556968759</v>
      </c>
      <c r="I1051" s="38">
        <v>5.2325912724522201</v>
      </c>
      <c r="J1051" s="10">
        <v>0</v>
      </c>
      <c r="K1051" s="39">
        <v>0</v>
      </c>
      <c r="L1051" s="39">
        <v>0</v>
      </c>
      <c r="M1051" s="39">
        <v>0</v>
      </c>
      <c r="N1051" s="39">
        <v>0</v>
      </c>
      <c r="O1051" s="39">
        <v>1</v>
      </c>
      <c r="P1051" s="39">
        <v>0</v>
      </c>
      <c r="Q1051" s="39">
        <v>0</v>
      </c>
      <c r="R1051" s="39">
        <v>0</v>
      </c>
      <c r="S1051" s="39">
        <v>0</v>
      </c>
      <c r="T1051" s="39">
        <v>0</v>
      </c>
      <c r="U1051" s="29" cm="1">
        <f t="array" aca="1" ref="U1051" ca="1">+fair_value_gap(OFFSET(T1050,0,0,-1*$J$5,-1*$AA$1),OFFSET(E1050,0,0,-1*$J$5,1),F1051:T1051,0)</f>
        <v>17.013786351990017</v>
      </c>
      <c r="V1051" s="9" cm="1">
        <f t="array" aca="1" ref="V1051" ca="1">z_score_diff(OFFSET(U1051,0,0,$J$5*-1,1),OFFSET(E1051,0,0,$J$5*-1,1))</f>
        <v>-7.0655831542151937E-2</v>
      </c>
      <c r="W1051" s="9">
        <f t="shared" ca="1" si="1126"/>
        <v>-6.6179497728727915E-2</v>
      </c>
      <c r="X1051" s="17">
        <f t="shared" ca="1" si="1121"/>
        <v>5.7450978704995471E-2</v>
      </c>
      <c r="Y1051" s="13">
        <f t="shared" ref="Y1051:Z1051" ca="1" si="1147">+Y1050</f>
        <v>0</v>
      </c>
      <c r="Z1051" s="13">
        <f t="shared" ca="1" si="1147"/>
        <v>0</v>
      </c>
      <c r="AA1051">
        <f t="shared" ca="1" si="1128"/>
        <v>1</v>
      </c>
      <c r="AB1051">
        <f t="shared" ca="1" si="1129"/>
        <v>0</v>
      </c>
      <c r="AC1051" s="24">
        <f t="shared" ca="1" si="1130"/>
        <v>5.7450978704995471E-2</v>
      </c>
      <c r="AD1051" s="24">
        <f t="shared" ca="1" si="1131"/>
        <v>0</v>
      </c>
    </row>
    <row r="1052" spans="3:30" x14ac:dyDescent="0.25">
      <c r="C1052" s="6">
        <v>1146</v>
      </c>
      <c r="D1052" s="36">
        <v>43637</v>
      </c>
      <c r="E1052" s="38">
        <v>17.053000000000001</v>
      </c>
      <c r="F1052" s="38">
        <v>53.170418006430864</v>
      </c>
      <c r="G1052" s="38">
        <v>43.81</v>
      </c>
      <c r="H1052" s="38">
        <v>2.0690246516613073</v>
      </c>
      <c r="I1052" s="38">
        <v>5.2261521972132901</v>
      </c>
      <c r="J1052" s="10">
        <v>0</v>
      </c>
      <c r="K1052" s="39">
        <v>0</v>
      </c>
      <c r="L1052" s="39">
        <v>0</v>
      </c>
      <c r="M1052" s="39">
        <v>0</v>
      </c>
      <c r="N1052" s="39">
        <v>0</v>
      </c>
      <c r="O1052" s="39">
        <v>1</v>
      </c>
      <c r="P1052" s="39">
        <v>0</v>
      </c>
      <c r="Q1052" s="39">
        <v>0</v>
      </c>
      <c r="R1052" s="39">
        <v>0</v>
      </c>
      <c r="S1052" s="39">
        <v>0</v>
      </c>
      <c r="T1052" s="39">
        <v>0</v>
      </c>
      <c r="U1052" s="29" cm="1">
        <f t="array" aca="1" ref="U1052" ca="1">+fair_value_gap(OFFSET(T1051,0,0,-1*$J$5,-1*$AA$1),OFFSET(E1051,0,0,-1*$J$5,1),F1052:T1052,0)</f>
        <v>17.0882184663072</v>
      </c>
      <c r="V1052" s="9" cm="1">
        <f t="array" aca="1" ref="V1052" ca="1">z_score_diff(OFFSET(U1052,0,0,$J$5*-1,1),OFFSET(E1052,0,0,$J$5*-1,1))</f>
        <v>-0.18167037758793003</v>
      </c>
      <c r="W1052" s="9">
        <f t="shared" ca="1" si="1126"/>
        <v>-8.0930806569877681E-2</v>
      </c>
      <c r="X1052" s="17">
        <f t="shared" ca="1" si="1121"/>
        <v>1.4842681031861094E-2</v>
      </c>
      <c r="Y1052" s="13">
        <f t="shared" ref="Y1052:Z1052" ca="1" si="1148">+Y1051</f>
        <v>0</v>
      </c>
      <c r="Z1052" s="13">
        <f t="shared" ca="1" si="1148"/>
        <v>0</v>
      </c>
      <c r="AA1052">
        <f t="shared" ca="1" si="1128"/>
        <v>1</v>
      </c>
      <c r="AB1052">
        <f t="shared" ca="1" si="1129"/>
        <v>0</v>
      </c>
      <c r="AC1052" s="24">
        <f t="shared" ca="1" si="1130"/>
        <v>1.4842681031861094E-2</v>
      </c>
      <c r="AD1052" s="24">
        <f t="shared" ca="1" si="1131"/>
        <v>0</v>
      </c>
    </row>
    <row r="1053" spans="3:30" x14ac:dyDescent="0.25">
      <c r="C1053" s="6">
        <v>1147</v>
      </c>
      <c r="D1053" s="36">
        <v>43640</v>
      </c>
      <c r="E1053" s="38">
        <v>17.266999999999999</v>
      </c>
      <c r="F1053" s="38">
        <v>53.064897779709241</v>
      </c>
      <c r="G1053" s="38">
        <v>45.33</v>
      </c>
      <c r="H1053" s="38">
        <v>2.109592744232839</v>
      </c>
      <c r="I1053" s="38">
        <v>5.3552516540541646</v>
      </c>
      <c r="J1053" s="10">
        <v>0</v>
      </c>
      <c r="K1053" s="39">
        <v>0</v>
      </c>
      <c r="L1053" s="39">
        <v>0</v>
      </c>
      <c r="M1053" s="39">
        <v>0</v>
      </c>
      <c r="N1053" s="39">
        <v>0</v>
      </c>
      <c r="O1053" s="39">
        <v>1</v>
      </c>
      <c r="P1053" s="39">
        <v>0</v>
      </c>
      <c r="Q1053" s="39">
        <v>0</v>
      </c>
      <c r="R1053" s="39">
        <v>0</v>
      </c>
      <c r="S1053" s="39">
        <v>0</v>
      </c>
      <c r="T1053" s="39">
        <v>0</v>
      </c>
      <c r="U1053" s="29" cm="1">
        <f t="array" aca="1" ref="U1053" ca="1">+fair_value_gap(OFFSET(T1052,0,0,-1*$J$5,-1*$AA$1),OFFSET(E1052,0,0,-1*$J$5,1),F1053:T1053,0)</f>
        <v>17.475501460629935</v>
      </c>
      <c r="V1053" s="9" cm="1">
        <f t="array" aca="1" ref="V1053" ca="1">z_score_diff(OFFSET(U1053,0,0,$J$5*-1,1),OFFSET(E1053,0,0,$J$5*-1,1))</f>
        <v>-9.9477277250288765E-2</v>
      </c>
      <c r="W1053" s="9">
        <f t="shared" ca="1" si="1126"/>
        <v>-8.828782714466224E-2</v>
      </c>
      <c r="X1053" s="17">
        <f t="shared" ca="1" si="1121"/>
        <v>-1.1650390993673128E-2</v>
      </c>
      <c r="Y1053" s="13">
        <f t="shared" ref="Y1053:Z1053" ca="1" si="1149">+Y1052</f>
        <v>0</v>
      </c>
      <c r="Z1053" s="13">
        <f t="shared" ca="1" si="1149"/>
        <v>0</v>
      </c>
      <c r="AA1053">
        <f t="shared" ca="1" si="1128"/>
        <v>1</v>
      </c>
      <c r="AB1053">
        <f t="shared" ca="1" si="1129"/>
        <v>0</v>
      </c>
      <c r="AC1053" s="24">
        <f t="shared" ca="1" si="1130"/>
        <v>-1.1650390993673128E-2</v>
      </c>
      <c r="AD1053" s="24">
        <f t="shared" ca="1" si="1131"/>
        <v>0</v>
      </c>
    </row>
    <row r="1054" spans="3:30" x14ac:dyDescent="0.25">
      <c r="C1054" s="6">
        <v>1148</v>
      </c>
      <c r="D1054" s="36">
        <v>43641</v>
      </c>
      <c r="E1054" s="38">
        <v>17.099</v>
      </c>
      <c r="F1054" s="38">
        <v>53.333036038176125</v>
      </c>
      <c r="G1054" s="38">
        <v>45.28</v>
      </c>
      <c r="H1054" s="38">
        <v>2.1027915157679349</v>
      </c>
      <c r="I1054" s="38">
        <v>5.3513128296867514</v>
      </c>
      <c r="J1054" s="10">
        <v>0</v>
      </c>
      <c r="K1054" s="39">
        <v>0</v>
      </c>
      <c r="L1054" s="39">
        <v>0</v>
      </c>
      <c r="M1054" s="39">
        <v>0</v>
      </c>
      <c r="N1054" s="39">
        <v>0</v>
      </c>
      <c r="O1054" s="39">
        <v>1</v>
      </c>
      <c r="P1054" s="39">
        <v>0</v>
      </c>
      <c r="Q1054" s="39">
        <v>0</v>
      </c>
      <c r="R1054" s="39">
        <v>0</v>
      </c>
      <c r="S1054" s="39">
        <v>0</v>
      </c>
      <c r="T1054" s="39">
        <v>0</v>
      </c>
      <c r="U1054" s="29" cm="1">
        <f t="array" aca="1" ref="U1054" ca="1">+fair_value_gap(OFFSET(T1053,0,0,-1*$J$5,-1*$AA$1),OFFSET(E1053,0,0,-1*$J$5,1),F1054:T1054,0)</f>
        <v>17.461245388830122</v>
      </c>
      <c r="V1054" s="9" cm="1">
        <f t="array" aca="1" ref="V1054" ca="1">z_score_diff(OFFSET(U1054,0,0,$J$5*-1,1),OFFSET(E1054,0,0,$J$5*-1,1))</f>
        <v>-3.4570478825238338E-2</v>
      </c>
      <c r="W1054" s="9">
        <f t="shared" ca="1" si="1126"/>
        <v>-8.7525218149473297E-2</v>
      </c>
      <c r="X1054" s="17">
        <f t="shared" ca="1" si="1121"/>
        <v>-8.2213159051924747E-3</v>
      </c>
      <c r="Y1054" s="13">
        <f t="shared" ref="Y1054:Z1054" ca="1" si="1150">+Y1053</f>
        <v>0</v>
      </c>
      <c r="Z1054" s="13">
        <f t="shared" ca="1" si="1150"/>
        <v>0</v>
      </c>
      <c r="AA1054">
        <f t="shared" ca="1" si="1128"/>
        <v>1</v>
      </c>
      <c r="AB1054">
        <f t="shared" ca="1" si="1129"/>
        <v>0</v>
      </c>
      <c r="AC1054" s="24">
        <f t="shared" ca="1" si="1130"/>
        <v>-8.2213159051924747E-3</v>
      </c>
      <c r="AD1054" s="24">
        <f t="shared" ca="1" si="1131"/>
        <v>0</v>
      </c>
    </row>
    <row r="1055" spans="3:30" x14ac:dyDescent="0.25">
      <c r="C1055" s="6">
        <v>1149</v>
      </c>
      <c r="D1055" s="36">
        <v>43642</v>
      </c>
      <c r="E1055" s="38">
        <v>17.202000000000002</v>
      </c>
      <c r="F1055" s="38">
        <v>54.191670901283587</v>
      </c>
      <c r="G1055" s="38">
        <v>45.41</v>
      </c>
      <c r="H1055" s="38">
        <v>2.0857452083131602</v>
      </c>
      <c r="I1055" s="38">
        <v>5.407170199036992</v>
      </c>
      <c r="J1055" s="10">
        <v>0</v>
      </c>
      <c r="K1055" s="39">
        <v>0</v>
      </c>
      <c r="L1055" s="39">
        <v>0</v>
      </c>
      <c r="M1055" s="39">
        <v>0</v>
      </c>
      <c r="N1055" s="39">
        <v>0</v>
      </c>
      <c r="O1055" s="39">
        <v>1</v>
      </c>
      <c r="P1055" s="39">
        <v>0</v>
      </c>
      <c r="Q1055" s="39">
        <v>0</v>
      </c>
      <c r="R1055" s="39">
        <v>0</v>
      </c>
      <c r="S1055" s="39">
        <v>0</v>
      </c>
      <c r="T1055" s="39">
        <v>0</v>
      </c>
      <c r="U1055" s="29" cm="1">
        <f t="array" aca="1" ref="U1055" ca="1">+fair_value_gap(OFFSET(T1054,0,0,-1*$J$5,-1*$AA$1),OFFSET(E1054,0,0,-1*$J$5,1),F1055:T1055,0)</f>
        <v>17.550679051202231</v>
      </c>
      <c r="V1055" s="9" cm="1">
        <f t="array" aca="1" ref="V1055" ca="1">z_score_diff(OFFSET(U1055,0,0,$J$5*-1,1),OFFSET(E1055,0,0,$J$5*-1,1))</f>
        <v>-3.763965696207805E-2</v>
      </c>
      <c r="W1055" s="9">
        <f t="shared" ca="1" si="1126"/>
        <v>-8.5322577222077076E-2</v>
      </c>
      <c r="X1055" s="17">
        <f t="shared" ca="1" si="1121"/>
        <v>-2.4301746075026765E-2</v>
      </c>
      <c r="Y1055" s="13">
        <f t="shared" ref="Y1055:Z1055" ca="1" si="1151">+Y1054</f>
        <v>0</v>
      </c>
      <c r="Z1055" s="13">
        <f t="shared" ca="1" si="1151"/>
        <v>0</v>
      </c>
      <c r="AA1055">
        <f t="shared" ca="1" si="1128"/>
        <v>1</v>
      </c>
      <c r="AB1055">
        <f t="shared" ca="1" si="1129"/>
        <v>0</v>
      </c>
      <c r="AC1055" s="24">
        <f t="shared" ca="1" si="1130"/>
        <v>-2.4301746075026765E-2</v>
      </c>
      <c r="AD1055" s="24">
        <f t="shared" ca="1" si="1131"/>
        <v>0</v>
      </c>
    </row>
    <row r="1056" spans="3:30" x14ac:dyDescent="0.25">
      <c r="C1056" s="6">
        <v>1150</v>
      </c>
      <c r="D1056" s="36">
        <v>43643</v>
      </c>
      <c r="E1056" s="38">
        <v>17.004999999999999</v>
      </c>
      <c r="F1056" s="38">
        <v>54.149844863609431</v>
      </c>
      <c r="G1056" s="38">
        <v>45.31</v>
      </c>
      <c r="H1056" s="38">
        <v>2.1304997543709536</v>
      </c>
      <c r="I1056" s="38">
        <v>5.3583997846351954</v>
      </c>
      <c r="J1056" s="10">
        <v>0</v>
      </c>
      <c r="K1056" s="39">
        <v>0</v>
      </c>
      <c r="L1056" s="39">
        <v>0</v>
      </c>
      <c r="M1056" s="39">
        <v>0</v>
      </c>
      <c r="N1056" s="39">
        <v>0</v>
      </c>
      <c r="O1056" s="39">
        <v>1</v>
      </c>
      <c r="P1056" s="39">
        <v>0</v>
      </c>
      <c r="Q1056" s="39">
        <v>0</v>
      </c>
      <c r="R1056" s="39">
        <v>0</v>
      </c>
      <c r="S1056" s="39">
        <v>0</v>
      </c>
      <c r="T1056" s="39">
        <v>0</v>
      </c>
      <c r="U1056" s="29" cm="1">
        <f t="array" aca="1" ref="U1056" ca="1">+fair_value_gap(OFFSET(T1055,0,0,-1*$J$5,-1*$AA$1),OFFSET(E1055,0,0,-1*$J$5,1),F1056:T1056,0)</f>
        <v>17.468980887910675</v>
      </c>
      <c r="V1056" s="9" cm="1">
        <f t="array" aca="1" ref="V1056" ca="1">z_score_diff(OFFSET(U1056,0,0,$J$5*-1,1),OFFSET(E1056,0,0,$J$5*-1,1))</f>
        <v>7.6726155935846752E-3</v>
      </c>
      <c r="W1056" s="9">
        <f t="shared" ca="1" si="1126"/>
        <v>-8.3816624237343998E-2</v>
      </c>
      <c r="X1056" s="17">
        <f t="shared" ca="1" si="1121"/>
        <v>-5.8388299524228977E-3</v>
      </c>
      <c r="Y1056" s="13">
        <f t="shared" ref="Y1056:Z1056" ca="1" si="1152">+Y1055</f>
        <v>0</v>
      </c>
      <c r="Z1056" s="13">
        <f t="shared" ca="1" si="1152"/>
        <v>0</v>
      </c>
      <c r="AA1056">
        <f t="shared" ca="1" si="1128"/>
        <v>1</v>
      </c>
      <c r="AB1056">
        <f t="shared" ca="1" si="1129"/>
        <v>0</v>
      </c>
      <c r="AC1056" s="24">
        <f t="shared" ca="1" si="1130"/>
        <v>-5.8388299524228977E-3</v>
      </c>
      <c r="AD1056" s="24">
        <f t="shared" ca="1" si="1131"/>
        <v>0</v>
      </c>
    </row>
    <row r="1057" spans="3:30" x14ac:dyDescent="0.25">
      <c r="C1057" s="6">
        <v>1151</v>
      </c>
      <c r="D1057" s="36">
        <v>43644</v>
      </c>
      <c r="E1057" s="38">
        <v>16.626999999999999</v>
      </c>
      <c r="F1057" s="38">
        <v>53.441198399163589</v>
      </c>
      <c r="G1057" s="38">
        <v>46.38</v>
      </c>
      <c r="H1057" s="38">
        <v>2.1175946318847534</v>
      </c>
      <c r="I1057" s="38">
        <v>5.240425404279752</v>
      </c>
      <c r="J1057" s="10">
        <v>0</v>
      </c>
      <c r="K1057" s="39">
        <v>0</v>
      </c>
      <c r="L1057" s="39">
        <v>0</v>
      </c>
      <c r="M1057" s="39">
        <v>0</v>
      </c>
      <c r="N1057" s="39">
        <v>0</v>
      </c>
      <c r="O1057" s="39">
        <v>1</v>
      </c>
      <c r="P1057" s="39">
        <v>0</v>
      </c>
      <c r="Q1057" s="39">
        <v>0</v>
      </c>
      <c r="R1057" s="39">
        <v>0</v>
      </c>
      <c r="S1057" s="39">
        <v>0</v>
      </c>
      <c r="T1057" s="39">
        <v>0</v>
      </c>
      <c r="U1057" s="29" cm="1">
        <f t="array" aca="1" ref="U1057" ca="1">+fair_value_gap(OFFSET(T1056,0,0,-1*$J$5,-1*$AA$1),OFFSET(E1056,0,0,-1*$J$5,1),F1057:T1057,0)</f>
        <v>17.604447217830398</v>
      </c>
      <c r="V1057" s="9" cm="1">
        <f t="array" aca="1" ref="V1057" ca="1">z_score_diff(OFFSET(U1057,0,0,$J$5*-1,1),OFFSET(E1057,0,0,$J$5*-1,1))</f>
        <v>0.21432591096347786</v>
      </c>
      <c r="W1057" s="9">
        <f t="shared" ca="1" si="1126"/>
        <v>-7.1976362302314717E-2</v>
      </c>
      <c r="X1057" s="17">
        <f t="shared" ca="1" si="1121"/>
        <v>1.8236500624961127E-2</v>
      </c>
      <c r="Y1057" s="13">
        <f t="shared" ref="Y1057:Z1057" ca="1" si="1153">+Y1056</f>
        <v>0</v>
      </c>
      <c r="Z1057" s="13">
        <f t="shared" ca="1" si="1153"/>
        <v>0</v>
      </c>
      <c r="AA1057">
        <f t="shared" ca="1" si="1128"/>
        <v>1</v>
      </c>
      <c r="AB1057">
        <f t="shared" ca="1" si="1129"/>
        <v>0</v>
      </c>
      <c r="AC1057" s="24">
        <f t="shared" ca="1" si="1130"/>
        <v>1.8236500624961127E-2</v>
      </c>
      <c r="AD1057" s="24">
        <f t="shared" ca="1" si="1131"/>
        <v>0</v>
      </c>
    </row>
    <row r="1058" spans="3:30" x14ac:dyDescent="0.25">
      <c r="C1058" s="6">
        <v>1152</v>
      </c>
      <c r="D1058" s="36">
        <v>43647</v>
      </c>
      <c r="E1058" s="38">
        <v>16.651</v>
      </c>
      <c r="F1058" s="38">
        <v>54.093466330721704</v>
      </c>
      <c r="G1058" s="38">
        <v>46.48</v>
      </c>
      <c r="H1058" s="38">
        <v>2.1071342284195631</v>
      </c>
      <c r="I1058" s="38">
        <v>5.2635212094018566</v>
      </c>
      <c r="J1058" s="10">
        <v>0</v>
      </c>
      <c r="K1058" s="39">
        <v>0</v>
      </c>
      <c r="L1058" s="39">
        <v>0</v>
      </c>
      <c r="M1058" s="39">
        <v>0</v>
      </c>
      <c r="N1058" s="39">
        <v>0</v>
      </c>
      <c r="O1058" s="39">
        <v>0</v>
      </c>
      <c r="P1058" s="39">
        <v>1</v>
      </c>
      <c r="Q1058" s="39">
        <v>0</v>
      </c>
      <c r="R1058" s="39">
        <v>0</v>
      </c>
      <c r="S1058" s="39">
        <v>0</v>
      </c>
      <c r="T1058" s="39">
        <v>0</v>
      </c>
      <c r="U1058" s="29" cm="1">
        <f t="array" aca="1" ref="U1058" ca="1">+fair_value_gap(OFFSET(T1057,0,0,-1*$J$5,-1*$AA$1),OFFSET(E1057,0,0,-1*$J$5,1),F1058:T1058,0)</f>
        <v>18.543500773911603</v>
      </c>
      <c r="V1058" s="9" cm="1">
        <f t="array" aca="1" ref="V1058" ca="1">z_score_diff(OFFSET(U1058,0,0,$J$5*-1,1),OFFSET(E1058,0,0,$J$5*-1,1))</f>
        <v>0.58945813764141586</v>
      </c>
      <c r="W1058" s="9">
        <f t="shared" ca="1" si="1126"/>
        <v>-4.7305449634981969E-2</v>
      </c>
      <c r="X1058" s="17">
        <f t="shared" ca="1" si="1121"/>
        <v>1.8015313064785607E-4</v>
      </c>
      <c r="Y1058" s="13">
        <f t="shared" ref="Y1058:Z1058" ca="1" si="1154">+Y1057</f>
        <v>0</v>
      </c>
      <c r="Z1058" s="13">
        <f t="shared" ca="1" si="1154"/>
        <v>0</v>
      </c>
      <c r="AA1058">
        <f t="shared" ca="1" si="1128"/>
        <v>1</v>
      </c>
      <c r="AB1058">
        <f t="shared" ca="1" si="1129"/>
        <v>0</v>
      </c>
      <c r="AC1058" s="24">
        <f t="shared" ca="1" si="1130"/>
        <v>1.8015313064785607E-4</v>
      </c>
      <c r="AD1058" s="24">
        <f t="shared" ca="1" si="1131"/>
        <v>0</v>
      </c>
    </row>
    <row r="1059" spans="3:30" x14ac:dyDescent="0.25">
      <c r="C1059" s="6">
        <v>1153</v>
      </c>
      <c r="D1059" s="36">
        <v>43648</v>
      </c>
      <c r="E1059" s="38">
        <v>16.251999999999999</v>
      </c>
      <c r="F1059" s="38">
        <v>52.169606868753796</v>
      </c>
      <c r="G1059" s="38">
        <v>46.06</v>
      </c>
      <c r="H1059" s="38">
        <v>2.0938587046546302</v>
      </c>
      <c r="I1059" s="38">
        <v>5.2626856606482253</v>
      </c>
      <c r="J1059" s="10">
        <v>0</v>
      </c>
      <c r="K1059" s="39">
        <v>0</v>
      </c>
      <c r="L1059" s="39">
        <v>0</v>
      </c>
      <c r="M1059" s="39">
        <v>0</v>
      </c>
      <c r="N1059" s="39">
        <v>0</v>
      </c>
      <c r="O1059" s="39">
        <v>0</v>
      </c>
      <c r="P1059" s="39">
        <v>1</v>
      </c>
      <c r="Q1059" s="39">
        <v>0</v>
      </c>
      <c r="R1059" s="39">
        <v>0</v>
      </c>
      <c r="S1059" s="39">
        <v>0</v>
      </c>
      <c r="T1059" s="39">
        <v>0</v>
      </c>
      <c r="U1059" s="29" cm="1">
        <f t="array" aca="1" ref="U1059" ca="1">+fair_value_gap(OFFSET(T1058,0,0,-1*$J$5,-1*$AA$1),OFFSET(E1058,0,0,-1*$J$5,1),F1059:T1059,0)</f>
        <v>17.873474775365544</v>
      </c>
      <c r="V1059" s="9" cm="1">
        <f t="array" aca="1" ref="V1059" ca="1">z_score_diff(OFFSET(U1059,0,0,$J$5*-1,1),OFFSET(E1059,0,0,$J$5*-1,1))</f>
        <v>0.45766344951964211</v>
      </c>
      <c r="W1059" s="9">
        <f t="shared" ca="1" si="1126"/>
        <v>-2.4815941280598195E-2</v>
      </c>
      <c r="X1059" s="17">
        <f t="shared" ca="1" si="1121"/>
        <v>3.8446544310303907E-2</v>
      </c>
      <c r="Y1059" s="13">
        <f t="shared" ref="Y1059:Z1059" ca="1" si="1155">+Y1058</f>
        <v>0</v>
      </c>
      <c r="Z1059" s="13">
        <f t="shared" ca="1" si="1155"/>
        <v>0</v>
      </c>
      <c r="AA1059">
        <f t="shared" ca="1" si="1128"/>
        <v>1</v>
      </c>
      <c r="AB1059">
        <f t="shared" ca="1" si="1129"/>
        <v>0</v>
      </c>
      <c r="AC1059" s="24">
        <f t="shared" ca="1" si="1130"/>
        <v>3.8446544310303907E-2</v>
      </c>
      <c r="AD1059" s="24">
        <f t="shared" ca="1" si="1131"/>
        <v>0</v>
      </c>
    </row>
    <row r="1060" spans="3:30" x14ac:dyDescent="0.25">
      <c r="C1060" s="6">
        <v>1154</v>
      </c>
      <c r="D1060" s="36">
        <v>43649</v>
      </c>
      <c r="E1060" s="38">
        <v>16.184999999999999</v>
      </c>
      <c r="F1060" s="38">
        <v>53.252394069443127</v>
      </c>
      <c r="G1060" s="38">
        <v>45.13</v>
      </c>
      <c r="H1060" s="38">
        <v>2.1034997884411135</v>
      </c>
      <c r="I1060" s="38">
        <v>5.1508112635678325</v>
      </c>
      <c r="J1060" s="10">
        <v>0</v>
      </c>
      <c r="K1060" s="39">
        <v>0</v>
      </c>
      <c r="L1060" s="39">
        <v>0</v>
      </c>
      <c r="M1060" s="39">
        <v>0</v>
      </c>
      <c r="N1060" s="39">
        <v>0</v>
      </c>
      <c r="O1060" s="39">
        <v>0</v>
      </c>
      <c r="P1060" s="39">
        <v>1</v>
      </c>
      <c r="Q1060" s="39">
        <v>0</v>
      </c>
      <c r="R1060" s="39">
        <v>0</v>
      </c>
      <c r="S1060" s="39">
        <v>0</v>
      </c>
      <c r="T1060" s="39">
        <v>0</v>
      </c>
      <c r="U1060" s="29" cm="1">
        <f t="array" aca="1" ref="U1060" ca="1">+fair_value_gap(OFFSET(T1059,0,0,-1*$J$5,-1*$AA$1),OFFSET(E1059,0,0,-1*$J$5,1),F1060:T1060,0)</f>
        <v>17.314413349748911</v>
      </c>
      <c r="V1060" s="9" cm="1">
        <f t="array" aca="1" ref="V1060" ca="1">z_score_diff(OFFSET(U1060,0,0,$J$5*-1,1),OFFSET(E1060,0,0,$J$5*-1,1))</f>
        <v>0.24279457930783122</v>
      </c>
      <c r="W1060" s="9">
        <f t="shared" ca="1" si="1126"/>
        <v>-1.1771751402351449E-2</v>
      </c>
      <c r="X1060" s="17">
        <f t="shared" ca="1" si="1121"/>
        <v>2.9405826181999301E-2</v>
      </c>
      <c r="Y1060" s="13">
        <f t="shared" ref="Y1060:Z1060" ca="1" si="1156">+Y1059</f>
        <v>0</v>
      </c>
      <c r="Z1060" s="13">
        <f t="shared" ca="1" si="1156"/>
        <v>0</v>
      </c>
      <c r="AA1060">
        <f t="shared" ca="1" si="1128"/>
        <v>1</v>
      </c>
      <c r="AB1060">
        <f t="shared" ca="1" si="1129"/>
        <v>0</v>
      </c>
      <c r="AC1060" s="24">
        <f t="shared" ca="1" si="1130"/>
        <v>2.9405826181999301E-2</v>
      </c>
      <c r="AD1060" s="24">
        <f t="shared" ca="1" si="1131"/>
        <v>0</v>
      </c>
    </row>
    <row r="1061" spans="3:30" x14ac:dyDescent="0.25">
      <c r="C1061" s="6">
        <v>1155</v>
      </c>
      <c r="D1061" s="36">
        <v>43650</v>
      </c>
      <c r="E1061" s="38">
        <v>16.327000000000002</v>
      </c>
      <c r="F1061" s="38">
        <v>52.753778299484715</v>
      </c>
      <c r="G1061" s="38">
        <v>45.25</v>
      </c>
      <c r="H1061" s="38">
        <v>2.1025556926954314</v>
      </c>
      <c r="I1061" s="38">
        <v>5.1484994691823678</v>
      </c>
      <c r="J1061" s="10">
        <v>0</v>
      </c>
      <c r="K1061" s="39">
        <v>0</v>
      </c>
      <c r="L1061" s="39">
        <v>0</v>
      </c>
      <c r="M1061" s="39">
        <v>0</v>
      </c>
      <c r="N1061" s="39">
        <v>0</v>
      </c>
      <c r="O1061" s="39">
        <v>0</v>
      </c>
      <c r="P1061" s="39">
        <v>1</v>
      </c>
      <c r="Q1061" s="39">
        <v>0</v>
      </c>
      <c r="R1061" s="39">
        <v>0</v>
      </c>
      <c r="S1061" s="39">
        <v>0</v>
      </c>
      <c r="T1061" s="39">
        <v>0</v>
      </c>
      <c r="U1061" s="29" cm="1">
        <f t="array" aca="1" ref="U1061" ca="1">+fair_value_gap(OFFSET(T1060,0,0,-1*$J$5,-1*$AA$1),OFFSET(E1060,0,0,-1*$J$5,1),F1061:T1061,0)</f>
        <v>17.110279899347123</v>
      </c>
      <c r="V1061" s="9" cm="1">
        <f t="array" aca="1" ref="V1061" ca="1">z_score_diff(OFFSET(U1061,0,0,$J$5*-1,1),OFFSET(E1061,0,0,$J$5*-1,1))</f>
        <v>9.8596930015510065E-2</v>
      </c>
      <c r="W1061" s="9">
        <f t="shared" ca="1" si="1126"/>
        <v>-2.2005761058620397E-3</v>
      </c>
      <c r="X1061" s="17">
        <f t="shared" ca="1" si="1121"/>
        <v>1.126721015512473E-2</v>
      </c>
      <c r="Y1061" s="13">
        <f t="shared" ref="Y1061:Z1061" ca="1" si="1157">+Y1060</f>
        <v>0</v>
      </c>
      <c r="Z1061" s="13">
        <f t="shared" ca="1" si="1157"/>
        <v>0</v>
      </c>
      <c r="AA1061">
        <f t="shared" ca="1" si="1128"/>
        <v>1</v>
      </c>
      <c r="AB1061">
        <f t="shared" ca="1" si="1129"/>
        <v>0</v>
      </c>
      <c r="AC1061" s="24">
        <f t="shared" ca="1" si="1130"/>
        <v>1.126721015512473E-2</v>
      </c>
      <c r="AD1061" s="24">
        <f t="shared" ca="1" si="1131"/>
        <v>0</v>
      </c>
    </row>
    <row r="1062" spans="3:30" x14ac:dyDescent="0.25">
      <c r="C1062" s="6">
        <v>1156</v>
      </c>
      <c r="D1062" s="36">
        <v>43651</v>
      </c>
      <c r="E1062" s="38">
        <v>16.646999999999998</v>
      </c>
      <c r="F1062" s="38">
        <v>53.509043470570028</v>
      </c>
      <c r="G1062" s="38">
        <v>46.15</v>
      </c>
      <c r="H1062" s="38">
        <v>2.1504201556800142</v>
      </c>
      <c r="I1062" s="38">
        <v>5.1592741638290667</v>
      </c>
      <c r="J1062" s="10">
        <v>0</v>
      </c>
      <c r="K1062" s="39">
        <v>0</v>
      </c>
      <c r="L1062" s="39">
        <v>0</v>
      </c>
      <c r="M1062" s="39">
        <v>0</v>
      </c>
      <c r="N1062" s="39">
        <v>0</v>
      </c>
      <c r="O1062" s="39">
        <v>0</v>
      </c>
      <c r="P1062" s="39">
        <v>1</v>
      </c>
      <c r="Q1062" s="39">
        <v>0</v>
      </c>
      <c r="R1062" s="39">
        <v>0</v>
      </c>
      <c r="S1062" s="39">
        <v>0</v>
      </c>
      <c r="T1062" s="39">
        <v>0</v>
      </c>
      <c r="U1062" s="29" cm="1">
        <f t="array" aca="1" ref="U1062" ca="1">+fair_value_gap(OFFSET(T1061,0,0,-1*$J$5,-1*$AA$1),OFFSET(E1061,0,0,-1*$J$5,1),F1062:T1062,0)</f>
        <v>17.223101549621298</v>
      </c>
      <c r="V1062" s="9" cm="1">
        <f t="array" aca="1" ref="V1062" ca="1">z_score_diff(OFFSET(U1062,0,0,$J$5*-1,1),OFFSET(E1062,0,0,$J$5*-1,1))</f>
        <v>1.6882253411915737E-2</v>
      </c>
      <c r="W1062" s="9">
        <f t="shared" ca="1" si="1126"/>
        <v>4.7006052198544255E-3</v>
      </c>
      <c r="X1062" s="17">
        <f t="shared" ca="1" si="1121"/>
        <v>-1.4948685181721143E-2</v>
      </c>
      <c r="Y1062" s="13">
        <f t="shared" ref="Y1062:Z1062" ca="1" si="1158">+Y1061</f>
        <v>0</v>
      </c>
      <c r="Z1062" s="13">
        <f t="shared" ca="1" si="1158"/>
        <v>0</v>
      </c>
      <c r="AA1062">
        <f t="shared" ca="1" si="1128"/>
        <v>0</v>
      </c>
      <c r="AB1062">
        <f t="shared" ca="1" si="1129"/>
        <v>1</v>
      </c>
      <c r="AC1062" s="24">
        <f t="shared" ca="1" si="1130"/>
        <v>0</v>
      </c>
      <c r="AD1062" s="24">
        <f t="shared" ca="1" si="1131"/>
        <v>-1.4948685181721143E-2</v>
      </c>
    </row>
    <row r="1063" spans="3:30" x14ac:dyDescent="0.25">
      <c r="C1063" s="6">
        <v>1157</v>
      </c>
      <c r="D1063" s="36">
        <v>43654</v>
      </c>
      <c r="E1063" s="38">
        <v>16.998000000000001</v>
      </c>
      <c r="F1063" s="38">
        <v>53.637658999515772</v>
      </c>
      <c r="G1063" s="38">
        <v>46.38</v>
      </c>
      <c r="H1063" s="38">
        <v>2.1451592468338938</v>
      </c>
      <c r="I1063" s="38">
        <v>5.3542202884163128</v>
      </c>
      <c r="J1063" s="10">
        <v>0</v>
      </c>
      <c r="K1063" s="39">
        <v>0</v>
      </c>
      <c r="L1063" s="39">
        <v>0</v>
      </c>
      <c r="M1063" s="39">
        <v>0</v>
      </c>
      <c r="N1063" s="39">
        <v>0</v>
      </c>
      <c r="O1063" s="39">
        <v>0</v>
      </c>
      <c r="P1063" s="39">
        <v>1</v>
      </c>
      <c r="Q1063" s="39">
        <v>0</v>
      </c>
      <c r="R1063" s="39">
        <v>0</v>
      </c>
      <c r="S1063" s="39">
        <v>0</v>
      </c>
      <c r="T1063" s="39">
        <v>0</v>
      </c>
      <c r="U1063" s="29" cm="1">
        <f t="array" aca="1" ref="U1063" ca="1">+fair_value_gap(OFFSET(T1062,0,0,-1*$J$5,-1*$AA$1),OFFSET(E1062,0,0,-1*$J$5,1),F1063:T1063,0)</f>
        <v>17.396422106591253</v>
      </c>
      <c r="V1063" s="9" cm="1">
        <f t="array" aca="1" ref="V1063" ca="1">z_score_diff(OFFSET(U1063,0,0,$J$5*-1,1),OFFSET(E1063,0,0,$J$5*-1,1))</f>
        <v>-4.9353437959138713E-2</v>
      </c>
      <c r="W1063" s="9">
        <f t="shared" ca="1" si="1126"/>
        <v>5.5702134336061008E-3</v>
      </c>
      <c r="X1063" s="17">
        <f t="shared" ca="1" si="1121"/>
        <v>-4.2851251348237786E-2</v>
      </c>
      <c r="Y1063" s="13">
        <f t="shared" ref="Y1063:Z1063" ca="1" si="1159">+Y1062</f>
        <v>0</v>
      </c>
      <c r="Z1063" s="13">
        <f t="shared" ca="1" si="1159"/>
        <v>0</v>
      </c>
      <c r="AA1063">
        <f t="shared" ca="1" si="1128"/>
        <v>0</v>
      </c>
      <c r="AB1063">
        <f t="shared" ca="1" si="1129"/>
        <v>1</v>
      </c>
      <c r="AC1063" s="24">
        <f t="shared" ca="1" si="1130"/>
        <v>0</v>
      </c>
      <c r="AD1063" s="24">
        <f t="shared" ca="1" si="1131"/>
        <v>-4.2851251348237786E-2</v>
      </c>
    </row>
    <row r="1064" spans="3:30" x14ac:dyDescent="0.25">
      <c r="C1064" s="6">
        <v>1158</v>
      </c>
      <c r="D1064" s="36">
        <v>43655</v>
      </c>
      <c r="E1064" s="38">
        <v>16.946000000000002</v>
      </c>
      <c r="F1064" s="38">
        <v>53.946761761618355</v>
      </c>
      <c r="G1064" s="38">
        <v>46.14</v>
      </c>
      <c r="H1064" s="38">
        <v>2.1837454664489</v>
      </c>
      <c r="I1064" s="38">
        <v>5.3182667920475195</v>
      </c>
      <c r="J1064" s="10">
        <v>0</v>
      </c>
      <c r="K1064" s="39">
        <v>0</v>
      </c>
      <c r="L1064" s="39">
        <v>0</v>
      </c>
      <c r="M1064" s="39">
        <v>0</v>
      </c>
      <c r="N1064" s="39">
        <v>0</v>
      </c>
      <c r="O1064" s="39">
        <v>0</v>
      </c>
      <c r="P1064" s="39">
        <v>1</v>
      </c>
      <c r="Q1064" s="39">
        <v>0</v>
      </c>
      <c r="R1064" s="39">
        <v>0</v>
      </c>
      <c r="S1064" s="39">
        <v>0</v>
      </c>
      <c r="T1064" s="39">
        <v>0</v>
      </c>
      <c r="U1064" s="29" cm="1">
        <f t="array" aca="1" ref="U1064" ca="1">+fair_value_gap(OFFSET(T1063,0,0,-1*$J$5,-1*$AA$1),OFFSET(E1063,0,0,-1*$J$5,1),F1064:T1064,0)</f>
        <v>17.278728957277792</v>
      </c>
      <c r="V1064" s="9" cm="1">
        <f t="array" aca="1" ref="V1064" ca="1">z_score_diff(OFFSET(U1064,0,0,$J$5*-1,1),OFFSET(E1064,0,0,$J$5*-1,1))</f>
        <v>-7.7177300027642781E-2</v>
      </c>
      <c r="W1064" s="9">
        <f t="shared" ca="1" si="1126"/>
        <v>1.3154457724549647E-2</v>
      </c>
      <c r="X1064" s="17">
        <f t="shared" ca="1" si="1121"/>
        <v>-3.3665535625494389E-2</v>
      </c>
      <c r="Y1064" s="13">
        <f t="shared" ref="Y1064:Z1064" ca="1" si="1160">+Y1063</f>
        <v>0</v>
      </c>
      <c r="Z1064" s="13">
        <f t="shared" ca="1" si="1160"/>
        <v>0</v>
      </c>
      <c r="AA1064">
        <f t="shared" ca="1" si="1128"/>
        <v>0</v>
      </c>
      <c r="AB1064">
        <f t="shared" ca="1" si="1129"/>
        <v>1</v>
      </c>
      <c r="AC1064" s="24">
        <f t="shared" ca="1" si="1130"/>
        <v>0</v>
      </c>
      <c r="AD1064" s="24">
        <f t="shared" ca="1" si="1131"/>
        <v>-3.3665535625494389E-2</v>
      </c>
    </row>
    <row r="1065" spans="3:30" x14ac:dyDescent="0.25">
      <c r="C1065" s="6">
        <v>1159</v>
      </c>
      <c r="D1065" s="36">
        <v>43656</v>
      </c>
      <c r="E1065" s="38">
        <v>17.434000000000001</v>
      </c>
      <c r="F1065" s="38">
        <v>55.561563718004734</v>
      </c>
      <c r="G1065" s="38">
        <v>47.39</v>
      </c>
      <c r="H1065" s="38">
        <v>2.1845678665207404</v>
      </c>
      <c r="I1065" s="38">
        <v>5.3943685733690367</v>
      </c>
      <c r="J1065" s="10">
        <v>0</v>
      </c>
      <c r="K1065" s="39">
        <v>0</v>
      </c>
      <c r="L1065" s="39">
        <v>0</v>
      </c>
      <c r="M1065" s="39">
        <v>0</v>
      </c>
      <c r="N1065" s="39">
        <v>0</v>
      </c>
      <c r="O1065" s="39">
        <v>0</v>
      </c>
      <c r="P1065" s="39">
        <v>1</v>
      </c>
      <c r="Q1065" s="39">
        <v>0</v>
      </c>
      <c r="R1065" s="39">
        <v>0</v>
      </c>
      <c r="S1065" s="39">
        <v>0</v>
      </c>
      <c r="T1065" s="39">
        <v>0</v>
      </c>
      <c r="U1065" s="29" cm="1">
        <f t="array" aca="1" ref="U1065" ca="1">+fair_value_gap(OFFSET(T1064,0,0,-1*$J$5,-1*$AA$1),OFFSET(E1064,0,0,-1*$J$5,1),F1065:T1065,0)</f>
        <v>17.653212358148448</v>
      </c>
      <c r="V1065" s="9" cm="1">
        <f t="array" aca="1" ref="V1065" ca="1">z_score_diff(OFFSET(U1065,0,0,$J$5*-1,1),OFFSET(E1065,0,0,$J$5*-1,1))</f>
        <v>-0.11342970737300329</v>
      </c>
      <c r="W1065" s="9">
        <f t="shared" ca="1" si="1126"/>
        <v>1.8413481614911461E-2</v>
      </c>
      <c r="X1065" s="17">
        <f t="shared" ca="1" si="1121"/>
        <v>-5.6942496697312904E-2</v>
      </c>
      <c r="Y1065" s="13">
        <f t="shared" ref="Y1065:Z1065" ca="1" si="1161">+Y1064</f>
        <v>0</v>
      </c>
      <c r="Z1065" s="13">
        <f t="shared" ca="1" si="1161"/>
        <v>0</v>
      </c>
      <c r="AA1065">
        <f t="shared" ca="1" si="1128"/>
        <v>0</v>
      </c>
      <c r="AB1065">
        <f t="shared" ca="1" si="1129"/>
        <v>1</v>
      </c>
      <c r="AC1065" s="24">
        <f t="shared" ca="1" si="1130"/>
        <v>0</v>
      </c>
      <c r="AD1065" s="24">
        <f t="shared" ca="1" si="1131"/>
        <v>-5.6942496697312904E-2</v>
      </c>
    </row>
    <row r="1066" spans="3:30" x14ac:dyDescent="0.25">
      <c r="C1066" s="6">
        <v>1160</v>
      </c>
      <c r="D1066" s="36">
        <v>43657</v>
      </c>
      <c r="E1066" s="38">
        <v>18.187999999999999</v>
      </c>
      <c r="F1066" s="38">
        <v>55.172592739947582</v>
      </c>
      <c r="G1066" s="38">
        <v>48.72</v>
      </c>
      <c r="H1066" s="38">
        <v>2.1856269298298723</v>
      </c>
      <c r="I1066" s="38">
        <v>5.6305624508082577</v>
      </c>
      <c r="J1066" s="10">
        <v>0</v>
      </c>
      <c r="K1066" s="39">
        <v>0</v>
      </c>
      <c r="L1066" s="39">
        <v>0</v>
      </c>
      <c r="M1066" s="39">
        <v>0</v>
      </c>
      <c r="N1066" s="39">
        <v>0</v>
      </c>
      <c r="O1066" s="39">
        <v>0</v>
      </c>
      <c r="P1066" s="39">
        <v>1</v>
      </c>
      <c r="Q1066" s="39">
        <v>0</v>
      </c>
      <c r="R1066" s="39">
        <v>0</v>
      </c>
      <c r="S1066" s="39">
        <v>0</v>
      </c>
      <c r="T1066" s="39">
        <v>0</v>
      </c>
      <c r="U1066" s="29" cm="1">
        <f t="array" aca="1" ref="U1066" ca="1">+fair_value_gap(OFFSET(T1065,0,0,-1*$J$5,-1*$AA$1),OFFSET(E1065,0,0,-1*$J$5,1),F1066:T1066,0)</f>
        <v>18.099381155432127</v>
      </c>
      <c r="V1066" s="9" cm="1">
        <f t="array" aca="1" ref="V1066" ca="1">z_score_diff(OFFSET(U1066,0,0,$J$5*-1,1),OFFSET(E1066,0,0,$J$5*-1,1))</f>
        <v>-0.22212297031344597</v>
      </c>
      <c r="W1066" s="9">
        <f t="shared" ca="1" si="1126"/>
        <v>2.2056020682153479E-2</v>
      </c>
      <c r="X1066" s="17">
        <f t="shared" ca="1" si="1121"/>
        <v>-0.10573934751600565</v>
      </c>
      <c r="Y1066" s="13">
        <f t="shared" ref="Y1066:Z1066" ca="1" si="1162">+Y1065</f>
        <v>0</v>
      </c>
      <c r="Z1066" s="13">
        <f t="shared" ca="1" si="1162"/>
        <v>0</v>
      </c>
      <c r="AA1066">
        <f t="shared" ca="1" si="1128"/>
        <v>0</v>
      </c>
      <c r="AB1066">
        <f t="shared" ca="1" si="1129"/>
        <v>1</v>
      </c>
      <c r="AC1066" s="24">
        <f t="shared" ca="1" si="1130"/>
        <v>0</v>
      </c>
      <c r="AD1066" s="24">
        <f t="shared" ca="1" si="1131"/>
        <v>-0.10573934751600565</v>
      </c>
    </row>
    <row r="1067" spans="3:30" x14ac:dyDescent="0.25">
      <c r="C1067" s="6">
        <v>1161</v>
      </c>
      <c r="D1067" s="36">
        <v>43658</v>
      </c>
      <c r="E1067" s="38">
        <v>18.507999999999999</v>
      </c>
      <c r="F1067" s="38">
        <v>55.060960966667992</v>
      </c>
      <c r="G1067" s="38">
        <v>49.17</v>
      </c>
      <c r="H1067" s="38">
        <v>2.1837795626566785</v>
      </c>
      <c r="I1067" s="38">
        <v>5.7531534364293817</v>
      </c>
      <c r="J1067" s="10">
        <v>0</v>
      </c>
      <c r="K1067" s="39">
        <v>0</v>
      </c>
      <c r="L1067" s="39">
        <v>0</v>
      </c>
      <c r="M1067" s="39">
        <v>0</v>
      </c>
      <c r="N1067" s="39">
        <v>0</v>
      </c>
      <c r="O1067" s="39">
        <v>0</v>
      </c>
      <c r="P1067" s="39">
        <v>1</v>
      </c>
      <c r="Q1067" s="39">
        <v>0</v>
      </c>
      <c r="R1067" s="39">
        <v>0</v>
      </c>
      <c r="S1067" s="39">
        <v>0</v>
      </c>
      <c r="T1067" s="39">
        <v>0</v>
      </c>
      <c r="U1067" s="29" cm="1">
        <f t="array" aca="1" ref="U1067" ca="1">+fair_value_gap(OFFSET(T1066,0,0,-1*$J$5,-1*$AA$1),OFFSET(E1066,0,0,-1*$J$5,1),F1067:T1067,0)</f>
        <v>18.303664369101231</v>
      </c>
      <c r="V1067" s="9" cm="1">
        <f t="array" aca="1" ref="V1067" ca="1">z_score_diff(OFFSET(U1067,0,0,$J$5*-1,1),OFFSET(E1067,0,0,$J$5*-1,1))</f>
        <v>-0.26092872765308717</v>
      </c>
      <c r="W1067" s="9">
        <f t="shared" ca="1" si="1126"/>
        <v>2.4493398161019985E-2</v>
      </c>
      <c r="X1067" s="17">
        <f t="shared" ca="1" si="1121"/>
        <v>-0.13492171926622859</v>
      </c>
      <c r="Y1067" s="13">
        <f t="shared" ref="Y1067:Z1067" ca="1" si="1163">+Y1066</f>
        <v>0</v>
      </c>
      <c r="Z1067" s="13">
        <f t="shared" ca="1" si="1163"/>
        <v>0</v>
      </c>
      <c r="AA1067">
        <f t="shared" ca="1" si="1128"/>
        <v>0</v>
      </c>
      <c r="AB1067">
        <f t="shared" ca="1" si="1129"/>
        <v>1</v>
      </c>
      <c r="AC1067" s="24">
        <f t="shared" ca="1" si="1130"/>
        <v>0</v>
      </c>
      <c r="AD1067" s="24">
        <f t="shared" ca="1" si="1131"/>
        <v>-0.13492171926622859</v>
      </c>
    </row>
    <row r="1068" spans="3:30" x14ac:dyDescent="0.25">
      <c r="C1068" s="6">
        <v>1162</v>
      </c>
      <c r="D1068" s="36">
        <v>43661</v>
      </c>
      <c r="E1068" s="38">
        <v>18.084</v>
      </c>
      <c r="F1068" s="38">
        <v>54.558062401972741</v>
      </c>
      <c r="G1068" s="38">
        <v>49.87</v>
      </c>
      <c r="H1068" s="38">
        <v>2.1728115818725433</v>
      </c>
      <c r="I1068" s="38">
        <v>5.6762865240721245</v>
      </c>
      <c r="J1068" s="10">
        <v>0</v>
      </c>
      <c r="K1068" s="39">
        <v>0</v>
      </c>
      <c r="L1068" s="39">
        <v>0</v>
      </c>
      <c r="M1068" s="39">
        <v>0</v>
      </c>
      <c r="N1068" s="39">
        <v>0</v>
      </c>
      <c r="O1068" s="39">
        <v>0</v>
      </c>
      <c r="P1068" s="39">
        <v>1</v>
      </c>
      <c r="Q1068" s="39">
        <v>0</v>
      </c>
      <c r="R1068" s="39">
        <v>0</v>
      </c>
      <c r="S1068" s="39">
        <v>0</v>
      </c>
      <c r="T1068" s="39">
        <v>0</v>
      </c>
      <c r="U1068" s="29" cm="1">
        <f t="array" aca="1" ref="U1068" ca="1">+fair_value_gap(OFFSET(T1067,0,0,-1*$J$5,-1*$AA$1),OFFSET(E1067,0,0,-1*$J$5,1),F1068:T1068,0)</f>
        <v>18.323499232042035</v>
      </c>
      <c r="V1068" s="9" cm="1">
        <f t="array" aca="1" ref="V1068" ca="1">z_score_diff(OFFSET(U1068,0,0,$J$5*-1,1),OFFSET(E1068,0,0,$J$5*-1,1))</f>
        <v>-8.7668863791006801E-2</v>
      </c>
      <c r="W1068" s="9">
        <f t="shared" ca="1" si="1126"/>
        <v>1.284741999751513E-2</v>
      </c>
      <c r="X1068" s="17">
        <f t="shared" ca="1" si="1121"/>
        <v>-0.11248851633940932</v>
      </c>
      <c r="Y1068" s="13">
        <f t="shared" ref="Y1068:Z1068" ca="1" si="1164">+Y1067</f>
        <v>0</v>
      </c>
      <c r="Z1068" s="13">
        <f t="shared" ca="1" si="1164"/>
        <v>0</v>
      </c>
      <c r="AA1068">
        <f t="shared" ca="1" si="1128"/>
        <v>0</v>
      </c>
      <c r="AB1068">
        <f t="shared" ca="1" si="1129"/>
        <v>1</v>
      </c>
      <c r="AC1068" s="24">
        <f t="shared" ca="1" si="1130"/>
        <v>0</v>
      </c>
      <c r="AD1068" s="24">
        <f t="shared" ca="1" si="1131"/>
        <v>-0.11248851633940932</v>
      </c>
    </row>
    <row r="1069" spans="3:30" x14ac:dyDescent="0.25">
      <c r="C1069" s="6">
        <v>1163</v>
      </c>
      <c r="D1069" s="36">
        <v>43662</v>
      </c>
      <c r="E1069" s="38">
        <v>17.327999999999999</v>
      </c>
      <c r="F1069" s="38">
        <v>53.18017443097213</v>
      </c>
      <c r="G1069" s="38">
        <v>48</v>
      </c>
      <c r="H1069" s="38">
        <v>2.1410989411718742</v>
      </c>
      <c r="I1069" s="38">
        <v>5.5350793795501607</v>
      </c>
      <c r="J1069" s="10">
        <v>0</v>
      </c>
      <c r="K1069" s="39">
        <v>0</v>
      </c>
      <c r="L1069" s="39">
        <v>0</v>
      </c>
      <c r="M1069" s="39">
        <v>0</v>
      </c>
      <c r="N1069" s="39">
        <v>0</v>
      </c>
      <c r="O1069" s="39">
        <v>0</v>
      </c>
      <c r="P1069" s="39">
        <v>1</v>
      </c>
      <c r="Q1069" s="39">
        <v>0</v>
      </c>
      <c r="R1069" s="39">
        <v>0</v>
      </c>
      <c r="S1069" s="39">
        <v>0</v>
      </c>
      <c r="T1069" s="39">
        <v>0</v>
      </c>
      <c r="U1069" s="29" cm="1">
        <f t="array" aca="1" ref="U1069" ca="1">+fair_value_gap(OFFSET(T1068,0,0,-1*$J$5,-1*$AA$1),OFFSET(E1068,0,0,-1*$J$5,1),F1069:T1069,0)</f>
        <v>17.690435720400846</v>
      </c>
      <c r="V1069" s="9" cm="1">
        <f t="array" aca="1" ref="V1069" ca="1">z_score_diff(OFFSET(U1069,0,0,$J$5*-1,1),OFFSET(E1069,0,0,$J$5*-1,1))</f>
        <v>-5.1799609069847152E-2</v>
      </c>
      <c r="W1069" s="9">
        <f t="shared" ca="1" si="1126"/>
        <v>5.2971363213435282E-3</v>
      </c>
      <c r="X1069" s="17">
        <f t="shared" ca="1" si="1121"/>
        <v>-8.2426085830344525E-2</v>
      </c>
      <c r="Y1069" s="13">
        <f t="shared" ref="Y1069:Z1069" ca="1" si="1165">+Y1068</f>
        <v>0</v>
      </c>
      <c r="Z1069" s="13">
        <f t="shared" ca="1" si="1165"/>
        <v>0</v>
      </c>
      <c r="AA1069">
        <f t="shared" ca="1" si="1128"/>
        <v>0</v>
      </c>
      <c r="AB1069">
        <f t="shared" ca="1" si="1129"/>
        <v>1</v>
      </c>
      <c r="AC1069" s="24">
        <f t="shared" ca="1" si="1130"/>
        <v>0</v>
      </c>
      <c r="AD1069" s="24">
        <f t="shared" ca="1" si="1131"/>
        <v>-8.2426085830344525E-2</v>
      </c>
    </row>
    <row r="1070" spans="3:30" x14ac:dyDescent="0.25">
      <c r="C1070" s="6">
        <v>1164</v>
      </c>
      <c r="D1070" s="36">
        <v>43663</v>
      </c>
      <c r="E1070" s="38">
        <v>17.3</v>
      </c>
      <c r="F1070" s="38">
        <v>52.692832699388951</v>
      </c>
      <c r="G1070" s="38">
        <v>48.24</v>
      </c>
      <c r="H1070" s="38">
        <v>2.1394538885680143</v>
      </c>
      <c r="I1070" s="38">
        <v>5.5285847343417478</v>
      </c>
      <c r="J1070" s="10">
        <v>0</v>
      </c>
      <c r="K1070" s="39">
        <v>0</v>
      </c>
      <c r="L1070" s="39">
        <v>0</v>
      </c>
      <c r="M1070" s="39">
        <v>0</v>
      </c>
      <c r="N1070" s="39">
        <v>0</v>
      </c>
      <c r="O1070" s="39">
        <v>0</v>
      </c>
      <c r="P1070" s="39">
        <v>1</v>
      </c>
      <c r="Q1070" s="39">
        <v>0</v>
      </c>
      <c r="R1070" s="39">
        <v>0</v>
      </c>
      <c r="S1070" s="39">
        <v>0</v>
      </c>
      <c r="T1070" s="39">
        <v>0</v>
      </c>
      <c r="U1070" s="29" cm="1">
        <f t="array" aca="1" ref="U1070" ca="1">+fair_value_gap(OFFSET(T1069,0,0,-1*$J$5,-1*$AA$1),OFFSET(E1069,0,0,-1*$J$5,1),F1070:T1070,0)</f>
        <v>17.655270021035939</v>
      </c>
      <c r="V1070" s="9" cm="1">
        <f t="array" aca="1" ref="V1070" ca="1">z_score_diff(OFFSET(U1070,0,0,$J$5*-1,1),OFFSET(E1070,0,0,$J$5*-1,1))</f>
        <v>-5.4499976574090336E-2</v>
      </c>
      <c r="W1070" s="9">
        <f t="shared" ca="1" si="1126"/>
        <v>7.9502210457003117E-4</v>
      </c>
      <c r="X1070" s="17">
        <f t="shared" ca="1" si="1121"/>
        <v>-8.105960218487282E-2</v>
      </c>
      <c r="Y1070" s="13">
        <f t="shared" ref="Y1070:Z1070" ca="1" si="1166">+Y1069</f>
        <v>0</v>
      </c>
      <c r="Z1070" s="13">
        <f t="shared" ca="1" si="1166"/>
        <v>0</v>
      </c>
      <c r="AA1070">
        <f t="shared" ca="1" si="1128"/>
        <v>0</v>
      </c>
      <c r="AB1070">
        <f t="shared" ca="1" si="1129"/>
        <v>1</v>
      </c>
      <c r="AC1070" s="24">
        <f t="shared" ca="1" si="1130"/>
        <v>0</v>
      </c>
      <c r="AD1070" s="24">
        <f t="shared" ca="1" si="1131"/>
        <v>-8.105960218487282E-2</v>
      </c>
    </row>
    <row r="1071" spans="3:30" x14ac:dyDescent="0.25">
      <c r="C1071" s="6">
        <v>1165</v>
      </c>
      <c r="D1071" s="36">
        <v>43664</v>
      </c>
      <c r="E1071" s="38">
        <v>17.079999999999998</v>
      </c>
      <c r="F1071" s="38">
        <v>51.516337260978965</v>
      </c>
      <c r="G1071" s="38">
        <v>47.92</v>
      </c>
      <c r="H1071" s="38">
        <v>2.1154176719003601</v>
      </c>
      <c r="I1071" s="38">
        <v>5.4850560296313953</v>
      </c>
      <c r="J1071" s="10">
        <v>0</v>
      </c>
      <c r="K1071" s="39">
        <v>0</v>
      </c>
      <c r="L1071" s="39">
        <v>0</v>
      </c>
      <c r="M1071" s="39">
        <v>0</v>
      </c>
      <c r="N1071" s="39">
        <v>0</v>
      </c>
      <c r="O1071" s="39">
        <v>0</v>
      </c>
      <c r="P1071" s="39">
        <v>1</v>
      </c>
      <c r="Q1071" s="39">
        <v>0</v>
      </c>
      <c r="R1071" s="39">
        <v>0</v>
      </c>
      <c r="S1071" s="39">
        <v>0</v>
      </c>
      <c r="T1071" s="39">
        <v>0</v>
      </c>
      <c r="U1071" s="29" cm="1">
        <f t="array" aca="1" ref="U1071" ca="1">+fair_value_gap(OFFSET(T1070,0,0,-1*$J$5,-1*$AA$1),OFFSET(E1070,0,0,-1*$J$5,1),F1071:T1071,0)</f>
        <v>17.428264944424384</v>
      </c>
      <c r="V1071" s="9" cm="1">
        <f t="array" aca="1" ref="V1071" ca="1">z_score_diff(OFFSET(U1071,0,0,$J$5*-1,1),OFFSET(E1071,0,0,$J$5*-1,1))</f>
        <v>-6.0752907520275068E-2</v>
      </c>
      <c r="W1071" s="9">
        <f t="shared" ca="1" si="1126"/>
        <v>-3.9663445942474508E-3</v>
      </c>
      <c r="X1071" s="17">
        <f t="shared" ca="1" si="1121"/>
        <v>-6.0021027669433936E-2</v>
      </c>
      <c r="Y1071" s="13">
        <f t="shared" ref="Y1071:Z1071" ca="1" si="1167">+Y1070</f>
        <v>0</v>
      </c>
      <c r="Z1071" s="13">
        <f t="shared" ca="1" si="1167"/>
        <v>0</v>
      </c>
      <c r="AA1071">
        <f t="shared" ca="1" si="1128"/>
        <v>1</v>
      </c>
      <c r="AB1071">
        <f t="shared" ca="1" si="1129"/>
        <v>0</v>
      </c>
      <c r="AC1071" s="24">
        <f t="shared" ca="1" si="1130"/>
        <v>-6.0021027669433936E-2</v>
      </c>
      <c r="AD1071" s="24">
        <f t="shared" ca="1" si="1131"/>
        <v>0</v>
      </c>
    </row>
    <row r="1072" spans="3:30" x14ac:dyDescent="0.25">
      <c r="C1072" s="6">
        <v>1166</v>
      </c>
      <c r="D1072" s="36">
        <v>43665</v>
      </c>
      <c r="E1072" s="38">
        <v>17.29</v>
      </c>
      <c r="F1072" s="38">
        <v>52.440272741468149</v>
      </c>
      <c r="G1072" s="38">
        <v>48.7</v>
      </c>
      <c r="H1072" s="38">
        <v>2.1071533910508871</v>
      </c>
      <c r="I1072" s="38">
        <v>5.6387390044589409</v>
      </c>
      <c r="J1072" s="10">
        <v>0</v>
      </c>
      <c r="K1072" s="39">
        <v>0</v>
      </c>
      <c r="L1072" s="39">
        <v>0</v>
      </c>
      <c r="M1072" s="39">
        <v>0</v>
      </c>
      <c r="N1072" s="39">
        <v>0</v>
      </c>
      <c r="O1072" s="39">
        <v>0</v>
      </c>
      <c r="P1072" s="39">
        <v>1</v>
      </c>
      <c r="Q1072" s="39">
        <v>0</v>
      </c>
      <c r="R1072" s="39">
        <v>0</v>
      </c>
      <c r="S1072" s="39">
        <v>0</v>
      </c>
      <c r="T1072" s="39">
        <v>0</v>
      </c>
      <c r="U1072" s="29" cm="1">
        <f t="array" aca="1" ref="U1072" ca="1">+fair_value_gap(OFFSET(T1071,0,0,-1*$J$5,-1*$AA$1),OFFSET(E1071,0,0,-1*$J$5,1),F1072:T1072,0)</f>
        <v>17.753842711860852</v>
      </c>
      <c r="V1072" s="9" cm="1">
        <f t="array" aca="1" ref="V1072" ca="1">z_score_diff(OFFSET(U1072,0,0,$J$5*-1,1),OFFSET(E1072,0,0,$J$5*-1,1))</f>
        <v>-1.0709667486492602E-2</v>
      </c>
      <c r="W1072" s="9">
        <f t="shared" ca="1" si="1126"/>
        <v>-1.8736327973944015E-3</v>
      </c>
      <c r="X1072" s="17">
        <f t="shared" ca="1" si="1121"/>
        <v>-3.2207767457334349E-2</v>
      </c>
      <c r="Y1072" s="13">
        <f t="shared" ref="Y1072:Z1072" ca="1" si="1168">+Y1071</f>
        <v>0</v>
      </c>
      <c r="Z1072" s="13">
        <f t="shared" ca="1" si="1168"/>
        <v>0</v>
      </c>
      <c r="AA1072">
        <f t="shared" ca="1" si="1128"/>
        <v>1</v>
      </c>
      <c r="AB1072">
        <f t="shared" ca="1" si="1129"/>
        <v>0</v>
      </c>
      <c r="AC1072" s="24">
        <f t="shared" ca="1" si="1130"/>
        <v>-3.2207767457334349E-2</v>
      </c>
      <c r="AD1072" s="24">
        <f t="shared" ca="1" si="1131"/>
        <v>0</v>
      </c>
    </row>
    <row r="1073" spans="3:30" x14ac:dyDescent="0.25">
      <c r="C1073" s="6">
        <v>1167</v>
      </c>
      <c r="D1073" s="36">
        <v>43668</v>
      </c>
      <c r="E1073" s="38">
        <v>17.145</v>
      </c>
      <c r="F1073" s="38">
        <v>52.856444570623871</v>
      </c>
      <c r="G1073" s="38">
        <v>49.03</v>
      </c>
      <c r="H1073" s="38">
        <v>2.1279754540505764</v>
      </c>
      <c r="I1073" s="38">
        <v>5.5999354053962538</v>
      </c>
      <c r="J1073" s="10">
        <v>0</v>
      </c>
      <c r="K1073" s="39">
        <v>0</v>
      </c>
      <c r="L1073" s="39">
        <v>0</v>
      </c>
      <c r="M1073" s="39">
        <v>0</v>
      </c>
      <c r="N1073" s="39">
        <v>0</v>
      </c>
      <c r="O1073" s="39">
        <v>0</v>
      </c>
      <c r="P1073" s="39">
        <v>1</v>
      </c>
      <c r="Q1073" s="39">
        <v>0</v>
      </c>
      <c r="R1073" s="39">
        <v>0</v>
      </c>
      <c r="S1073" s="39">
        <v>0</v>
      </c>
      <c r="T1073" s="39">
        <v>0</v>
      </c>
      <c r="U1073" s="29" cm="1">
        <f t="array" aca="1" ref="U1073" ca="1">+fair_value_gap(OFFSET(T1072,0,0,-1*$J$5,-1*$AA$1),OFFSET(E1072,0,0,-1*$J$5,1),F1073:T1073,0)</f>
        <v>17.758200204273191</v>
      </c>
      <c r="V1073" s="9" cm="1">
        <f t="array" aca="1" ref="V1073" ca="1">z_score_diff(OFFSET(U1073,0,0,$J$5*-1,1),OFFSET(E1073,0,0,$J$5*-1,1))</f>
        <v>4.4406778345341236E-2</v>
      </c>
      <c r="W1073" s="9">
        <f t="shared" ca="1" si="1126"/>
        <v>3.4922998343306071E-3</v>
      </c>
      <c r="X1073" s="17">
        <f t="shared" ca="1" si="1121"/>
        <v>-6.3943772401373389E-2</v>
      </c>
      <c r="Y1073" s="13">
        <f t="shared" ref="Y1073:Z1073" ca="1" si="1169">+Y1072</f>
        <v>0</v>
      </c>
      <c r="Z1073" s="13">
        <f t="shared" ca="1" si="1169"/>
        <v>0</v>
      </c>
      <c r="AA1073">
        <f t="shared" ca="1" si="1128"/>
        <v>0</v>
      </c>
      <c r="AB1073">
        <f t="shared" ca="1" si="1129"/>
        <v>1</v>
      </c>
      <c r="AC1073" s="24">
        <f t="shared" ca="1" si="1130"/>
        <v>0</v>
      </c>
      <c r="AD1073" s="24">
        <f t="shared" ca="1" si="1131"/>
        <v>-6.3943772401373389E-2</v>
      </c>
    </row>
    <row r="1074" spans="3:30" x14ac:dyDescent="0.25">
      <c r="C1074" s="6">
        <v>1168</v>
      </c>
      <c r="D1074" s="36">
        <v>43669</v>
      </c>
      <c r="E1074" s="38">
        <v>17.292999999999999</v>
      </c>
      <c r="F1074" s="38">
        <v>53.506074287334506</v>
      </c>
      <c r="G1074" s="38">
        <v>49.54</v>
      </c>
      <c r="H1074" s="38">
        <v>2.1400684856812577</v>
      </c>
      <c r="I1074" s="38">
        <v>5.5399245348862562</v>
      </c>
      <c r="J1074" s="10">
        <v>0</v>
      </c>
      <c r="K1074" s="39">
        <v>0</v>
      </c>
      <c r="L1074" s="39">
        <v>0</v>
      </c>
      <c r="M1074" s="39">
        <v>0</v>
      </c>
      <c r="N1074" s="39">
        <v>0</v>
      </c>
      <c r="O1074" s="39">
        <v>0</v>
      </c>
      <c r="P1074" s="39">
        <v>1</v>
      </c>
      <c r="Q1074" s="39">
        <v>0</v>
      </c>
      <c r="R1074" s="39">
        <v>0</v>
      </c>
      <c r="S1074" s="39">
        <v>0</v>
      </c>
      <c r="T1074" s="39">
        <v>0</v>
      </c>
      <c r="U1074" s="29" cm="1">
        <f t="array" aca="1" ref="U1074" ca="1">+fair_value_gap(OFFSET(T1073,0,0,-1*$J$5,-1*$AA$1),OFFSET(E1073,0,0,-1*$J$5,1),F1074:T1074,0)</f>
        <v>17.788131252443055</v>
      </c>
      <c r="V1074" s="9" cm="1">
        <f t="array" aca="1" ref="V1074" ca="1">z_score_diff(OFFSET(U1074,0,0,$J$5*-1,1),OFFSET(E1074,0,0,$J$5*-1,1))</f>
        <v>-1.2918594062061306E-3</v>
      </c>
      <c r="W1074" s="9">
        <f t="shared" ca="1" si="1126"/>
        <v>1.3610605020132264E-3</v>
      </c>
      <c r="X1074" s="17">
        <f t="shared" ca="1" si="1121"/>
        <v>-6.7577115916113498E-2</v>
      </c>
      <c r="Y1074" s="13">
        <f t="shared" ref="Y1074:Z1074" ca="1" si="1170">+Y1073</f>
        <v>0</v>
      </c>
      <c r="Z1074" s="13">
        <f t="shared" ca="1" si="1170"/>
        <v>0</v>
      </c>
      <c r="AA1074">
        <f t="shared" ca="1" si="1128"/>
        <v>0</v>
      </c>
      <c r="AB1074">
        <f t="shared" ca="1" si="1129"/>
        <v>1</v>
      </c>
      <c r="AC1074" s="24">
        <f t="shared" ca="1" si="1130"/>
        <v>0</v>
      </c>
      <c r="AD1074" s="24">
        <f t="shared" ca="1" si="1131"/>
        <v>-6.7577115916113498E-2</v>
      </c>
    </row>
    <row r="1075" spans="3:30" x14ac:dyDescent="0.25">
      <c r="C1075" s="6">
        <v>1169</v>
      </c>
      <c r="D1075" s="36">
        <v>43670</v>
      </c>
      <c r="E1075" s="38">
        <v>17.074999999999999</v>
      </c>
      <c r="F1075" s="38">
        <v>53.080994140046847</v>
      </c>
      <c r="G1075" s="38">
        <v>49.06</v>
      </c>
      <c r="H1075" s="38">
        <v>2.1122376184368044</v>
      </c>
      <c r="I1075" s="38">
        <v>5.5229032396084277</v>
      </c>
      <c r="J1075" s="10">
        <v>0</v>
      </c>
      <c r="K1075" s="39">
        <v>0</v>
      </c>
      <c r="L1075" s="39">
        <v>0</v>
      </c>
      <c r="M1075" s="39">
        <v>0</v>
      </c>
      <c r="N1075" s="39">
        <v>0</v>
      </c>
      <c r="O1075" s="39">
        <v>0</v>
      </c>
      <c r="P1075" s="39">
        <v>1</v>
      </c>
      <c r="Q1075" s="39">
        <v>0</v>
      </c>
      <c r="R1075" s="39">
        <v>0</v>
      </c>
      <c r="S1075" s="39">
        <v>0</v>
      </c>
      <c r="T1075" s="39">
        <v>0</v>
      </c>
      <c r="U1075" s="29" cm="1">
        <f t="array" aca="1" ref="U1075" ca="1">+fair_value_gap(OFFSET(T1074,0,0,-1*$J$5,-1*$AA$1),OFFSET(E1074,0,0,-1*$J$5,1),F1075:T1075,0)</f>
        <v>17.564486476809218</v>
      </c>
      <c r="V1075" s="9" cm="1">
        <f t="array" aca="1" ref="V1075" ca="1">z_score_diff(OFFSET(U1075,0,0,$J$5*-1,1),OFFSET(E1075,0,0,$J$5*-1,1))</f>
        <v>-4.7851902891760112E-3</v>
      </c>
      <c r="W1075" s="9">
        <f t="shared" ca="1" si="1126"/>
        <v>3.2661734151649894E-3</v>
      </c>
      <c r="X1075" s="17">
        <f t="shared" ca="1" si="1121"/>
        <v>-5.1247059808700694E-2</v>
      </c>
      <c r="Y1075" s="13">
        <f t="shared" ref="Y1075:Z1075" ca="1" si="1171">+Y1074</f>
        <v>0</v>
      </c>
      <c r="Z1075" s="13">
        <f t="shared" ca="1" si="1171"/>
        <v>0</v>
      </c>
      <c r="AA1075">
        <f t="shared" ca="1" si="1128"/>
        <v>0</v>
      </c>
      <c r="AB1075">
        <f t="shared" ca="1" si="1129"/>
        <v>1</v>
      </c>
      <c r="AC1075" s="24">
        <f t="shared" ca="1" si="1130"/>
        <v>0</v>
      </c>
      <c r="AD1075" s="24">
        <f t="shared" ca="1" si="1131"/>
        <v>-5.1247059808700694E-2</v>
      </c>
    </row>
    <row r="1076" spans="3:30" x14ac:dyDescent="0.25">
      <c r="C1076" s="6">
        <v>1170</v>
      </c>
      <c r="D1076" s="36">
        <v>43671</v>
      </c>
      <c r="E1076" s="38">
        <v>17.192</v>
      </c>
      <c r="F1076" s="38">
        <v>53.134304393506255</v>
      </c>
      <c r="G1076" s="38">
        <v>49.05</v>
      </c>
      <c r="H1076" s="38">
        <v>2.1292117378905444</v>
      </c>
      <c r="I1076" s="38">
        <v>5.5630019791197629</v>
      </c>
      <c r="J1076" s="10">
        <v>0</v>
      </c>
      <c r="K1076" s="39">
        <v>0</v>
      </c>
      <c r="L1076" s="39">
        <v>0</v>
      </c>
      <c r="M1076" s="39">
        <v>0</v>
      </c>
      <c r="N1076" s="39">
        <v>0</v>
      </c>
      <c r="O1076" s="39">
        <v>0</v>
      </c>
      <c r="P1076" s="39">
        <v>1</v>
      </c>
      <c r="Q1076" s="39">
        <v>0</v>
      </c>
      <c r="R1076" s="39">
        <v>0</v>
      </c>
      <c r="S1076" s="39">
        <v>0</v>
      </c>
      <c r="T1076" s="39">
        <v>0</v>
      </c>
      <c r="U1076" s="29" cm="1">
        <f t="array" aca="1" ref="U1076" ca="1">+fair_value_gap(OFFSET(T1075,0,0,-1*$J$5,-1*$AA$1),OFFSET(E1075,0,0,-1*$J$5,1),F1076:T1076,0)</f>
        <v>17.565038724352167</v>
      </c>
      <c r="V1076" s="9" cm="1">
        <f t="array" aca="1" ref="V1076" ca="1">z_score_diff(OFFSET(U1076,0,0,$J$5*-1,1),OFFSET(E1076,0,0,$J$5*-1,1))</f>
        <v>-4.7157160402459875E-2</v>
      </c>
      <c r="W1076" s="9">
        <f t="shared" ca="1" si="1126"/>
        <v>3.1183326489323537E-3</v>
      </c>
      <c r="X1076" s="17">
        <f t="shared" ca="1" si="1121"/>
        <v>-3.7635186214735453E-2</v>
      </c>
      <c r="Y1076" s="13">
        <f t="shared" ref="Y1076:Z1076" ca="1" si="1172">+Y1075</f>
        <v>0</v>
      </c>
      <c r="Z1076" s="13">
        <f t="shared" ca="1" si="1172"/>
        <v>0</v>
      </c>
      <c r="AA1076">
        <f t="shared" ca="1" si="1128"/>
        <v>0</v>
      </c>
      <c r="AB1076">
        <f t="shared" ca="1" si="1129"/>
        <v>1</v>
      </c>
      <c r="AC1076" s="24">
        <f t="shared" ca="1" si="1130"/>
        <v>0</v>
      </c>
      <c r="AD1076" s="24">
        <f t="shared" ca="1" si="1131"/>
        <v>-3.7635186214735453E-2</v>
      </c>
    </row>
    <row r="1077" spans="3:30" x14ac:dyDescent="0.25">
      <c r="C1077" s="6">
        <v>1171</v>
      </c>
      <c r="D1077" s="36">
        <v>43672</v>
      </c>
      <c r="E1077" s="38">
        <v>16.363</v>
      </c>
      <c r="F1077" s="38">
        <v>53.316525675242126</v>
      </c>
      <c r="G1077" s="38">
        <v>48.14</v>
      </c>
      <c r="H1077" s="38">
        <v>2.1067851594906299</v>
      </c>
      <c r="I1077" s="38">
        <v>5.5292183127710519</v>
      </c>
      <c r="J1077" s="10">
        <v>0</v>
      </c>
      <c r="K1077" s="39">
        <v>0</v>
      </c>
      <c r="L1077" s="39">
        <v>0</v>
      </c>
      <c r="M1077" s="39">
        <v>0</v>
      </c>
      <c r="N1077" s="39">
        <v>0</v>
      </c>
      <c r="O1077" s="39">
        <v>0</v>
      </c>
      <c r="P1077" s="39">
        <v>1</v>
      </c>
      <c r="Q1077" s="39">
        <v>0</v>
      </c>
      <c r="R1077" s="39">
        <v>0</v>
      </c>
      <c r="S1077" s="39">
        <v>0</v>
      </c>
      <c r="T1077" s="39">
        <v>0</v>
      </c>
      <c r="U1077" s="29" cm="1">
        <f t="array" aca="1" ref="U1077" ca="1">+fair_value_gap(OFFSET(T1076,0,0,-1*$J$5,-1*$AA$1),OFFSET(E1076,0,0,-1*$J$5,1),F1077:T1077,0)</f>
        <v>17.301381160574472</v>
      </c>
      <c r="V1077" s="9" cm="1">
        <f t="array" aca="1" ref="V1077" ca="1">z_score_diff(OFFSET(U1077,0,0,$J$5*-1,1),OFFSET(E1077,0,0,$J$5*-1,1))</f>
        <v>0.15788970257956536</v>
      </c>
      <c r="W1077" s="9">
        <f t="shared" ca="1" si="1126"/>
        <v>9.0594662552345058E-3</v>
      </c>
      <c r="X1077" s="17">
        <f t="shared" ca="1" si="1121"/>
        <v>1.0698539828897784E-2</v>
      </c>
      <c r="Y1077" s="13">
        <f t="shared" ref="Y1077:Z1077" ca="1" si="1173">+Y1076</f>
        <v>0</v>
      </c>
      <c r="Z1077" s="13">
        <f t="shared" ca="1" si="1173"/>
        <v>0</v>
      </c>
      <c r="AA1077">
        <f t="shared" ca="1" si="1128"/>
        <v>0</v>
      </c>
      <c r="AB1077">
        <f t="shared" ca="1" si="1129"/>
        <v>1</v>
      </c>
      <c r="AC1077" s="24">
        <f t="shared" ca="1" si="1130"/>
        <v>0</v>
      </c>
      <c r="AD1077" s="24">
        <f t="shared" ca="1" si="1131"/>
        <v>1.0698539828897784E-2</v>
      </c>
    </row>
    <row r="1078" spans="3:30" x14ac:dyDescent="0.25">
      <c r="C1078" s="6">
        <v>1172</v>
      </c>
      <c r="D1078" s="36">
        <v>43675</v>
      </c>
      <c r="E1078" s="38">
        <v>16.132999999999999</v>
      </c>
      <c r="F1078" s="38">
        <v>53.231176016300957</v>
      </c>
      <c r="G1078" s="38">
        <v>48.28</v>
      </c>
      <c r="H1078" s="38">
        <v>2.0847422869334915</v>
      </c>
      <c r="I1078" s="38">
        <v>5.4103818246076383</v>
      </c>
      <c r="J1078" s="10">
        <v>0</v>
      </c>
      <c r="K1078" s="39">
        <v>0</v>
      </c>
      <c r="L1078" s="39">
        <v>0</v>
      </c>
      <c r="M1078" s="39">
        <v>0</v>
      </c>
      <c r="N1078" s="39">
        <v>0</v>
      </c>
      <c r="O1078" s="39">
        <v>0</v>
      </c>
      <c r="P1078" s="39">
        <v>1</v>
      </c>
      <c r="Q1078" s="39">
        <v>0</v>
      </c>
      <c r="R1078" s="39">
        <v>0</v>
      </c>
      <c r="S1078" s="39">
        <v>0</v>
      </c>
      <c r="T1078" s="39">
        <v>0</v>
      </c>
      <c r="U1078" s="29" cm="1">
        <f t="array" aca="1" ref="U1078" ca="1">+fair_value_gap(OFFSET(T1077,0,0,-1*$J$5,-1*$AA$1),OFFSET(E1077,0,0,-1*$J$5,1),F1078:T1078,0)</f>
        <v>17.197864916425161</v>
      </c>
      <c r="V1078" s="9" cm="1">
        <f t="array" aca="1" ref="V1078" ca="1">z_score_diff(OFFSET(U1078,0,0,$J$5*-1,1),OFFSET(E1078,0,0,$J$5*-1,1))</f>
        <v>0.19869596641453757</v>
      </c>
      <c r="W1078" s="9">
        <f t="shared" ca="1" si="1126"/>
        <v>1.9014768147726534E-2</v>
      </c>
      <c r="X1078" s="17">
        <f t="shared" ca="1" si="1121"/>
        <v>3.2623849876200144E-2</v>
      </c>
      <c r="Y1078" s="13">
        <f t="shared" ref="Y1078:Z1078" ca="1" si="1174">+Y1077</f>
        <v>0</v>
      </c>
      <c r="Z1078" s="13">
        <f t="shared" ca="1" si="1174"/>
        <v>0</v>
      </c>
      <c r="AA1078">
        <f t="shared" ca="1" si="1128"/>
        <v>0</v>
      </c>
      <c r="AB1078">
        <f t="shared" ca="1" si="1129"/>
        <v>1</v>
      </c>
      <c r="AC1078" s="24">
        <f t="shared" ca="1" si="1130"/>
        <v>0</v>
      </c>
      <c r="AD1078" s="24">
        <f t="shared" ca="1" si="1131"/>
        <v>3.2623849876200144E-2</v>
      </c>
    </row>
    <row r="1079" spans="3:30" x14ac:dyDescent="0.25">
      <c r="C1079" s="6">
        <v>1173</v>
      </c>
      <c r="D1079" s="36">
        <v>43676</v>
      </c>
      <c r="E1079" s="38">
        <v>16.062000000000001</v>
      </c>
      <c r="F1079" s="38">
        <v>53.794852297421265</v>
      </c>
      <c r="G1079" s="38">
        <v>47.29</v>
      </c>
      <c r="H1079" s="38">
        <v>2.1050538733340081</v>
      </c>
      <c r="I1079" s="38">
        <v>5.2975154434565441</v>
      </c>
      <c r="J1079" s="10">
        <v>0</v>
      </c>
      <c r="K1079" s="39">
        <v>0</v>
      </c>
      <c r="L1079" s="39">
        <v>0</v>
      </c>
      <c r="M1079" s="39">
        <v>0</v>
      </c>
      <c r="N1079" s="39">
        <v>0</v>
      </c>
      <c r="O1079" s="39">
        <v>0</v>
      </c>
      <c r="P1079" s="39">
        <v>1</v>
      </c>
      <c r="Q1079" s="39">
        <v>0</v>
      </c>
      <c r="R1079" s="39">
        <v>0</v>
      </c>
      <c r="S1079" s="39">
        <v>0</v>
      </c>
      <c r="T1079" s="39">
        <v>0</v>
      </c>
      <c r="U1079" s="29" cm="1">
        <f t="array" aca="1" ref="U1079" ca="1">+fair_value_gap(OFFSET(T1078,0,0,-1*$J$5,-1*$AA$1),OFFSET(E1078,0,0,-1*$J$5,1),F1079:T1079,0)</f>
        <v>16.861777811823053</v>
      </c>
      <c r="V1079" s="9" cm="1">
        <f t="array" aca="1" ref="V1079" ca="1">z_score_diff(OFFSET(U1079,0,0,$J$5*-1,1),OFFSET(E1079,0,0,$J$5*-1,1))</f>
        <v>9.0694937997342517E-2</v>
      </c>
      <c r="W1079" s="9">
        <f t="shared" ca="1" si="1126"/>
        <v>2.0803515817211307E-2</v>
      </c>
      <c r="X1079" s="17">
        <f t="shared" ca="1" si="1121"/>
        <v>0.10979593916889932</v>
      </c>
      <c r="Y1079" s="13">
        <f t="shared" ref="Y1079:Z1079" ca="1" si="1175">+Y1078</f>
        <v>0</v>
      </c>
      <c r="Z1079" s="13">
        <f t="shared" ca="1" si="1175"/>
        <v>0</v>
      </c>
      <c r="AA1079">
        <f t="shared" ca="1" si="1128"/>
        <v>0</v>
      </c>
      <c r="AB1079">
        <f t="shared" ca="1" si="1129"/>
        <v>1</v>
      </c>
      <c r="AC1079" s="24">
        <f t="shared" ca="1" si="1130"/>
        <v>0</v>
      </c>
      <c r="AD1079" s="24">
        <f t="shared" ca="1" si="1131"/>
        <v>0.10979593916889932</v>
      </c>
    </row>
    <row r="1080" spans="3:30" x14ac:dyDescent="0.25">
      <c r="C1080" s="6">
        <v>1174</v>
      </c>
      <c r="D1080" s="36">
        <v>43677</v>
      </c>
      <c r="E1080" s="38">
        <v>17.417999999999999</v>
      </c>
      <c r="F1080" s="38">
        <v>54.390436414111839</v>
      </c>
      <c r="G1080" s="38">
        <v>48.11</v>
      </c>
      <c r="H1080" s="38">
        <v>2.1475223158824468</v>
      </c>
      <c r="I1080" s="38">
        <v>5.421484178484917</v>
      </c>
      <c r="J1080" s="10">
        <v>0</v>
      </c>
      <c r="K1080" s="39">
        <v>0</v>
      </c>
      <c r="L1080" s="39">
        <v>0</v>
      </c>
      <c r="M1080" s="39">
        <v>0</v>
      </c>
      <c r="N1080" s="39">
        <v>0</v>
      </c>
      <c r="O1080" s="39">
        <v>0</v>
      </c>
      <c r="P1080" s="39">
        <v>1</v>
      </c>
      <c r="Q1080" s="39">
        <v>0</v>
      </c>
      <c r="R1080" s="39">
        <v>0</v>
      </c>
      <c r="S1080" s="39">
        <v>0</v>
      </c>
      <c r="T1080" s="39">
        <v>0</v>
      </c>
      <c r="U1080" s="29" cm="1">
        <f t="array" aca="1" ref="U1080" ca="1">+fair_value_gap(OFFSET(T1079,0,0,-1*$J$5,-1*$AA$1),OFFSET(E1079,0,0,-1*$J$5,1),F1080:T1080,0)</f>
        <v>17.150388787311982</v>
      </c>
      <c r="V1080" s="9" cm="1">
        <f t="array" aca="1" ref="V1080" ca="1">z_score_diff(OFFSET(U1080,0,0,$J$5*-1,1),OFFSET(E1080,0,0,$J$5*-1,1))</f>
        <v>-0.2950061270063431</v>
      </c>
      <c r="W1080" s="9">
        <f t="shared" ca="1" si="1126"/>
        <v>1.1946137825008736E-2</v>
      </c>
      <c r="X1080" s="17">
        <f t="shared" ca="1" si="1121"/>
        <v>3.2812046526794154E-2</v>
      </c>
      <c r="Y1080" s="13">
        <f t="shared" ref="Y1080:Z1080" ca="1" si="1176">+Y1079</f>
        <v>0</v>
      </c>
      <c r="Z1080" s="13">
        <f t="shared" ca="1" si="1176"/>
        <v>0</v>
      </c>
      <c r="AA1080">
        <f t="shared" ca="1" si="1128"/>
        <v>0</v>
      </c>
      <c r="AB1080">
        <f t="shared" ca="1" si="1129"/>
        <v>1</v>
      </c>
      <c r="AC1080" s="24">
        <f t="shared" ca="1" si="1130"/>
        <v>0</v>
      </c>
      <c r="AD1080" s="24">
        <f t="shared" ca="1" si="1131"/>
        <v>3.2812046526794154E-2</v>
      </c>
    </row>
    <row r="1081" spans="3:30" x14ac:dyDescent="0.25">
      <c r="C1081" s="6">
        <v>1175</v>
      </c>
      <c r="D1081" s="36">
        <v>43678</v>
      </c>
      <c r="E1081" s="38">
        <v>17.696000000000002</v>
      </c>
      <c r="F1081" s="38">
        <v>50.682072798365667</v>
      </c>
      <c r="G1081" s="38">
        <v>49.72</v>
      </c>
      <c r="H1081" s="38">
        <v>2.1422138259780774</v>
      </c>
      <c r="I1081" s="38">
        <v>5.6894317158359513</v>
      </c>
      <c r="J1081" s="10">
        <v>0</v>
      </c>
      <c r="K1081" s="39">
        <v>0</v>
      </c>
      <c r="L1081" s="39">
        <v>0</v>
      </c>
      <c r="M1081" s="39">
        <v>0</v>
      </c>
      <c r="N1081" s="39">
        <v>0</v>
      </c>
      <c r="O1081" s="39">
        <v>0</v>
      </c>
      <c r="P1081" s="39">
        <v>0</v>
      </c>
      <c r="Q1081" s="39">
        <v>1</v>
      </c>
      <c r="R1081" s="39">
        <v>0</v>
      </c>
      <c r="S1081" s="39">
        <v>0</v>
      </c>
      <c r="T1081" s="39">
        <v>0</v>
      </c>
      <c r="U1081" s="29" cm="1">
        <f t="array" aca="1" ref="U1081" ca="1">+fair_value_gap(OFFSET(T1080,0,0,-1*$J$5,-1*$AA$1),OFFSET(E1080,0,0,-1*$J$5,1),F1081:T1081,0)</f>
        <v>19.329898090403198</v>
      </c>
      <c r="V1081" s="9" cm="1">
        <f t="array" aca="1" ref="V1081" ca="1">z_score_diff(OFFSET(U1081,0,0,$J$5*-1,1),OFFSET(E1081,0,0,$J$5*-1,1))</f>
        <v>0.44225946106346925</v>
      </c>
      <c r="W1081" s="9">
        <f t="shared" ca="1" si="1126"/>
        <v>2.9043314245196111E-2</v>
      </c>
      <c r="X1081" s="17">
        <f t="shared" ca="1" si="1121"/>
        <v>-4.644584956656558E-3</v>
      </c>
      <c r="Y1081" s="13">
        <f t="shared" ref="Y1081:Z1081" ca="1" si="1177">+Y1080</f>
        <v>0</v>
      </c>
      <c r="Z1081" s="13">
        <f t="shared" ca="1" si="1177"/>
        <v>0</v>
      </c>
      <c r="AA1081">
        <f t="shared" ca="1" si="1128"/>
        <v>0</v>
      </c>
      <c r="AB1081">
        <f t="shared" ca="1" si="1129"/>
        <v>1</v>
      </c>
      <c r="AC1081" s="24">
        <f t="shared" ca="1" si="1130"/>
        <v>0</v>
      </c>
      <c r="AD1081" s="24">
        <f t="shared" ca="1" si="1131"/>
        <v>-4.644584956656558E-3</v>
      </c>
    </row>
    <row r="1082" spans="3:30" x14ac:dyDescent="0.25">
      <c r="C1082" s="6">
        <v>1176</v>
      </c>
      <c r="D1082" s="36">
        <v>43679</v>
      </c>
      <c r="E1082" s="38">
        <v>17.308</v>
      </c>
      <c r="F1082" s="38">
        <v>51.820196458967857</v>
      </c>
      <c r="G1082" s="38">
        <v>49.69</v>
      </c>
      <c r="H1082" s="38">
        <v>2.0942059425286041</v>
      </c>
      <c r="I1082" s="38">
        <v>5.4152938421750969</v>
      </c>
      <c r="J1082" s="10">
        <v>0</v>
      </c>
      <c r="K1082" s="39">
        <v>0</v>
      </c>
      <c r="L1082" s="39">
        <v>0</v>
      </c>
      <c r="M1082" s="39">
        <v>0</v>
      </c>
      <c r="N1082" s="39">
        <v>0</v>
      </c>
      <c r="O1082" s="39">
        <v>0</v>
      </c>
      <c r="P1082" s="39">
        <v>0</v>
      </c>
      <c r="Q1082" s="39">
        <v>1</v>
      </c>
      <c r="R1082" s="39">
        <v>0</v>
      </c>
      <c r="S1082" s="39">
        <v>0</v>
      </c>
      <c r="T1082" s="39">
        <v>0</v>
      </c>
      <c r="U1082" s="29" cm="1">
        <f t="array" aca="1" ref="U1082" ca="1">+fair_value_gap(OFFSET(T1081,0,0,-1*$J$5,-1*$AA$1),OFFSET(E1081,0,0,-1*$J$5,1),F1082:T1082,0)</f>
        <v>18.723370446795197</v>
      </c>
      <c r="V1082" s="9" cm="1">
        <f t="array" aca="1" ref="V1082" ca="1">z_score_diff(OFFSET(U1082,0,0,$J$5*-1,1),OFFSET(E1082,0,0,$J$5*-1,1))</f>
        <v>0.3453733496789293</v>
      </c>
      <c r="W1082" s="9">
        <f t="shared" ca="1" si="1126"/>
        <v>4.6611438487424758E-2</v>
      </c>
      <c r="X1082" s="17">
        <f t="shared" ca="1" si="1121"/>
        <v>1.3087088402966749E-2</v>
      </c>
      <c r="Y1082" s="13">
        <f t="shared" ref="Y1082:Z1082" ca="1" si="1178">+Y1081</f>
        <v>0</v>
      </c>
      <c r="Z1082" s="13">
        <f t="shared" ca="1" si="1178"/>
        <v>0</v>
      </c>
      <c r="AA1082">
        <f t="shared" ca="1" si="1128"/>
        <v>0</v>
      </c>
      <c r="AB1082">
        <f t="shared" ca="1" si="1129"/>
        <v>1</v>
      </c>
      <c r="AC1082" s="24">
        <f t="shared" ca="1" si="1130"/>
        <v>0</v>
      </c>
      <c r="AD1082" s="24">
        <f t="shared" ca="1" si="1131"/>
        <v>1.3087088402966749E-2</v>
      </c>
    </row>
    <row r="1083" spans="3:30" x14ac:dyDescent="0.25">
      <c r="C1083" s="6">
        <v>1177</v>
      </c>
      <c r="D1083" s="36">
        <v>43682</v>
      </c>
      <c r="E1083" s="38">
        <v>17.067</v>
      </c>
      <c r="F1083" s="38">
        <v>50.275842435945094</v>
      </c>
      <c r="G1083" s="38">
        <v>48.41</v>
      </c>
      <c r="H1083" s="38">
        <v>2.0519508332731187</v>
      </c>
      <c r="I1083" s="38">
        <v>5.3540507529188286</v>
      </c>
      <c r="J1083" s="10">
        <v>0</v>
      </c>
      <c r="K1083" s="39">
        <v>0</v>
      </c>
      <c r="L1083" s="39">
        <v>0</v>
      </c>
      <c r="M1083" s="39">
        <v>0</v>
      </c>
      <c r="N1083" s="39">
        <v>0</v>
      </c>
      <c r="O1083" s="39">
        <v>0</v>
      </c>
      <c r="P1083" s="39">
        <v>0</v>
      </c>
      <c r="Q1083" s="39">
        <v>1</v>
      </c>
      <c r="R1083" s="39">
        <v>0</v>
      </c>
      <c r="S1083" s="39">
        <v>0</v>
      </c>
      <c r="T1083" s="39">
        <v>0</v>
      </c>
      <c r="U1083" s="29" cm="1">
        <f t="array" aca="1" ref="U1083" ca="1">+fair_value_gap(OFFSET(T1082,0,0,-1*$J$5,-1*$AA$1),OFFSET(E1082,0,0,-1*$J$5,1),F1083:T1083,0)</f>
        <v>17.970327926865615</v>
      </c>
      <c r="V1083" s="9" cm="1">
        <f t="array" aca="1" ref="V1083" ca="1">z_score_diff(OFFSET(U1083,0,0,$J$5*-1,1),OFFSET(E1083,0,0,$J$5*-1,1))</f>
        <v>0.13950159853872113</v>
      </c>
      <c r="W1083" s="9">
        <f t="shared" ca="1" si="1126"/>
        <v>5.4577401013725088E-2</v>
      </c>
      <c r="X1083" s="17">
        <f t="shared" ca="1" si="1121"/>
        <v>9.4153638957982039E-2</v>
      </c>
      <c r="Y1083" s="13">
        <f t="shared" ref="Y1083:Z1083" ca="1" si="1179">+Y1082</f>
        <v>0</v>
      </c>
      <c r="Z1083" s="13">
        <f t="shared" ca="1" si="1179"/>
        <v>0</v>
      </c>
      <c r="AA1083">
        <f t="shared" ca="1" si="1128"/>
        <v>0</v>
      </c>
      <c r="AB1083">
        <f t="shared" ca="1" si="1129"/>
        <v>1</v>
      </c>
      <c r="AC1083" s="24">
        <f t="shared" ca="1" si="1130"/>
        <v>0</v>
      </c>
      <c r="AD1083" s="24">
        <f t="shared" ca="1" si="1131"/>
        <v>9.4153638957982039E-2</v>
      </c>
    </row>
    <row r="1084" spans="3:30" x14ac:dyDescent="0.25">
      <c r="C1084" s="6">
        <v>1178</v>
      </c>
      <c r="D1084" s="36">
        <v>43683</v>
      </c>
      <c r="E1084" s="38">
        <v>16.959</v>
      </c>
      <c r="F1084" s="38">
        <v>49.731148865271507</v>
      </c>
      <c r="G1084" s="38">
        <v>47.72</v>
      </c>
      <c r="H1084" s="38">
        <v>2.0552291698040617</v>
      </c>
      <c r="I1084" s="38">
        <v>5.3099948902180323</v>
      </c>
      <c r="J1084" s="10">
        <v>0</v>
      </c>
      <c r="K1084" s="39">
        <v>0</v>
      </c>
      <c r="L1084" s="39">
        <v>0</v>
      </c>
      <c r="M1084" s="39">
        <v>0</v>
      </c>
      <c r="N1084" s="39">
        <v>0</v>
      </c>
      <c r="O1084" s="39">
        <v>0</v>
      </c>
      <c r="P1084" s="39">
        <v>0</v>
      </c>
      <c r="Q1084" s="39">
        <v>1</v>
      </c>
      <c r="R1084" s="39">
        <v>0</v>
      </c>
      <c r="S1084" s="39">
        <v>0</v>
      </c>
      <c r="T1084" s="39">
        <v>0</v>
      </c>
      <c r="U1084" s="29" cm="1">
        <f t="array" aca="1" ref="U1084" ca="1">+fair_value_gap(OFFSET(T1083,0,0,-1*$J$5,-1*$AA$1),OFFSET(E1083,0,0,-1*$J$5,1),F1084:T1084,0)</f>
        <v>17.594459799806195</v>
      </c>
      <c r="V1084" s="9" cm="1">
        <f t="array" aca="1" ref="V1084" ca="1">z_score_diff(OFFSET(U1084,0,0,$J$5*-1,1),OFFSET(E1084,0,0,$J$5*-1,1))</f>
        <v>3.278675577534873E-2</v>
      </c>
      <c r="W1084" s="9">
        <f t="shared" ca="1" si="1126"/>
        <v>5.6822642167077983E-2</v>
      </c>
      <c r="X1084" s="17">
        <f t="shared" ca="1" si="1121"/>
        <v>5.8683807350017173E-2</v>
      </c>
      <c r="Y1084" s="13">
        <f t="shared" ref="Y1084:Z1084" ca="1" si="1180">+Y1083</f>
        <v>0</v>
      </c>
      <c r="Z1084" s="13">
        <f t="shared" ca="1" si="1180"/>
        <v>0</v>
      </c>
      <c r="AA1084">
        <f t="shared" ca="1" si="1128"/>
        <v>0</v>
      </c>
      <c r="AB1084">
        <f t="shared" ca="1" si="1129"/>
        <v>1</v>
      </c>
      <c r="AC1084" s="24">
        <f t="shared" ca="1" si="1130"/>
        <v>0</v>
      </c>
      <c r="AD1084" s="24">
        <f t="shared" ca="1" si="1131"/>
        <v>5.8683807350017173E-2</v>
      </c>
    </row>
    <row r="1085" spans="3:30" x14ac:dyDescent="0.25">
      <c r="C1085" s="6">
        <v>1179</v>
      </c>
      <c r="D1085" s="36">
        <v>43684</v>
      </c>
      <c r="E1085" s="38">
        <v>16.789000000000001</v>
      </c>
      <c r="F1085" s="38">
        <v>47.932408596999331</v>
      </c>
      <c r="G1085" s="38">
        <v>47.62</v>
      </c>
      <c r="H1085" s="38">
        <v>2.0469046011802368</v>
      </c>
      <c r="I1085" s="38">
        <v>5.2479149881323091</v>
      </c>
      <c r="J1085" s="10">
        <v>0</v>
      </c>
      <c r="K1085" s="39">
        <v>0</v>
      </c>
      <c r="L1085" s="39">
        <v>0</v>
      </c>
      <c r="M1085" s="39">
        <v>0</v>
      </c>
      <c r="N1085" s="39">
        <v>0</v>
      </c>
      <c r="O1085" s="39">
        <v>0</v>
      </c>
      <c r="P1085" s="39">
        <v>0</v>
      </c>
      <c r="Q1085" s="39">
        <v>1</v>
      </c>
      <c r="R1085" s="39">
        <v>0</v>
      </c>
      <c r="S1085" s="39">
        <v>0</v>
      </c>
      <c r="T1085" s="39">
        <v>0</v>
      </c>
      <c r="U1085" s="29" cm="1">
        <f t="array" aca="1" ref="U1085" ca="1">+fair_value_gap(OFFSET(T1084,0,0,-1*$J$5,-1*$AA$1),OFFSET(E1084,0,0,-1*$J$5,1),F1085:T1085,0)</f>
        <v>17.287577518350385</v>
      </c>
      <c r="V1085" s="9" cm="1">
        <f t="array" aca="1" ref="V1085" ca="1">z_score_diff(OFFSET(U1085,0,0,$J$5*-1,1),OFFSET(E1085,0,0,$J$5*-1,1))</f>
        <v>-2.349849036480478E-2</v>
      </c>
      <c r="W1085" s="9">
        <f t="shared" ca="1" si="1126"/>
        <v>5.7294014386987092E-2</v>
      </c>
      <c r="X1085" s="17">
        <f t="shared" ca="1" si="1121"/>
        <v>5.931688900353823E-2</v>
      </c>
      <c r="Y1085" s="13">
        <f t="shared" ref="Y1085:Z1085" ca="1" si="1181">+Y1084</f>
        <v>0</v>
      </c>
      <c r="Z1085" s="13">
        <f t="shared" ca="1" si="1181"/>
        <v>0</v>
      </c>
      <c r="AA1085">
        <f t="shared" ca="1" si="1128"/>
        <v>0</v>
      </c>
      <c r="AB1085">
        <f t="shared" ca="1" si="1129"/>
        <v>1</v>
      </c>
      <c r="AC1085" s="24">
        <f t="shared" ca="1" si="1130"/>
        <v>0</v>
      </c>
      <c r="AD1085" s="24">
        <f t="shared" ca="1" si="1131"/>
        <v>5.931688900353823E-2</v>
      </c>
    </row>
    <row r="1086" spans="3:30" x14ac:dyDescent="0.25">
      <c r="C1086" s="6">
        <v>1180</v>
      </c>
      <c r="D1086" s="36">
        <v>43685</v>
      </c>
      <c r="E1086" s="38">
        <v>16.905999999999999</v>
      </c>
      <c r="F1086" s="38">
        <v>48.557734204793029</v>
      </c>
      <c r="G1086" s="38">
        <v>47.76</v>
      </c>
      <c r="H1086" s="38">
        <v>2.0540305010893247</v>
      </c>
      <c r="I1086" s="38">
        <v>5.2723311546840961</v>
      </c>
      <c r="J1086" s="10">
        <v>0</v>
      </c>
      <c r="K1086" s="39">
        <v>0</v>
      </c>
      <c r="L1086" s="39">
        <v>0</v>
      </c>
      <c r="M1086" s="39">
        <v>0</v>
      </c>
      <c r="N1086" s="39">
        <v>0</v>
      </c>
      <c r="O1086" s="39">
        <v>0</v>
      </c>
      <c r="P1086" s="39">
        <v>0</v>
      </c>
      <c r="Q1086" s="39">
        <v>1</v>
      </c>
      <c r="R1086" s="39">
        <v>0</v>
      </c>
      <c r="S1086" s="39">
        <v>0</v>
      </c>
      <c r="T1086" s="39">
        <v>0</v>
      </c>
      <c r="U1086" s="29" cm="1">
        <f t="array" aca="1" ref="U1086" ca="1">+fair_value_gap(OFFSET(T1085,0,0,-1*$J$5,-1*$AA$1),OFFSET(E1085,0,0,-1*$J$5,1),F1086:T1086,0)</f>
        <v>17.305528364804662</v>
      </c>
      <c r="V1086" s="9" cm="1">
        <f t="array" aca="1" ref="V1086" ca="1">z_score_diff(OFFSET(U1086,0,0,$J$5*-1,1),OFFSET(E1086,0,0,$J$5*-1,1))</f>
        <v>-5.8507387883106832E-2</v>
      </c>
      <c r="W1086" s="9">
        <f t="shared" ca="1" si="1126"/>
        <v>5.5088014271097378E-2</v>
      </c>
      <c r="X1086" s="17">
        <f t="shared" ca="1" si="1121"/>
        <v>5.6685097063865715E-2</v>
      </c>
      <c r="Y1086" s="13">
        <f t="shared" ref="Y1086:Z1086" ca="1" si="1182">+Y1085</f>
        <v>0</v>
      </c>
      <c r="Z1086" s="13">
        <f t="shared" ca="1" si="1182"/>
        <v>0</v>
      </c>
      <c r="AA1086">
        <f t="shared" ca="1" si="1128"/>
        <v>0</v>
      </c>
      <c r="AB1086">
        <f t="shared" ca="1" si="1129"/>
        <v>1</v>
      </c>
      <c r="AC1086" s="24">
        <f t="shared" ca="1" si="1130"/>
        <v>0</v>
      </c>
      <c r="AD1086" s="24">
        <f t="shared" ca="1" si="1131"/>
        <v>5.6685097063865715E-2</v>
      </c>
    </row>
    <row r="1087" spans="3:30" x14ac:dyDescent="0.25">
      <c r="C1087" s="6">
        <v>1181</v>
      </c>
      <c r="D1087" s="36">
        <v>43686</v>
      </c>
      <c r="E1087" s="38">
        <v>16.933</v>
      </c>
      <c r="F1087" s="38">
        <v>49.314138199737933</v>
      </c>
      <c r="G1087" s="38">
        <v>47.07</v>
      </c>
      <c r="H1087" s="38">
        <v>2.049531803004645</v>
      </c>
      <c r="I1087" s="38">
        <v>5.2021888372781451</v>
      </c>
      <c r="J1087" s="10">
        <v>0</v>
      </c>
      <c r="K1087" s="39">
        <v>0</v>
      </c>
      <c r="L1087" s="39">
        <v>0</v>
      </c>
      <c r="M1087" s="39">
        <v>0</v>
      </c>
      <c r="N1087" s="39">
        <v>0</v>
      </c>
      <c r="O1087" s="39">
        <v>0</v>
      </c>
      <c r="P1087" s="39">
        <v>0</v>
      </c>
      <c r="Q1087" s="39">
        <v>1</v>
      </c>
      <c r="R1087" s="39">
        <v>0</v>
      </c>
      <c r="S1087" s="39">
        <v>0</v>
      </c>
      <c r="T1087" s="39">
        <v>0</v>
      </c>
      <c r="U1087" s="29" cm="1">
        <f t="array" aca="1" ref="U1087" ca="1">+fair_value_gap(OFFSET(T1086,0,0,-1*$J$5,-1*$AA$1),OFFSET(E1086,0,0,-1*$J$5,1),F1087:T1087,0)</f>
        <v>17.105769119449615</v>
      </c>
      <c r="V1087" s="9" cm="1">
        <f t="array" aca="1" ref="V1087" ca="1">z_score_diff(OFFSET(U1087,0,0,$J$5*-1,1),OFFSET(E1087,0,0,$J$5*-1,1))</f>
        <v>-0.14232806078951432</v>
      </c>
      <c r="W1087" s="9">
        <f t="shared" ca="1" si="1126"/>
        <v>4.3199548545997633E-2</v>
      </c>
      <c r="X1087" s="17">
        <f t="shared" ca="1" si="1121"/>
        <v>7.6707285663164482E-2</v>
      </c>
      <c r="Y1087" s="13">
        <f t="shared" ref="Y1087:Z1087" ca="1" si="1183">+Y1086</f>
        <v>0</v>
      </c>
      <c r="Z1087" s="13">
        <f t="shared" ca="1" si="1183"/>
        <v>0</v>
      </c>
      <c r="AA1087">
        <f t="shared" ca="1" si="1128"/>
        <v>0</v>
      </c>
      <c r="AB1087">
        <f t="shared" ca="1" si="1129"/>
        <v>1</v>
      </c>
      <c r="AC1087" s="24">
        <f t="shared" ca="1" si="1130"/>
        <v>0</v>
      </c>
      <c r="AD1087" s="24">
        <f t="shared" ca="1" si="1131"/>
        <v>7.6707285663164482E-2</v>
      </c>
    </row>
    <row r="1088" spans="3:30" x14ac:dyDescent="0.25">
      <c r="C1088" s="6">
        <v>1182</v>
      </c>
      <c r="D1088" s="36">
        <v>43689</v>
      </c>
      <c r="E1088" s="38">
        <v>16.654</v>
      </c>
      <c r="F1088" s="38">
        <v>49.295909369961933</v>
      </c>
      <c r="G1088" s="38">
        <v>46.24</v>
      </c>
      <c r="H1088" s="38">
        <v>2.018271399676868</v>
      </c>
      <c r="I1088" s="38">
        <v>5.1956792818049484</v>
      </c>
      <c r="J1088" s="10">
        <v>0</v>
      </c>
      <c r="K1088" s="39">
        <v>0</v>
      </c>
      <c r="L1088" s="39">
        <v>0</v>
      </c>
      <c r="M1088" s="39">
        <v>0</v>
      </c>
      <c r="N1088" s="39">
        <v>0</v>
      </c>
      <c r="O1088" s="39">
        <v>0</v>
      </c>
      <c r="P1088" s="39">
        <v>0</v>
      </c>
      <c r="Q1088" s="39">
        <v>1</v>
      </c>
      <c r="R1088" s="39">
        <v>0</v>
      </c>
      <c r="S1088" s="39">
        <v>0</v>
      </c>
      <c r="T1088" s="39">
        <v>0</v>
      </c>
      <c r="U1088" s="29" cm="1">
        <f t="array" aca="1" ref="U1088" ca="1">+fair_value_gap(OFFSET(T1087,0,0,-1*$J$5,-1*$AA$1),OFFSET(E1087,0,0,-1*$J$5,1),F1088:T1088,0)</f>
        <v>16.921417898180128</v>
      </c>
      <c r="V1088" s="9" cm="1">
        <f t="array" aca="1" ref="V1088" ca="1">z_score_diff(OFFSET(U1088,0,0,$J$5*-1,1),OFFSET(E1088,0,0,$J$5*-1,1))</f>
        <v>-0.11057278475023802</v>
      </c>
      <c r="W1088" s="9">
        <f t="shared" ca="1" si="1126"/>
        <v>1.9865184466275842E-2</v>
      </c>
      <c r="X1088" s="17">
        <f t="shared" ca="1" si="1121"/>
        <v>8.0550657092696806E-2</v>
      </c>
      <c r="Y1088" s="13">
        <f t="shared" ref="Y1088:Z1088" ca="1" si="1184">+Y1087</f>
        <v>0</v>
      </c>
      <c r="Z1088" s="13">
        <f t="shared" ca="1" si="1184"/>
        <v>0</v>
      </c>
      <c r="AA1088">
        <f t="shared" ca="1" si="1128"/>
        <v>0</v>
      </c>
      <c r="AB1088">
        <f t="shared" ca="1" si="1129"/>
        <v>1</v>
      </c>
      <c r="AC1088" s="24">
        <f t="shared" ca="1" si="1130"/>
        <v>0</v>
      </c>
      <c r="AD1088" s="24">
        <f t="shared" ca="1" si="1131"/>
        <v>8.0550657092696806E-2</v>
      </c>
    </row>
    <row r="1089" spans="3:30" x14ac:dyDescent="0.25">
      <c r="C1089" s="6">
        <v>1183</v>
      </c>
      <c r="D1089" s="36">
        <v>43690</v>
      </c>
      <c r="E1089" s="38">
        <v>16.888999999999999</v>
      </c>
      <c r="F1089" s="38">
        <v>51.457990948836859</v>
      </c>
      <c r="G1089" s="38">
        <v>46.13</v>
      </c>
      <c r="H1089" s="38">
        <v>2.0412222210591326</v>
      </c>
      <c r="I1089" s="38">
        <v>5.2339031309208535</v>
      </c>
      <c r="J1089" s="10">
        <v>0</v>
      </c>
      <c r="K1089" s="39">
        <v>0</v>
      </c>
      <c r="L1089" s="39">
        <v>0</v>
      </c>
      <c r="M1089" s="39">
        <v>0</v>
      </c>
      <c r="N1089" s="39">
        <v>0</v>
      </c>
      <c r="O1089" s="39">
        <v>0</v>
      </c>
      <c r="P1089" s="39">
        <v>0</v>
      </c>
      <c r="Q1089" s="39">
        <v>1</v>
      </c>
      <c r="R1089" s="39">
        <v>0</v>
      </c>
      <c r="S1089" s="39">
        <v>0</v>
      </c>
      <c r="T1089" s="39">
        <v>0</v>
      </c>
      <c r="U1089" s="29" cm="1">
        <f t="array" aca="1" ref="U1089" ca="1">+fair_value_gap(OFFSET(T1088,0,0,-1*$J$5,-1*$AA$1),OFFSET(E1088,0,0,-1*$J$5,1),F1089:T1089,0)</f>
        <v>17.065587392351745</v>
      </c>
      <c r="V1089" s="9" cm="1">
        <f t="array" aca="1" ref="V1089" ca="1">z_score_diff(OFFSET(U1089,0,0,$J$5*-1,1),OFFSET(E1089,0,0,$J$5*-1,1))</f>
        <v>-0.13839758704748872</v>
      </c>
      <c r="W1089" s="9">
        <f t="shared" ca="1" si="1126"/>
        <v>-3.5167526285184715E-6</v>
      </c>
      <c r="X1089" s="17">
        <f t="shared" ca="1" si="1121"/>
        <v>6.4209110502031555E-2</v>
      </c>
      <c r="Y1089" s="13">
        <f t="shared" ref="Y1089:Z1089" ca="1" si="1185">+Y1088</f>
        <v>0</v>
      </c>
      <c r="Z1089" s="13">
        <f t="shared" ca="1" si="1185"/>
        <v>0</v>
      </c>
      <c r="AA1089">
        <f t="shared" ca="1" si="1128"/>
        <v>1</v>
      </c>
      <c r="AB1089">
        <f t="shared" ca="1" si="1129"/>
        <v>0</v>
      </c>
      <c r="AC1089" s="24">
        <f t="shared" ca="1" si="1130"/>
        <v>6.4209110502031555E-2</v>
      </c>
      <c r="AD1089" s="24">
        <f t="shared" ca="1" si="1131"/>
        <v>0</v>
      </c>
    </row>
    <row r="1090" spans="3:30" x14ac:dyDescent="0.25">
      <c r="C1090" s="6">
        <v>1184</v>
      </c>
      <c r="D1090" s="36">
        <v>43691</v>
      </c>
      <c r="E1090" s="38">
        <v>16.667999999999999</v>
      </c>
      <c r="F1090" s="38">
        <v>50.20348386791801</v>
      </c>
      <c r="G1090" s="38">
        <v>45.9</v>
      </c>
      <c r="H1090" s="38">
        <v>2.0457810252715674</v>
      </c>
      <c r="I1090" s="38">
        <v>5.1429026630168844</v>
      </c>
      <c r="J1090" s="10">
        <v>0</v>
      </c>
      <c r="K1090" s="39">
        <v>0</v>
      </c>
      <c r="L1090" s="39">
        <v>0</v>
      </c>
      <c r="M1090" s="39">
        <v>0</v>
      </c>
      <c r="N1090" s="39">
        <v>0</v>
      </c>
      <c r="O1090" s="39">
        <v>0</v>
      </c>
      <c r="P1090" s="39">
        <v>0</v>
      </c>
      <c r="Q1090" s="39">
        <v>1</v>
      </c>
      <c r="R1090" s="39">
        <v>0</v>
      </c>
      <c r="S1090" s="39">
        <v>0</v>
      </c>
      <c r="T1090" s="39">
        <v>0</v>
      </c>
      <c r="U1090" s="29" cm="1">
        <f t="array" aca="1" ref="U1090" ca="1">+fair_value_gap(OFFSET(T1089,0,0,-1*$J$5,-1*$AA$1),OFFSET(E1089,0,0,-1*$J$5,1),F1090:T1090,0)</f>
        <v>16.809159820632591</v>
      </c>
      <c r="V1090" s="9" cm="1">
        <f t="array" aca="1" ref="V1090" ca="1">z_score_diff(OFFSET(U1090,0,0,$J$5*-1,1),OFFSET(E1090,0,0,$J$5*-1,1))</f>
        <v>-0.15316217686171263</v>
      </c>
      <c r="W1090" s="9">
        <f t="shared" ca="1" si="1126"/>
        <v>-1.3202075291613314E-2</v>
      </c>
      <c r="X1090" s="17">
        <f t="shared" ca="1" si="1121"/>
        <v>5.6905068682486272E-2</v>
      </c>
      <c r="Y1090" s="13">
        <f t="shared" ref="Y1090:Z1090" ca="1" si="1186">+Y1089</f>
        <v>0</v>
      </c>
      <c r="Z1090" s="13">
        <f t="shared" ca="1" si="1186"/>
        <v>0</v>
      </c>
      <c r="AA1090">
        <f t="shared" ca="1" si="1128"/>
        <v>1</v>
      </c>
      <c r="AB1090">
        <f t="shared" ca="1" si="1129"/>
        <v>0</v>
      </c>
      <c r="AC1090" s="24">
        <f t="shared" ca="1" si="1130"/>
        <v>5.6905068682486272E-2</v>
      </c>
      <c r="AD1090" s="24">
        <f t="shared" ca="1" si="1131"/>
        <v>0</v>
      </c>
    </row>
    <row r="1091" spans="3:30" x14ac:dyDescent="0.25">
      <c r="C1091" s="6">
        <v>1185</v>
      </c>
      <c r="D1091" s="36">
        <v>43692</v>
      </c>
      <c r="E1091" s="38">
        <v>16.512</v>
      </c>
      <c r="F1091" s="38">
        <v>49.340256309369906</v>
      </c>
      <c r="G1091" s="38">
        <v>45.5</v>
      </c>
      <c r="H1091" s="38">
        <v>2.0656511719408686</v>
      </c>
      <c r="I1091" s="38">
        <v>5.181692990838064</v>
      </c>
      <c r="J1091" s="10">
        <v>0</v>
      </c>
      <c r="K1091" s="39">
        <v>0</v>
      </c>
      <c r="L1091" s="39">
        <v>0</v>
      </c>
      <c r="M1091" s="39">
        <v>0</v>
      </c>
      <c r="N1091" s="39">
        <v>0</v>
      </c>
      <c r="O1091" s="39">
        <v>0</v>
      </c>
      <c r="P1091" s="39">
        <v>0</v>
      </c>
      <c r="Q1091" s="39">
        <v>1</v>
      </c>
      <c r="R1091" s="39">
        <v>0</v>
      </c>
      <c r="S1091" s="39">
        <v>0</v>
      </c>
      <c r="T1091" s="39">
        <v>0</v>
      </c>
      <c r="U1091" s="29" cm="1">
        <f t="array" aca="1" ref="U1091" ca="1">+fair_value_gap(OFFSET(T1090,0,0,-1*$J$5,-1*$AA$1),OFFSET(E1090,0,0,-1*$J$5,1),F1091:T1091,0)</f>
        <v>16.697552776745802</v>
      </c>
      <c r="V1091" s="9" cm="1">
        <f t="array" aca="1" ref="V1091" ca="1">z_score_diff(OFFSET(U1091,0,0,$J$5*-1,1),OFFSET(E1091,0,0,$J$5*-1,1))</f>
        <v>-0.13702961645997647</v>
      </c>
      <c r="W1091" s="9">
        <f t="shared" ca="1" si="1126"/>
        <v>-2.1056293507462864E-2</v>
      </c>
      <c r="X1091" s="17">
        <f t="shared" ca="1" si="1121"/>
        <v>7.4043082174658423E-2</v>
      </c>
      <c r="Y1091" s="13">
        <f t="shared" ref="Y1091:Z1091" ca="1" si="1187">+Y1090</f>
        <v>0</v>
      </c>
      <c r="Z1091" s="13">
        <f t="shared" ca="1" si="1187"/>
        <v>0</v>
      </c>
      <c r="AA1091">
        <f t="shared" ca="1" si="1128"/>
        <v>1</v>
      </c>
      <c r="AB1091">
        <f t="shared" ca="1" si="1129"/>
        <v>0</v>
      </c>
      <c r="AC1091" s="24">
        <f t="shared" ca="1" si="1130"/>
        <v>7.4043082174658423E-2</v>
      </c>
      <c r="AD1091" s="24">
        <f t="shared" ca="1" si="1131"/>
        <v>0</v>
      </c>
    </row>
    <row r="1092" spans="3:30" x14ac:dyDescent="0.25">
      <c r="C1092" s="6">
        <v>1186</v>
      </c>
      <c r="D1092" s="36">
        <v>43693</v>
      </c>
      <c r="E1092" s="38">
        <v>16.399999999999999</v>
      </c>
      <c r="F1092" s="38">
        <v>49.527897373200759</v>
      </c>
      <c r="G1092" s="38">
        <v>45.43</v>
      </c>
      <c r="H1092" s="38">
        <v>2.0458513459432597</v>
      </c>
      <c r="I1092" s="38">
        <v>5.3125288604889462</v>
      </c>
      <c r="J1092" s="10">
        <v>0</v>
      </c>
      <c r="K1092" s="39">
        <v>0</v>
      </c>
      <c r="L1092" s="39">
        <v>0</v>
      </c>
      <c r="M1092" s="39">
        <v>0</v>
      </c>
      <c r="N1092" s="39">
        <v>0</v>
      </c>
      <c r="O1092" s="39">
        <v>0</v>
      </c>
      <c r="P1092" s="39">
        <v>0</v>
      </c>
      <c r="Q1092" s="39">
        <v>1</v>
      </c>
      <c r="R1092" s="39">
        <v>0</v>
      </c>
      <c r="S1092" s="39">
        <v>0</v>
      </c>
      <c r="T1092" s="39">
        <v>0</v>
      </c>
      <c r="U1092" s="29" cm="1">
        <f t="array" aca="1" ref="U1092" ca="1">+fair_value_gap(OFFSET(T1091,0,0,-1*$J$5,-1*$AA$1),OFFSET(E1091,0,0,-1*$J$5,1),F1092:T1092,0)</f>
        <v>16.816896984831306</v>
      </c>
      <c r="V1092" s="9" cm="1">
        <f t="array" aca="1" ref="V1092" ca="1">z_score_diff(OFFSET(U1092,0,0,$J$5*-1,1),OFFSET(E1092,0,0,$J$5*-1,1))</f>
        <v>-5.2176452313266841E-2</v>
      </c>
      <c r="W1092" s="9">
        <f t="shared" ca="1" si="1126"/>
        <v>-2.3358250364968951E-2</v>
      </c>
      <c r="X1092" s="17">
        <f t="shared" ca="1" si="1121"/>
        <v>7.0390268656320643E-2</v>
      </c>
      <c r="Y1092" s="13">
        <f t="shared" ref="Y1092:Z1092" ca="1" si="1188">+Y1091</f>
        <v>0</v>
      </c>
      <c r="Z1092" s="13">
        <f t="shared" ca="1" si="1188"/>
        <v>0</v>
      </c>
      <c r="AA1092">
        <f t="shared" ca="1" si="1128"/>
        <v>1</v>
      </c>
      <c r="AB1092">
        <f t="shared" ca="1" si="1129"/>
        <v>0</v>
      </c>
      <c r="AC1092" s="24">
        <f t="shared" ca="1" si="1130"/>
        <v>7.0390268656320643E-2</v>
      </c>
      <c r="AD1092" s="24">
        <f t="shared" ca="1" si="1131"/>
        <v>0</v>
      </c>
    </row>
    <row r="1093" spans="3:30" x14ac:dyDescent="0.25">
      <c r="C1093" s="6">
        <v>1187</v>
      </c>
      <c r="D1093" s="36">
        <v>43696</v>
      </c>
      <c r="E1093" s="38">
        <v>16.285</v>
      </c>
      <c r="F1093" s="38">
        <v>50.281645878832848</v>
      </c>
      <c r="G1093" s="38">
        <v>45.83</v>
      </c>
      <c r="H1093" s="38">
        <v>2.0616179035053666</v>
      </c>
      <c r="I1093" s="38">
        <v>5.2816854914740388</v>
      </c>
      <c r="J1093" s="10">
        <v>0</v>
      </c>
      <c r="K1093" s="39">
        <v>0</v>
      </c>
      <c r="L1093" s="39">
        <v>0</v>
      </c>
      <c r="M1093" s="39">
        <v>0</v>
      </c>
      <c r="N1093" s="39">
        <v>0</v>
      </c>
      <c r="O1093" s="39">
        <v>0</v>
      </c>
      <c r="P1093" s="39">
        <v>0</v>
      </c>
      <c r="Q1093" s="39">
        <v>1</v>
      </c>
      <c r="R1093" s="39">
        <v>0</v>
      </c>
      <c r="S1093" s="39">
        <v>0</v>
      </c>
      <c r="T1093" s="39">
        <v>0</v>
      </c>
      <c r="U1093" s="29" cm="1">
        <f t="array" aca="1" ref="U1093" ca="1">+fair_value_gap(OFFSET(T1092,0,0,-1*$J$5,-1*$AA$1),OFFSET(E1092,0,0,-1*$J$5,1),F1093:T1093,0)</f>
        <v>16.882888316685204</v>
      </c>
      <c r="V1093" s="9" cm="1">
        <f t="array" aca="1" ref="V1093" ca="1">z_score_diff(OFFSET(U1093,0,0,$J$5*-1,1),OFFSET(E1093,0,0,$J$5*-1,1))</f>
        <v>1.1909882658114102E-2</v>
      </c>
      <c r="W1093" s="9">
        <f t="shared" ca="1" si="1126"/>
        <v>-2.1316139677727188E-2</v>
      </c>
      <c r="X1093" s="17">
        <f t="shared" ca="1" si="1121"/>
        <v>9.9960638610868902E-2</v>
      </c>
      <c r="Y1093" s="13">
        <f t="shared" ref="Y1093:Z1093" ca="1" si="1189">+Y1092</f>
        <v>0</v>
      </c>
      <c r="Z1093" s="13">
        <f t="shared" ca="1" si="1189"/>
        <v>0</v>
      </c>
      <c r="AA1093">
        <f t="shared" ca="1" si="1128"/>
        <v>1</v>
      </c>
      <c r="AB1093">
        <f t="shared" ca="1" si="1129"/>
        <v>0</v>
      </c>
      <c r="AC1093" s="24">
        <f t="shared" ca="1" si="1130"/>
        <v>9.9960638610868902E-2</v>
      </c>
      <c r="AD1093" s="24">
        <f t="shared" ca="1" si="1131"/>
        <v>0</v>
      </c>
    </row>
    <row r="1094" spans="3:30" x14ac:dyDescent="0.25">
      <c r="C1094" s="6">
        <v>1188</v>
      </c>
      <c r="D1094" s="36">
        <v>43697</v>
      </c>
      <c r="E1094" s="38">
        <v>16.385000000000002</v>
      </c>
      <c r="F1094" s="38">
        <v>50.470746912576828</v>
      </c>
      <c r="G1094" s="38">
        <v>45.94</v>
      </c>
      <c r="H1094" s="38">
        <v>2.0587214487494343</v>
      </c>
      <c r="I1094" s="38">
        <v>5.447747751705716</v>
      </c>
      <c r="J1094" s="10">
        <v>0</v>
      </c>
      <c r="K1094" s="39">
        <v>0</v>
      </c>
      <c r="L1094" s="39">
        <v>0</v>
      </c>
      <c r="M1094" s="39">
        <v>0</v>
      </c>
      <c r="N1094" s="39">
        <v>0</v>
      </c>
      <c r="O1094" s="39">
        <v>0</v>
      </c>
      <c r="P1094" s="39">
        <v>0</v>
      </c>
      <c r="Q1094" s="39">
        <v>1</v>
      </c>
      <c r="R1094" s="39">
        <v>0</v>
      </c>
      <c r="S1094" s="39">
        <v>0</v>
      </c>
      <c r="T1094" s="39">
        <v>0</v>
      </c>
      <c r="U1094" s="29" cm="1">
        <f t="array" aca="1" ref="U1094" ca="1">+fair_value_gap(OFFSET(T1093,0,0,-1*$J$5,-1*$AA$1),OFFSET(E1093,0,0,-1*$J$5,1),F1094:T1094,0)</f>
        <v>17.021791810106723</v>
      </c>
      <c r="V1094" s="9" cm="1">
        <f t="array" aca="1" ref="V1094" ca="1">z_score_diff(OFFSET(U1094,0,0,$J$5*-1,1),OFFSET(E1094,0,0,$J$5*-1,1))</f>
        <v>2.6954677811444006E-2</v>
      </c>
      <c r="W1094" s="9">
        <f t="shared" ca="1" si="1126"/>
        <v>-1.784507374975763E-2</v>
      </c>
      <c r="X1094" s="17">
        <f t="shared" ca="1" si="1121"/>
        <v>9.7942161265249114E-2</v>
      </c>
      <c r="Y1094" s="13">
        <f t="shared" ref="Y1094:Z1094" ca="1" si="1190">+Y1093</f>
        <v>0</v>
      </c>
      <c r="Z1094" s="13">
        <f t="shared" ca="1" si="1190"/>
        <v>0</v>
      </c>
      <c r="AA1094">
        <f t="shared" ca="1" si="1128"/>
        <v>1</v>
      </c>
      <c r="AB1094">
        <f t="shared" ca="1" si="1129"/>
        <v>0</v>
      </c>
      <c r="AC1094" s="24">
        <f t="shared" ca="1" si="1130"/>
        <v>9.7942161265249114E-2</v>
      </c>
      <c r="AD1094" s="24">
        <f t="shared" ca="1" si="1131"/>
        <v>0</v>
      </c>
    </row>
    <row r="1095" spans="3:30" x14ac:dyDescent="0.25">
      <c r="C1095" s="6">
        <v>1189</v>
      </c>
      <c r="D1095" s="36">
        <v>43698</v>
      </c>
      <c r="E1095" s="38">
        <v>16.469000000000001</v>
      </c>
      <c r="F1095" s="38">
        <v>50.686493219515967</v>
      </c>
      <c r="G1095" s="38">
        <v>45.47</v>
      </c>
      <c r="H1095" s="38">
        <v>2.0566647196672743</v>
      </c>
      <c r="I1095" s="38">
        <v>5.4979275012491291</v>
      </c>
      <c r="J1095" s="10">
        <v>0</v>
      </c>
      <c r="K1095" s="39">
        <v>0</v>
      </c>
      <c r="L1095" s="39">
        <v>0</v>
      </c>
      <c r="M1095" s="39">
        <v>0</v>
      </c>
      <c r="N1095" s="39">
        <v>0</v>
      </c>
      <c r="O1095" s="39">
        <v>0</v>
      </c>
      <c r="P1095" s="39">
        <v>0</v>
      </c>
      <c r="Q1095" s="39">
        <v>1</v>
      </c>
      <c r="R1095" s="39">
        <v>0</v>
      </c>
      <c r="S1095" s="39">
        <v>0</v>
      </c>
      <c r="T1095" s="39">
        <v>0</v>
      </c>
      <c r="U1095" s="29" cm="1">
        <f t="array" aca="1" ref="U1095" ca="1">+fair_value_gap(OFFSET(T1094,0,0,-1*$J$5,-1*$AA$1),OFFSET(E1094,0,0,-1*$J$5,1),F1095:T1095,0)</f>
        <v>16.910885215695057</v>
      </c>
      <c r="V1095" s="9" cm="1">
        <f t="array" aca="1" ref="V1095" ca="1">z_score_diff(OFFSET(U1095,0,0,$J$5*-1,1),OFFSET(E1095,0,0,$J$5*-1,1))</f>
        <v>-4.2621166727351056E-2</v>
      </c>
      <c r="W1095" s="9">
        <f t="shared" ca="1" si="1126"/>
        <v>-1.5484789061569222E-2</v>
      </c>
      <c r="X1095" s="17">
        <f t="shared" ref="X1095:X1158" ca="1" si="1191">+LN(OFFSET(E1095,$X$3,0,1,1)/E1095)</f>
        <v>6.9595843062363827E-2</v>
      </c>
      <c r="Y1095" s="13">
        <f t="shared" ref="Y1095:Z1095" ca="1" si="1192">+Y1094</f>
        <v>0</v>
      </c>
      <c r="Z1095" s="13">
        <f t="shared" ca="1" si="1192"/>
        <v>0</v>
      </c>
      <c r="AA1095">
        <f t="shared" ca="1" si="1128"/>
        <v>1</v>
      </c>
      <c r="AB1095">
        <f t="shared" ca="1" si="1129"/>
        <v>0</v>
      </c>
      <c r="AC1095" s="24">
        <f t="shared" ca="1" si="1130"/>
        <v>6.9595843062363827E-2</v>
      </c>
      <c r="AD1095" s="24">
        <f t="shared" ca="1" si="1131"/>
        <v>0</v>
      </c>
    </row>
    <row r="1096" spans="3:30" x14ac:dyDescent="0.25">
      <c r="C1096" s="6">
        <v>1190</v>
      </c>
      <c r="D1096" s="36">
        <v>43699</v>
      </c>
      <c r="E1096" s="38">
        <v>16.363</v>
      </c>
      <c r="F1096" s="38">
        <v>50.451804578239461</v>
      </c>
      <c r="G1096" s="38">
        <v>45.36</v>
      </c>
      <c r="H1096" s="38">
        <v>2.0495770602253569</v>
      </c>
      <c r="I1096" s="38">
        <v>5.3241482242865645</v>
      </c>
      <c r="J1096" s="10">
        <v>0</v>
      </c>
      <c r="K1096" s="39">
        <v>0</v>
      </c>
      <c r="L1096" s="39">
        <v>0</v>
      </c>
      <c r="M1096" s="39">
        <v>0</v>
      </c>
      <c r="N1096" s="39">
        <v>0</v>
      </c>
      <c r="O1096" s="39">
        <v>0</v>
      </c>
      <c r="P1096" s="39">
        <v>0</v>
      </c>
      <c r="Q1096" s="39">
        <v>1</v>
      </c>
      <c r="R1096" s="39">
        <v>0</v>
      </c>
      <c r="S1096" s="39">
        <v>0</v>
      </c>
      <c r="T1096" s="39">
        <v>0</v>
      </c>
      <c r="U1096" s="29" cm="1">
        <f t="array" aca="1" ref="U1096" ca="1">+fair_value_gap(OFFSET(T1095,0,0,-1*$J$5,-1*$AA$1),OFFSET(E1095,0,0,-1*$J$5,1),F1096:T1096,0)</f>
        <v>16.605438617146287</v>
      </c>
      <c r="V1096" s="9" cm="1">
        <f t="array" aca="1" ref="V1096" ca="1">z_score_diff(OFFSET(U1096,0,0,$J$5*-1,1),OFFSET(E1096,0,0,$J$5*-1,1))</f>
        <v>-0.11501304511023314</v>
      </c>
      <c r="W1096" s="9">
        <f t="shared" ca="1" si="1126"/>
        <v>-1.1914458221462127E-2</v>
      </c>
      <c r="X1096" s="17">
        <f t="shared" ca="1" si="1191"/>
        <v>6.1907182226773765E-2</v>
      </c>
      <c r="Y1096" s="13">
        <f t="shared" ref="Y1096:Z1096" ca="1" si="1193">+Y1095</f>
        <v>0</v>
      </c>
      <c r="Z1096" s="13">
        <f t="shared" ca="1" si="1193"/>
        <v>0</v>
      </c>
      <c r="AA1096">
        <f t="shared" ca="1" si="1128"/>
        <v>1</v>
      </c>
      <c r="AB1096">
        <f t="shared" ca="1" si="1129"/>
        <v>0</v>
      </c>
      <c r="AC1096" s="24">
        <f t="shared" ca="1" si="1130"/>
        <v>6.1907182226773765E-2</v>
      </c>
      <c r="AD1096" s="24">
        <f t="shared" ca="1" si="1131"/>
        <v>0</v>
      </c>
    </row>
    <row r="1097" spans="3:30" x14ac:dyDescent="0.25">
      <c r="C1097" s="6">
        <v>1191</v>
      </c>
      <c r="D1097" s="36">
        <v>43700</v>
      </c>
      <c r="E1097" s="38">
        <v>16.172000000000001</v>
      </c>
      <c r="F1097" s="38">
        <v>49.556053061749815</v>
      </c>
      <c r="G1097" s="38">
        <v>44.54</v>
      </c>
      <c r="H1097" s="38">
        <v>2.0374016868320108</v>
      </c>
      <c r="I1097" s="38">
        <v>5.2532918440017475</v>
      </c>
      <c r="J1097" s="10">
        <v>0</v>
      </c>
      <c r="K1097" s="39">
        <v>0</v>
      </c>
      <c r="L1097" s="39">
        <v>0</v>
      </c>
      <c r="M1097" s="39">
        <v>0</v>
      </c>
      <c r="N1097" s="39">
        <v>0</v>
      </c>
      <c r="O1097" s="39">
        <v>0</v>
      </c>
      <c r="P1097" s="39">
        <v>0</v>
      </c>
      <c r="Q1097" s="39">
        <v>1</v>
      </c>
      <c r="R1097" s="39">
        <v>0</v>
      </c>
      <c r="S1097" s="39">
        <v>0</v>
      </c>
      <c r="T1097" s="39">
        <v>0</v>
      </c>
      <c r="U1097" s="29" cm="1">
        <f t="array" aca="1" ref="U1097" ca="1">+fair_value_gap(OFFSET(T1096,0,0,-1*$J$5,-1*$AA$1),OFFSET(E1096,0,0,-1*$J$5,1),F1097:T1097,0)</f>
        <v>16.227874359076864</v>
      </c>
      <c r="V1097" s="9" cm="1">
        <f t="array" aca="1" ref="V1097" ca="1">z_score_diff(OFFSET(U1097,0,0,$J$5*-1,1),OFFSET(E1097,0,0,$J$5*-1,1))</f>
        <v>-0.18212703622856696</v>
      </c>
      <c r="W1097" s="9">
        <f t="shared" ca="1" si="1126"/>
        <v>-9.2877351739781219E-3</v>
      </c>
      <c r="X1097" s="17">
        <f t="shared" ca="1" si="1191"/>
        <v>7.1002558191091594E-2</v>
      </c>
      <c r="Y1097" s="13">
        <f t="shared" ref="Y1097:Z1097" ca="1" si="1194">+Y1096</f>
        <v>0</v>
      </c>
      <c r="Z1097" s="13">
        <f t="shared" ca="1" si="1194"/>
        <v>0</v>
      </c>
      <c r="AA1097">
        <f t="shared" ca="1" si="1128"/>
        <v>1</v>
      </c>
      <c r="AB1097">
        <f t="shared" ca="1" si="1129"/>
        <v>0</v>
      </c>
      <c r="AC1097" s="24">
        <f t="shared" ca="1" si="1130"/>
        <v>7.1002558191091594E-2</v>
      </c>
      <c r="AD1097" s="24">
        <f t="shared" ca="1" si="1131"/>
        <v>0</v>
      </c>
    </row>
    <row r="1098" spans="3:30" x14ac:dyDescent="0.25">
      <c r="C1098" s="6">
        <v>1192</v>
      </c>
      <c r="D1098" s="36">
        <v>43703</v>
      </c>
      <c r="E1098" s="38">
        <v>16.16</v>
      </c>
      <c r="F1098" s="38">
        <v>49.248274202021584</v>
      </c>
      <c r="G1098" s="38">
        <v>46.08</v>
      </c>
      <c r="H1098" s="38">
        <v>2.0758771305632715</v>
      </c>
      <c r="I1098" s="38">
        <v>5.2709533573337408</v>
      </c>
      <c r="J1098" s="10">
        <v>0</v>
      </c>
      <c r="K1098" s="39">
        <v>0</v>
      </c>
      <c r="L1098" s="39">
        <v>0</v>
      </c>
      <c r="M1098" s="39">
        <v>0</v>
      </c>
      <c r="N1098" s="39">
        <v>0</v>
      </c>
      <c r="O1098" s="39">
        <v>0</v>
      </c>
      <c r="P1098" s="39">
        <v>0</v>
      </c>
      <c r="Q1098" s="39">
        <v>1</v>
      </c>
      <c r="R1098" s="39">
        <v>0</v>
      </c>
      <c r="S1098" s="39">
        <v>0</v>
      </c>
      <c r="T1098" s="39">
        <v>0</v>
      </c>
      <c r="U1098" s="29" cm="1">
        <f t="array" aca="1" ref="U1098" ca="1">+fair_value_gap(OFFSET(T1097,0,0,-1*$J$5,-1*$AA$1),OFFSET(E1097,0,0,-1*$J$5,1),F1098:T1098,0)</f>
        <v>16.517937310775675</v>
      </c>
      <c r="V1098" s="9" cm="1">
        <f t="array" aca="1" ref="V1098" ca="1">z_score_diff(OFFSET(U1098,0,0,$J$5*-1,1),OFFSET(E1098,0,0,$J$5*-1,1))</f>
        <v>-7.2312045201142983E-2</v>
      </c>
      <c r="W1098" s="9">
        <f t="shared" ca="1" si="1126"/>
        <v>-8.7758412209826605E-3</v>
      </c>
      <c r="X1098" s="17">
        <f t="shared" ca="1" si="1191"/>
        <v>6.8398635557808174E-2</v>
      </c>
      <c r="Y1098" s="13">
        <f t="shared" ref="Y1098:Z1098" ca="1" si="1195">+Y1097</f>
        <v>0</v>
      </c>
      <c r="Z1098" s="13">
        <f t="shared" ca="1" si="1195"/>
        <v>0</v>
      </c>
      <c r="AA1098">
        <f t="shared" ca="1" si="1128"/>
        <v>1</v>
      </c>
      <c r="AB1098">
        <f t="shared" ca="1" si="1129"/>
        <v>0</v>
      </c>
      <c r="AC1098" s="24">
        <f t="shared" ca="1" si="1130"/>
        <v>6.8398635557808174E-2</v>
      </c>
      <c r="AD1098" s="24">
        <f t="shared" ca="1" si="1131"/>
        <v>0</v>
      </c>
    </row>
    <row r="1099" spans="3:30" x14ac:dyDescent="0.25">
      <c r="C1099" s="6">
        <v>1193</v>
      </c>
      <c r="D1099" s="36">
        <v>43704</v>
      </c>
      <c r="E1099" s="38">
        <v>15.957000000000001</v>
      </c>
      <c r="F1099" s="38">
        <v>50.000219800509058</v>
      </c>
      <c r="G1099" s="38">
        <v>45.12</v>
      </c>
      <c r="H1099" s="38">
        <v>2.063487179036307</v>
      </c>
      <c r="I1099" s="38">
        <v>5.3631324210146873</v>
      </c>
      <c r="J1099" s="10">
        <v>0</v>
      </c>
      <c r="K1099" s="39">
        <v>0</v>
      </c>
      <c r="L1099" s="39">
        <v>0</v>
      </c>
      <c r="M1099" s="39">
        <v>0</v>
      </c>
      <c r="N1099" s="39">
        <v>0</v>
      </c>
      <c r="O1099" s="39">
        <v>0</v>
      </c>
      <c r="P1099" s="39">
        <v>0</v>
      </c>
      <c r="Q1099" s="39">
        <v>1</v>
      </c>
      <c r="R1099" s="39">
        <v>0</v>
      </c>
      <c r="S1099" s="39">
        <v>0</v>
      </c>
      <c r="T1099" s="39">
        <v>0</v>
      </c>
      <c r="U1099" s="29" cm="1">
        <f t="array" aca="1" ref="U1099" ca="1">+fair_value_gap(OFFSET(T1098,0,0,-1*$J$5,-1*$AA$1),OFFSET(E1098,0,0,-1*$J$5,1),F1099:T1099,0)</f>
        <v>16.362077617284736</v>
      </c>
      <c r="V1099" s="9" cm="1">
        <f t="array" aca="1" ref="V1099" ca="1">z_score_diff(OFFSET(U1099,0,0,$J$5*-1,1),OFFSET(E1099,0,0,$J$5*-1,1))</f>
        <v>-5.7591692607308564E-2</v>
      </c>
      <c r="W1099" s="9">
        <f t="shared" ref="W1099:W1162" ca="1" si="1196">+IF(ISERROR(AVERAGE(OFFSET(V1099,0,0,$W$5*-1,1))),"",AVERAGE(OFFSET(V1099,0,0,$W$5*-1,1)))</f>
        <v>-8.9689106722313748E-3</v>
      </c>
      <c r="X1099" s="17">
        <f t="shared" ca="1" si="1191"/>
        <v>8.3176035388121988E-2</v>
      </c>
      <c r="Y1099" s="13">
        <f t="shared" ref="Y1099:Z1099" ca="1" si="1197">+Y1098</f>
        <v>0</v>
      </c>
      <c r="Z1099" s="13">
        <f t="shared" ca="1" si="1197"/>
        <v>0</v>
      </c>
      <c r="AA1099">
        <f t="shared" ref="AA1099:AA1162" ca="1" si="1198">+IF(W1099="","",IF(W1099&lt;Y1099,1,0))</f>
        <v>1</v>
      </c>
      <c r="AB1099">
        <f t="shared" ref="AB1099:AB1162" ca="1" si="1199">+IF(W1099="","",IF(W1099&gt;Z1099,1,0))</f>
        <v>0</v>
      </c>
      <c r="AC1099" s="24">
        <f t="shared" ref="AC1099:AC1162" ca="1" si="1200">+IF(ISERROR(AA1099*X1099),"",AA1099*X1099)</f>
        <v>8.3176035388121988E-2</v>
      </c>
      <c r="AD1099" s="24">
        <f t="shared" ref="AD1099:AD1162" ca="1" si="1201">+IF(ISERROR(AB1099*X1099),"",AB1099*X1099)</f>
        <v>0</v>
      </c>
    </row>
    <row r="1100" spans="3:30" x14ac:dyDescent="0.25">
      <c r="C1100" s="6">
        <v>1194</v>
      </c>
      <c r="D1100" s="36">
        <v>43705</v>
      </c>
      <c r="E1100" s="38">
        <v>15.952999999999999</v>
      </c>
      <c r="F1100" s="38">
        <v>50.55690072639225</v>
      </c>
      <c r="G1100" s="38">
        <v>45.27</v>
      </c>
      <c r="H1100" s="38">
        <v>2.0849658815760508</v>
      </c>
      <c r="I1100" s="38">
        <v>5.3488883997358574</v>
      </c>
      <c r="J1100" s="10">
        <v>0</v>
      </c>
      <c r="K1100" s="39">
        <v>0</v>
      </c>
      <c r="L1100" s="39">
        <v>0</v>
      </c>
      <c r="M1100" s="39">
        <v>0</v>
      </c>
      <c r="N1100" s="39">
        <v>0</v>
      </c>
      <c r="O1100" s="39">
        <v>0</v>
      </c>
      <c r="P1100" s="39">
        <v>0</v>
      </c>
      <c r="Q1100" s="39">
        <v>1</v>
      </c>
      <c r="R1100" s="39">
        <v>0</v>
      </c>
      <c r="S1100" s="39">
        <v>0</v>
      </c>
      <c r="T1100" s="39">
        <v>0</v>
      </c>
      <c r="U1100" s="29" cm="1">
        <f t="array" aca="1" ref="U1100" ca="1">+fair_value_gap(OFFSET(T1099,0,0,-1*$J$5,-1*$AA$1),OFFSET(E1099,0,0,-1*$J$5,1),F1100:T1100,0)</f>
        <v>16.398749886217516</v>
      </c>
      <c r="V1100" s="9" cm="1">
        <f t="array" aca="1" ref="V1100" ca="1">z_score_diff(OFFSET(U1100,0,0,$J$5*-1,1),OFFSET(E1100,0,0,$J$5*-1,1))</f>
        <v>-4.2295385976345967E-2</v>
      </c>
      <c r="W1100" s="9">
        <f t="shared" ca="1" si="1196"/>
        <v>-8.5620909856398992E-3</v>
      </c>
      <c r="X1100" s="17">
        <f t="shared" ca="1" si="1191"/>
        <v>8.9635441097232482E-2</v>
      </c>
      <c r="Y1100" s="13">
        <f t="shared" ref="Y1100:Z1100" ca="1" si="1202">+Y1099</f>
        <v>0</v>
      </c>
      <c r="Z1100" s="13">
        <f t="shared" ca="1" si="1202"/>
        <v>0</v>
      </c>
      <c r="AA1100">
        <f t="shared" ca="1" si="1198"/>
        <v>1</v>
      </c>
      <c r="AB1100">
        <f t="shared" ca="1" si="1199"/>
        <v>0</v>
      </c>
      <c r="AC1100" s="24">
        <f t="shared" ca="1" si="1200"/>
        <v>8.9635441097232482E-2</v>
      </c>
      <c r="AD1100" s="24">
        <f t="shared" ca="1" si="1201"/>
        <v>0</v>
      </c>
    </row>
    <row r="1101" spans="3:30" x14ac:dyDescent="0.25">
      <c r="C1101" s="6">
        <v>1195</v>
      </c>
      <c r="D1101" s="36">
        <v>43706</v>
      </c>
      <c r="E1101" s="38">
        <v>16.085000000000001</v>
      </c>
      <c r="F1101" s="38">
        <v>50.958278405558758</v>
      </c>
      <c r="G1101" s="38">
        <v>44.51</v>
      </c>
      <c r="H1101" s="38">
        <v>2.081009465947719</v>
      </c>
      <c r="I1101" s="38">
        <v>5.3788803992716456</v>
      </c>
      <c r="J1101" s="10">
        <v>0</v>
      </c>
      <c r="K1101" s="39">
        <v>0</v>
      </c>
      <c r="L1101" s="39">
        <v>0</v>
      </c>
      <c r="M1101" s="39">
        <v>0</v>
      </c>
      <c r="N1101" s="39">
        <v>0</v>
      </c>
      <c r="O1101" s="39">
        <v>0</v>
      </c>
      <c r="P1101" s="39">
        <v>0</v>
      </c>
      <c r="Q1101" s="39">
        <v>1</v>
      </c>
      <c r="R1101" s="39">
        <v>0</v>
      </c>
      <c r="S1101" s="39">
        <v>0</v>
      </c>
      <c r="T1101" s="39">
        <v>0</v>
      </c>
      <c r="U1101" s="29" cm="1">
        <f t="array" aca="1" ref="U1101" ca="1">+fair_value_gap(OFFSET(T1100,0,0,-1*$J$5,-1*$AA$1),OFFSET(E1100,0,0,-1*$J$5,1),F1101:T1101,0)</f>
        <v>16.224870994562309</v>
      </c>
      <c r="V1101" s="9" cm="1">
        <f t="array" aca="1" ref="V1101" ca="1">z_score_diff(OFFSET(U1101,0,0,$J$5*-1,1),OFFSET(E1101,0,0,$J$5*-1,1))</f>
        <v>-0.14618362259593898</v>
      </c>
      <c r="W1101" s="9">
        <f t="shared" ca="1" si="1196"/>
        <v>-1.1409781488162022E-2</v>
      </c>
      <c r="X1101" s="17">
        <f t="shared" ca="1" si="1191"/>
        <v>9.2508621551703585E-2</v>
      </c>
      <c r="Y1101" s="13">
        <f t="shared" ref="Y1101:Z1101" ca="1" si="1203">+Y1100</f>
        <v>0</v>
      </c>
      <c r="Z1101" s="13">
        <f t="shared" ca="1" si="1203"/>
        <v>0</v>
      </c>
      <c r="AA1101">
        <f t="shared" ca="1" si="1198"/>
        <v>1</v>
      </c>
      <c r="AB1101">
        <f t="shared" ca="1" si="1199"/>
        <v>0</v>
      </c>
      <c r="AC1101" s="24">
        <f t="shared" ca="1" si="1200"/>
        <v>9.2508621551703585E-2</v>
      </c>
      <c r="AD1101" s="24">
        <f t="shared" ca="1" si="1201"/>
        <v>0</v>
      </c>
    </row>
    <row r="1102" spans="3:30" x14ac:dyDescent="0.25">
      <c r="C1102" s="6">
        <v>1196</v>
      </c>
      <c r="D1102" s="36">
        <v>43707</v>
      </c>
      <c r="E1102" s="38">
        <v>16.742000000000001</v>
      </c>
      <c r="F1102" s="38">
        <v>50.151928493800874</v>
      </c>
      <c r="G1102" s="38">
        <v>49.48</v>
      </c>
      <c r="H1102" s="38">
        <v>2.0662275156918848</v>
      </c>
      <c r="I1102" s="38">
        <v>5.3895801450528973</v>
      </c>
      <c r="J1102" s="10">
        <v>0</v>
      </c>
      <c r="K1102" s="39">
        <v>0</v>
      </c>
      <c r="L1102" s="39">
        <v>0</v>
      </c>
      <c r="M1102" s="39">
        <v>0</v>
      </c>
      <c r="N1102" s="39">
        <v>0</v>
      </c>
      <c r="O1102" s="39">
        <v>0</v>
      </c>
      <c r="P1102" s="39">
        <v>0</v>
      </c>
      <c r="Q1102" s="39">
        <v>1</v>
      </c>
      <c r="R1102" s="39">
        <v>0</v>
      </c>
      <c r="S1102" s="39">
        <v>0</v>
      </c>
      <c r="T1102" s="39">
        <v>0</v>
      </c>
      <c r="U1102" s="29" cm="1">
        <f t="array" aca="1" ref="U1102" ca="1">+fair_value_gap(OFFSET(T1101,0,0,-1*$J$5,-1*$AA$1),OFFSET(E1101,0,0,-1*$J$5,1),F1102:T1102,0)</f>
        <v>17.402390406624093</v>
      </c>
      <c r="V1102" s="9" cm="1">
        <f t="array" aca="1" ref="V1102" ca="1">z_score_diff(OFFSET(U1102,0,0,$J$5*-1,1),OFFSET(E1102,0,0,$J$5*-1,1))</f>
        <v>4.7605767377234764E-2</v>
      </c>
      <c r="W1102" s="9">
        <f t="shared" ca="1" si="1196"/>
        <v>-9.4659336593711108E-3</v>
      </c>
      <c r="X1102" s="17">
        <f t="shared" ca="1" si="1191"/>
        <v>6.6600811980124422E-2</v>
      </c>
      <c r="Y1102" s="13">
        <f t="shared" ref="Y1102:Z1102" ca="1" si="1204">+Y1101</f>
        <v>0</v>
      </c>
      <c r="Z1102" s="13">
        <f t="shared" ca="1" si="1204"/>
        <v>0</v>
      </c>
      <c r="AA1102">
        <f t="shared" ca="1" si="1198"/>
        <v>1</v>
      </c>
      <c r="AB1102">
        <f t="shared" ca="1" si="1199"/>
        <v>0</v>
      </c>
      <c r="AC1102" s="24">
        <f t="shared" ca="1" si="1200"/>
        <v>6.6600811980124422E-2</v>
      </c>
      <c r="AD1102" s="24">
        <f t="shared" ca="1" si="1201"/>
        <v>0</v>
      </c>
    </row>
    <row r="1103" spans="3:30" x14ac:dyDescent="0.25">
      <c r="C1103" s="6">
        <v>1197</v>
      </c>
      <c r="D1103" s="36">
        <v>43710</v>
      </c>
      <c r="E1103" s="38">
        <v>16.082999999999998</v>
      </c>
      <c r="F1103" s="38">
        <v>49.78401737462206</v>
      </c>
      <c r="G1103" s="38">
        <v>47.88</v>
      </c>
      <c r="H1103" s="38">
        <v>2.0704817225981214</v>
      </c>
      <c r="I1103" s="38">
        <v>5.4006768848362325</v>
      </c>
      <c r="J1103" s="10">
        <v>0</v>
      </c>
      <c r="K1103" s="39">
        <v>0</v>
      </c>
      <c r="L1103" s="39">
        <v>0</v>
      </c>
      <c r="M1103" s="39">
        <v>0</v>
      </c>
      <c r="N1103" s="39">
        <v>0</v>
      </c>
      <c r="O1103" s="39">
        <v>0</v>
      </c>
      <c r="P1103" s="39">
        <v>0</v>
      </c>
      <c r="Q1103" s="39">
        <v>0</v>
      </c>
      <c r="R1103" s="39">
        <v>1</v>
      </c>
      <c r="S1103" s="39">
        <v>0</v>
      </c>
      <c r="T1103" s="39">
        <v>0</v>
      </c>
      <c r="U1103" s="29" cm="1">
        <f t="array" aca="1" ref="U1103" ca="1">+fair_value_gap(OFFSET(T1102,0,0,-1*$J$5,-1*$AA$1),OFFSET(E1102,0,0,-1*$J$5,1),F1103:T1103,0)</f>
        <v>18.884993229837235</v>
      </c>
      <c r="V1103" s="9" cm="1">
        <f t="array" aca="1" ref="V1103" ca="1">z_score_diff(OFFSET(U1103,0,0,$J$5*-1,1),OFFSET(E1103,0,0,$J$5*-1,1))</f>
        <v>0.78826196381189773</v>
      </c>
      <c r="W1103" s="9">
        <f t="shared" ca="1" si="1196"/>
        <v>1.5329239189514099E-2</v>
      </c>
      <c r="X1103" s="17">
        <f t="shared" ca="1" si="1191"/>
        <v>9.6874696662422155E-2</v>
      </c>
      <c r="Y1103" s="13">
        <f t="shared" ref="Y1103:Z1103" ca="1" si="1205">+Y1102</f>
        <v>0</v>
      </c>
      <c r="Z1103" s="13">
        <f t="shared" ca="1" si="1205"/>
        <v>0</v>
      </c>
      <c r="AA1103">
        <f t="shared" ca="1" si="1198"/>
        <v>0</v>
      </c>
      <c r="AB1103">
        <f t="shared" ca="1" si="1199"/>
        <v>1</v>
      </c>
      <c r="AC1103" s="24">
        <f t="shared" ca="1" si="1200"/>
        <v>0</v>
      </c>
      <c r="AD1103" s="24">
        <f t="shared" ca="1" si="1201"/>
        <v>9.6874696662422155E-2</v>
      </c>
    </row>
    <row r="1104" spans="3:30" x14ac:dyDescent="0.25">
      <c r="C1104" s="6">
        <v>1198</v>
      </c>
      <c r="D1104" s="36">
        <v>43711</v>
      </c>
      <c r="E1104" s="38">
        <v>16.163</v>
      </c>
      <c r="F1104" s="38">
        <v>49.521883715083028</v>
      </c>
      <c r="G1104" s="38">
        <v>47.93</v>
      </c>
      <c r="H1104" s="38">
        <v>2.0967284816576237</v>
      </c>
      <c r="I1104" s="38">
        <v>5.2418212041440597</v>
      </c>
      <c r="J1104" s="10">
        <v>0</v>
      </c>
      <c r="K1104" s="39">
        <v>0</v>
      </c>
      <c r="L1104" s="39">
        <v>0</v>
      </c>
      <c r="M1104" s="39">
        <v>0</v>
      </c>
      <c r="N1104" s="39">
        <v>0</v>
      </c>
      <c r="O1104" s="39">
        <v>0</v>
      </c>
      <c r="P1104" s="39">
        <v>0</v>
      </c>
      <c r="Q1104" s="39">
        <v>0</v>
      </c>
      <c r="R1104" s="39">
        <v>1</v>
      </c>
      <c r="S1104" s="39">
        <v>0</v>
      </c>
      <c r="T1104" s="39">
        <v>0</v>
      </c>
      <c r="U1104" s="29" cm="1">
        <f t="array" aca="1" ref="U1104" ca="1">+fair_value_gap(OFFSET(T1103,0,0,-1*$J$5,-1*$AA$1),OFFSET(E1103,0,0,-1*$J$5,1),F1104:T1104,0)</f>
        <v>17.704519829558841</v>
      </c>
      <c r="V1104" s="9" cm="1">
        <f t="array" aca="1" ref="V1104" ca="1">z_score_diff(OFFSET(U1104,0,0,$J$5*-1,1),OFFSET(E1104,0,0,$J$5*-1,1))</f>
        <v>0.33927751646329352</v>
      </c>
      <c r="W1104" s="9">
        <f t="shared" ca="1" si="1196"/>
        <v>2.6681551718497429E-2</v>
      </c>
      <c r="X1104" s="17">
        <f t="shared" ca="1" si="1191"/>
        <v>9.1404772367070522E-2</v>
      </c>
      <c r="Y1104" s="13">
        <f t="shared" ref="Y1104:Z1104" ca="1" si="1206">+Y1103</f>
        <v>0</v>
      </c>
      <c r="Z1104" s="13">
        <f t="shared" ca="1" si="1206"/>
        <v>0</v>
      </c>
      <c r="AA1104">
        <f t="shared" ca="1" si="1198"/>
        <v>0</v>
      </c>
      <c r="AB1104">
        <f t="shared" ca="1" si="1199"/>
        <v>1</v>
      </c>
      <c r="AC1104" s="24">
        <f t="shared" ca="1" si="1200"/>
        <v>0</v>
      </c>
      <c r="AD1104" s="24">
        <f t="shared" ca="1" si="1201"/>
        <v>9.1404772367070522E-2</v>
      </c>
    </row>
    <row r="1105" spans="3:30" x14ac:dyDescent="0.25">
      <c r="C1105" s="6">
        <v>1199</v>
      </c>
      <c r="D1105" s="36">
        <v>43712</v>
      </c>
      <c r="E1105" s="38">
        <v>16.222000000000001</v>
      </c>
      <c r="F1105" s="38">
        <v>51.083287507492741</v>
      </c>
      <c r="G1105" s="38">
        <v>48.63</v>
      </c>
      <c r="H1105" s="38">
        <v>2.0917801703483532</v>
      </c>
      <c r="I1105" s="38">
        <v>5.1940864331346468</v>
      </c>
      <c r="J1105" s="10">
        <v>0</v>
      </c>
      <c r="K1105" s="39">
        <v>0</v>
      </c>
      <c r="L1105" s="39">
        <v>0</v>
      </c>
      <c r="M1105" s="39">
        <v>0</v>
      </c>
      <c r="N1105" s="39">
        <v>0</v>
      </c>
      <c r="O1105" s="39">
        <v>0</v>
      </c>
      <c r="P1105" s="39">
        <v>0</v>
      </c>
      <c r="Q1105" s="39">
        <v>0</v>
      </c>
      <c r="R1105" s="39">
        <v>1</v>
      </c>
      <c r="S1105" s="39">
        <v>0</v>
      </c>
      <c r="T1105" s="39">
        <v>0</v>
      </c>
      <c r="U1105" s="29" cm="1">
        <f t="array" aca="1" ref="U1105" ca="1">+fair_value_gap(OFFSET(T1104,0,0,-1*$J$5,-1*$AA$1),OFFSET(E1104,0,0,-1*$J$5,1),F1105:T1105,0)</f>
        <v>17.446190104158291</v>
      </c>
      <c r="V1105" s="9" cm="1">
        <f t="array" aca="1" ref="V1105" ca="1">z_score_diff(OFFSET(U1105,0,0,$J$5*-1,1),OFFSET(E1105,0,0,$J$5*-1,1))</f>
        <v>0.22464955983088264</v>
      </c>
      <c r="W1105" s="9">
        <f t="shared" ca="1" si="1196"/>
        <v>3.4329376722499381E-2</v>
      </c>
      <c r="X1105" s="17">
        <f t="shared" ca="1" si="1191"/>
        <v>8.1530556395953191E-2</v>
      </c>
      <c r="Y1105" s="13">
        <f t="shared" ref="Y1105:Z1105" ca="1" si="1207">+Y1104</f>
        <v>0</v>
      </c>
      <c r="Z1105" s="13">
        <f t="shared" ca="1" si="1207"/>
        <v>0</v>
      </c>
      <c r="AA1105">
        <f t="shared" ca="1" si="1198"/>
        <v>0</v>
      </c>
      <c r="AB1105">
        <f t="shared" ca="1" si="1199"/>
        <v>1</v>
      </c>
      <c r="AC1105" s="24">
        <f t="shared" ca="1" si="1200"/>
        <v>0</v>
      </c>
      <c r="AD1105" s="24">
        <f t="shared" ca="1" si="1201"/>
        <v>8.1530556395953191E-2</v>
      </c>
    </row>
    <row r="1106" spans="3:30" x14ac:dyDescent="0.25">
      <c r="C1106" s="6">
        <v>1200</v>
      </c>
      <c r="D1106" s="36">
        <v>43713</v>
      </c>
      <c r="E1106" s="38">
        <v>16.556999999999999</v>
      </c>
      <c r="F1106" s="38">
        <v>51.126190219475859</v>
      </c>
      <c r="G1106" s="38">
        <v>48.32</v>
      </c>
      <c r="H1106" s="38">
        <v>2.1077953962566967</v>
      </c>
      <c r="I1106" s="38">
        <v>5.2363470535936809</v>
      </c>
      <c r="J1106" s="10">
        <v>0</v>
      </c>
      <c r="K1106" s="39">
        <v>0</v>
      </c>
      <c r="L1106" s="39">
        <v>0</v>
      </c>
      <c r="M1106" s="39">
        <v>0</v>
      </c>
      <c r="N1106" s="39">
        <v>0</v>
      </c>
      <c r="O1106" s="39">
        <v>0</v>
      </c>
      <c r="P1106" s="39">
        <v>0</v>
      </c>
      <c r="Q1106" s="39">
        <v>0</v>
      </c>
      <c r="R1106" s="39">
        <v>1</v>
      </c>
      <c r="S1106" s="39">
        <v>0</v>
      </c>
      <c r="T1106" s="39">
        <v>0</v>
      </c>
      <c r="U1106" s="29" cm="1">
        <f t="array" aca="1" ref="U1106" ca="1">+fair_value_gap(OFFSET(T1105,0,0,-1*$J$5,-1*$AA$1),OFFSET(E1105,0,0,-1*$J$5,1),F1106:T1106,0)</f>
        <v>17.150588268502595</v>
      </c>
      <c r="V1106" s="9" cm="1">
        <f t="array" aca="1" ref="V1106" ca="1">z_score_diff(OFFSET(U1106,0,0,$J$5*-1,1),OFFSET(E1106,0,0,$J$5*-1,1))</f>
        <v>6.86201717749646E-3</v>
      </c>
      <c r="W1106" s="9">
        <f t="shared" ca="1" si="1196"/>
        <v>3.6130015975164589E-2</v>
      </c>
      <c r="X1106" s="17">
        <f t="shared" ca="1" si="1191"/>
        <v>5.4991827782654802E-2</v>
      </c>
      <c r="Y1106" s="13">
        <f t="shared" ref="Y1106:Z1106" ca="1" si="1208">+Y1105</f>
        <v>0</v>
      </c>
      <c r="Z1106" s="13">
        <f t="shared" ca="1" si="1208"/>
        <v>0</v>
      </c>
      <c r="AA1106">
        <f t="shared" ca="1" si="1198"/>
        <v>0</v>
      </c>
      <c r="AB1106">
        <f t="shared" ca="1" si="1199"/>
        <v>1</v>
      </c>
      <c r="AC1106" s="24">
        <f t="shared" ca="1" si="1200"/>
        <v>0</v>
      </c>
      <c r="AD1106" s="24">
        <f t="shared" ca="1" si="1201"/>
        <v>5.4991827782654802E-2</v>
      </c>
    </row>
    <row r="1107" spans="3:30" x14ac:dyDescent="0.25">
      <c r="C1107" s="6">
        <v>1201</v>
      </c>
      <c r="D1107" s="36">
        <v>43714</v>
      </c>
      <c r="E1107" s="38">
        <v>16.539000000000001</v>
      </c>
      <c r="F1107" s="38">
        <v>51.388279580544271</v>
      </c>
      <c r="G1107" s="38">
        <v>48.8</v>
      </c>
      <c r="H1107" s="38">
        <v>2.1271740514838031</v>
      </c>
      <c r="I1107" s="38">
        <v>5.1963191486350704</v>
      </c>
      <c r="J1107" s="10">
        <v>0</v>
      </c>
      <c r="K1107" s="39">
        <v>0</v>
      </c>
      <c r="L1107" s="39">
        <v>0</v>
      </c>
      <c r="M1107" s="39">
        <v>0</v>
      </c>
      <c r="N1107" s="39">
        <v>0</v>
      </c>
      <c r="O1107" s="39">
        <v>0</v>
      </c>
      <c r="P1107" s="39">
        <v>0</v>
      </c>
      <c r="Q1107" s="39">
        <v>0</v>
      </c>
      <c r="R1107" s="39">
        <v>1</v>
      </c>
      <c r="S1107" s="39">
        <v>0</v>
      </c>
      <c r="T1107" s="39">
        <v>0</v>
      </c>
      <c r="U1107" s="29" cm="1">
        <f t="array" aca="1" ref="U1107" ca="1">+fair_value_gap(OFFSET(T1106,0,0,-1*$J$5,-1*$AA$1),OFFSET(E1106,0,0,-1*$J$5,1),F1107:T1107,0)</f>
        <v>17.067017056154366</v>
      </c>
      <c r="V1107" s="9" cm="1">
        <f t="array" aca="1" ref="V1107" ca="1">z_score_diff(OFFSET(U1107,0,0,$J$5*-1,1),OFFSET(E1107,0,0,$J$5*-1,1))</f>
        <v>-1.638816660622977E-2</v>
      </c>
      <c r="W1107" s="9">
        <f t="shared" ca="1" si="1196"/>
        <v>3.0320753668971419E-2</v>
      </c>
      <c r="X1107" s="17">
        <f t="shared" ca="1" si="1191"/>
        <v>5.0634028809692644E-2</v>
      </c>
      <c r="Y1107" s="13">
        <f t="shared" ref="Y1107:Z1107" ca="1" si="1209">+Y1106</f>
        <v>0</v>
      </c>
      <c r="Z1107" s="13">
        <f t="shared" ca="1" si="1209"/>
        <v>0</v>
      </c>
      <c r="AA1107">
        <f t="shared" ca="1" si="1198"/>
        <v>0</v>
      </c>
      <c r="AB1107">
        <f t="shared" ca="1" si="1199"/>
        <v>1</v>
      </c>
      <c r="AC1107" s="24">
        <f t="shared" ca="1" si="1200"/>
        <v>0</v>
      </c>
      <c r="AD1107" s="24">
        <f t="shared" ca="1" si="1201"/>
        <v>5.0634028809692644E-2</v>
      </c>
    </row>
    <row r="1108" spans="3:30" x14ac:dyDescent="0.25">
      <c r="C1108" s="6">
        <v>1202</v>
      </c>
      <c r="D1108" s="36">
        <v>43717</v>
      </c>
      <c r="E1108" s="38">
        <v>16.667999999999999</v>
      </c>
      <c r="F1108" s="38">
        <v>51.909862873946047</v>
      </c>
      <c r="G1108" s="38">
        <v>48.69</v>
      </c>
      <c r="H1108" s="38">
        <v>2.1348173800080836</v>
      </c>
      <c r="I1108" s="38">
        <v>5.1627456275515868</v>
      </c>
      <c r="J1108" s="10">
        <v>0</v>
      </c>
      <c r="K1108" s="39">
        <v>0</v>
      </c>
      <c r="L1108" s="39">
        <v>0</v>
      </c>
      <c r="M1108" s="39">
        <v>0</v>
      </c>
      <c r="N1108" s="39">
        <v>0</v>
      </c>
      <c r="O1108" s="39">
        <v>0</v>
      </c>
      <c r="P1108" s="39">
        <v>0</v>
      </c>
      <c r="Q1108" s="39">
        <v>0</v>
      </c>
      <c r="R1108" s="39">
        <v>1</v>
      </c>
      <c r="S1108" s="39">
        <v>0</v>
      </c>
      <c r="T1108" s="39">
        <v>0</v>
      </c>
      <c r="U1108" s="29" cm="1">
        <f t="array" aca="1" ref="U1108" ca="1">+fair_value_gap(OFFSET(T1107,0,0,-1*$J$5,-1*$AA$1),OFFSET(E1107,0,0,-1*$J$5,1),F1108:T1108,0)</f>
        <v>16.917240672780789</v>
      </c>
      <c r="V1108" s="9" cm="1">
        <f t="array" aca="1" ref="V1108" ca="1">z_score_diff(OFFSET(U1108,0,0,$J$5*-1,1),OFFSET(E1108,0,0,$J$5*-1,1))</f>
        <v>-0.1109636995350507</v>
      </c>
      <c r="W1108" s="9">
        <f t="shared" ca="1" si="1196"/>
        <v>1.9998764803985145E-2</v>
      </c>
      <c r="X1108" s="17">
        <f t="shared" ca="1" si="1191"/>
        <v>2.9323453569071442E-2</v>
      </c>
      <c r="Y1108" s="13">
        <f t="shared" ref="Y1108:Z1108" ca="1" si="1210">+Y1107</f>
        <v>0</v>
      </c>
      <c r="Z1108" s="13">
        <f t="shared" ca="1" si="1210"/>
        <v>0</v>
      </c>
      <c r="AA1108">
        <f t="shared" ca="1" si="1198"/>
        <v>0</v>
      </c>
      <c r="AB1108">
        <f t="shared" ca="1" si="1199"/>
        <v>1</v>
      </c>
      <c r="AC1108" s="24">
        <f t="shared" ca="1" si="1200"/>
        <v>0</v>
      </c>
      <c r="AD1108" s="24">
        <f t="shared" ca="1" si="1201"/>
        <v>2.9323453569071442E-2</v>
      </c>
    </row>
    <row r="1109" spans="3:30" x14ac:dyDescent="0.25">
      <c r="C1109" s="6">
        <v>1203</v>
      </c>
      <c r="D1109" s="36">
        <v>43718</v>
      </c>
      <c r="E1109" s="38">
        <v>17.925999999999998</v>
      </c>
      <c r="F1109" s="38">
        <v>51.906411407940453</v>
      </c>
      <c r="G1109" s="38">
        <v>50.38</v>
      </c>
      <c r="H1109" s="38">
        <v>2.1369595177635863</v>
      </c>
      <c r="I1109" s="38">
        <v>5.7129698090500494</v>
      </c>
      <c r="J1109" s="10">
        <v>0</v>
      </c>
      <c r="K1109" s="39">
        <v>0</v>
      </c>
      <c r="L1109" s="39">
        <v>0</v>
      </c>
      <c r="M1109" s="39">
        <v>0</v>
      </c>
      <c r="N1109" s="39">
        <v>0</v>
      </c>
      <c r="O1109" s="39">
        <v>0</v>
      </c>
      <c r="P1109" s="39">
        <v>0</v>
      </c>
      <c r="Q1109" s="39">
        <v>0</v>
      </c>
      <c r="R1109" s="39">
        <v>1</v>
      </c>
      <c r="S1109" s="39">
        <v>0</v>
      </c>
      <c r="T1109" s="39">
        <v>0</v>
      </c>
      <c r="U1109" s="29" cm="1">
        <f t="array" aca="1" ref="U1109" ca="1">+fair_value_gap(OFFSET(T1108,0,0,-1*$J$5,-1*$AA$1),OFFSET(E1108,0,0,-1*$J$5,1),F1109:T1109,0)</f>
        <v>17.939534132452387</v>
      </c>
      <c r="V1109" s="9" cm="1">
        <f t="array" aca="1" ref="V1109" ca="1">z_score_diff(OFFSET(U1109,0,0,$J$5*-1,1),OFFSET(E1109,0,0,$J$5*-1,1))</f>
        <v>-0.17159955438392993</v>
      </c>
      <c r="W1109" s="9">
        <f t="shared" ca="1" si="1196"/>
        <v>1.1255615057942729E-2</v>
      </c>
      <c r="X1109" s="17">
        <f t="shared" ca="1" si="1191"/>
        <v>-4.729067533112799E-2</v>
      </c>
      <c r="Y1109" s="13">
        <f t="shared" ref="Y1109:Z1109" ca="1" si="1211">+Y1108</f>
        <v>0</v>
      </c>
      <c r="Z1109" s="13">
        <f t="shared" ca="1" si="1211"/>
        <v>0</v>
      </c>
      <c r="AA1109">
        <f t="shared" ca="1" si="1198"/>
        <v>0</v>
      </c>
      <c r="AB1109">
        <f t="shared" ca="1" si="1199"/>
        <v>1</v>
      </c>
      <c r="AC1109" s="24">
        <f t="shared" ca="1" si="1200"/>
        <v>0</v>
      </c>
      <c r="AD1109" s="24">
        <f t="shared" ca="1" si="1201"/>
        <v>-4.729067533112799E-2</v>
      </c>
    </row>
    <row r="1110" spans="3:30" x14ac:dyDescent="0.25">
      <c r="C1110" s="6">
        <v>1204</v>
      </c>
      <c r="D1110" s="36">
        <v>43719</v>
      </c>
      <c r="E1110" s="38">
        <v>17.998999999999999</v>
      </c>
      <c r="F1110" s="38">
        <v>51.132193895120572</v>
      </c>
      <c r="G1110" s="38">
        <v>51.2</v>
      </c>
      <c r="H1110" s="38">
        <v>2.1520492271301612</v>
      </c>
      <c r="I1110" s="38">
        <v>5.5106978358228114</v>
      </c>
      <c r="J1110" s="10">
        <v>0</v>
      </c>
      <c r="K1110" s="39">
        <v>0</v>
      </c>
      <c r="L1110" s="39">
        <v>0</v>
      </c>
      <c r="M1110" s="39">
        <v>0</v>
      </c>
      <c r="N1110" s="39">
        <v>0</v>
      </c>
      <c r="O1110" s="39">
        <v>0</v>
      </c>
      <c r="P1110" s="39">
        <v>0</v>
      </c>
      <c r="Q1110" s="39">
        <v>0</v>
      </c>
      <c r="R1110" s="39">
        <v>1</v>
      </c>
      <c r="S1110" s="39">
        <v>0</v>
      </c>
      <c r="T1110" s="39">
        <v>0</v>
      </c>
      <c r="U1110" s="29" cm="1">
        <f t="array" aca="1" ref="U1110" ca="1">+fair_value_gap(OFFSET(T1109,0,0,-1*$J$5,-1*$AA$1),OFFSET(E1109,0,0,-1*$J$5,1),F1110:T1110,0)</f>
        <v>17.779858864439316</v>
      </c>
      <c r="V1110" s="9" cm="1">
        <f t="array" aca="1" ref="V1110" ca="1">z_score_diff(OFFSET(U1110,0,0,$J$5*-1,1),OFFSET(E1110,0,0,$J$5*-1,1))</f>
        <v>-0.25071761984875929</v>
      </c>
      <c r="W1110" s="9">
        <f t="shared" ca="1" si="1196"/>
        <v>1.2731898629862189E-2</v>
      </c>
      <c r="X1110" s="17">
        <f t="shared" ca="1" si="1191"/>
        <v>-5.6514794389571563E-2</v>
      </c>
      <c r="Y1110" s="13">
        <f t="shared" ref="Y1110:Z1110" ca="1" si="1212">+Y1109</f>
        <v>0</v>
      </c>
      <c r="Z1110" s="13">
        <f t="shared" ca="1" si="1212"/>
        <v>0</v>
      </c>
      <c r="AA1110">
        <f t="shared" ca="1" si="1198"/>
        <v>0</v>
      </c>
      <c r="AB1110">
        <f t="shared" ca="1" si="1199"/>
        <v>1</v>
      </c>
      <c r="AC1110" s="24">
        <f t="shared" ca="1" si="1200"/>
        <v>0</v>
      </c>
      <c r="AD1110" s="24">
        <f t="shared" ca="1" si="1201"/>
        <v>-5.6514794389571563E-2</v>
      </c>
    </row>
    <row r="1111" spans="3:30" x14ac:dyDescent="0.25">
      <c r="C1111" s="6">
        <v>1205</v>
      </c>
      <c r="D1111" s="36">
        <v>43720</v>
      </c>
      <c r="E1111" s="38">
        <v>17.614000000000001</v>
      </c>
      <c r="F1111" s="38">
        <v>50.515287660416</v>
      </c>
      <c r="G1111" s="38">
        <v>50.18</v>
      </c>
      <c r="H1111" s="38">
        <v>2.1397613126219479</v>
      </c>
      <c r="I1111" s="38">
        <v>5.0673919059210055</v>
      </c>
      <c r="J1111" s="10">
        <v>0</v>
      </c>
      <c r="K1111" s="39">
        <v>0</v>
      </c>
      <c r="L1111" s="39">
        <v>0</v>
      </c>
      <c r="M1111" s="39">
        <v>0</v>
      </c>
      <c r="N1111" s="39">
        <v>0</v>
      </c>
      <c r="O1111" s="39">
        <v>0</v>
      </c>
      <c r="P1111" s="39">
        <v>0</v>
      </c>
      <c r="Q1111" s="39">
        <v>0</v>
      </c>
      <c r="R1111" s="39">
        <v>1</v>
      </c>
      <c r="S1111" s="39">
        <v>0</v>
      </c>
      <c r="T1111" s="39">
        <v>0</v>
      </c>
      <c r="U1111" s="29" cm="1">
        <f t="array" aca="1" ref="U1111" ca="1">+fair_value_gap(OFFSET(T1110,0,0,-1*$J$5,-1*$AA$1),OFFSET(E1110,0,0,-1*$J$5,1),F1111:T1111,0)</f>
        <v>17.005976217296368</v>
      </c>
      <c r="V1111" s="9" cm="1">
        <f t="array" aca="1" ref="V1111" ca="1">z_score_diff(OFFSET(U1111,0,0,$J$5*-1,1),OFFSET(E1111,0,0,$J$5*-1,1))</f>
        <v>-0.39049458339959531</v>
      </c>
      <c r="W1111" s="9">
        <f t="shared" ca="1" si="1196"/>
        <v>-1.502656951890663E-2</v>
      </c>
      <c r="X1111" s="17">
        <f t="shared" ca="1" si="1191"/>
        <v>-2.7279127213634072E-2</v>
      </c>
      <c r="Y1111" s="13">
        <f t="shared" ref="Y1111:Z1111" ca="1" si="1213">+Y1110</f>
        <v>0</v>
      </c>
      <c r="Z1111" s="13">
        <f t="shared" ca="1" si="1213"/>
        <v>0</v>
      </c>
      <c r="AA1111">
        <f t="shared" ca="1" si="1198"/>
        <v>1</v>
      </c>
      <c r="AB1111">
        <f t="shared" ca="1" si="1199"/>
        <v>0</v>
      </c>
      <c r="AC1111" s="24">
        <f t="shared" ca="1" si="1200"/>
        <v>-2.7279127213634072E-2</v>
      </c>
      <c r="AD1111" s="24">
        <f t="shared" ca="1" si="1201"/>
        <v>0</v>
      </c>
    </row>
    <row r="1112" spans="3:30" x14ac:dyDescent="0.25">
      <c r="C1112" s="6">
        <v>1206</v>
      </c>
      <c r="D1112" s="36">
        <v>43721</v>
      </c>
      <c r="E1112" s="38">
        <v>17.536000000000001</v>
      </c>
      <c r="F1112" s="38">
        <v>50.07161261755342</v>
      </c>
      <c r="G1112" s="38">
        <v>50.74</v>
      </c>
      <c r="H1112" s="38">
        <v>2.1294520204265419</v>
      </c>
      <c r="I1112" s="38">
        <v>5.4798837648430023</v>
      </c>
      <c r="J1112" s="10">
        <v>0</v>
      </c>
      <c r="K1112" s="39">
        <v>0</v>
      </c>
      <c r="L1112" s="39">
        <v>0</v>
      </c>
      <c r="M1112" s="39">
        <v>0</v>
      </c>
      <c r="N1112" s="39">
        <v>0</v>
      </c>
      <c r="O1112" s="39">
        <v>0</v>
      </c>
      <c r="P1112" s="39">
        <v>0</v>
      </c>
      <c r="Q1112" s="39">
        <v>0</v>
      </c>
      <c r="R1112" s="39">
        <v>1</v>
      </c>
      <c r="S1112" s="39">
        <v>0</v>
      </c>
      <c r="T1112" s="39">
        <v>0</v>
      </c>
      <c r="U1112" s="29" cm="1">
        <f t="array" aca="1" ref="U1112" ca="1">+fair_value_gap(OFFSET(T1111,0,0,-1*$J$5,-1*$AA$1),OFFSET(E1111,0,0,-1*$J$5,1),F1112:T1112,0)</f>
        <v>17.669471016208213</v>
      </c>
      <c r="V1112" s="9" cm="1">
        <f t="array" aca="1" ref="V1112" ca="1">z_score_diff(OFFSET(U1112,0,0,$J$5*-1,1),OFFSET(E1112,0,0,$J$5*-1,1))</f>
        <v>-0.12929105379787209</v>
      </c>
      <c r="W1112" s="9">
        <f t="shared" ca="1" si="1196"/>
        <v>-3.0848716301466676E-2</v>
      </c>
      <c r="X1112" s="17">
        <f t="shared" ca="1" si="1191"/>
        <v>-3.5877766883782351E-2</v>
      </c>
      <c r="Y1112" s="13">
        <f t="shared" ref="Y1112:Z1112" ca="1" si="1214">+Y1111</f>
        <v>0</v>
      </c>
      <c r="Z1112" s="13">
        <f t="shared" ca="1" si="1214"/>
        <v>0</v>
      </c>
      <c r="AA1112">
        <f t="shared" ca="1" si="1198"/>
        <v>1</v>
      </c>
      <c r="AB1112">
        <f t="shared" ca="1" si="1199"/>
        <v>0</v>
      </c>
      <c r="AC1112" s="24">
        <f t="shared" ca="1" si="1200"/>
        <v>-3.5877766883782351E-2</v>
      </c>
      <c r="AD1112" s="24">
        <f t="shared" ca="1" si="1201"/>
        <v>0</v>
      </c>
    </row>
    <row r="1113" spans="3:30" x14ac:dyDescent="0.25">
      <c r="C1113" s="6">
        <v>1207</v>
      </c>
      <c r="D1113" s="36">
        <v>43724</v>
      </c>
      <c r="E1113" s="38">
        <v>18.751999999999999</v>
      </c>
      <c r="F1113" s="38">
        <v>54.226992755550356</v>
      </c>
      <c r="G1113" s="38">
        <v>52.03</v>
      </c>
      <c r="H1113" s="38">
        <v>2.1674840164675593</v>
      </c>
      <c r="I1113" s="38">
        <v>6.1833132985117487</v>
      </c>
      <c r="J1113" s="10">
        <v>0</v>
      </c>
      <c r="K1113" s="39">
        <v>0</v>
      </c>
      <c r="L1113" s="39">
        <v>0</v>
      </c>
      <c r="M1113" s="39">
        <v>0</v>
      </c>
      <c r="N1113" s="39">
        <v>0</v>
      </c>
      <c r="O1113" s="39">
        <v>0</v>
      </c>
      <c r="P1113" s="39">
        <v>0</v>
      </c>
      <c r="Q1113" s="39">
        <v>0</v>
      </c>
      <c r="R1113" s="39">
        <v>1</v>
      </c>
      <c r="S1113" s="39">
        <v>0</v>
      </c>
      <c r="T1113" s="39">
        <v>0</v>
      </c>
      <c r="U1113" s="29" cm="1">
        <f t="array" aca="1" ref="U1113" ca="1">+fair_value_gap(OFFSET(T1112,0,0,-1*$J$5,-1*$AA$1),OFFSET(E1112,0,0,-1*$J$5,1),F1113:T1113,0)</f>
        <v>18.971776302394243</v>
      </c>
      <c r="V1113" s="9" cm="1">
        <f t="array" aca="1" ref="V1113" ca="1">z_score_diff(OFFSET(U1113,0,0,$J$5*-1,1),OFFSET(E1113,0,0,$J$5*-1,1))</f>
        <v>-8.1271235557644816E-2</v>
      </c>
      <c r="W1113" s="9">
        <f t="shared" ca="1" si="1196"/>
        <v>-3.8207810771345538E-2</v>
      </c>
      <c r="X1113" s="17">
        <f t="shared" ca="1" si="1191"/>
        <v>-0.10754340458042137</v>
      </c>
      <c r="Y1113" s="13">
        <f t="shared" ref="Y1113:Z1113" ca="1" si="1215">+Y1112</f>
        <v>0</v>
      </c>
      <c r="Z1113" s="13">
        <f t="shared" ca="1" si="1215"/>
        <v>0</v>
      </c>
      <c r="AA1113">
        <f t="shared" ca="1" si="1198"/>
        <v>1</v>
      </c>
      <c r="AB1113">
        <f t="shared" ca="1" si="1199"/>
        <v>0</v>
      </c>
      <c r="AC1113" s="24">
        <f t="shared" ca="1" si="1200"/>
        <v>-0.10754340458042137</v>
      </c>
      <c r="AD1113" s="24">
        <f t="shared" ca="1" si="1201"/>
        <v>0</v>
      </c>
    </row>
    <row r="1114" spans="3:30" x14ac:dyDescent="0.25">
      <c r="C1114" s="6">
        <v>1208</v>
      </c>
      <c r="D1114" s="36">
        <v>43725</v>
      </c>
      <c r="E1114" s="38">
        <v>17.984000000000002</v>
      </c>
      <c r="F1114" s="38">
        <v>52.290378447101666</v>
      </c>
      <c r="G1114" s="38">
        <v>51.59</v>
      </c>
      <c r="H1114" s="38">
        <v>2.1509579819206834</v>
      </c>
      <c r="I1114" s="38">
        <v>5.9651004205946085</v>
      </c>
      <c r="J1114" s="10">
        <v>0</v>
      </c>
      <c r="K1114" s="39">
        <v>0</v>
      </c>
      <c r="L1114" s="39">
        <v>0</v>
      </c>
      <c r="M1114" s="39">
        <v>0</v>
      </c>
      <c r="N1114" s="39">
        <v>0</v>
      </c>
      <c r="O1114" s="39">
        <v>0</v>
      </c>
      <c r="P1114" s="39">
        <v>0</v>
      </c>
      <c r="Q1114" s="39">
        <v>0</v>
      </c>
      <c r="R1114" s="39">
        <v>1</v>
      </c>
      <c r="S1114" s="39">
        <v>0</v>
      </c>
      <c r="T1114" s="39">
        <v>0</v>
      </c>
      <c r="U1114" s="29" cm="1">
        <f t="array" aca="1" ref="U1114" ca="1">+fair_value_gap(OFFSET(T1113,0,0,-1*$J$5,-1*$AA$1),OFFSET(E1113,0,0,-1*$J$5,1),F1114:T1114,0)</f>
        <v>18.45761429271105</v>
      </c>
      <c r="V1114" s="9" cm="1">
        <f t="array" aca="1" ref="V1114" ca="1">z_score_diff(OFFSET(U1114,0,0,$J$5*-1,1),OFFSET(E1114,0,0,$J$5*-1,1))</f>
        <v>-2.150895574698275E-3</v>
      </c>
      <c r="W1114" s="9">
        <f t="shared" ca="1" si="1196"/>
        <v>-3.9372399149680444E-2</v>
      </c>
      <c r="X1114" s="17">
        <f t="shared" ca="1" si="1191"/>
        <v>-6.5309874307213606E-2</v>
      </c>
      <c r="Y1114" s="13">
        <f t="shared" ref="Y1114:Z1114" ca="1" si="1216">+Y1113</f>
        <v>0</v>
      </c>
      <c r="Z1114" s="13">
        <f t="shared" ca="1" si="1216"/>
        <v>0</v>
      </c>
      <c r="AA1114">
        <f t="shared" ca="1" si="1198"/>
        <v>1</v>
      </c>
      <c r="AB1114">
        <f t="shared" ca="1" si="1199"/>
        <v>0</v>
      </c>
      <c r="AC1114" s="24">
        <f t="shared" ca="1" si="1200"/>
        <v>-6.5309874307213606E-2</v>
      </c>
      <c r="AD1114" s="24">
        <f t="shared" ca="1" si="1201"/>
        <v>0</v>
      </c>
    </row>
    <row r="1115" spans="3:30" x14ac:dyDescent="0.25">
      <c r="C1115" s="6">
        <v>1209</v>
      </c>
      <c r="D1115" s="36">
        <v>43726</v>
      </c>
      <c r="E1115" s="38">
        <v>17.815000000000001</v>
      </c>
      <c r="F1115" s="38">
        <v>51.856076179361011</v>
      </c>
      <c r="G1115" s="38">
        <v>49.79</v>
      </c>
      <c r="H1115" s="38">
        <v>2.1432076497659178</v>
      </c>
      <c r="I1115" s="38">
        <v>5.9901946481700064</v>
      </c>
      <c r="J1115" s="10">
        <v>0</v>
      </c>
      <c r="K1115" s="39">
        <v>0</v>
      </c>
      <c r="L1115" s="39">
        <v>0</v>
      </c>
      <c r="M1115" s="39">
        <v>0</v>
      </c>
      <c r="N1115" s="39">
        <v>0</v>
      </c>
      <c r="O1115" s="39">
        <v>0</v>
      </c>
      <c r="P1115" s="39">
        <v>0</v>
      </c>
      <c r="Q1115" s="39">
        <v>0</v>
      </c>
      <c r="R1115" s="39">
        <v>1</v>
      </c>
      <c r="S1115" s="39">
        <v>0</v>
      </c>
      <c r="T1115" s="39">
        <v>0</v>
      </c>
      <c r="U1115" s="29" cm="1">
        <f t="array" aca="1" ref="U1115" ca="1">+fair_value_gap(OFFSET(T1114,0,0,-1*$J$5,-1*$AA$1),OFFSET(E1114,0,0,-1*$J$5,1),F1115:T1115,0)</f>
        <v>17.968591375599022</v>
      </c>
      <c r="V1115" s="9" cm="1">
        <f t="array" aca="1" ref="V1115" ca="1">z_score_diff(OFFSET(U1115,0,0,$J$5*-1,1),OFFSET(E1115,0,0,$J$5*-1,1))</f>
        <v>-0.11728644205837591</v>
      </c>
      <c r="W1115" s="9">
        <f t="shared" ca="1" si="1196"/>
        <v>-4.2498664206132811E-2</v>
      </c>
      <c r="X1115" s="17">
        <f t="shared" ca="1" si="1191"/>
        <v>-6.8592005611303644E-2</v>
      </c>
      <c r="Y1115" s="13">
        <f t="shared" ref="Y1115:Z1115" ca="1" si="1217">+Y1114</f>
        <v>0</v>
      </c>
      <c r="Z1115" s="13">
        <f t="shared" ca="1" si="1217"/>
        <v>0</v>
      </c>
      <c r="AA1115">
        <f t="shared" ca="1" si="1198"/>
        <v>1</v>
      </c>
      <c r="AB1115">
        <f t="shared" ca="1" si="1199"/>
        <v>0</v>
      </c>
      <c r="AC1115" s="24">
        <f t="shared" ca="1" si="1200"/>
        <v>-6.8592005611303644E-2</v>
      </c>
      <c r="AD1115" s="24">
        <f t="shared" ca="1" si="1201"/>
        <v>0</v>
      </c>
    </row>
    <row r="1116" spans="3:30" x14ac:dyDescent="0.25">
      <c r="C1116" s="6">
        <v>1210</v>
      </c>
      <c r="D1116" s="36">
        <v>43727</v>
      </c>
      <c r="E1116" s="38">
        <v>17.891999999999999</v>
      </c>
      <c r="F1116" s="38">
        <v>52.05025163805464</v>
      </c>
      <c r="G1116" s="38">
        <v>50.61</v>
      </c>
      <c r="H1116" s="38">
        <v>2.1166395608414614</v>
      </c>
      <c r="I1116" s="38">
        <v>6.007157351302979</v>
      </c>
      <c r="J1116" s="10">
        <v>0</v>
      </c>
      <c r="K1116" s="39">
        <v>0</v>
      </c>
      <c r="L1116" s="39">
        <v>0</v>
      </c>
      <c r="M1116" s="39">
        <v>0</v>
      </c>
      <c r="N1116" s="39">
        <v>0</v>
      </c>
      <c r="O1116" s="39">
        <v>0</v>
      </c>
      <c r="P1116" s="39">
        <v>0</v>
      </c>
      <c r="Q1116" s="39">
        <v>0</v>
      </c>
      <c r="R1116" s="39">
        <v>1</v>
      </c>
      <c r="S1116" s="39">
        <v>0</v>
      </c>
      <c r="T1116" s="39">
        <v>0</v>
      </c>
      <c r="U1116" s="29" cm="1">
        <f t="array" aca="1" ref="U1116" ca="1">+fair_value_gap(OFFSET(T1115,0,0,-1*$J$5,-1*$AA$1),OFFSET(E1115,0,0,-1*$J$5,1),F1116:T1116,0)</f>
        <v>18.078279524604362</v>
      </c>
      <c r="V1116" s="9" cm="1">
        <f t="array" aca="1" ref="V1116" ca="1">z_score_diff(OFFSET(U1116,0,0,$J$5*-1,1),OFFSET(E1116,0,0,$J$5*-1,1))</f>
        <v>-0.10427011094146521</v>
      </c>
      <c r="W1116" s="9">
        <f t="shared" ca="1" si="1196"/>
        <v>-4.4024088308078094E-2</v>
      </c>
      <c r="X1116" s="17">
        <f t="shared" ca="1" si="1191"/>
        <v>2.0468712623546777E-2</v>
      </c>
      <c r="Y1116" s="13">
        <f t="shared" ref="Y1116:Z1116" ca="1" si="1218">+Y1115</f>
        <v>0</v>
      </c>
      <c r="Z1116" s="13">
        <f t="shared" ca="1" si="1218"/>
        <v>0</v>
      </c>
      <c r="AA1116">
        <f t="shared" ca="1" si="1198"/>
        <v>1</v>
      </c>
      <c r="AB1116">
        <f t="shared" ca="1" si="1199"/>
        <v>0</v>
      </c>
      <c r="AC1116" s="24">
        <f t="shared" ca="1" si="1200"/>
        <v>2.0468712623546777E-2</v>
      </c>
      <c r="AD1116" s="24">
        <f t="shared" ca="1" si="1201"/>
        <v>0</v>
      </c>
    </row>
    <row r="1117" spans="3:30" x14ac:dyDescent="0.25">
      <c r="C1117" s="6">
        <v>1211</v>
      </c>
      <c r="D1117" s="36">
        <v>43728</v>
      </c>
      <c r="E1117" s="38">
        <v>18.283000000000001</v>
      </c>
      <c r="F1117" s="38">
        <v>52.158055034457462</v>
      </c>
      <c r="G1117" s="38">
        <v>50.63</v>
      </c>
      <c r="H1117" s="38">
        <v>2.1267300727607528</v>
      </c>
      <c r="I1117" s="38">
        <v>6.3137299035084844</v>
      </c>
      <c r="J1117" s="10">
        <v>0</v>
      </c>
      <c r="K1117" s="39">
        <v>0</v>
      </c>
      <c r="L1117" s="39">
        <v>0</v>
      </c>
      <c r="M1117" s="39">
        <v>0</v>
      </c>
      <c r="N1117" s="39">
        <v>0</v>
      </c>
      <c r="O1117" s="39">
        <v>0</v>
      </c>
      <c r="P1117" s="39">
        <v>0</v>
      </c>
      <c r="Q1117" s="39">
        <v>0</v>
      </c>
      <c r="R1117" s="39">
        <v>1</v>
      </c>
      <c r="S1117" s="39">
        <v>0</v>
      </c>
      <c r="T1117" s="39">
        <v>0</v>
      </c>
      <c r="U1117" s="29" cm="1">
        <f t="array" aca="1" ref="U1117" ca="1">+fair_value_gap(OFFSET(T1116,0,0,-1*$J$5,-1*$AA$1),OFFSET(E1116,0,0,-1*$J$5,1),F1117:T1117,0)</f>
        <v>18.226174464089379</v>
      </c>
      <c r="V1117" s="9" cm="1">
        <f t="array" aca="1" ref="V1117" ca="1">z_score_diff(OFFSET(U1117,0,0,$J$5*-1,1),OFFSET(E1117,0,0,$J$5*-1,1))</f>
        <v>-0.1852880650388099</v>
      </c>
      <c r="W1117" s="9">
        <f t="shared" ca="1" si="1196"/>
        <v>-4.545608844972128E-2</v>
      </c>
      <c r="X1117" s="17">
        <f t="shared" ca="1" si="1191"/>
        <v>-1.4230982149946057E-3</v>
      </c>
      <c r="Y1117" s="13">
        <f t="shared" ref="Y1117:Z1117" ca="1" si="1219">+Y1116</f>
        <v>0</v>
      </c>
      <c r="Z1117" s="13">
        <f t="shared" ca="1" si="1219"/>
        <v>0</v>
      </c>
      <c r="AA1117">
        <f t="shared" ca="1" si="1198"/>
        <v>1</v>
      </c>
      <c r="AB1117">
        <f t="shared" ca="1" si="1199"/>
        <v>0</v>
      </c>
      <c r="AC1117" s="24">
        <f t="shared" ca="1" si="1200"/>
        <v>-1.4230982149946057E-3</v>
      </c>
      <c r="AD1117" s="24">
        <f t="shared" ca="1" si="1201"/>
        <v>0</v>
      </c>
    </row>
    <row r="1118" spans="3:30" x14ac:dyDescent="0.25">
      <c r="C1118" s="6">
        <v>1212</v>
      </c>
      <c r="D1118" s="36">
        <v>43731</v>
      </c>
      <c r="E1118" s="38">
        <v>18.050999999999998</v>
      </c>
      <c r="F1118" s="38">
        <v>52.778645685394537</v>
      </c>
      <c r="G1118" s="38">
        <v>49.71</v>
      </c>
      <c r="H1118" s="38">
        <v>2.1338692268363344</v>
      </c>
      <c r="I1118" s="38">
        <v>6.2578111685508144</v>
      </c>
      <c r="J1118" s="10">
        <v>0</v>
      </c>
      <c r="K1118" s="39">
        <v>0</v>
      </c>
      <c r="L1118" s="39">
        <v>0</v>
      </c>
      <c r="M1118" s="39">
        <v>0</v>
      </c>
      <c r="N1118" s="39">
        <v>0</v>
      </c>
      <c r="O1118" s="39">
        <v>0</v>
      </c>
      <c r="P1118" s="39">
        <v>0</v>
      </c>
      <c r="Q1118" s="39">
        <v>0</v>
      </c>
      <c r="R1118" s="39">
        <v>1</v>
      </c>
      <c r="S1118" s="39">
        <v>0</v>
      </c>
      <c r="T1118" s="39">
        <v>0</v>
      </c>
      <c r="U1118" s="29" cm="1">
        <f t="array" aca="1" ref="U1118" ca="1">+fair_value_gap(OFFSET(T1117,0,0,-1*$J$5,-1*$AA$1),OFFSET(E1117,0,0,-1*$J$5,1),F1118:T1118,0)</f>
        <v>17.819493896271553</v>
      </c>
      <c r="V1118" s="9" cm="1">
        <f t="array" aca="1" ref="V1118" ca="1">z_score_diff(OFFSET(U1118,0,0,$J$5*-1,1),OFFSET(E1118,0,0,$J$5*-1,1))</f>
        <v>-0.25079269204143895</v>
      </c>
      <c r="W1118" s="9">
        <f t="shared" ca="1" si="1196"/>
        <v>-5.0130085359427978E-2</v>
      </c>
      <c r="X1118" s="17">
        <f t="shared" ca="1" si="1191"/>
        <v>2.462369977114116E-2</v>
      </c>
      <c r="Y1118" s="13">
        <f t="shared" ref="Y1118:Z1118" ca="1" si="1220">+Y1117</f>
        <v>0</v>
      </c>
      <c r="Z1118" s="13">
        <f t="shared" ca="1" si="1220"/>
        <v>0</v>
      </c>
      <c r="AA1118">
        <f t="shared" ca="1" si="1198"/>
        <v>1</v>
      </c>
      <c r="AB1118">
        <f t="shared" ca="1" si="1199"/>
        <v>0</v>
      </c>
      <c r="AC1118" s="24">
        <f t="shared" ca="1" si="1200"/>
        <v>2.462369977114116E-2</v>
      </c>
      <c r="AD1118" s="24">
        <f t="shared" ca="1" si="1201"/>
        <v>0</v>
      </c>
    </row>
    <row r="1119" spans="3:30" x14ac:dyDescent="0.25">
      <c r="C1119" s="6">
        <v>1213</v>
      </c>
      <c r="D1119" s="36">
        <v>43732</v>
      </c>
      <c r="E1119" s="38">
        <v>18.009</v>
      </c>
      <c r="F1119" s="38">
        <v>51.650156978572092</v>
      </c>
      <c r="G1119" s="38">
        <v>49.58</v>
      </c>
      <c r="H1119" s="38">
        <v>2.1264064970087722</v>
      </c>
      <c r="I1119" s="38">
        <v>6.2879992206423498</v>
      </c>
      <c r="J1119" s="10">
        <v>0</v>
      </c>
      <c r="K1119" s="39">
        <v>0</v>
      </c>
      <c r="L1119" s="39">
        <v>0</v>
      </c>
      <c r="M1119" s="39">
        <v>0</v>
      </c>
      <c r="N1119" s="39">
        <v>0</v>
      </c>
      <c r="O1119" s="39">
        <v>0</v>
      </c>
      <c r="P1119" s="39">
        <v>0</v>
      </c>
      <c r="Q1119" s="39">
        <v>0</v>
      </c>
      <c r="R1119" s="39">
        <v>1</v>
      </c>
      <c r="S1119" s="39">
        <v>0</v>
      </c>
      <c r="T1119" s="39">
        <v>0</v>
      </c>
      <c r="U1119" s="29" cm="1">
        <f t="array" aca="1" ref="U1119" ca="1">+fair_value_gap(OFFSET(T1118,0,0,-1*$J$5,-1*$AA$1),OFFSET(E1118,0,0,-1*$J$5,1),F1119:T1119,0)</f>
        <v>17.774683190269613</v>
      </c>
      <c r="V1119" s="9" cm="1">
        <f t="array" aca="1" ref="V1119" ca="1">z_score_diff(OFFSET(U1119,0,0,$J$5*-1,1),OFFSET(E1119,0,0,$J$5*-1,1))</f>
        <v>-0.25211968742857283</v>
      </c>
      <c r="W1119" s="9">
        <f t="shared" ca="1" si="1196"/>
        <v>-5.3920822038797445E-2</v>
      </c>
      <c r="X1119" s="17">
        <f t="shared" ca="1" si="1191"/>
        <v>3.8720838111630261E-2</v>
      </c>
      <c r="Y1119" s="13">
        <f t="shared" ref="Y1119:Z1119" ca="1" si="1221">+Y1118</f>
        <v>0</v>
      </c>
      <c r="Z1119" s="13">
        <f t="shared" ca="1" si="1221"/>
        <v>0</v>
      </c>
      <c r="AA1119">
        <f t="shared" ca="1" si="1198"/>
        <v>1</v>
      </c>
      <c r="AB1119">
        <f t="shared" ca="1" si="1199"/>
        <v>0</v>
      </c>
      <c r="AC1119" s="24">
        <f t="shared" ca="1" si="1200"/>
        <v>3.8720838111630261E-2</v>
      </c>
      <c r="AD1119" s="24">
        <f t="shared" ca="1" si="1201"/>
        <v>0</v>
      </c>
    </row>
    <row r="1120" spans="3:30" x14ac:dyDescent="0.25">
      <c r="C1120" s="6">
        <v>1214</v>
      </c>
      <c r="D1120" s="36">
        <v>43733</v>
      </c>
      <c r="E1120" s="38">
        <v>17.643999999999998</v>
      </c>
      <c r="F1120" s="38">
        <v>51.469015189331813</v>
      </c>
      <c r="G1120" s="38">
        <v>48.68</v>
      </c>
      <c r="H1120" s="38">
        <v>2.1286457961919703</v>
      </c>
      <c r="I1120" s="38">
        <v>6.0391856236183417</v>
      </c>
      <c r="J1120" s="10">
        <v>0</v>
      </c>
      <c r="K1120" s="39">
        <v>0</v>
      </c>
      <c r="L1120" s="39">
        <v>0</v>
      </c>
      <c r="M1120" s="39">
        <v>0</v>
      </c>
      <c r="N1120" s="39">
        <v>0</v>
      </c>
      <c r="O1120" s="39">
        <v>0</v>
      </c>
      <c r="P1120" s="39">
        <v>0</v>
      </c>
      <c r="Q1120" s="39">
        <v>0</v>
      </c>
      <c r="R1120" s="39">
        <v>1</v>
      </c>
      <c r="S1120" s="39">
        <v>0</v>
      </c>
      <c r="T1120" s="39">
        <v>0</v>
      </c>
      <c r="U1120" s="29" cm="1">
        <f t="array" aca="1" ref="U1120" ca="1">+fair_value_gap(OFFSET(T1119,0,0,-1*$J$5,-1*$AA$1),OFFSET(E1119,0,0,-1*$J$5,1),F1120:T1120,0)</f>
        <v>17.393991325432687</v>
      </c>
      <c r="V1120" s="9" cm="1">
        <f t="array" aca="1" ref="V1120" ca="1">z_score_diff(OFFSET(U1120,0,0,$J$5*-1,1),OFFSET(E1120,0,0,$J$5*-1,1))</f>
        <v>-0.26204354014430842</v>
      </c>
      <c r="W1120" s="9">
        <f t="shared" ca="1" si="1196"/>
        <v>-5.7550200814883962E-2</v>
      </c>
      <c r="X1120" s="17">
        <f t="shared" ca="1" si="1191"/>
        <v>4.347546483097748E-2</v>
      </c>
      <c r="Y1120" s="13">
        <f t="shared" ref="Y1120:Z1120" ca="1" si="1222">+Y1119</f>
        <v>0</v>
      </c>
      <c r="Z1120" s="13">
        <f t="shared" ca="1" si="1222"/>
        <v>0</v>
      </c>
      <c r="AA1120">
        <f t="shared" ca="1" si="1198"/>
        <v>1</v>
      </c>
      <c r="AB1120">
        <f t="shared" ca="1" si="1199"/>
        <v>0</v>
      </c>
      <c r="AC1120" s="24">
        <f t="shared" ca="1" si="1200"/>
        <v>4.347546483097748E-2</v>
      </c>
      <c r="AD1120" s="24">
        <f t="shared" ca="1" si="1201"/>
        <v>0</v>
      </c>
    </row>
    <row r="1121" spans="3:30" x14ac:dyDescent="0.25">
      <c r="C1121" s="6">
        <v>1215</v>
      </c>
      <c r="D1121" s="36">
        <v>43734</v>
      </c>
      <c r="E1121" s="38">
        <v>17.780999999999999</v>
      </c>
      <c r="F1121" s="38">
        <v>51.693668999701593</v>
      </c>
      <c r="G1121" s="38">
        <v>48.68</v>
      </c>
      <c r="H1121" s="38">
        <v>2.1209949914499067</v>
      </c>
      <c r="I1121" s="38">
        <v>6.0529659086238912</v>
      </c>
      <c r="J1121" s="10">
        <v>0</v>
      </c>
      <c r="K1121" s="39">
        <v>0</v>
      </c>
      <c r="L1121" s="39">
        <v>0</v>
      </c>
      <c r="M1121" s="39">
        <v>0</v>
      </c>
      <c r="N1121" s="39">
        <v>0</v>
      </c>
      <c r="O1121" s="39">
        <v>0</v>
      </c>
      <c r="P1121" s="39">
        <v>0</v>
      </c>
      <c r="Q1121" s="39">
        <v>0</v>
      </c>
      <c r="R1121" s="39">
        <v>1</v>
      </c>
      <c r="S1121" s="39">
        <v>0</v>
      </c>
      <c r="T1121" s="39">
        <v>0</v>
      </c>
      <c r="U1121" s="29" cm="1">
        <f t="array" aca="1" ref="U1121" ca="1">+fair_value_gap(OFFSET(T1120,0,0,-1*$J$5,-1*$AA$1),OFFSET(E1120,0,0,-1*$J$5,1),F1121:T1121,0)</f>
        <v>17.434292246961753</v>
      </c>
      <c r="V1121" s="9" cm="1">
        <f t="array" aca="1" ref="V1121" ca="1">z_score_diff(OFFSET(U1121,0,0,$J$5*-1,1),OFFSET(E1121,0,0,$J$5*-1,1))</f>
        <v>-0.2940217987499617</v>
      </c>
      <c r="W1121" s="9">
        <f t="shared" ca="1" si="1196"/>
        <v>-6.2783273557883476E-2</v>
      </c>
      <c r="X1121" s="17">
        <f t="shared" ca="1" si="1191"/>
        <v>2.6198978606836336E-2</v>
      </c>
      <c r="Y1121" s="13">
        <f t="shared" ref="Y1121:Z1121" ca="1" si="1223">+Y1120</f>
        <v>0</v>
      </c>
      <c r="Z1121" s="13">
        <f t="shared" ca="1" si="1223"/>
        <v>0</v>
      </c>
      <c r="AA1121">
        <f t="shared" ca="1" si="1198"/>
        <v>1</v>
      </c>
      <c r="AB1121">
        <f t="shared" ca="1" si="1199"/>
        <v>0</v>
      </c>
      <c r="AC1121" s="24">
        <f t="shared" ca="1" si="1200"/>
        <v>2.6198978606836336E-2</v>
      </c>
      <c r="AD1121" s="24">
        <f t="shared" ca="1" si="1201"/>
        <v>0</v>
      </c>
    </row>
    <row r="1122" spans="3:30" x14ac:dyDescent="0.25">
      <c r="C1122" s="6">
        <v>1216</v>
      </c>
      <c r="D1122" s="36">
        <v>43735</v>
      </c>
      <c r="E1122" s="38">
        <v>17.596</v>
      </c>
      <c r="F1122" s="38">
        <v>51.177410562210973</v>
      </c>
      <c r="G1122" s="38">
        <v>47.92</v>
      </c>
      <c r="H1122" s="38">
        <v>2.1306076782175696</v>
      </c>
      <c r="I1122" s="38">
        <v>6.0447516833852752</v>
      </c>
      <c r="J1122" s="10">
        <v>0</v>
      </c>
      <c r="K1122" s="39">
        <v>0</v>
      </c>
      <c r="L1122" s="39">
        <v>0</v>
      </c>
      <c r="M1122" s="39">
        <v>0</v>
      </c>
      <c r="N1122" s="39">
        <v>0</v>
      </c>
      <c r="O1122" s="39">
        <v>0</v>
      </c>
      <c r="P1122" s="39">
        <v>0</v>
      </c>
      <c r="Q1122" s="39">
        <v>0</v>
      </c>
      <c r="R1122" s="39">
        <v>1</v>
      </c>
      <c r="S1122" s="39">
        <v>0</v>
      </c>
      <c r="T1122" s="39">
        <v>0</v>
      </c>
      <c r="U1122" s="29" cm="1">
        <f t="array" aca="1" ref="U1122" ca="1">+fair_value_gap(OFFSET(T1121,0,0,-1*$J$5,-1*$AA$1),OFFSET(E1121,0,0,-1*$J$5,1),F1122:T1122,0)</f>
        <v>17.254062598812588</v>
      </c>
      <c r="V1122" s="9" cm="1">
        <f t="array" aca="1" ref="V1122" ca="1">z_score_diff(OFFSET(U1122,0,0,$J$5*-1,1),OFFSET(E1122,0,0,$J$5*-1,1))</f>
        <v>-0.29342726397967556</v>
      </c>
      <c r="W1122" s="9">
        <f t="shared" ca="1" si="1196"/>
        <v>-7.0824967280097115E-2</v>
      </c>
      <c r="X1122" s="17">
        <f t="shared" ca="1" si="1191"/>
        <v>3.0337581538902789E-2</v>
      </c>
      <c r="Y1122" s="13">
        <f t="shared" ref="Y1122:Z1122" ca="1" si="1224">+Y1121</f>
        <v>0</v>
      </c>
      <c r="Z1122" s="13">
        <f t="shared" ca="1" si="1224"/>
        <v>0</v>
      </c>
      <c r="AA1122">
        <f t="shared" ca="1" si="1198"/>
        <v>1</v>
      </c>
      <c r="AB1122">
        <f t="shared" ca="1" si="1199"/>
        <v>0</v>
      </c>
      <c r="AC1122" s="24">
        <f t="shared" ca="1" si="1200"/>
        <v>3.0337581538902789E-2</v>
      </c>
      <c r="AD1122" s="24">
        <f t="shared" ca="1" si="1201"/>
        <v>0</v>
      </c>
    </row>
    <row r="1123" spans="3:30" x14ac:dyDescent="0.25">
      <c r="C1123" s="6">
        <v>1217</v>
      </c>
      <c r="D1123" s="36">
        <v>43738</v>
      </c>
      <c r="E1123" s="38">
        <v>17.997</v>
      </c>
      <c r="F1123" s="38">
        <v>50.316210663885748</v>
      </c>
      <c r="G1123" s="38">
        <v>50.71</v>
      </c>
      <c r="H1123" s="38">
        <v>2.1170225621791459</v>
      </c>
      <c r="I1123" s="38">
        <v>6.0869993331155143</v>
      </c>
      <c r="J1123" s="10">
        <v>0</v>
      </c>
      <c r="K1123" s="39">
        <v>0</v>
      </c>
      <c r="L1123" s="39">
        <v>0</v>
      </c>
      <c r="M1123" s="39">
        <v>0</v>
      </c>
      <c r="N1123" s="39">
        <v>0</v>
      </c>
      <c r="O1123" s="39">
        <v>0</v>
      </c>
      <c r="P1123" s="39">
        <v>0</v>
      </c>
      <c r="Q1123" s="39">
        <v>0</v>
      </c>
      <c r="R1123" s="39">
        <v>1</v>
      </c>
      <c r="S1123" s="39">
        <v>0</v>
      </c>
      <c r="T1123" s="39">
        <v>0</v>
      </c>
      <c r="U1123" s="29" cm="1">
        <f t="array" aca="1" ref="U1123" ca="1">+fair_value_gap(OFFSET(T1122,0,0,-1*$J$5,-1*$AA$1),OFFSET(E1122,0,0,-1*$J$5,1),F1123:T1123,0)</f>
        <v>17.930389372342816</v>
      </c>
      <c r="V1123" s="9" cm="1">
        <f t="array" aca="1" ref="V1123" ca="1">z_score_diff(OFFSET(U1123,0,0,$J$5*-1,1),OFFSET(E1123,0,0,$J$5*-1,1))</f>
        <v>-0.18784806722508551</v>
      </c>
      <c r="W1123" s="9">
        <f t="shared" ca="1" si="1196"/>
        <v>-7.7483565609537106E-2</v>
      </c>
      <c r="X1123" s="17">
        <f t="shared" ca="1" si="1191"/>
        <v>2.3310033864756084E-3</v>
      </c>
      <c r="Y1123" s="13">
        <f t="shared" ref="Y1123:Z1123" ca="1" si="1225">+Y1122</f>
        <v>0</v>
      </c>
      <c r="Z1123" s="13">
        <f t="shared" ca="1" si="1225"/>
        <v>0</v>
      </c>
      <c r="AA1123">
        <f t="shared" ca="1" si="1198"/>
        <v>1</v>
      </c>
      <c r="AB1123">
        <f t="shared" ca="1" si="1199"/>
        <v>0</v>
      </c>
      <c r="AC1123" s="24">
        <f t="shared" ca="1" si="1200"/>
        <v>2.3310033864756084E-3</v>
      </c>
      <c r="AD1123" s="24">
        <f t="shared" ca="1" si="1201"/>
        <v>0</v>
      </c>
    </row>
    <row r="1124" spans="3:30" x14ac:dyDescent="0.25">
      <c r="C1124" s="6">
        <v>1218</v>
      </c>
      <c r="D1124" s="36">
        <v>43739</v>
      </c>
      <c r="E1124" s="38">
        <v>18.071000000000002</v>
      </c>
      <c r="F1124" s="38">
        <v>50.034910153229681</v>
      </c>
      <c r="G1124" s="38">
        <v>50.13</v>
      </c>
      <c r="H1124" s="38">
        <v>2.1312157483183305</v>
      </c>
      <c r="I1124" s="38">
        <v>6.0713309964661279</v>
      </c>
      <c r="J1124" s="10">
        <v>0</v>
      </c>
      <c r="K1124" s="39">
        <v>0</v>
      </c>
      <c r="L1124" s="39">
        <v>0</v>
      </c>
      <c r="M1124" s="39">
        <v>0</v>
      </c>
      <c r="N1124" s="39">
        <v>0</v>
      </c>
      <c r="O1124" s="39">
        <v>0</v>
      </c>
      <c r="P1124" s="39">
        <v>0</v>
      </c>
      <c r="Q1124" s="39">
        <v>0</v>
      </c>
      <c r="R1124" s="39">
        <v>0</v>
      </c>
      <c r="S1124" s="39">
        <v>1</v>
      </c>
      <c r="T1124" s="39">
        <v>0</v>
      </c>
      <c r="U1124" s="29" cm="1">
        <f t="array" aca="1" ref="U1124" ca="1">+fair_value_gap(OFFSET(T1123,0,0,-1*$J$5,-1*$AA$1),OFFSET(E1123,0,0,-1*$J$5,1),F1124:T1124,0)</f>
        <v>19.325018655000342</v>
      </c>
      <c r="V1124" s="9" cm="1">
        <f t="array" aca="1" ref="V1124" ca="1">z_score_diff(OFFSET(U1124,0,0,$J$5*-1,1),OFFSET(E1124,0,0,$J$5*-1,1))</f>
        <v>0.29907400314642407</v>
      </c>
      <c r="W1124" s="9">
        <f t="shared" ca="1" si="1196"/>
        <v>-6.8412921431704438E-2</v>
      </c>
      <c r="X1124" s="17">
        <f t="shared" ca="1" si="1191"/>
        <v>-1.062567367065902E-2</v>
      </c>
      <c r="Y1124" s="13">
        <f t="shared" ref="Y1124:Z1124" ca="1" si="1226">+Y1123</f>
        <v>0</v>
      </c>
      <c r="Z1124" s="13">
        <f t="shared" ca="1" si="1226"/>
        <v>0</v>
      </c>
      <c r="AA1124">
        <f t="shared" ca="1" si="1198"/>
        <v>1</v>
      </c>
      <c r="AB1124">
        <f t="shared" ca="1" si="1199"/>
        <v>0</v>
      </c>
      <c r="AC1124" s="24">
        <f t="shared" ca="1" si="1200"/>
        <v>-1.062567367065902E-2</v>
      </c>
      <c r="AD1124" s="24">
        <f t="shared" ca="1" si="1201"/>
        <v>0</v>
      </c>
    </row>
    <row r="1125" spans="3:30" x14ac:dyDescent="0.25">
      <c r="C1125" s="6">
        <v>1219</v>
      </c>
      <c r="D1125" s="36">
        <v>43740</v>
      </c>
      <c r="E1125" s="38">
        <v>17.655999999999999</v>
      </c>
      <c r="F1125" s="38">
        <v>49.34131395081549</v>
      </c>
      <c r="G1125" s="38">
        <v>50.29</v>
      </c>
      <c r="H1125" s="38">
        <v>2.1204826147154363</v>
      </c>
      <c r="I1125" s="38">
        <v>6.0585217563298182</v>
      </c>
      <c r="J1125" s="10">
        <v>0</v>
      </c>
      <c r="K1125" s="39">
        <v>0</v>
      </c>
      <c r="L1125" s="39">
        <v>0</v>
      </c>
      <c r="M1125" s="39">
        <v>0</v>
      </c>
      <c r="N1125" s="39">
        <v>0</v>
      </c>
      <c r="O1125" s="39">
        <v>0</v>
      </c>
      <c r="P1125" s="39">
        <v>0</v>
      </c>
      <c r="Q1125" s="39">
        <v>0</v>
      </c>
      <c r="R1125" s="39">
        <v>0</v>
      </c>
      <c r="S1125" s="39">
        <v>1</v>
      </c>
      <c r="T1125" s="39">
        <v>0</v>
      </c>
      <c r="U1125" s="29" cm="1">
        <f t="array" aca="1" ref="U1125" ca="1">+fair_value_gap(OFFSET(T1124,0,0,-1*$J$5,-1*$AA$1),OFFSET(E1124,0,0,-1*$J$5,1),F1125:T1125,0)</f>
        <v>18.997646486848602</v>
      </c>
      <c r="V1125" s="9" cm="1">
        <f t="array" aca="1" ref="V1125" ca="1">z_score_diff(OFFSET(U1125,0,0,$J$5*-1,1),OFFSET(E1125,0,0,$J$5*-1,1))</f>
        <v>0.32560844288951624</v>
      </c>
      <c r="W1125" s="9">
        <f t="shared" ca="1" si="1196"/>
        <v>-5.6138601111142182E-2</v>
      </c>
      <c r="X1125" s="17">
        <f t="shared" ca="1" si="1191"/>
        <v>7.8418500077209376E-3</v>
      </c>
      <c r="Y1125" s="13">
        <f t="shared" ref="Y1125:Z1125" ca="1" si="1227">+Y1124</f>
        <v>0</v>
      </c>
      <c r="Z1125" s="13">
        <f t="shared" ca="1" si="1227"/>
        <v>0</v>
      </c>
      <c r="AA1125">
        <f t="shared" ca="1" si="1198"/>
        <v>1</v>
      </c>
      <c r="AB1125">
        <f t="shared" ca="1" si="1199"/>
        <v>0</v>
      </c>
      <c r="AC1125" s="24">
        <f t="shared" ca="1" si="1200"/>
        <v>7.8418500077209376E-3</v>
      </c>
      <c r="AD1125" s="24">
        <f t="shared" ca="1" si="1201"/>
        <v>0</v>
      </c>
    </row>
    <row r="1126" spans="3:30" x14ac:dyDescent="0.25">
      <c r="C1126" s="6">
        <v>1220</v>
      </c>
      <c r="D1126" s="36">
        <v>43741</v>
      </c>
      <c r="E1126" s="38">
        <v>17.408000000000001</v>
      </c>
      <c r="F1126" s="38">
        <v>49.118128609104012</v>
      </c>
      <c r="G1126" s="38">
        <v>49.45</v>
      </c>
      <c r="H1126" s="38">
        <v>2.1310369352997225</v>
      </c>
      <c r="I1126" s="38">
        <v>5.9269743286253265</v>
      </c>
      <c r="J1126" s="10">
        <v>0</v>
      </c>
      <c r="K1126" s="39">
        <v>0</v>
      </c>
      <c r="L1126" s="39">
        <v>0</v>
      </c>
      <c r="M1126" s="39">
        <v>0</v>
      </c>
      <c r="N1126" s="39">
        <v>0</v>
      </c>
      <c r="O1126" s="39">
        <v>0</v>
      </c>
      <c r="P1126" s="39">
        <v>0</v>
      </c>
      <c r="Q1126" s="39">
        <v>0</v>
      </c>
      <c r="R1126" s="39">
        <v>0</v>
      </c>
      <c r="S1126" s="39">
        <v>1</v>
      </c>
      <c r="T1126" s="39">
        <v>0</v>
      </c>
      <c r="U1126" s="29" cm="1">
        <f t="array" aca="1" ref="U1126" ca="1">+fair_value_gap(OFFSET(T1125,0,0,-1*$J$5,-1*$AA$1),OFFSET(E1125,0,0,-1*$J$5,1),F1126:T1126,0)</f>
        <v>18.395468464961791</v>
      </c>
      <c r="V1126" s="9" cm="1">
        <f t="array" aca="1" ref="V1126" ca="1">z_score_diff(OFFSET(U1126,0,0,$J$5*-1,1),OFFSET(E1126,0,0,$J$5*-1,1))</f>
        <v>0.18973148083742153</v>
      </c>
      <c r="W1126" s="9">
        <f t="shared" ca="1" si="1196"/>
        <v>-4.5980450246220356E-2</v>
      </c>
      <c r="X1126" s="17">
        <f t="shared" ca="1" si="1191"/>
        <v>3.2719404072301332E-2</v>
      </c>
      <c r="Y1126" s="13">
        <f t="shared" ref="Y1126:Z1126" ca="1" si="1228">+Y1125</f>
        <v>0</v>
      </c>
      <c r="Z1126" s="13">
        <f t="shared" ca="1" si="1228"/>
        <v>0</v>
      </c>
      <c r="AA1126">
        <f t="shared" ca="1" si="1198"/>
        <v>1</v>
      </c>
      <c r="AB1126">
        <f t="shared" ca="1" si="1199"/>
        <v>0</v>
      </c>
      <c r="AC1126" s="24">
        <f t="shared" ca="1" si="1200"/>
        <v>3.2719404072301332E-2</v>
      </c>
      <c r="AD1126" s="24">
        <f t="shared" ca="1" si="1201"/>
        <v>0</v>
      </c>
    </row>
    <row r="1127" spans="3:30" x14ac:dyDescent="0.25">
      <c r="C1127" s="6">
        <v>1221</v>
      </c>
      <c r="D1127" s="36">
        <v>43742</v>
      </c>
      <c r="E1127" s="38">
        <v>17.361999999999998</v>
      </c>
      <c r="F1127" s="38">
        <v>49.579403177249041</v>
      </c>
      <c r="G1127" s="38">
        <v>49.9</v>
      </c>
      <c r="H1127" s="38">
        <v>2.1379336750821647</v>
      </c>
      <c r="I1127" s="38">
        <v>6.0104341136212467</v>
      </c>
      <c r="J1127" s="10">
        <v>0</v>
      </c>
      <c r="K1127" s="39">
        <v>0</v>
      </c>
      <c r="L1127" s="39">
        <v>0</v>
      </c>
      <c r="M1127" s="39">
        <v>0</v>
      </c>
      <c r="N1127" s="39">
        <v>0</v>
      </c>
      <c r="O1127" s="39">
        <v>0</v>
      </c>
      <c r="P1127" s="39">
        <v>0</v>
      </c>
      <c r="Q1127" s="39">
        <v>0</v>
      </c>
      <c r="R1127" s="39">
        <v>0</v>
      </c>
      <c r="S1127" s="39">
        <v>1</v>
      </c>
      <c r="T1127" s="39">
        <v>0</v>
      </c>
      <c r="U1127" s="29" cm="1">
        <f t="array" aca="1" ref="U1127" ca="1">+fair_value_gap(OFFSET(T1126,0,0,-1*$J$5,-1*$AA$1),OFFSET(E1126,0,0,-1*$J$5,1),F1127:T1127,0)</f>
        <v>18.401260216764701</v>
      </c>
      <c r="V1127" s="9" cm="1">
        <f t="array" aca="1" ref="V1127" ca="1">z_score_diff(OFFSET(U1127,0,0,$J$5*-1,1),OFFSET(E1127,0,0,$J$5*-1,1))</f>
        <v>0.20801690470358913</v>
      </c>
      <c r="W1127" s="9">
        <f t="shared" ca="1" si="1196"/>
        <v>-3.2975652215148483E-2</v>
      </c>
      <c r="X1127" s="17">
        <f t="shared" ca="1" si="1191"/>
        <v>4.4882395608043774E-2</v>
      </c>
      <c r="Y1127" s="13">
        <f t="shared" ref="Y1127:Z1127" ca="1" si="1229">+Y1126</f>
        <v>0</v>
      </c>
      <c r="Z1127" s="13">
        <f t="shared" ca="1" si="1229"/>
        <v>0</v>
      </c>
      <c r="AA1127">
        <f t="shared" ca="1" si="1198"/>
        <v>1</v>
      </c>
      <c r="AB1127">
        <f t="shared" ca="1" si="1199"/>
        <v>0</v>
      </c>
      <c r="AC1127" s="24">
        <f t="shared" ca="1" si="1200"/>
        <v>4.4882395608043774E-2</v>
      </c>
      <c r="AD1127" s="24">
        <f t="shared" ca="1" si="1201"/>
        <v>0</v>
      </c>
    </row>
    <row r="1128" spans="3:30" x14ac:dyDescent="0.25">
      <c r="C1128" s="6">
        <v>1222</v>
      </c>
      <c r="D1128" s="36">
        <v>43745</v>
      </c>
      <c r="E1128" s="38">
        <v>17.303999999999998</v>
      </c>
      <c r="F1128" s="38">
        <v>49.656103648098103</v>
      </c>
      <c r="G1128" s="38">
        <v>49.86</v>
      </c>
      <c r="H1128" s="38">
        <v>2.1367711686419257</v>
      </c>
      <c r="I1128" s="38">
        <v>6.0121739842988733</v>
      </c>
      <c r="J1128" s="10">
        <v>0</v>
      </c>
      <c r="K1128" s="39">
        <v>0</v>
      </c>
      <c r="L1128" s="39">
        <v>0</v>
      </c>
      <c r="M1128" s="39">
        <v>0</v>
      </c>
      <c r="N1128" s="39">
        <v>0</v>
      </c>
      <c r="O1128" s="39">
        <v>0</v>
      </c>
      <c r="P1128" s="39">
        <v>0</v>
      </c>
      <c r="Q1128" s="39">
        <v>0</v>
      </c>
      <c r="R1128" s="39">
        <v>0</v>
      </c>
      <c r="S1128" s="39">
        <v>1</v>
      </c>
      <c r="T1128" s="39">
        <v>0</v>
      </c>
      <c r="U1128" s="29" cm="1">
        <f t="array" aca="1" ref="U1128" ca="1">+fair_value_gap(OFFSET(T1127,0,0,-1*$J$5,-1*$AA$1),OFFSET(E1127,0,0,-1*$J$5,1),F1128:T1128,0)</f>
        <v>18.209735391561544</v>
      </c>
      <c r="V1128" s="9" cm="1">
        <f t="array" aca="1" ref="V1128" ca="1">z_score_diff(OFFSET(U1128,0,0,$J$5*-1,1),OFFSET(E1128,0,0,$J$5*-1,1))</f>
        <v>0.15704327821952468</v>
      </c>
      <c r="W1128" s="9">
        <f t="shared" ca="1" si="1196"/>
        <v>-2.533047476779289E-2</v>
      </c>
      <c r="X1128" s="17">
        <f t="shared" ca="1" si="1191"/>
        <v>4.1653825983720076E-2</v>
      </c>
      <c r="Y1128" s="13">
        <f t="shared" ref="Y1128:Z1128" ca="1" si="1230">+Y1127</f>
        <v>0</v>
      </c>
      <c r="Z1128" s="13">
        <f t="shared" ca="1" si="1230"/>
        <v>0</v>
      </c>
      <c r="AA1128">
        <f t="shared" ca="1" si="1198"/>
        <v>1</v>
      </c>
      <c r="AB1128">
        <f t="shared" ca="1" si="1199"/>
        <v>0</v>
      </c>
      <c r="AC1128" s="24">
        <f t="shared" ca="1" si="1200"/>
        <v>4.1653825983720076E-2</v>
      </c>
      <c r="AD1128" s="24">
        <f t="shared" ca="1" si="1201"/>
        <v>0</v>
      </c>
    </row>
    <row r="1129" spans="3:30" x14ac:dyDescent="0.25">
      <c r="C1129" s="6">
        <v>1223</v>
      </c>
      <c r="D1129" s="36">
        <v>43746</v>
      </c>
      <c r="E1129" s="38">
        <v>17.341000000000001</v>
      </c>
      <c r="F1129" s="38">
        <v>49.809488966421867</v>
      </c>
      <c r="G1129" s="38">
        <v>50.06</v>
      </c>
      <c r="H1129" s="38">
        <v>2.1192679379299881</v>
      </c>
      <c r="I1129" s="38">
        <v>6.0008744768754401</v>
      </c>
      <c r="J1129" s="10">
        <v>0</v>
      </c>
      <c r="K1129" s="39">
        <v>0</v>
      </c>
      <c r="L1129" s="39">
        <v>0</v>
      </c>
      <c r="M1129" s="39">
        <v>0</v>
      </c>
      <c r="N1129" s="39">
        <v>0</v>
      </c>
      <c r="O1129" s="39">
        <v>0</v>
      </c>
      <c r="P1129" s="39">
        <v>0</v>
      </c>
      <c r="Q1129" s="39">
        <v>0</v>
      </c>
      <c r="R1129" s="39">
        <v>0</v>
      </c>
      <c r="S1129" s="39">
        <v>1</v>
      </c>
      <c r="T1129" s="39">
        <v>0</v>
      </c>
      <c r="U1129" s="29" cm="1">
        <f t="array" aca="1" ref="U1129" ca="1">+fair_value_gap(OFFSET(T1128,0,0,-1*$J$5,-1*$AA$1),OFFSET(E1128,0,0,-1*$J$5,1),F1129:T1129,0)</f>
        <v>18.095304206329036</v>
      </c>
      <c r="V1129" s="9" cm="1">
        <f t="array" aca="1" ref="V1129" ca="1">z_score_diff(OFFSET(U1129,0,0,$J$5*-1,1),OFFSET(E1129,0,0,$J$5*-1,1))</f>
        <v>0.10039709403139974</v>
      </c>
      <c r="W1129" s="9">
        <f t="shared" ca="1" si="1196"/>
        <v>-2.0064181879835954E-2</v>
      </c>
      <c r="X1129" s="17">
        <f t="shared" ca="1" si="1191"/>
        <v>4.1732715147618046E-2</v>
      </c>
      <c r="Y1129" s="13">
        <f t="shared" ref="Y1129:Z1129" ca="1" si="1231">+Y1128</f>
        <v>0</v>
      </c>
      <c r="Z1129" s="13">
        <f t="shared" ca="1" si="1231"/>
        <v>0</v>
      </c>
      <c r="AA1129">
        <f t="shared" ca="1" si="1198"/>
        <v>1</v>
      </c>
      <c r="AB1129">
        <f t="shared" ca="1" si="1199"/>
        <v>0</v>
      </c>
      <c r="AC1129" s="24">
        <f t="shared" ca="1" si="1200"/>
        <v>4.1732715147618046E-2</v>
      </c>
      <c r="AD1129" s="24">
        <f t="shared" ca="1" si="1201"/>
        <v>0</v>
      </c>
    </row>
    <row r="1130" spans="3:30" x14ac:dyDescent="0.25">
      <c r="C1130" s="6">
        <v>1224</v>
      </c>
      <c r="D1130" s="36">
        <v>43747</v>
      </c>
      <c r="E1130" s="38">
        <v>17.449000000000002</v>
      </c>
      <c r="F1130" s="38">
        <v>49.729436940187483</v>
      </c>
      <c r="G1130" s="38">
        <v>50.31</v>
      </c>
      <c r="H1130" s="38">
        <v>2.0998259202440326</v>
      </c>
      <c r="I1130" s="38">
        <v>6.0357745480073488</v>
      </c>
      <c r="J1130" s="10">
        <v>0</v>
      </c>
      <c r="K1130" s="39">
        <v>0</v>
      </c>
      <c r="L1130" s="39">
        <v>0</v>
      </c>
      <c r="M1130" s="39">
        <v>0</v>
      </c>
      <c r="N1130" s="39">
        <v>0</v>
      </c>
      <c r="O1130" s="39">
        <v>0</v>
      </c>
      <c r="P1130" s="39">
        <v>0</v>
      </c>
      <c r="Q1130" s="39">
        <v>0</v>
      </c>
      <c r="R1130" s="39">
        <v>0</v>
      </c>
      <c r="S1130" s="39">
        <v>1</v>
      </c>
      <c r="T1130" s="39">
        <v>0</v>
      </c>
      <c r="U1130" s="29" cm="1">
        <f t="array" aca="1" ref="U1130" ca="1">+fair_value_gap(OFFSET(T1129,0,0,-1*$J$5,-1*$AA$1),OFFSET(E1129,0,0,-1*$J$5,1),F1130:T1130,0)</f>
        <v>18.09429588794551</v>
      </c>
      <c r="V1130" s="9" cm="1">
        <f t="array" aca="1" ref="V1130" ca="1">z_score_diff(OFFSET(U1130,0,0,$J$5*-1,1),OFFSET(E1130,0,0,$J$5*-1,1))</f>
        <v>6.056016909113715E-2</v>
      </c>
      <c r="W1130" s="9">
        <f t="shared" ca="1" si="1196"/>
        <v>-1.6635663377586509E-2</v>
      </c>
      <c r="X1130" s="17">
        <f t="shared" ca="1" si="1191"/>
        <v>4.4773144565993871E-2</v>
      </c>
      <c r="Y1130" s="13">
        <f t="shared" ref="Y1130:Z1130" ca="1" si="1232">+Y1129</f>
        <v>0</v>
      </c>
      <c r="Z1130" s="13">
        <f t="shared" ca="1" si="1232"/>
        <v>0</v>
      </c>
      <c r="AA1130">
        <f t="shared" ca="1" si="1198"/>
        <v>1</v>
      </c>
      <c r="AB1130">
        <f t="shared" ca="1" si="1199"/>
        <v>0</v>
      </c>
      <c r="AC1130" s="24">
        <f t="shared" ca="1" si="1200"/>
        <v>4.4773144565993871E-2</v>
      </c>
      <c r="AD1130" s="24">
        <f t="shared" ca="1" si="1201"/>
        <v>0</v>
      </c>
    </row>
    <row r="1131" spans="3:30" x14ac:dyDescent="0.25">
      <c r="C1131" s="6">
        <v>1225</v>
      </c>
      <c r="D1131" s="36">
        <v>43748</v>
      </c>
      <c r="E1131" s="38">
        <v>17.643999999999998</v>
      </c>
      <c r="F1131" s="38">
        <v>50.090084010332355</v>
      </c>
      <c r="G1131" s="38">
        <v>50.14</v>
      </c>
      <c r="H1131" s="38">
        <v>2.0840529546578628</v>
      </c>
      <c r="I1131" s="38">
        <v>5.9493629297859743</v>
      </c>
      <c r="J1131" s="10">
        <v>0</v>
      </c>
      <c r="K1131" s="39">
        <v>0</v>
      </c>
      <c r="L1131" s="39">
        <v>0</v>
      </c>
      <c r="M1131" s="39">
        <v>0</v>
      </c>
      <c r="N1131" s="39">
        <v>0</v>
      </c>
      <c r="O1131" s="39">
        <v>0</v>
      </c>
      <c r="P1131" s="39">
        <v>0</v>
      </c>
      <c r="Q1131" s="39">
        <v>0</v>
      </c>
      <c r="R1131" s="39">
        <v>0</v>
      </c>
      <c r="S1131" s="39">
        <v>1</v>
      </c>
      <c r="T1131" s="39">
        <v>0</v>
      </c>
      <c r="U1131" s="29" cm="1">
        <f t="array" aca="1" ref="U1131" ca="1">+fair_value_gap(OFFSET(T1130,0,0,-1*$J$5,-1*$AA$1),OFFSET(E1130,0,0,-1*$J$5,1),F1131:T1131,0)</f>
        <v>17.923917029887857</v>
      </c>
      <c r="V1131" s="9" cm="1">
        <f t="array" aca="1" ref="V1131" ca="1">z_score_diff(OFFSET(U1131,0,0,$J$5*-1,1),OFFSET(E1131,0,0,$J$5*-1,1))</f>
        <v>-7.4701390712334503E-2</v>
      </c>
      <c r="W1131" s="9">
        <f t="shared" ca="1" si="1196"/>
        <v>-1.4252922314799694E-2</v>
      </c>
      <c r="X1131" s="17">
        <f t="shared" ca="1" si="1191"/>
        <v>3.2947042017950394E-2</v>
      </c>
      <c r="Y1131" s="13">
        <f t="shared" ref="Y1131:Z1131" ca="1" si="1233">+Y1130</f>
        <v>0</v>
      </c>
      <c r="Z1131" s="13">
        <f t="shared" ca="1" si="1233"/>
        <v>0</v>
      </c>
      <c r="AA1131">
        <f t="shared" ca="1" si="1198"/>
        <v>1</v>
      </c>
      <c r="AB1131">
        <f t="shared" ca="1" si="1199"/>
        <v>0</v>
      </c>
      <c r="AC1131" s="24">
        <f t="shared" ca="1" si="1200"/>
        <v>3.2947042017950394E-2</v>
      </c>
      <c r="AD1131" s="24">
        <f t="shared" ca="1" si="1201"/>
        <v>0</v>
      </c>
    </row>
    <row r="1132" spans="3:30" x14ac:dyDescent="0.25">
      <c r="C1132" s="6">
        <v>1226</v>
      </c>
      <c r="D1132" s="36">
        <v>43749</v>
      </c>
      <c r="E1132" s="38">
        <v>17.895</v>
      </c>
      <c r="F1132" s="38">
        <v>50.995852384525008</v>
      </c>
      <c r="G1132" s="38">
        <v>51.09</v>
      </c>
      <c r="H1132" s="38">
        <v>2.0711535467066802</v>
      </c>
      <c r="I1132" s="38">
        <v>5.9940475347875948</v>
      </c>
      <c r="J1132" s="10">
        <v>0</v>
      </c>
      <c r="K1132" s="39">
        <v>0</v>
      </c>
      <c r="L1132" s="39">
        <v>0</v>
      </c>
      <c r="M1132" s="39">
        <v>0</v>
      </c>
      <c r="N1132" s="39">
        <v>0</v>
      </c>
      <c r="O1132" s="39">
        <v>0</v>
      </c>
      <c r="P1132" s="39">
        <v>0</v>
      </c>
      <c r="Q1132" s="39">
        <v>0</v>
      </c>
      <c r="R1132" s="39">
        <v>0</v>
      </c>
      <c r="S1132" s="39">
        <v>1</v>
      </c>
      <c r="T1132" s="39">
        <v>0</v>
      </c>
      <c r="U1132" s="29" cm="1">
        <f t="array" aca="1" ref="U1132" ca="1">+fair_value_gap(OFFSET(T1131,0,0,-1*$J$5,-1*$AA$1),OFFSET(E1131,0,0,-1*$J$5,1),F1132:T1132,0)</f>
        <v>18.196973708501755</v>
      </c>
      <c r="V1132" s="9" cm="1">
        <f t="array" aca="1" ref="V1132" ca="1">z_score_diff(OFFSET(U1132,0,0,$J$5*-1,1),OFFSET(E1132,0,0,$J$5*-1,1))</f>
        <v>-6.2753462522739278E-2</v>
      </c>
      <c r="W1132" s="9">
        <f t="shared" ca="1" si="1196"/>
        <v>-1.7931563311465504E-2</v>
      </c>
      <c r="X1132" s="17">
        <f t="shared" ca="1" si="1191"/>
        <v>3.4329885000044212E-2</v>
      </c>
      <c r="Y1132" s="13">
        <f t="shared" ref="Y1132:Z1132" ca="1" si="1234">+Y1131</f>
        <v>0</v>
      </c>
      <c r="Z1132" s="13">
        <f t="shared" ca="1" si="1234"/>
        <v>0</v>
      </c>
      <c r="AA1132">
        <f t="shared" ca="1" si="1198"/>
        <v>1</v>
      </c>
      <c r="AB1132">
        <f t="shared" ca="1" si="1199"/>
        <v>0</v>
      </c>
      <c r="AC1132" s="24">
        <f t="shared" ca="1" si="1200"/>
        <v>3.4329885000044212E-2</v>
      </c>
      <c r="AD1132" s="24">
        <f t="shared" ca="1" si="1201"/>
        <v>0</v>
      </c>
    </row>
    <row r="1133" spans="3:30" x14ac:dyDescent="0.25">
      <c r="C1133" s="6">
        <v>1227</v>
      </c>
      <c r="D1133" s="36">
        <v>43752</v>
      </c>
      <c r="E1133" s="38">
        <v>17.719000000000001</v>
      </c>
      <c r="F1133" s="38">
        <v>50.569941942481236</v>
      </c>
      <c r="G1133" s="38">
        <v>51.1</v>
      </c>
      <c r="H1133" s="38">
        <v>2.0770272281965307</v>
      </c>
      <c r="I1133" s="38">
        <v>6.003353016651662</v>
      </c>
      <c r="J1133" s="10">
        <v>0</v>
      </c>
      <c r="K1133" s="39">
        <v>0</v>
      </c>
      <c r="L1133" s="39">
        <v>0</v>
      </c>
      <c r="M1133" s="39">
        <v>0</v>
      </c>
      <c r="N1133" s="39">
        <v>0</v>
      </c>
      <c r="O1133" s="39">
        <v>0</v>
      </c>
      <c r="P1133" s="39">
        <v>0</v>
      </c>
      <c r="Q1133" s="39">
        <v>0</v>
      </c>
      <c r="R1133" s="39">
        <v>0</v>
      </c>
      <c r="S1133" s="39">
        <v>1</v>
      </c>
      <c r="T1133" s="39">
        <v>0</v>
      </c>
      <c r="U1133" s="29" cm="1">
        <f t="array" aca="1" ref="U1133" ca="1">+fair_value_gap(OFFSET(T1132,0,0,-1*$J$5,-1*$AA$1),OFFSET(E1132,0,0,-1*$J$5,1),F1133:T1133,0)</f>
        <v>18.13710210915696</v>
      </c>
      <c r="V1133" s="9" cm="1">
        <f t="array" aca="1" ref="V1133" ca="1">z_score_diff(OFFSET(U1133,0,0,$J$5*-1,1),OFFSET(E1133,0,0,$J$5*-1,1))</f>
        <v>-2.0579919419627224E-2</v>
      </c>
      <c r="W1133" s="9">
        <f t="shared" ca="1" si="1196"/>
        <v>-4.4892959419183004E-2</v>
      </c>
      <c r="X1133" s="17">
        <f t="shared" ca="1" si="1191"/>
        <v>4.8147655621993246E-2</v>
      </c>
      <c r="Y1133" s="13">
        <f t="shared" ref="Y1133:Z1133" ca="1" si="1235">+Y1132</f>
        <v>0</v>
      </c>
      <c r="Z1133" s="13">
        <f t="shared" ca="1" si="1235"/>
        <v>0</v>
      </c>
      <c r="AA1133">
        <f t="shared" ca="1" si="1198"/>
        <v>1</v>
      </c>
      <c r="AB1133">
        <f t="shared" ca="1" si="1199"/>
        <v>0</v>
      </c>
      <c r="AC1133" s="24">
        <f t="shared" ca="1" si="1200"/>
        <v>4.8147655621993246E-2</v>
      </c>
      <c r="AD1133" s="24">
        <f t="shared" ca="1" si="1201"/>
        <v>0</v>
      </c>
    </row>
    <row r="1134" spans="3:30" x14ac:dyDescent="0.25">
      <c r="C1134" s="6">
        <v>1228</v>
      </c>
      <c r="D1134" s="36">
        <v>43753</v>
      </c>
      <c r="E1134" s="38">
        <v>17.71</v>
      </c>
      <c r="F1134" s="38">
        <v>49.952377788114383</v>
      </c>
      <c r="G1134" s="38">
        <v>51.47</v>
      </c>
      <c r="H1134" s="38">
        <v>2.0953773229671961</v>
      </c>
      <c r="I1134" s="38">
        <v>5.9804638181938996</v>
      </c>
      <c r="J1134" s="10">
        <v>0</v>
      </c>
      <c r="K1134" s="39">
        <v>0</v>
      </c>
      <c r="L1134" s="39">
        <v>0</v>
      </c>
      <c r="M1134" s="39">
        <v>0</v>
      </c>
      <c r="N1134" s="39">
        <v>0</v>
      </c>
      <c r="O1134" s="39">
        <v>0</v>
      </c>
      <c r="P1134" s="39">
        <v>0</v>
      </c>
      <c r="Q1134" s="39">
        <v>0</v>
      </c>
      <c r="R1134" s="39">
        <v>0</v>
      </c>
      <c r="S1134" s="39">
        <v>1</v>
      </c>
      <c r="T1134" s="39">
        <v>0</v>
      </c>
      <c r="U1134" s="29" cm="1">
        <f t="array" aca="1" ref="U1134" ca="1">+fair_value_gap(OFFSET(T1133,0,0,-1*$J$5,-1*$AA$1),OFFSET(E1133,0,0,-1*$J$5,1),F1134:T1134,0)</f>
        <v>18.091873267574083</v>
      </c>
      <c r="V1134" s="9" cm="1">
        <f t="array" aca="1" ref="V1134" ca="1">z_score_diff(OFFSET(U1134,0,0,$J$5*-1,1),OFFSET(E1134,0,0,$J$5*-1,1))</f>
        <v>-3.431286863880334E-2</v>
      </c>
      <c r="W1134" s="9">
        <f t="shared" ca="1" si="1196"/>
        <v>-5.7345972255919572E-2</v>
      </c>
      <c r="X1134" s="17">
        <f t="shared" ca="1" si="1191"/>
        <v>3.3208670996653387E-2</v>
      </c>
      <c r="Y1134" s="13">
        <f t="shared" ref="Y1134:Z1134" ca="1" si="1236">+Y1133</f>
        <v>0</v>
      </c>
      <c r="Z1134" s="13">
        <f t="shared" ca="1" si="1236"/>
        <v>0</v>
      </c>
      <c r="AA1134">
        <f t="shared" ca="1" si="1198"/>
        <v>1</v>
      </c>
      <c r="AB1134">
        <f t="shared" ca="1" si="1199"/>
        <v>0</v>
      </c>
      <c r="AC1134" s="24">
        <f t="shared" ca="1" si="1200"/>
        <v>3.3208670996653387E-2</v>
      </c>
      <c r="AD1134" s="24">
        <f t="shared" ca="1" si="1201"/>
        <v>0</v>
      </c>
    </row>
    <row r="1135" spans="3:30" x14ac:dyDescent="0.25">
      <c r="C1135" s="6">
        <v>1229</v>
      </c>
      <c r="D1135" s="36">
        <v>43754</v>
      </c>
      <c r="E1135" s="38">
        <v>17.600000000000001</v>
      </c>
      <c r="F1135" s="38">
        <v>50.125844108624818</v>
      </c>
      <c r="G1135" s="38">
        <v>51.14</v>
      </c>
      <c r="H1135" s="38">
        <v>2.0685735667362071</v>
      </c>
      <c r="I1135" s="38">
        <v>6.146593384094575</v>
      </c>
      <c r="J1135" s="10">
        <v>0</v>
      </c>
      <c r="K1135" s="39">
        <v>0</v>
      </c>
      <c r="L1135" s="39">
        <v>0</v>
      </c>
      <c r="M1135" s="39">
        <v>0</v>
      </c>
      <c r="N1135" s="39">
        <v>0</v>
      </c>
      <c r="O1135" s="39">
        <v>0</v>
      </c>
      <c r="P1135" s="39">
        <v>0</v>
      </c>
      <c r="Q1135" s="39">
        <v>0</v>
      </c>
      <c r="R1135" s="39">
        <v>0</v>
      </c>
      <c r="S1135" s="39">
        <v>1</v>
      </c>
      <c r="T1135" s="39">
        <v>0</v>
      </c>
      <c r="U1135" s="29" cm="1">
        <f t="array" aca="1" ref="U1135" ca="1">+fair_value_gap(OFFSET(T1134,0,0,-1*$J$5,-1*$AA$1),OFFSET(E1134,0,0,-1*$J$5,1),F1135:T1135,0)</f>
        <v>18.173520487053853</v>
      </c>
      <c r="V1135" s="9" cm="1">
        <f t="array" aca="1" ref="V1135" ca="1">z_score_diff(OFFSET(U1135,0,0,$J$5*-1,1),OFFSET(E1135,0,0,$J$5*-1,1))</f>
        <v>3.764955808836179E-2</v>
      </c>
      <c r="W1135" s="9">
        <f t="shared" ca="1" si="1196"/>
        <v>-6.3579305647336923E-2</v>
      </c>
      <c r="X1135" s="17">
        <f t="shared" ca="1" si="1191"/>
        <v>4.9601523240311154E-2</v>
      </c>
      <c r="Y1135" s="13">
        <f t="shared" ref="Y1135:Z1135" ca="1" si="1237">+Y1134</f>
        <v>0</v>
      </c>
      <c r="Z1135" s="13">
        <f t="shared" ca="1" si="1237"/>
        <v>0</v>
      </c>
      <c r="AA1135">
        <f t="shared" ca="1" si="1198"/>
        <v>1</v>
      </c>
      <c r="AB1135">
        <f t="shared" ca="1" si="1199"/>
        <v>0</v>
      </c>
      <c r="AC1135" s="24">
        <f t="shared" ca="1" si="1200"/>
        <v>4.9601523240311154E-2</v>
      </c>
      <c r="AD1135" s="24">
        <f t="shared" ca="1" si="1201"/>
        <v>0</v>
      </c>
    </row>
    <row r="1136" spans="3:30" x14ac:dyDescent="0.25">
      <c r="C1136" s="6">
        <v>1230</v>
      </c>
      <c r="D1136" s="36">
        <v>43755</v>
      </c>
      <c r="E1136" s="38">
        <v>17.492999999999999</v>
      </c>
      <c r="F1136" s="38">
        <v>49.874282019429621</v>
      </c>
      <c r="G1136" s="38">
        <v>51.27</v>
      </c>
      <c r="H1136" s="38">
        <v>2.0821216907882367</v>
      </c>
      <c r="I1136" s="38">
        <v>6.0443026297987625</v>
      </c>
      <c r="J1136" s="10">
        <v>0</v>
      </c>
      <c r="K1136" s="39">
        <v>0</v>
      </c>
      <c r="L1136" s="39">
        <v>0</v>
      </c>
      <c r="M1136" s="39">
        <v>0</v>
      </c>
      <c r="N1136" s="39">
        <v>0</v>
      </c>
      <c r="O1136" s="39">
        <v>0</v>
      </c>
      <c r="P1136" s="39">
        <v>0</v>
      </c>
      <c r="Q1136" s="39">
        <v>0</v>
      </c>
      <c r="R1136" s="39">
        <v>0</v>
      </c>
      <c r="S1136" s="39">
        <v>1</v>
      </c>
      <c r="T1136" s="39">
        <v>0</v>
      </c>
      <c r="U1136" s="29" cm="1">
        <f t="array" aca="1" ref="U1136" ca="1">+fair_value_gap(OFFSET(T1135,0,0,-1*$J$5,-1*$AA$1),OFFSET(E1135,0,0,-1*$J$5,1),F1136:T1136,0)</f>
        <v>18.017172461197934</v>
      </c>
      <c r="V1136" s="9" cm="1">
        <f t="array" aca="1" ref="V1136" ca="1">z_score_diff(OFFSET(U1136,0,0,$J$5*-1,1),OFFSET(E1136,0,0,$J$5*-1,1))</f>
        <v>1.7233747688301104E-2</v>
      </c>
      <c r="W1136" s="9">
        <f t="shared" ca="1" si="1196"/>
        <v>-6.3233581296976787E-2</v>
      </c>
      <c r="X1136" s="17">
        <f t="shared" ca="1" si="1191"/>
        <v>4.1267787782443208E-2</v>
      </c>
      <c r="Y1136" s="13">
        <f t="shared" ref="Y1136:Z1136" ca="1" si="1238">+Y1135</f>
        <v>0</v>
      </c>
      <c r="Z1136" s="13">
        <f t="shared" ca="1" si="1238"/>
        <v>0</v>
      </c>
      <c r="AA1136">
        <f t="shared" ca="1" si="1198"/>
        <v>1</v>
      </c>
      <c r="AB1136">
        <f t="shared" ca="1" si="1199"/>
        <v>0</v>
      </c>
      <c r="AC1136" s="24">
        <f t="shared" ca="1" si="1200"/>
        <v>4.1267787782443208E-2</v>
      </c>
      <c r="AD1136" s="24">
        <f t="shared" ca="1" si="1201"/>
        <v>0</v>
      </c>
    </row>
    <row r="1137" spans="3:30" x14ac:dyDescent="0.25">
      <c r="C1137" s="6">
        <v>1231</v>
      </c>
      <c r="D1137" s="36">
        <v>43756</v>
      </c>
      <c r="E1137" s="38">
        <v>17.398</v>
      </c>
      <c r="F1137" s="38">
        <v>49.41359096887215</v>
      </c>
      <c r="G1137" s="38">
        <v>51.2</v>
      </c>
      <c r="H1137" s="38">
        <v>2.0755983314709532</v>
      </c>
      <c r="I1137" s="38">
        <v>6.015910003736427</v>
      </c>
      <c r="J1137" s="10">
        <v>0</v>
      </c>
      <c r="K1137" s="39">
        <v>0</v>
      </c>
      <c r="L1137" s="39">
        <v>0</v>
      </c>
      <c r="M1137" s="39">
        <v>0</v>
      </c>
      <c r="N1137" s="39">
        <v>0</v>
      </c>
      <c r="O1137" s="39">
        <v>0</v>
      </c>
      <c r="P1137" s="39">
        <v>0</v>
      </c>
      <c r="Q1137" s="39">
        <v>0</v>
      </c>
      <c r="R1137" s="39">
        <v>0</v>
      </c>
      <c r="S1137" s="39">
        <v>1</v>
      </c>
      <c r="T1137" s="39">
        <v>0</v>
      </c>
      <c r="U1137" s="29" cm="1">
        <f t="array" aca="1" ref="U1137" ca="1">+fair_value_gap(OFFSET(T1136,0,0,-1*$J$5,-1*$AA$1),OFFSET(E1136,0,0,-1*$J$5,1),F1137:T1137,0)</f>
        <v>17.884310889702096</v>
      </c>
      <c r="V1137" s="9" cm="1">
        <f t="array" aca="1" ref="V1137" ca="1">z_score_diff(OFFSET(U1137,0,0,$J$5*-1,1),OFFSET(E1137,0,0,$J$5*-1,1))</f>
        <v>1.3152130107935145E-3</v>
      </c>
      <c r="W1137" s="9">
        <f t="shared" ca="1" si="1196"/>
        <v>-6.2643468643075989E-2</v>
      </c>
      <c r="X1137" s="17">
        <f t="shared" ca="1" si="1191"/>
        <v>6.5730476300343413E-2</v>
      </c>
      <c r="Y1137" s="13">
        <f t="shared" ref="Y1137:Z1137" ca="1" si="1239">+Y1136</f>
        <v>0</v>
      </c>
      <c r="Z1137" s="13">
        <f t="shared" ca="1" si="1239"/>
        <v>0</v>
      </c>
      <c r="AA1137">
        <f t="shared" ca="1" si="1198"/>
        <v>1</v>
      </c>
      <c r="AB1137">
        <f t="shared" ca="1" si="1199"/>
        <v>0</v>
      </c>
      <c r="AC1137" s="24">
        <f t="shared" ca="1" si="1200"/>
        <v>6.5730476300343413E-2</v>
      </c>
      <c r="AD1137" s="24">
        <f t="shared" ca="1" si="1201"/>
        <v>0</v>
      </c>
    </row>
    <row r="1138" spans="3:30" x14ac:dyDescent="0.25">
      <c r="C1138" s="6">
        <v>1232</v>
      </c>
      <c r="D1138" s="36">
        <v>43759</v>
      </c>
      <c r="E1138" s="38">
        <v>17.164000000000001</v>
      </c>
      <c r="F1138" s="38">
        <v>49.400116400558169</v>
      </c>
      <c r="G1138" s="38">
        <v>51.99</v>
      </c>
      <c r="H1138" s="38">
        <v>2.0720701769148242</v>
      </c>
      <c r="I1138" s="38">
        <v>5.9865648512386844</v>
      </c>
      <c r="J1138" s="10">
        <v>0</v>
      </c>
      <c r="K1138" s="39">
        <v>0</v>
      </c>
      <c r="L1138" s="39">
        <v>0</v>
      </c>
      <c r="M1138" s="39">
        <v>0</v>
      </c>
      <c r="N1138" s="39">
        <v>0</v>
      </c>
      <c r="O1138" s="39">
        <v>0</v>
      </c>
      <c r="P1138" s="39">
        <v>0</v>
      </c>
      <c r="Q1138" s="39">
        <v>0</v>
      </c>
      <c r="R1138" s="39">
        <v>0</v>
      </c>
      <c r="S1138" s="39">
        <v>1</v>
      </c>
      <c r="T1138" s="39">
        <v>0</v>
      </c>
      <c r="U1138" s="29" cm="1">
        <f t="array" aca="1" ref="U1138" ca="1">+fair_value_gap(OFFSET(T1137,0,0,-1*$J$5,-1*$AA$1),OFFSET(E1137,0,0,-1*$J$5,1),F1138:T1138,0)</f>
        <v>17.950800830295027</v>
      </c>
      <c r="V1138" s="9" cm="1">
        <f t="array" aca="1" ref="V1138" ca="1">z_score_diff(OFFSET(U1138,0,0,$J$5*-1,1),OFFSET(E1138,0,0,$J$5*-1,1))</f>
        <v>0.11451761747927269</v>
      </c>
      <c r="W1138" s="9">
        <f t="shared" ca="1" si="1196"/>
        <v>-5.512742474259856E-2</v>
      </c>
      <c r="X1138" s="17">
        <f t="shared" ca="1" si="1191"/>
        <v>6.1789173013610692E-2</v>
      </c>
      <c r="Y1138" s="13">
        <f t="shared" ref="Y1138:Z1138" ca="1" si="1240">+Y1137</f>
        <v>0</v>
      </c>
      <c r="Z1138" s="13">
        <f t="shared" ca="1" si="1240"/>
        <v>0</v>
      </c>
      <c r="AA1138">
        <f t="shared" ca="1" si="1198"/>
        <v>1</v>
      </c>
      <c r="AB1138">
        <f t="shared" ca="1" si="1199"/>
        <v>0</v>
      </c>
      <c r="AC1138" s="24">
        <f t="shared" ca="1" si="1200"/>
        <v>6.1789173013610692E-2</v>
      </c>
      <c r="AD1138" s="24">
        <f t="shared" ca="1" si="1201"/>
        <v>0</v>
      </c>
    </row>
    <row r="1139" spans="3:30" x14ac:dyDescent="0.25">
      <c r="C1139" s="6">
        <v>1233</v>
      </c>
      <c r="D1139" s="36">
        <v>43760</v>
      </c>
      <c r="E1139" s="38">
        <v>17.097999999999999</v>
      </c>
      <c r="F1139" s="38">
        <v>49.897262590493689</v>
      </c>
      <c r="G1139" s="38">
        <v>50.8</v>
      </c>
      <c r="H1139" s="38">
        <v>2.0705607029189022</v>
      </c>
      <c r="I1139" s="38">
        <v>5.8769839213099093</v>
      </c>
      <c r="J1139" s="10">
        <v>0</v>
      </c>
      <c r="K1139" s="39">
        <v>0</v>
      </c>
      <c r="L1139" s="39">
        <v>0</v>
      </c>
      <c r="M1139" s="39">
        <v>0</v>
      </c>
      <c r="N1139" s="39">
        <v>0</v>
      </c>
      <c r="O1139" s="39">
        <v>0</v>
      </c>
      <c r="P1139" s="39">
        <v>0</v>
      </c>
      <c r="Q1139" s="39">
        <v>0</v>
      </c>
      <c r="R1139" s="39">
        <v>0</v>
      </c>
      <c r="S1139" s="39">
        <v>1</v>
      </c>
      <c r="T1139" s="39">
        <v>0</v>
      </c>
      <c r="U1139" s="29" cm="1">
        <f t="array" aca="1" ref="U1139" ca="1">+fair_value_gap(OFFSET(T1138,0,0,-1*$J$5,-1*$AA$1),OFFSET(E1138,0,0,-1*$J$5,1),F1139:T1139,0)</f>
        <v>17.558647781184241</v>
      </c>
      <c r="V1139" s="9" cm="1">
        <f t="array" aca="1" ref="V1139" ca="1">z_score_diff(OFFSET(U1139,0,0,$J$5*-1,1),OFFSET(E1139,0,0,$J$5*-1,1))</f>
        <v>-1.3122176630458671E-2</v>
      </c>
      <c r="W1139" s="9">
        <f t="shared" ca="1" si="1196"/>
        <v>-4.9844845484149504E-2</v>
      </c>
      <c r="X1139" s="17">
        <f t="shared" ca="1" si="1191"/>
        <v>6.9086445305065594E-2</v>
      </c>
      <c r="Y1139" s="13">
        <f t="shared" ref="Y1139:Z1139" ca="1" si="1241">+Y1138</f>
        <v>0</v>
      </c>
      <c r="Z1139" s="13">
        <f t="shared" ca="1" si="1241"/>
        <v>0</v>
      </c>
      <c r="AA1139">
        <f t="shared" ca="1" si="1198"/>
        <v>1</v>
      </c>
      <c r="AB1139">
        <f t="shared" ca="1" si="1199"/>
        <v>0</v>
      </c>
      <c r="AC1139" s="24">
        <f t="shared" ca="1" si="1200"/>
        <v>6.9086445305065594E-2</v>
      </c>
      <c r="AD1139" s="24">
        <f t="shared" ca="1" si="1201"/>
        <v>0</v>
      </c>
    </row>
    <row r="1140" spans="3:30" x14ac:dyDescent="0.25">
      <c r="C1140" s="6">
        <v>1234</v>
      </c>
      <c r="D1140" s="36">
        <v>43761</v>
      </c>
      <c r="E1140" s="38">
        <v>17.010000000000002</v>
      </c>
      <c r="F1140" s="38">
        <v>50.824425590001667</v>
      </c>
      <c r="G1140" s="38">
        <v>50.13</v>
      </c>
      <c r="H1140" s="38">
        <v>2.0580993632453146</v>
      </c>
      <c r="I1140" s="38">
        <v>5.8721272912056879</v>
      </c>
      <c r="J1140" s="10">
        <v>0</v>
      </c>
      <c r="K1140" s="39">
        <v>0</v>
      </c>
      <c r="L1140" s="39">
        <v>0</v>
      </c>
      <c r="M1140" s="39">
        <v>0</v>
      </c>
      <c r="N1140" s="39">
        <v>0</v>
      </c>
      <c r="O1140" s="39">
        <v>0</v>
      </c>
      <c r="P1140" s="39">
        <v>0</v>
      </c>
      <c r="Q1140" s="39">
        <v>0</v>
      </c>
      <c r="R1140" s="39">
        <v>0</v>
      </c>
      <c r="S1140" s="39">
        <v>1</v>
      </c>
      <c r="T1140" s="39">
        <v>0</v>
      </c>
      <c r="U1140" s="29" cm="1">
        <f t="array" aca="1" ref="U1140" ca="1">+fair_value_gap(OFFSET(T1139,0,0,-1*$J$5,-1*$AA$1),OFFSET(E1139,0,0,-1*$J$5,1),F1140:T1140,0)</f>
        <v>17.409298403824625</v>
      </c>
      <c r="V1140" s="9" cm="1">
        <f t="array" aca="1" ref="V1140" ca="1">z_score_diff(OFFSET(U1140,0,0,$J$5*-1,1),OFFSET(E1140,0,0,$J$5*-1,1))</f>
        <v>-3.7636032120958895E-2</v>
      </c>
      <c r="W1140" s="9">
        <f t="shared" ca="1" si="1196"/>
        <v>-4.2742125893222821E-2</v>
      </c>
      <c r="X1140" s="17">
        <f t="shared" ca="1" si="1191"/>
        <v>8.1479742748593556E-2</v>
      </c>
      <c r="Y1140" s="13">
        <f t="shared" ref="Y1140:Z1140" ca="1" si="1242">+Y1139</f>
        <v>0</v>
      </c>
      <c r="Z1140" s="13">
        <f t="shared" ca="1" si="1242"/>
        <v>0</v>
      </c>
      <c r="AA1140">
        <f t="shared" ca="1" si="1198"/>
        <v>1</v>
      </c>
      <c r="AB1140">
        <f t="shared" ca="1" si="1199"/>
        <v>0</v>
      </c>
      <c r="AC1140" s="24">
        <f t="shared" ca="1" si="1200"/>
        <v>8.1479742748593556E-2</v>
      </c>
      <c r="AD1140" s="24">
        <f t="shared" ca="1" si="1201"/>
        <v>0</v>
      </c>
    </row>
    <row r="1141" spans="3:30" x14ac:dyDescent="0.25">
      <c r="C1141" s="6">
        <v>1235</v>
      </c>
      <c r="D1141" s="36">
        <v>43762</v>
      </c>
      <c r="E1141" s="38">
        <v>17.14</v>
      </c>
      <c r="F1141" s="38">
        <v>51.240062333271709</v>
      </c>
      <c r="G1141" s="38">
        <v>50.4</v>
      </c>
      <c r="H1141" s="38">
        <v>2.0742540697111362</v>
      </c>
      <c r="I1141" s="38">
        <v>5.8459452558921674</v>
      </c>
      <c r="J1141" s="10">
        <v>0</v>
      </c>
      <c r="K1141" s="39">
        <v>0</v>
      </c>
      <c r="L1141" s="39">
        <v>0</v>
      </c>
      <c r="M1141" s="39">
        <v>0</v>
      </c>
      <c r="N1141" s="39">
        <v>0</v>
      </c>
      <c r="O1141" s="39">
        <v>0</v>
      </c>
      <c r="P1141" s="39">
        <v>0</v>
      </c>
      <c r="Q1141" s="39">
        <v>0</v>
      </c>
      <c r="R1141" s="39">
        <v>0</v>
      </c>
      <c r="S1141" s="39">
        <v>1</v>
      </c>
      <c r="T1141" s="39">
        <v>0</v>
      </c>
      <c r="U1141" s="29" cm="1">
        <f t="array" aca="1" ref="U1141" ca="1">+fair_value_gap(OFFSET(T1140,0,0,-1*$J$5,-1*$AA$1),OFFSET(E1140,0,0,-1*$J$5,1),F1141:T1141,0)</f>
        <v>17.366112817002108</v>
      </c>
      <c r="V1141" s="9" cm="1">
        <f t="array" aca="1" ref="V1141" ca="1">z_score_diff(OFFSET(U1141,0,0,$J$5*-1,1),OFFSET(E1141,0,0,$J$5*-1,1))</f>
        <v>-0.10348451946354453</v>
      </c>
      <c r="W1141" s="9">
        <f t="shared" ca="1" si="1196"/>
        <v>-3.3175123762021134E-2</v>
      </c>
      <c r="X1141" s="17">
        <f t="shared" ca="1" si="1191"/>
        <v>5.4386521759307693E-2</v>
      </c>
      <c r="Y1141" s="13">
        <f t="shared" ref="Y1141:Z1141" ca="1" si="1243">+Y1140</f>
        <v>0</v>
      </c>
      <c r="Z1141" s="13">
        <f t="shared" ca="1" si="1243"/>
        <v>0</v>
      </c>
      <c r="AA1141">
        <f t="shared" ca="1" si="1198"/>
        <v>1</v>
      </c>
      <c r="AB1141">
        <f t="shared" ca="1" si="1199"/>
        <v>0</v>
      </c>
      <c r="AC1141" s="24">
        <f t="shared" ca="1" si="1200"/>
        <v>5.4386521759307693E-2</v>
      </c>
      <c r="AD1141" s="24">
        <f t="shared" ca="1" si="1201"/>
        <v>0</v>
      </c>
    </row>
    <row r="1142" spans="3:30" x14ac:dyDescent="0.25">
      <c r="C1142" s="6">
        <v>1236</v>
      </c>
      <c r="D1142" s="36">
        <v>43763</v>
      </c>
      <c r="E1142" s="38">
        <v>16.917999999999999</v>
      </c>
      <c r="F1142" s="38">
        <v>51.643797186498155</v>
      </c>
      <c r="G1142" s="38">
        <v>50.15</v>
      </c>
      <c r="H1142" s="38">
        <v>2.0599293889728933</v>
      </c>
      <c r="I1142" s="38">
        <v>5.9460060306969176</v>
      </c>
      <c r="J1142" s="10">
        <v>0</v>
      </c>
      <c r="K1142" s="39">
        <v>0</v>
      </c>
      <c r="L1142" s="39">
        <v>0</v>
      </c>
      <c r="M1142" s="39">
        <v>0</v>
      </c>
      <c r="N1142" s="39">
        <v>0</v>
      </c>
      <c r="O1142" s="39">
        <v>0</v>
      </c>
      <c r="P1142" s="39">
        <v>0</v>
      </c>
      <c r="Q1142" s="39">
        <v>0</v>
      </c>
      <c r="R1142" s="39">
        <v>0</v>
      </c>
      <c r="S1142" s="39">
        <v>1</v>
      </c>
      <c r="T1142" s="39">
        <v>0</v>
      </c>
      <c r="U1142" s="29" cm="1">
        <f t="array" aca="1" ref="U1142" ca="1">+fair_value_gap(OFFSET(T1141,0,0,-1*$J$5,-1*$AA$1),OFFSET(E1141,0,0,-1*$J$5,1),F1142:T1142,0)</f>
        <v>17.388922197790674</v>
      </c>
      <c r="V1142" s="9" cm="1">
        <f t="array" aca="1" ref="V1142" ca="1">z_score_diff(OFFSET(U1142,0,0,$J$5*-1,1),OFFSET(E1142,0,0,$J$5*-1,1))</f>
        <v>-1.0439641151695378E-2</v>
      </c>
      <c r="W1142" s="9">
        <f t="shared" ca="1" si="1196"/>
        <v>-2.9213410007148576E-2</v>
      </c>
      <c r="X1142" s="17">
        <f t="shared" ca="1" si="1191"/>
        <v>5.9156259194181708E-2</v>
      </c>
      <c r="Y1142" s="13">
        <f t="shared" ref="Y1142:Z1142" ca="1" si="1244">+Y1141</f>
        <v>0</v>
      </c>
      <c r="Z1142" s="13">
        <f t="shared" ca="1" si="1244"/>
        <v>0</v>
      </c>
      <c r="AA1142">
        <f t="shared" ca="1" si="1198"/>
        <v>1</v>
      </c>
      <c r="AB1142">
        <f t="shared" ca="1" si="1199"/>
        <v>0</v>
      </c>
      <c r="AC1142" s="24">
        <f t="shared" ca="1" si="1200"/>
        <v>5.9156259194181708E-2</v>
      </c>
      <c r="AD1142" s="24">
        <f t="shared" ca="1" si="1201"/>
        <v>0</v>
      </c>
    </row>
    <row r="1143" spans="3:30" x14ac:dyDescent="0.25">
      <c r="C1143" s="6">
        <v>1237</v>
      </c>
      <c r="D1143" s="36">
        <v>43766</v>
      </c>
      <c r="E1143" s="38">
        <v>16.84</v>
      </c>
      <c r="F1143" s="38">
        <v>51.200324019247446</v>
      </c>
      <c r="G1143" s="38">
        <v>49.72</v>
      </c>
      <c r="H1143" s="38">
        <v>2.0849934183590362</v>
      </c>
      <c r="I1143" s="38">
        <v>5.9256780851166875</v>
      </c>
      <c r="J1143" s="10">
        <v>0</v>
      </c>
      <c r="K1143" s="39">
        <v>0</v>
      </c>
      <c r="L1143" s="39">
        <v>0</v>
      </c>
      <c r="M1143" s="39">
        <v>0</v>
      </c>
      <c r="N1143" s="39">
        <v>0</v>
      </c>
      <c r="O1143" s="39">
        <v>0</v>
      </c>
      <c r="P1143" s="39">
        <v>0</v>
      </c>
      <c r="Q1143" s="39">
        <v>0</v>
      </c>
      <c r="R1143" s="39">
        <v>0</v>
      </c>
      <c r="S1143" s="39">
        <v>1</v>
      </c>
      <c r="T1143" s="39">
        <v>0</v>
      </c>
      <c r="U1143" s="29" cm="1">
        <f t="array" aca="1" ref="U1143" ca="1">+fair_value_gap(OFFSET(T1142,0,0,-1*$J$5,-1*$AA$1),OFFSET(E1142,0,0,-1*$J$5,1),F1143:T1143,0)</f>
        <v>17.245771683196367</v>
      </c>
      <c r="V1143" s="9" cm="1">
        <f t="array" aca="1" ref="V1143" ca="1">z_score_diff(OFFSET(U1143,0,0,$J$5*-1,1),OFFSET(E1143,0,0,$J$5*-1,1))</f>
        <v>-3.68952700701487E-2</v>
      </c>
      <c r="W1143" s="9">
        <f t="shared" ca="1" si="1196"/>
        <v>-2.7734211157565365E-2</v>
      </c>
      <c r="X1143" s="17">
        <f t="shared" ca="1" si="1191"/>
        <v>5.1895844409268491E-2</v>
      </c>
      <c r="Y1143" s="13">
        <f t="shared" ref="Y1143:Z1143" ca="1" si="1245">+Y1142</f>
        <v>0</v>
      </c>
      <c r="Z1143" s="13">
        <f t="shared" ca="1" si="1245"/>
        <v>0</v>
      </c>
      <c r="AA1143">
        <f t="shared" ca="1" si="1198"/>
        <v>1</v>
      </c>
      <c r="AB1143">
        <f t="shared" ca="1" si="1199"/>
        <v>0</v>
      </c>
      <c r="AC1143" s="24">
        <f t="shared" ca="1" si="1200"/>
        <v>5.1895844409268491E-2</v>
      </c>
      <c r="AD1143" s="24">
        <f t="shared" ca="1" si="1201"/>
        <v>0</v>
      </c>
    </row>
    <row r="1144" spans="3:30" x14ac:dyDescent="0.25">
      <c r="C1144" s="6">
        <v>1238</v>
      </c>
      <c r="D1144" s="36">
        <v>43767</v>
      </c>
      <c r="E1144" s="38">
        <v>16.847000000000001</v>
      </c>
      <c r="F1144" s="38">
        <v>51.095397719926154</v>
      </c>
      <c r="G1144" s="38">
        <v>49.96</v>
      </c>
      <c r="H1144" s="38">
        <v>2.1083778332701493</v>
      </c>
      <c r="I1144" s="38">
        <v>5.8096936123276341</v>
      </c>
      <c r="J1144" s="10">
        <v>0</v>
      </c>
      <c r="K1144" s="39">
        <v>0</v>
      </c>
      <c r="L1144" s="39">
        <v>0</v>
      </c>
      <c r="M1144" s="39">
        <v>0</v>
      </c>
      <c r="N1144" s="39">
        <v>0</v>
      </c>
      <c r="O1144" s="39">
        <v>0</v>
      </c>
      <c r="P1144" s="39">
        <v>0</v>
      </c>
      <c r="Q1144" s="39">
        <v>0</v>
      </c>
      <c r="R1144" s="39">
        <v>0</v>
      </c>
      <c r="S1144" s="39">
        <v>1</v>
      </c>
      <c r="T1144" s="39">
        <v>0</v>
      </c>
      <c r="U1144" s="29" cm="1">
        <f t="array" aca="1" ref="U1144" ca="1">+fair_value_gap(OFFSET(T1143,0,0,-1*$J$5,-1*$AA$1),OFFSET(E1143,0,0,-1*$J$5,1),F1144:T1144,0)</f>
        <v>17.194377291589106</v>
      </c>
      <c r="V1144" s="9" cm="1">
        <f t="array" aca="1" ref="V1144" ca="1">z_score_diff(OFFSET(U1144,0,0,$J$5*-1,1),OFFSET(E1144,0,0,$J$5*-1,1))</f>
        <v>-5.944011154119222E-2</v>
      </c>
      <c r="W1144" s="9">
        <f t="shared" ca="1" si="1196"/>
        <v>-2.9643851689781831E-2</v>
      </c>
      <c r="X1144" s="17">
        <f t="shared" ca="1" si="1191"/>
        <v>5.0182687983324176E-2</v>
      </c>
      <c r="Y1144" s="13">
        <f t="shared" ref="Y1144:Z1144" ca="1" si="1246">+Y1143</f>
        <v>0</v>
      </c>
      <c r="Z1144" s="13">
        <f t="shared" ca="1" si="1246"/>
        <v>0</v>
      </c>
      <c r="AA1144">
        <f t="shared" ca="1" si="1198"/>
        <v>1</v>
      </c>
      <c r="AB1144">
        <f t="shared" ca="1" si="1199"/>
        <v>0</v>
      </c>
      <c r="AC1144" s="24">
        <f t="shared" ca="1" si="1200"/>
        <v>5.0182687983324176E-2</v>
      </c>
      <c r="AD1144" s="24">
        <f t="shared" ca="1" si="1201"/>
        <v>0</v>
      </c>
    </row>
    <row r="1145" spans="3:30" x14ac:dyDescent="0.25">
      <c r="C1145" s="6">
        <v>1239</v>
      </c>
      <c r="D1145" s="36">
        <v>43768</v>
      </c>
      <c r="E1145" s="38">
        <v>16.634</v>
      </c>
      <c r="F1145" s="38">
        <v>49.931719929799137</v>
      </c>
      <c r="G1145" s="38">
        <v>49.71</v>
      </c>
      <c r="H1145" s="38">
        <v>2.1839097597962387</v>
      </c>
      <c r="I1145" s="38">
        <v>5.7886764717490653</v>
      </c>
      <c r="J1145" s="10">
        <v>0</v>
      </c>
      <c r="K1145" s="39">
        <v>0</v>
      </c>
      <c r="L1145" s="39">
        <v>0</v>
      </c>
      <c r="M1145" s="39">
        <v>0</v>
      </c>
      <c r="N1145" s="39">
        <v>0</v>
      </c>
      <c r="O1145" s="39">
        <v>0</v>
      </c>
      <c r="P1145" s="39">
        <v>0</v>
      </c>
      <c r="Q1145" s="39">
        <v>0</v>
      </c>
      <c r="R1145" s="39">
        <v>0</v>
      </c>
      <c r="S1145" s="39">
        <v>1</v>
      </c>
      <c r="T1145" s="39">
        <v>0</v>
      </c>
      <c r="U1145" s="29" cm="1">
        <f t="array" aca="1" ref="U1145" ca="1">+fair_value_gap(OFFSET(T1144,0,0,-1*$J$5,-1*$AA$1),OFFSET(E1144,0,0,-1*$J$5,1),F1145:T1145,0)</f>
        <v>17.101719623246005</v>
      </c>
      <c r="V1145" s="9" cm="1">
        <f t="array" aca="1" ref="V1145" ca="1">z_score_diff(OFFSET(U1145,0,0,$J$5*-1,1),OFFSET(E1145,0,0,$J$5*-1,1))</f>
        <v>-1.4706852360413469E-2</v>
      </c>
      <c r="W1145" s="9">
        <f t="shared" ca="1" si="1196"/>
        <v>-2.622453203318309E-2</v>
      </c>
      <c r="X1145" s="17">
        <f t="shared" ca="1" si="1191"/>
        <v>4.2777517813315555E-2</v>
      </c>
      <c r="Y1145" s="13">
        <f t="shared" ref="Y1145:Z1145" ca="1" si="1247">+Y1144</f>
        <v>0</v>
      </c>
      <c r="Z1145" s="13">
        <f t="shared" ca="1" si="1247"/>
        <v>0</v>
      </c>
      <c r="AA1145">
        <f t="shared" ca="1" si="1198"/>
        <v>1</v>
      </c>
      <c r="AB1145">
        <f t="shared" ca="1" si="1199"/>
        <v>0</v>
      </c>
      <c r="AC1145" s="24">
        <f t="shared" ca="1" si="1200"/>
        <v>4.2777517813315555E-2</v>
      </c>
      <c r="AD1145" s="24">
        <f t="shared" ca="1" si="1201"/>
        <v>0</v>
      </c>
    </row>
    <row r="1146" spans="3:30" x14ac:dyDescent="0.25">
      <c r="C1146" s="6">
        <v>1240</v>
      </c>
      <c r="D1146" s="36">
        <v>43769</v>
      </c>
      <c r="E1146" s="38">
        <v>18.262</v>
      </c>
      <c r="F1146" s="38">
        <v>49.386181518339988</v>
      </c>
      <c r="G1146" s="38">
        <v>50.93</v>
      </c>
      <c r="H1146" s="38">
        <v>2.1850973030583467</v>
      </c>
      <c r="I1146" s="38">
        <v>5.7017793937692707</v>
      </c>
      <c r="J1146" s="10">
        <v>0</v>
      </c>
      <c r="K1146" s="39">
        <v>0</v>
      </c>
      <c r="L1146" s="39">
        <v>0</v>
      </c>
      <c r="M1146" s="39">
        <v>0</v>
      </c>
      <c r="N1146" s="39">
        <v>0</v>
      </c>
      <c r="O1146" s="39">
        <v>0</v>
      </c>
      <c r="P1146" s="39">
        <v>0</v>
      </c>
      <c r="Q1146" s="39">
        <v>0</v>
      </c>
      <c r="R1146" s="39">
        <v>0</v>
      </c>
      <c r="S1146" s="39">
        <v>1</v>
      </c>
      <c r="T1146" s="39">
        <v>0</v>
      </c>
      <c r="U1146" s="29" cm="1">
        <f t="array" aca="1" ref="U1146" ca="1">+fair_value_gap(OFFSET(T1145,0,0,-1*$J$5,-1*$AA$1),OFFSET(E1145,0,0,-1*$J$5,1),F1146:T1146,0)</f>
        <v>17.247543859814446</v>
      </c>
      <c r="V1146" s="9" cm="1">
        <f t="array" aca="1" ref="V1146" ca="1">z_score_diff(OFFSET(U1146,0,0,$J$5*-1,1),OFFSET(E1146,0,0,$J$5*-1,1))</f>
        <v>-0.57794762079899642</v>
      </c>
      <c r="W1146" s="9">
        <f t="shared" ca="1" si="1196"/>
        <v>-4.2013782361767456E-2</v>
      </c>
      <c r="X1146" s="17">
        <f t="shared" ca="1" si="1191"/>
        <v>-2.2314815354785585E-2</v>
      </c>
      <c r="Y1146" s="13">
        <f t="shared" ref="Y1146:Z1146" ca="1" si="1248">+Y1145</f>
        <v>0</v>
      </c>
      <c r="Z1146" s="13">
        <f t="shared" ca="1" si="1248"/>
        <v>0</v>
      </c>
      <c r="AA1146">
        <f t="shared" ca="1" si="1198"/>
        <v>1</v>
      </c>
      <c r="AB1146">
        <f t="shared" ca="1" si="1199"/>
        <v>0</v>
      </c>
      <c r="AC1146" s="24">
        <f t="shared" ca="1" si="1200"/>
        <v>-2.2314815354785585E-2</v>
      </c>
      <c r="AD1146" s="24">
        <f t="shared" ca="1" si="1201"/>
        <v>0</v>
      </c>
    </row>
    <row r="1147" spans="3:30" x14ac:dyDescent="0.25">
      <c r="C1147" s="6">
        <v>1241</v>
      </c>
      <c r="D1147" s="36">
        <v>43770</v>
      </c>
      <c r="E1147" s="38">
        <v>18.257000000000001</v>
      </c>
      <c r="F1147" s="38">
        <v>50.820813500838547</v>
      </c>
      <c r="G1147" s="38">
        <v>51.1</v>
      </c>
      <c r="H1147" s="38">
        <v>2.1946744551628705</v>
      </c>
      <c r="I1147" s="38">
        <v>5.7800683974760361</v>
      </c>
      <c r="J1147" s="10">
        <v>0</v>
      </c>
      <c r="K1147" s="39">
        <v>0</v>
      </c>
      <c r="L1147" s="39">
        <v>0</v>
      </c>
      <c r="M1147" s="39">
        <v>0</v>
      </c>
      <c r="N1147" s="39">
        <v>0</v>
      </c>
      <c r="O1147" s="39">
        <v>0</v>
      </c>
      <c r="P1147" s="39">
        <v>0</v>
      </c>
      <c r="Q1147" s="39">
        <v>0</v>
      </c>
      <c r="R1147" s="39">
        <v>0</v>
      </c>
      <c r="S1147" s="39">
        <v>0</v>
      </c>
      <c r="T1147" s="39">
        <v>1</v>
      </c>
      <c r="U1147" s="29" cm="1">
        <f t="array" aca="1" ref="U1147" ca="1">+fair_value_gap(OFFSET(T1146,0,0,-1*$J$5,-1*$AA$1),OFFSET(E1146,0,0,-1*$J$5,1),F1147:T1147,0)</f>
        <v>19.524616485686167</v>
      </c>
      <c r="V1147" s="9" cm="1">
        <f t="array" aca="1" ref="V1147" ca="1">z_score_diff(OFFSET(U1147,0,0,$J$5*-1,1),OFFSET(E1147,0,0,$J$5*-1,1))</f>
        <v>0.32672199449174077</v>
      </c>
      <c r="W1147" s="9">
        <f t="shared" ca="1" si="1196"/>
        <v>-2.4946780377415771E-2</v>
      </c>
      <c r="X1147" s="17">
        <f t="shared" ca="1" si="1191"/>
        <v>-3.7218009381906489E-2</v>
      </c>
      <c r="Y1147" s="13">
        <f t="shared" ref="Y1147:Z1147" ca="1" si="1249">+Y1146</f>
        <v>0</v>
      </c>
      <c r="Z1147" s="13">
        <f t="shared" ca="1" si="1249"/>
        <v>0</v>
      </c>
      <c r="AA1147">
        <f t="shared" ca="1" si="1198"/>
        <v>1</v>
      </c>
      <c r="AB1147">
        <f t="shared" ca="1" si="1199"/>
        <v>0</v>
      </c>
      <c r="AC1147" s="24">
        <f t="shared" ca="1" si="1200"/>
        <v>-3.7218009381906489E-2</v>
      </c>
      <c r="AD1147" s="24">
        <f t="shared" ca="1" si="1201"/>
        <v>0</v>
      </c>
    </row>
    <row r="1148" spans="3:30" x14ac:dyDescent="0.25">
      <c r="C1148" s="6">
        <v>1242</v>
      </c>
      <c r="D1148" s="36">
        <v>43773</v>
      </c>
      <c r="E1148" s="38">
        <v>18.501000000000001</v>
      </c>
      <c r="F1148" s="38">
        <v>51.136827917544942</v>
      </c>
      <c r="G1148" s="38">
        <v>51.05</v>
      </c>
      <c r="H1148" s="38">
        <v>2.2282301649294496</v>
      </c>
      <c r="I1148" s="38">
        <v>5.8649196967287365</v>
      </c>
      <c r="J1148" s="10">
        <v>0</v>
      </c>
      <c r="K1148" s="39">
        <v>0</v>
      </c>
      <c r="L1148" s="39">
        <v>0</v>
      </c>
      <c r="M1148" s="39">
        <v>0</v>
      </c>
      <c r="N1148" s="39">
        <v>0</v>
      </c>
      <c r="O1148" s="39">
        <v>0</v>
      </c>
      <c r="P1148" s="39">
        <v>0</v>
      </c>
      <c r="Q1148" s="39">
        <v>0</v>
      </c>
      <c r="R1148" s="39">
        <v>0</v>
      </c>
      <c r="S1148" s="39">
        <v>0</v>
      </c>
      <c r="T1148" s="39">
        <v>1</v>
      </c>
      <c r="U1148" s="29" cm="1">
        <f t="array" aca="1" ref="U1148" ca="1">+fair_value_gap(OFFSET(T1147,0,0,-1*$J$5,-1*$AA$1),OFFSET(E1147,0,0,-1*$J$5,1),F1148:T1148,0)</f>
        <v>19.390975846090281</v>
      </c>
      <c r="V1148" s="9" cm="1">
        <f t="array" aca="1" ref="V1148" ca="1">z_score_diff(OFFSET(U1148,0,0,$J$5*-1,1),OFFSET(E1148,0,0,$J$5*-1,1))</f>
        <v>0.17960285099219958</v>
      </c>
      <c r="W1148" s="9">
        <f t="shared" ca="1" si="1196"/>
        <v>-1.0600262276294486E-2</v>
      </c>
      <c r="X1148" s="17">
        <f t="shared" ca="1" si="1191"/>
        <v>-4.5560425123719467E-2</v>
      </c>
      <c r="Y1148" s="13">
        <f t="shared" ref="Y1148:Z1148" ca="1" si="1250">+Y1147</f>
        <v>0</v>
      </c>
      <c r="Z1148" s="13">
        <f t="shared" ca="1" si="1250"/>
        <v>0</v>
      </c>
      <c r="AA1148">
        <f t="shared" ca="1" si="1198"/>
        <v>1</v>
      </c>
      <c r="AB1148">
        <f t="shared" ca="1" si="1199"/>
        <v>0</v>
      </c>
      <c r="AC1148" s="24">
        <f t="shared" ca="1" si="1200"/>
        <v>-4.5560425123719467E-2</v>
      </c>
      <c r="AD1148" s="24">
        <f t="shared" ca="1" si="1201"/>
        <v>0</v>
      </c>
    </row>
    <row r="1149" spans="3:30" x14ac:dyDescent="0.25">
      <c r="C1149" s="6">
        <v>1243</v>
      </c>
      <c r="D1149" s="36">
        <v>43774</v>
      </c>
      <c r="E1149" s="38">
        <v>18.72</v>
      </c>
      <c r="F1149" s="38">
        <v>51.858223573236494</v>
      </c>
      <c r="G1149" s="38">
        <v>51.28</v>
      </c>
      <c r="H1149" s="38">
        <v>2.2405366690276054</v>
      </c>
      <c r="I1149" s="38">
        <v>5.9612229073458165</v>
      </c>
      <c r="J1149" s="10">
        <v>0</v>
      </c>
      <c r="K1149" s="39">
        <v>0</v>
      </c>
      <c r="L1149" s="39">
        <v>0</v>
      </c>
      <c r="M1149" s="39">
        <v>0</v>
      </c>
      <c r="N1149" s="39">
        <v>0</v>
      </c>
      <c r="O1149" s="39">
        <v>0</v>
      </c>
      <c r="P1149" s="39">
        <v>0</v>
      </c>
      <c r="Q1149" s="39">
        <v>0</v>
      </c>
      <c r="R1149" s="39">
        <v>0</v>
      </c>
      <c r="S1149" s="39">
        <v>0</v>
      </c>
      <c r="T1149" s="39">
        <v>1</v>
      </c>
      <c r="U1149" s="29" cm="1">
        <f t="array" aca="1" ref="U1149" ca="1">+fair_value_gap(OFFSET(T1148,0,0,-1*$J$5,-1*$AA$1),OFFSET(E1148,0,0,-1*$J$5,1),F1149:T1149,0)</f>
        <v>19.420484261194282</v>
      </c>
      <c r="V1149" s="9" cm="1">
        <f t="array" aca="1" ref="V1149" ca="1">z_score_diff(OFFSET(U1149,0,0,$J$5*-1,1),OFFSET(E1149,0,0,$J$5*-1,1))</f>
        <v>0.10578297364766487</v>
      </c>
      <c r="W1149" s="9">
        <f t="shared" ca="1" si="1196"/>
        <v>1.3298264262467663E-3</v>
      </c>
      <c r="X1149" s="17">
        <f t="shared" ca="1" si="1191"/>
        <v>-3.6890097814998836E-2</v>
      </c>
      <c r="Y1149" s="13">
        <f t="shared" ref="Y1149:Z1149" ca="1" si="1251">+Y1148</f>
        <v>0</v>
      </c>
      <c r="Z1149" s="13">
        <f t="shared" ca="1" si="1251"/>
        <v>0</v>
      </c>
      <c r="AA1149">
        <f t="shared" ca="1" si="1198"/>
        <v>0</v>
      </c>
      <c r="AB1149">
        <f t="shared" ca="1" si="1199"/>
        <v>1</v>
      </c>
      <c r="AC1149" s="24">
        <f t="shared" ca="1" si="1200"/>
        <v>0</v>
      </c>
      <c r="AD1149" s="24">
        <f t="shared" ca="1" si="1201"/>
        <v>-3.6890097814998836E-2</v>
      </c>
    </row>
    <row r="1150" spans="3:30" x14ac:dyDescent="0.25">
      <c r="C1150" s="6">
        <v>1244</v>
      </c>
      <c r="D1150" s="36">
        <v>43775</v>
      </c>
      <c r="E1150" s="38">
        <v>18.428000000000001</v>
      </c>
      <c r="F1150" s="38">
        <v>50.782544163055427</v>
      </c>
      <c r="G1150" s="38">
        <v>51.17</v>
      </c>
      <c r="H1150" s="38">
        <v>2.2325589613785852</v>
      </c>
      <c r="I1150" s="38">
        <v>5.9193292604814092</v>
      </c>
      <c r="J1150" s="10">
        <v>0</v>
      </c>
      <c r="K1150" s="39">
        <v>0</v>
      </c>
      <c r="L1150" s="39">
        <v>0</v>
      </c>
      <c r="M1150" s="39">
        <v>0</v>
      </c>
      <c r="N1150" s="39">
        <v>0</v>
      </c>
      <c r="O1150" s="39">
        <v>0</v>
      </c>
      <c r="P1150" s="39">
        <v>0</v>
      </c>
      <c r="Q1150" s="39">
        <v>0</v>
      </c>
      <c r="R1150" s="39">
        <v>0</v>
      </c>
      <c r="S1150" s="39">
        <v>0</v>
      </c>
      <c r="T1150" s="39">
        <v>1</v>
      </c>
      <c r="U1150" s="29" cm="1">
        <f t="array" aca="1" ref="U1150" ca="1">+fair_value_gap(OFFSET(T1149,0,0,-1*$J$5,-1*$AA$1),OFFSET(E1149,0,0,-1*$J$5,1),F1150:T1150,0)</f>
        <v>19.190390763337973</v>
      </c>
      <c r="V1150" s="9" cm="1">
        <f t="array" aca="1" ref="V1150" ca="1">z_score_diff(OFFSET(U1150,0,0,$J$5*-1,1),OFFSET(E1150,0,0,$J$5*-1,1))</f>
        <v>0.12698622931834</v>
      </c>
      <c r="W1150" s="9">
        <f t="shared" ca="1" si="1196"/>
        <v>1.4297485408335047E-2</v>
      </c>
      <c r="X1150" s="17">
        <f t="shared" ca="1" si="1191"/>
        <v>-7.4074412778618046E-3</v>
      </c>
      <c r="Y1150" s="13">
        <f t="shared" ref="Y1150:Z1150" ca="1" si="1252">+Y1149</f>
        <v>0</v>
      </c>
      <c r="Z1150" s="13">
        <f t="shared" ca="1" si="1252"/>
        <v>0</v>
      </c>
      <c r="AA1150">
        <f t="shared" ca="1" si="1198"/>
        <v>0</v>
      </c>
      <c r="AB1150">
        <f t="shared" ca="1" si="1199"/>
        <v>1</v>
      </c>
      <c r="AC1150" s="24">
        <f t="shared" ca="1" si="1200"/>
        <v>0</v>
      </c>
      <c r="AD1150" s="24">
        <f t="shared" ca="1" si="1201"/>
        <v>-7.4074412778618046E-3</v>
      </c>
    </row>
    <row r="1151" spans="3:30" x14ac:dyDescent="0.25">
      <c r="C1151" s="6">
        <v>1245</v>
      </c>
      <c r="D1151" s="36">
        <v>43776</v>
      </c>
      <c r="E1151" s="38">
        <v>18.253</v>
      </c>
      <c r="F1151" s="38">
        <v>51.283185449269723</v>
      </c>
      <c r="G1151" s="38">
        <v>50.71</v>
      </c>
      <c r="H1151" s="38">
        <v>2.2390502392979417</v>
      </c>
      <c r="I1151" s="38">
        <v>5.7059952759667016</v>
      </c>
      <c r="J1151" s="10">
        <v>0</v>
      </c>
      <c r="K1151" s="39">
        <v>0</v>
      </c>
      <c r="L1151" s="39">
        <v>0</v>
      </c>
      <c r="M1151" s="39">
        <v>0</v>
      </c>
      <c r="N1151" s="39">
        <v>0</v>
      </c>
      <c r="O1151" s="39">
        <v>0</v>
      </c>
      <c r="P1151" s="39">
        <v>0</v>
      </c>
      <c r="Q1151" s="39">
        <v>0</v>
      </c>
      <c r="R1151" s="39">
        <v>0</v>
      </c>
      <c r="S1151" s="39">
        <v>0</v>
      </c>
      <c r="T1151" s="39">
        <v>1</v>
      </c>
      <c r="U1151" s="29" cm="1">
        <f t="array" aca="1" ref="U1151" ca="1">+fair_value_gap(OFFSET(T1150,0,0,-1*$J$5,-1*$AA$1),OFFSET(E1150,0,0,-1*$J$5,1),F1151:T1151,0)</f>
        <v>18.779374148806738</v>
      </c>
      <c r="V1151" s="9" cm="1">
        <f t="array" aca="1" ref="V1151" ca="1">z_score_diff(OFFSET(U1151,0,0,$J$5*-1,1),OFFSET(E1151,0,0,$J$5*-1,1))</f>
        <v>2.9045800434413627E-2</v>
      </c>
      <c r="W1151" s="9">
        <f t="shared" ca="1" si="1196"/>
        <v>2.5066405381147561E-2</v>
      </c>
      <c r="X1151" s="17">
        <f t="shared" ca="1" si="1191"/>
        <v>2.1141290432677248E-2</v>
      </c>
      <c r="Y1151" s="13">
        <f t="shared" ref="Y1151:Z1151" ca="1" si="1253">+Y1150</f>
        <v>0</v>
      </c>
      <c r="Z1151" s="13">
        <f t="shared" ca="1" si="1253"/>
        <v>0</v>
      </c>
      <c r="AA1151">
        <f t="shared" ca="1" si="1198"/>
        <v>0</v>
      </c>
      <c r="AB1151">
        <f t="shared" ca="1" si="1199"/>
        <v>1</v>
      </c>
      <c r="AC1151" s="24">
        <f t="shared" ca="1" si="1200"/>
        <v>0</v>
      </c>
      <c r="AD1151" s="24">
        <f t="shared" ca="1" si="1201"/>
        <v>2.1141290432677248E-2</v>
      </c>
    </row>
    <row r="1152" spans="3:30" x14ac:dyDescent="0.25">
      <c r="C1152" s="6">
        <v>1246</v>
      </c>
      <c r="D1152" s="36">
        <v>43777</v>
      </c>
      <c r="E1152" s="38">
        <v>18.138000000000002</v>
      </c>
      <c r="F1152" s="38">
        <v>51.686736516484238</v>
      </c>
      <c r="G1152" s="38">
        <v>50.7</v>
      </c>
      <c r="H1152" s="38">
        <v>2.2650639166626756</v>
      </c>
      <c r="I1152" s="38">
        <v>5.6316193699326513</v>
      </c>
      <c r="J1152" s="10">
        <v>0</v>
      </c>
      <c r="K1152" s="39">
        <v>0</v>
      </c>
      <c r="L1152" s="39">
        <v>0</v>
      </c>
      <c r="M1152" s="39">
        <v>0</v>
      </c>
      <c r="N1152" s="39">
        <v>0</v>
      </c>
      <c r="O1152" s="39">
        <v>0</v>
      </c>
      <c r="P1152" s="39">
        <v>0</v>
      </c>
      <c r="Q1152" s="39">
        <v>0</v>
      </c>
      <c r="R1152" s="39">
        <v>0</v>
      </c>
      <c r="S1152" s="39">
        <v>0</v>
      </c>
      <c r="T1152" s="39">
        <v>1</v>
      </c>
      <c r="U1152" s="29" cm="1">
        <f t="array" aca="1" ref="U1152" ca="1">+fair_value_gap(OFFSET(T1151,0,0,-1*$J$5,-1*$AA$1),OFFSET(E1151,0,0,-1*$J$5,1),F1152:T1152,0)</f>
        <v>18.628641109926455</v>
      </c>
      <c r="V1152" s="9" cm="1">
        <f t="array" aca="1" ref="V1152" ca="1">z_score_diff(OFFSET(U1152,0,0,$J$5*-1,1),OFFSET(E1152,0,0,$J$5*-1,1))</f>
        <v>1.3076515502378094E-2</v>
      </c>
      <c r="W1152" s="9">
        <f t="shared" ca="1" si="1196"/>
        <v>3.5283198030549349E-2</v>
      </c>
      <c r="X1152" s="17">
        <f t="shared" ca="1" si="1191"/>
        <v>2.1705602104699042E-2</v>
      </c>
      <c r="Y1152" s="13">
        <f t="shared" ref="Y1152:Z1152" ca="1" si="1254">+Y1151</f>
        <v>0</v>
      </c>
      <c r="Z1152" s="13">
        <f t="shared" ca="1" si="1254"/>
        <v>0</v>
      </c>
      <c r="AA1152">
        <f t="shared" ca="1" si="1198"/>
        <v>0</v>
      </c>
      <c r="AB1152">
        <f t="shared" ca="1" si="1199"/>
        <v>1</v>
      </c>
      <c r="AC1152" s="24">
        <f t="shared" ca="1" si="1200"/>
        <v>0</v>
      </c>
      <c r="AD1152" s="24">
        <f t="shared" ca="1" si="1201"/>
        <v>2.1705602104699042E-2</v>
      </c>
    </row>
    <row r="1153" spans="3:30" x14ac:dyDescent="0.25">
      <c r="C1153" s="6">
        <v>1247</v>
      </c>
      <c r="D1153" s="36">
        <v>43780</v>
      </c>
      <c r="E1153" s="38">
        <v>18.039000000000001</v>
      </c>
      <c r="F1153" s="38">
        <v>51.491079221475445</v>
      </c>
      <c r="G1153" s="38">
        <v>50.49</v>
      </c>
      <c r="H1153" s="38">
        <v>2.242710747023823</v>
      </c>
      <c r="I1153" s="38">
        <v>5.6267140433035454</v>
      </c>
      <c r="J1153" s="10">
        <v>0</v>
      </c>
      <c r="K1153" s="39">
        <v>0</v>
      </c>
      <c r="L1153" s="39">
        <v>0</v>
      </c>
      <c r="M1153" s="39">
        <v>0</v>
      </c>
      <c r="N1153" s="39">
        <v>0</v>
      </c>
      <c r="O1153" s="39">
        <v>0</v>
      </c>
      <c r="P1153" s="39">
        <v>0</v>
      </c>
      <c r="Q1153" s="39">
        <v>0</v>
      </c>
      <c r="R1153" s="39">
        <v>0</v>
      </c>
      <c r="S1153" s="39">
        <v>0</v>
      </c>
      <c r="T1153" s="39">
        <v>1</v>
      </c>
      <c r="U1153" s="29" cm="1">
        <f t="array" aca="1" ref="U1153" ca="1">+fair_value_gap(OFFSET(T1152,0,0,-1*$J$5,-1*$AA$1),OFFSET(E1152,0,0,-1*$J$5,1),F1153:T1153,0)</f>
        <v>18.501188459235728</v>
      </c>
      <c r="V1153" s="9" cm="1">
        <f t="array" aca="1" ref="V1153" ca="1">z_score_diff(OFFSET(U1153,0,0,$J$5*-1,1),OFFSET(E1153,0,0,$J$5*-1,1))</f>
        <v>2.8275028406671288E-4</v>
      </c>
      <c r="W1153" s="9">
        <f t="shared" ca="1" si="1196"/>
        <v>4.155422528085443E-2</v>
      </c>
      <c r="X1153" s="17">
        <f t="shared" ca="1" si="1191"/>
        <v>6.1344799853183642E-3</v>
      </c>
      <c r="Y1153" s="13">
        <f t="shared" ref="Y1153:Z1153" ca="1" si="1255">+Y1152</f>
        <v>0</v>
      </c>
      <c r="Z1153" s="13">
        <f t="shared" ca="1" si="1255"/>
        <v>0</v>
      </c>
      <c r="AA1153">
        <f t="shared" ca="1" si="1198"/>
        <v>0</v>
      </c>
      <c r="AB1153">
        <f t="shared" ca="1" si="1199"/>
        <v>1</v>
      </c>
      <c r="AC1153" s="24">
        <f t="shared" ca="1" si="1200"/>
        <v>0</v>
      </c>
      <c r="AD1153" s="24">
        <f t="shared" ca="1" si="1201"/>
        <v>6.1344799853183642E-3</v>
      </c>
    </row>
    <row r="1154" spans="3:30" x14ac:dyDescent="0.25">
      <c r="C1154" s="6">
        <v>1248</v>
      </c>
      <c r="D1154" s="36">
        <v>43781</v>
      </c>
      <c r="E1154" s="38">
        <v>17.88</v>
      </c>
      <c r="F1154" s="38">
        <v>51.715047072587474</v>
      </c>
      <c r="G1154" s="38">
        <v>50.02</v>
      </c>
      <c r="H1154" s="38">
        <v>2.2422280965560581</v>
      </c>
      <c r="I1154" s="38">
        <v>5.5833787519151254</v>
      </c>
      <c r="J1154" s="10">
        <v>0</v>
      </c>
      <c r="K1154" s="39">
        <v>0</v>
      </c>
      <c r="L1154" s="39">
        <v>0</v>
      </c>
      <c r="M1154" s="39">
        <v>0</v>
      </c>
      <c r="N1154" s="39">
        <v>0</v>
      </c>
      <c r="O1154" s="39">
        <v>0</v>
      </c>
      <c r="P1154" s="39">
        <v>0</v>
      </c>
      <c r="Q1154" s="39">
        <v>0</v>
      </c>
      <c r="R1154" s="39">
        <v>0</v>
      </c>
      <c r="S1154" s="39">
        <v>0</v>
      </c>
      <c r="T1154" s="39">
        <v>1</v>
      </c>
      <c r="U1154" s="29" cm="1">
        <f t="array" aca="1" ref="U1154" ca="1">+fair_value_gap(OFFSET(T1153,0,0,-1*$J$5,-1*$AA$1),OFFSET(E1153,0,0,-1*$J$5,1),F1154:T1154,0)</f>
        <v>18.308261470462497</v>
      </c>
      <c r="V1154" s="9" cm="1">
        <f t="array" aca="1" ref="V1154" ca="1">z_score_diff(OFFSET(U1154,0,0,$J$5*-1,1),OFFSET(E1154,0,0,$J$5*-1,1))</f>
        <v>-1.5353369931059735E-2</v>
      </c>
      <c r="W1154" s="9">
        <f t="shared" ca="1" si="1196"/>
        <v>3.1073312844938299E-2</v>
      </c>
      <c r="X1154" s="17">
        <f t="shared" ca="1" si="1191"/>
        <v>3.6287548542026714E-3</v>
      </c>
      <c r="Y1154" s="13">
        <f t="shared" ref="Y1154:Z1154" ca="1" si="1256">+Y1153</f>
        <v>0</v>
      </c>
      <c r="Z1154" s="13">
        <f t="shared" ca="1" si="1256"/>
        <v>0</v>
      </c>
      <c r="AA1154">
        <f t="shared" ca="1" si="1198"/>
        <v>0</v>
      </c>
      <c r="AB1154">
        <f t="shared" ca="1" si="1199"/>
        <v>1</v>
      </c>
      <c r="AC1154" s="24">
        <f t="shared" ca="1" si="1200"/>
        <v>0</v>
      </c>
      <c r="AD1154" s="24">
        <f t="shared" ca="1" si="1201"/>
        <v>3.6287548542026714E-3</v>
      </c>
    </row>
    <row r="1155" spans="3:30" x14ac:dyDescent="0.25">
      <c r="C1155" s="6">
        <v>1249</v>
      </c>
      <c r="D1155" s="36">
        <v>43782</v>
      </c>
      <c r="E1155" s="38">
        <v>17.795000000000002</v>
      </c>
      <c r="F1155" s="38">
        <v>51.982799129829978</v>
      </c>
      <c r="G1155" s="38">
        <v>50.08</v>
      </c>
      <c r="H1155" s="38">
        <v>2.2358288689299735</v>
      </c>
      <c r="I1155" s="38">
        <v>5.494080871804484</v>
      </c>
      <c r="J1155" s="10">
        <v>0</v>
      </c>
      <c r="K1155" s="39">
        <v>0</v>
      </c>
      <c r="L1155" s="39">
        <v>0</v>
      </c>
      <c r="M1155" s="39">
        <v>0</v>
      </c>
      <c r="N1155" s="39">
        <v>0</v>
      </c>
      <c r="O1155" s="39">
        <v>0</v>
      </c>
      <c r="P1155" s="39">
        <v>0</v>
      </c>
      <c r="Q1155" s="39">
        <v>0</v>
      </c>
      <c r="R1155" s="39">
        <v>0</v>
      </c>
      <c r="S1155" s="39">
        <v>0</v>
      </c>
      <c r="T1155" s="39">
        <v>1</v>
      </c>
      <c r="U1155" s="29" cm="1">
        <f t="array" aca="1" ref="U1155" ca="1">+fair_value_gap(OFFSET(T1154,0,0,-1*$J$5,-1*$AA$1),OFFSET(E1154,0,0,-1*$J$5,1),F1155:T1155,0)</f>
        <v>18.177746866439474</v>
      </c>
      <c r="V1155" s="9" cm="1">
        <f t="array" aca="1" ref="V1155" ca="1">z_score_diff(OFFSET(U1155,0,0,$J$5*-1,1),OFFSET(E1155,0,0,$J$5*-1,1))</f>
        <v>-3.4852919400882865E-2</v>
      </c>
      <c r="W1155" s="9">
        <f t="shared" ca="1" si="1196"/>
        <v>1.9057934101924991E-2</v>
      </c>
      <c r="X1155" s="17">
        <f t="shared" ca="1" si="1191"/>
        <v>-7.3080926320885338E-4</v>
      </c>
      <c r="Y1155" s="13">
        <f t="shared" ref="Y1155:Z1155" ca="1" si="1257">+Y1154</f>
        <v>0</v>
      </c>
      <c r="Z1155" s="13">
        <f t="shared" ca="1" si="1257"/>
        <v>0</v>
      </c>
      <c r="AA1155">
        <f t="shared" ca="1" si="1198"/>
        <v>0</v>
      </c>
      <c r="AB1155">
        <f t="shared" ca="1" si="1199"/>
        <v>1</v>
      </c>
      <c r="AC1155" s="24">
        <f t="shared" ca="1" si="1200"/>
        <v>0</v>
      </c>
      <c r="AD1155" s="24">
        <f t="shared" ca="1" si="1201"/>
        <v>-7.3080926320885338E-4</v>
      </c>
    </row>
    <row r="1156" spans="3:30" x14ac:dyDescent="0.25">
      <c r="C1156" s="6">
        <v>1250</v>
      </c>
      <c r="D1156" s="36">
        <v>43783</v>
      </c>
      <c r="E1156" s="38">
        <v>17.986999999999998</v>
      </c>
      <c r="F1156" s="38">
        <v>51.705087528566033</v>
      </c>
      <c r="G1156" s="38">
        <v>49.89</v>
      </c>
      <c r="H1156" s="38">
        <v>2.2435712542433048</v>
      </c>
      <c r="I1156" s="38">
        <v>5.7243016573850145</v>
      </c>
      <c r="J1156" s="10">
        <v>0</v>
      </c>
      <c r="K1156" s="39">
        <v>0</v>
      </c>
      <c r="L1156" s="39">
        <v>0</v>
      </c>
      <c r="M1156" s="39">
        <v>0</v>
      </c>
      <c r="N1156" s="39">
        <v>0</v>
      </c>
      <c r="O1156" s="39">
        <v>0</v>
      </c>
      <c r="P1156" s="39">
        <v>0</v>
      </c>
      <c r="Q1156" s="39">
        <v>0</v>
      </c>
      <c r="R1156" s="39">
        <v>0</v>
      </c>
      <c r="S1156" s="39">
        <v>0</v>
      </c>
      <c r="T1156" s="39">
        <v>1</v>
      </c>
      <c r="U1156" s="29" cm="1">
        <f t="array" aca="1" ref="U1156" ca="1">+fair_value_gap(OFFSET(T1155,0,0,-1*$J$5,-1*$AA$1),OFFSET(E1155,0,0,-1*$J$5,1),F1156:T1156,0)</f>
        <v>18.357121175461419</v>
      </c>
      <c r="V1156" s="9" cm="1">
        <f t="array" aca="1" ref="V1156" ca="1">z_score_diff(OFFSET(U1156,0,0,$J$5*-1,1),OFFSET(E1156,0,0,$J$5*-1,1))</f>
        <v>-3.826874625544463E-2</v>
      </c>
      <c r="W1156" s="9">
        <f t="shared" ca="1" si="1196"/>
        <v>1.1457926532162786E-2</v>
      </c>
      <c r="X1156" s="17">
        <f t="shared" ca="1" si="1191"/>
        <v>-2.9793999743196336E-2</v>
      </c>
      <c r="Y1156" s="13">
        <f t="shared" ref="Y1156:Z1156" ca="1" si="1258">+Y1155</f>
        <v>0</v>
      </c>
      <c r="Z1156" s="13">
        <f t="shared" ca="1" si="1258"/>
        <v>0</v>
      </c>
      <c r="AA1156">
        <f t="shared" ca="1" si="1198"/>
        <v>0</v>
      </c>
      <c r="AB1156">
        <f t="shared" ca="1" si="1199"/>
        <v>1</v>
      </c>
      <c r="AC1156" s="24">
        <f t="shared" ca="1" si="1200"/>
        <v>0</v>
      </c>
      <c r="AD1156" s="24">
        <f t="shared" ca="1" si="1201"/>
        <v>-2.9793999743196336E-2</v>
      </c>
    </row>
    <row r="1157" spans="3:30" x14ac:dyDescent="0.25">
      <c r="C1157" s="6">
        <v>1251</v>
      </c>
      <c r="D1157" s="36">
        <v>43784</v>
      </c>
      <c r="E1157" s="38">
        <v>18.158999999999999</v>
      </c>
      <c r="F1157" s="38">
        <v>52.12107377728703</v>
      </c>
      <c r="G1157" s="38">
        <v>49.77</v>
      </c>
      <c r="H1157" s="38">
        <v>2.2322435773229534</v>
      </c>
      <c r="I1157" s="38">
        <v>5.7066869099219382</v>
      </c>
      <c r="J1157" s="10">
        <v>0</v>
      </c>
      <c r="K1157" s="39">
        <v>0</v>
      </c>
      <c r="L1157" s="39">
        <v>0</v>
      </c>
      <c r="M1157" s="39">
        <v>0</v>
      </c>
      <c r="N1157" s="39">
        <v>0</v>
      </c>
      <c r="O1157" s="39">
        <v>0</v>
      </c>
      <c r="P1157" s="39">
        <v>0</v>
      </c>
      <c r="Q1157" s="39">
        <v>0</v>
      </c>
      <c r="R1157" s="39">
        <v>0</v>
      </c>
      <c r="S1157" s="39">
        <v>0</v>
      </c>
      <c r="T1157" s="39">
        <v>1</v>
      </c>
      <c r="U1157" s="29" cm="1">
        <f t="array" aca="1" ref="U1157" ca="1">+fair_value_gap(OFFSET(T1156,0,0,-1*$J$5,-1*$AA$1),OFFSET(E1156,0,0,-1*$J$5,1),F1157:T1157,0)</f>
        <v>18.274778405974885</v>
      </c>
      <c r="V1157" s="9" cm="1">
        <f t="array" aca="1" ref="V1157" ca="1">z_score_diff(OFFSET(U1157,0,0,$J$5*-1,1),OFFSET(E1157,0,0,$J$5*-1,1))</f>
        <v>-0.14178824886837127</v>
      </c>
      <c r="W1157" s="9">
        <f t="shared" ca="1" si="1196"/>
        <v>-2.0224525356922669E-4</v>
      </c>
      <c r="X1157" s="17">
        <f t="shared" ca="1" si="1191"/>
        <v>-3.9482876486944825E-2</v>
      </c>
      <c r="Y1157" s="13">
        <f t="shared" ref="Y1157:Z1157" ca="1" si="1259">+Y1156</f>
        <v>0</v>
      </c>
      <c r="Z1157" s="13">
        <f t="shared" ca="1" si="1259"/>
        <v>0</v>
      </c>
      <c r="AA1157">
        <f t="shared" ca="1" si="1198"/>
        <v>1</v>
      </c>
      <c r="AB1157">
        <f t="shared" ca="1" si="1199"/>
        <v>0</v>
      </c>
      <c r="AC1157" s="24">
        <f t="shared" ca="1" si="1200"/>
        <v>-3.9482876486944825E-2</v>
      </c>
      <c r="AD1157" s="24">
        <f t="shared" ca="1" si="1201"/>
        <v>0</v>
      </c>
    </row>
    <row r="1158" spans="3:30" x14ac:dyDescent="0.25">
      <c r="C1158" s="6">
        <v>1252</v>
      </c>
      <c r="D1158" s="36">
        <v>43787</v>
      </c>
      <c r="E1158" s="38">
        <v>18.04</v>
      </c>
      <c r="F1158" s="38">
        <v>51.377349275002622</v>
      </c>
      <c r="G1158" s="38">
        <v>49.83</v>
      </c>
      <c r="H1158" s="38">
        <v>2.2063025354814605</v>
      </c>
      <c r="I1158" s="38">
        <v>6.0501090344467592</v>
      </c>
      <c r="J1158" s="10">
        <v>0</v>
      </c>
      <c r="K1158" s="39">
        <v>0</v>
      </c>
      <c r="L1158" s="39">
        <v>0</v>
      </c>
      <c r="M1158" s="39">
        <v>0</v>
      </c>
      <c r="N1158" s="39">
        <v>0</v>
      </c>
      <c r="O1158" s="39">
        <v>0</v>
      </c>
      <c r="P1158" s="39">
        <v>0</v>
      </c>
      <c r="Q1158" s="39">
        <v>0</v>
      </c>
      <c r="R1158" s="39">
        <v>0</v>
      </c>
      <c r="S1158" s="39">
        <v>0</v>
      </c>
      <c r="T1158" s="39">
        <v>1</v>
      </c>
      <c r="U1158" s="29" cm="1">
        <f t="array" aca="1" ref="U1158" ca="1">+fair_value_gap(OFFSET(T1157,0,0,-1*$J$5,-1*$AA$1),OFFSET(E1157,0,0,-1*$J$5,1),F1158:T1158,0)</f>
        <v>18.630907669152474</v>
      </c>
      <c r="V1158" s="9" cm="1">
        <f t="array" aca="1" ref="V1158" ca="1">z_score_diff(OFFSET(U1158,0,0,$J$5*-1,1),OFFSET(E1158,0,0,$J$5*-1,1))</f>
        <v>5.3745610637980834E-2</v>
      </c>
      <c r="W1158" s="9">
        <f t="shared" ca="1" si="1196"/>
        <v>-3.6455008396206884E-3</v>
      </c>
      <c r="X1158" s="17">
        <f t="shared" ca="1" si="1191"/>
        <v>-3.7731799961902117E-2</v>
      </c>
      <c r="Y1158" s="13">
        <f t="shared" ref="Y1158:Z1158" ca="1" si="1260">+Y1157</f>
        <v>0</v>
      </c>
      <c r="Z1158" s="13">
        <f t="shared" ca="1" si="1260"/>
        <v>0</v>
      </c>
      <c r="AA1158">
        <f t="shared" ca="1" si="1198"/>
        <v>1</v>
      </c>
      <c r="AB1158">
        <f t="shared" ca="1" si="1199"/>
        <v>0</v>
      </c>
      <c r="AC1158" s="24">
        <f t="shared" ca="1" si="1200"/>
        <v>-3.7731799961902117E-2</v>
      </c>
      <c r="AD1158" s="24">
        <f t="shared" ca="1" si="1201"/>
        <v>0</v>
      </c>
    </row>
    <row r="1159" spans="3:30" x14ac:dyDescent="0.25">
      <c r="C1159" s="6">
        <v>1253</v>
      </c>
      <c r="D1159" s="36">
        <v>43788</v>
      </c>
      <c r="E1159" s="38">
        <v>18.079999999999998</v>
      </c>
      <c r="F1159" s="38">
        <v>50.356771056379628</v>
      </c>
      <c r="G1159" s="38">
        <v>49.74</v>
      </c>
      <c r="H1159" s="38">
        <v>2.1853937991327297</v>
      </c>
      <c r="I1159" s="38">
        <v>6.1809117551228718</v>
      </c>
      <c r="J1159" s="10">
        <v>0</v>
      </c>
      <c r="K1159" s="39">
        <v>0</v>
      </c>
      <c r="L1159" s="39">
        <v>0</v>
      </c>
      <c r="M1159" s="39">
        <v>0</v>
      </c>
      <c r="N1159" s="39">
        <v>0</v>
      </c>
      <c r="O1159" s="39">
        <v>0</v>
      </c>
      <c r="P1159" s="39">
        <v>0</v>
      </c>
      <c r="Q1159" s="39">
        <v>0</v>
      </c>
      <c r="R1159" s="39">
        <v>0</v>
      </c>
      <c r="S1159" s="39">
        <v>0</v>
      </c>
      <c r="T1159" s="39">
        <v>1</v>
      </c>
      <c r="U1159" s="29" cm="1">
        <f t="array" aca="1" ref="U1159" ca="1">+fair_value_gap(OFFSET(T1158,0,0,-1*$J$5,-1*$AA$1),OFFSET(E1158,0,0,-1*$J$5,1),F1159:T1159,0)</f>
        <v>18.651900433693356</v>
      </c>
      <c r="V1159" s="9" cm="1">
        <f t="array" aca="1" ref="V1159" ca="1">z_score_diff(OFFSET(U1159,0,0,$J$5*-1,1),OFFSET(E1159,0,0,$J$5*-1,1))</f>
        <v>4.5794311480598981E-2</v>
      </c>
      <c r="W1159" s="9">
        <f t="shared" ca="1" si="1196"/>
        <v>-5.4655935913140458E-3</v>
      </c>
      <c r="X1159" s="17">
        <f t="shared" ref="X1159:X1222" ca="1" si="1261">+LN(OFFSET(E1159,$X$3,0,1,1)/E1159)</f>
        <v>4.9655274440496208E-3</v>
      </c>
      <c r="Y1159" s="13">
        <f t="shared" ref="Y1159:Z1159" ca="1" si="1262">+Y1158</f>
        <v>0</v>
      </c>
      <c r="Z1159" s="13">
        <f t="shared" ca="1" si="1262"/>
        <v>0</v>
      </c>
      <c r="AA1159">
        <f t="shared" ca="1" si="1198"/>
        <v>1</v>
      </c>
      <c r="AB1159">
        <f t="shared" ca="1" si="1199"/>
        <v>0</v>
      </c>
      <c r="AC1159" s="24">
        <f t="shared" ca="1" si="1200"/>
        <v>4.9655274440496208E-3</v>
      </c>
      <c r="AD1159" s="24">
        <f t="shared" ca="1" si="1201"/>
        <v>0</v>
      </c>
    </row>
    <row r="1160" spans="3:30" x14ac:dyDescent="0.25">
      <c r="C1160" s="6">
        <v>1254</v>
      </c>
      <c r="D1160" s="36">
        <v>43789</v>
      </c>
      <c r="E1160" s="38">
        <v>18.248000000000001</v>
      </c>
      <c r="F1160" s="38">
        <v>51.446201038642521</v>
      </c>
      <c r="G1160" s="38">
        <v>49.78</v>
      </c>
      <c r="H1160" s="38">
        <v>2.1857788316950302</v>
      </c>
      <c r="I1160" s="38">
        <v>6.1535770261745695</v>
      </c>
      <c r="J1160" s="10">
        <v>0</v>
      </c>
      <c r="K1160" s="39">
        <v>0</v>
      </c>
      <c r="L1160" s="39">
        <v>0</v>
      </c>
      <c r="M1160" s="39">
        <v>0</v>
      </c>
      <c r="N1160" s="39">
        <v>0</v>
      </c>
      <c r="O1160" s="39">
        <v>0</v>
      </c>
      <c r="P1160" s="39">
        <v>0</v>
      </c>
      <c r="Q1160" s="39">
        <v>0</v>
      </c>
      <c r="R1160" s="39">
        <v>0</v>
      </c>
      <c r="S1160" s="39">
        <v>0</v>
      </c>
      <c r="T1160" s="39">
        <v>1</v>
      </c>
      <c r="U1160" s="29" cm="1">
        <f t="array" aca="1" ref="U1160" ca="1">+fair_value_gap(OFFSET(T1159,0,0,-1*$J$5,-1*$AA$1),OFFSET(E1159,0,0,-1*$J$5,1),F1160:T1160,0)</f>
        <v>18.555794945815052</v>
      </c>
      <c r="V1160" s="9" cm="1">
        <f t="array" aca="1" ref="V1160" ca="1">z_score_diff(OFFSET(U1160,0,0,$J$5*-1,1),OFFSET(E1160,0,0,$J$5*-1,1))</f>
        <v>-6.3526374300159949E-2</v>
      </c>
      <c r="W1160" s="9">
        <f t="shared" ca="1" si="1196"/>
        <v>-9.6018117043572826E-3</v>
      </c>
      <c r="X1160" s="17">
        <f t="shared" ca="1" si="1261"/>
        <v>-2.1715898783186392E-2</v>
      </c>
      <c r="Y1160" s="13">
        <f t="shared" ref="Y1160:Z1160" ca="1" si="1263">+Y1159</f>
        <v>0</v>
      </c>
      <c r="Z1160" s="13">
        <f t="shared" ca="1" si="1263"/>
        <v>0</v>
      </c>
      <c r="AA1160">
        <f t="shared" ca="1" si="1198"/>
        <v>1</v>
      </c>
      <c r="AB1160">
        <f t="shared" ca="1" si="1199"/>
        <v>0</v>
      </c>
      <c r="AC1160" s="24">
        <f t="shared" ca="1" si="1200"/>
        <v>-2.1715898783186392E-2</v>
      </c>
      <c r="AD1160" s="24">
        <f t="shared" ca="1" si="1201"/>
        <v>0</v>
      </c>
    </row>
    <row r="1161" spans="3:30" x14ac:dyDescent="0.25">
      <c r="C1161" s="6">
        <v>1255</v>
      </c>
      <c r="D1161" s="36">
        <v>43790</v>
      </c>
      <c r="E1161" s="38">
        <v>18.234999999999999</v>
      </c>
      <c r="F1161" s="38">
        <v>52.41862377896976</v>
      </c>
      <c r="G1161" s="38">
        <v>50.24</v>
      </c>
      <c r="H1161" s="38">
        <v>2.1818246138471129</v>
      </c>
      <c r="I1161" s="38">
        <v>6.2792682441485619</v>
      </c>
      <c r="J1161" s="10">
        <v>0</v>
      </c>
      <c r="K1161" s="39">
        <v>0</v>
      </c>
      <c r="L1161" s="39">
        <v>0</v>
      </c>
      <c r="M1161" s="39">
        <v>0</v>
      </c>
      <c r="N1161" s="39">
        <v>0</v>
      </c>
      <c r="O1161" s="39">
        <v>0</v>
      </c>
      <c r="P1161" s="39">
        <v>0</v>
      </c>
      <c r="Q1161" s="39">
        <v>0</v>
      </c>
      <c r="R1161" s="39">
        <v>0</v>
      </c>
      <c r="S1161" s="39">
        <v>0</v>
      </c>
      <c r="T1161" s="39">
        <v>1</v>
      </c>
      <c r="U1161" s="29" cm="1">
        <f t="array" aca="1" ref="U1161" ca="1">+fair_value_gap(OFFSET(T1160,0,0,-1*$J$5,-1*$AA$1),OFFSET(E1160,0,0,-1*$J$5,1),F1161:T1161,0)</f>
        <v>18.711693352288385</v>
      </c>
      <c r="V1161" s="9" cm="1">
        <f t="array" aca="1" ref="V1161" ca="1">z_score_diff(OFFSET(U1161,0,0,$J$5*-1,1),OFFSET(E1161,0,0,$J$5*-1,1))</f>
        <v>6.7059953637183534E-3</v>
      </c>
      <c r="W1161" s="9">
        <f t="shared" ca="1" si="1196"/>
        <v>-6.888232168488855E-3</v>
      </c>
      <c r="X1161" s="17">
        <f t="shared" ca="1" si="1261"/>
        <v>-3.3854277280902928E-2</v>
      </c>
      <c r="Y1161" s="13">
        <f t="shared" ref="Y1161:Z1161" ca="1" si="1264">+Y1160</f>
        <v>0</v>
      </c>
      <c r="Z1161" s="13">
        <f t="shared" ca="1" si="1264"/>
        <v>0</v>
      </c>
      <c r="AA1161">
        <f t="shared" ca="1" si="1198"/>
        <v>1</v>
      </c>
      <c r="AB1161">
        <f t="shared" ca="1" si="1199"/>
        <v>0</v>
      </c>
      <c r="AC1161" s="24">
        <f t="shared" ca="1" si="1200"/>
        <v>-3.3854277280902928E-2</v>
      </c>
      <c r="AD1161" s="24">
        <f t="shared" ca="1" si="1201"/>
        <v>0</v>
      </c>
    </row>
    <row r="1162" spans="3:30" x14ac:dyDescent="0.25">
      <c r="C1162" s="6">
        <v>1256</v>
      </c>
      <c r="D1162" s="36">
        <v>43791</v>
      </c>
      <c r="E1162" s="38">
        <v>18.52</v>
      </c>
      <c r="F1162" s="38">
        <v>52.170056108757848</v>
      </c>
      <c r="G1162" s="38">
        <v>50.99</v>
      </c>
      <c r="H1162" s="38">
        <v>2.2177374642389833</v>
      </c>
      <c r="I1162" s="38">
        <v>6.1564392007274185</v>
      </c>
      <c r="J1162" s="10">
        <v>0</v>
      </c>
      <c r="K1162" s="39">
        <v>0</v>
      </c>
      <c r="L1162" s="39">
        <v>0</v>
      </c>
      <c r="M1162" s="39">
        <v>0</v>
      </c>
      <c r="N1162" s="39">
        <v>0</v>
      </c>
      <c r="O1162" s="39">
        <v>0</v>
      </c>
      <c r="P1162" s="39">
        <v>0</v>
      </c>
      <c r="Q1162" s="39">
        <v>0</v>
      </c>
      <c r="R1162" s="39">
        <v>0</v>
      </c>
      <c r="S1162" s="39">
        <v>0</v>
      </c>
      <c r="T1162" s="39">
        <v>1</v>
      </c>
      <c r="U1162" s="29" cm="1">
        <f t="array" aca="1" ref="U1162" ca="1">+fair_value_gap(OFFSET(T1161,0,0,-1*$J$5,-1*$AA$1),OFFSET(E1161,0,0,-1*$J$5,1),F1162:T1162,0)</f>
        <v>18.683761784816191</v>
      </c>
      <c r="V1162" s="9" cm="1">
        <f t="array" aca="1" ref="V1162" ca="1">z_score_diff(OFFSET(U1162,0,0,$J$5*-1,1),OFFSET(E1162,0,0,$J$5*-1,1))</f>
        <v>-0.12364316144140763</v>
      </c>
      <c r="W1162" s="9">
        <f t="shared" ca="1" si="1196"/>
        <v>-8.917888799111132E-3</v>
      </c>
      <c r="X1162" s="17">
        <f t="shared" ca="1" si="1261"/>
        <v>-4.4778244291371283E-2</v>
      </c>
      <c r="Y1162" s="13">
        <f t="shared" ref="Y1162:Z1162" ca="1" si="1265">+Y1161</f>
        <v>0</v>
      </c>
      <c r="Z1162" s="13">
        <f t="shared" ca="1" si="1265"/>
        <v>0</v>
      </c>
      <c r="AA1162">
        <f t="shared" ca="1" si="1198"/>
        <v>1</v>
      </c>
      <c r="AB1162">
        <f t="shared" ca="1" si="1199"/>
        <v>0</v>
      </c>
      <c r="AC1162" s="24">
        <f t="shared" ca="1" si="1200"/>
        <v>-4.4778244291371283E-2</v>
      </c>
      <c r="AD1162" s="24">
        <f t="shared" ca="1" si="1201"/>
        <v>0</v>
      </c>
    </row>
    <row r="1163" spans="3:30" x14ac:dyDescent="0.25">
      <c r="C1163" s="6">
        <v>1257</v>
      </c>
      <c r="D1163" s="36">
        <v>43794</v>
      </c>
      <c r="E1163" s="38">
        <v>18.593</v>
      </c>
      <c r="F1163" s="38">
        <v>52.408378590808766</v>
      </c>
      <c r="G1163" s="38">
        <v>51.01</v>
      </c>
      <c r="H1163" s="38">
        <v>2.2052195228093234</v>
      </c>
      <c r="I1163" s="38">
        <v>6.2168895125514556</v>
      </c>
      <c r="J1163" s="10">
        <v>0</v>
      </c>
      <c r="K1163" s="39">
        <v>0</v>
      </c>
      <c r="L1163" s="39">
        <v>0</v>
      </c>
      <c r="M1163" s="39">
        <v>0</v>
      </c>
      <c r="N1163" s="39">
        <v>0</v>
      </c>
      <c r="O1163" s="39">
        <v>0</v>
      </c>
      <c r="P1163" s="39">
        <v>0</v>
      </c>
      <c r="Q1163" s="39">
        <v>0</v>
      </c>
      <c r="R1163" s="39">
        <v>0</v>
      </c>
      <c r="S1163" s="39">
        <v>0</v>
      </c>
      <c r="T1163" s="39">
        <v>1</v>
      </c>
      <c r="U1163" s="29" cm="1">
        <f t="array" aca="1" ref="U1163" ca="1">+fair_value_gap(OFFSET(T1162,0,0,-1*$J$5,-1*$AA$1),OFFSET(E1162,0,0,-1*$J$5,1),F1163:T1163,0)</f>
        <v>18.64299990188524</v>
      </c>
      <c r="V1163" s="9" cm="1">
        <f t="array" aca="1" ref="V1163" ca="1">z_score_diff(OFFSET(U1163,0,0,$J$5*-1,1),OFFSET(E1163,0,0,$J$5*-1,1))</f>
        <v>-0.17149946492820359</v>
      </c>
      <c r="W1163" s="9">
        <f t="shared" ref="W1163:W1226" ca="1" si="1266">+IF(ISERROR(AVERAGE(OFFSET(V1163,0,0,$W$5*-1,1))),"",AVERAGE(OFFSET(V1163,0,0,$W$5*-1,1)))</f>
        <v>-1.3948540316063679E-2</v>
      </c>
      <c r="X1163" s="17">
        <f t="shared" ca="1" si="1261"/>
        <v>-4.4485989136030288E-2</v>
      </c>
      <c r="Y1163" s="13">
        <f t="shared" ref="Y1163:Z1163" ca="1" si="1267">+Y1162</f>
        <v>0</v>
      </c>
      <c r="Z1163" s="13">
        <f t="shared" ca="1" si="1267"/>
        <v>0</v>
      </c>
      <c r="AA1163">
        <f t="shared" ref="AA1163:AA1226" ca="1" si="1268">+IF(W1163="","",IF(W1163&lt;Y1163,1,0))</f>
        <v>1</v>
      </c>
      <c r="AB1163">
        <f t="shared" ref="AB1163:AB1226" ca="1" si="1269">+IF(W1163="","",IF(W1163&gt;Z1163,1,0))</f>
        <v>0</v>
      </c>
      <c r="AC1163" s="24">
        <f t="shared" ref="AC1163:AC1226" ca="1" si="1270">+IF(ISERROR(AA1163*X1163),"",AA1163*X1163)</f>
        <v>-4.4485989136030288E-2</v>
      </c>
      <c r="AD1163" s="24">
        <f t="shared" ref="AD1163:AD1226" ca="1" si="1271">+IF(ISERROR(AB1163*X1163),"",AB1163*X1163)</f>
        <v>0</v>
      </c>
    </row>
    <row r="1164" spans="3:30" x14ac:dyDescent="0.25">
      <c r="C1164" s="6">
        <v>1258</v>
      </c>
      <c r="D1164" s="36">
        <v>43795</v>
      </c>
      <c r="E1164" s="38">
        <v>18.308</v>
      </c>
      <c r="F1164" s="38">
        <v>52.78399893562765</v>
      </c>
      <c r="G1164" s="38">
        <v>50.21</v>
      </c>
      <c r="H1164" s="38">
        <v>2.1997028627181412</v>
      </c>
      <c r="I1164" s="38">
        <v>6.1556201077677013</v>
      </c>
      <c r="J1164" s="10">
        <v>0</v>
      </c>
      <c r="K1164" s="39">
        <v>0</v>
      </c>
      <c r="L1164" s="39">
        <v>0</v>
      </c>
      <c r="M1164" s="39">
        <v>0</v>
      </c>
      <c r="N1164" s="39">
        <v>0</v>
      </c>
      <c r="O1164" s="39">
        <v>0</v>
      </c>
      <c r="P1164" s="39">
        <v>0</v>
      </c>
      <c r="Q1164" s="39">
        <v>0</v>
      </c>
      <c r="R1164" s="39">
        <v>0</v>
      </c>
      <c r="S1164" s="39">
        <v>0</v>
      </c>
      <c r="T1164" s="39">
        <v>1</v>
      </c>
      <c r="U1164" s="29" cm="1">
        <f t="array" aca="1" ref="U1164" ca="1">+fair_value_gap(OFFSET(T1163,0,0,-1*$J$5,-1*$AA$1),OFFSET(E1163,0,0,-1*$J$5,1),F1164:T1164,0)</f>
        <v>18.424981671746927</v>
      </c>
      <c r="V1164" s="9" cm="1">
        <f t="array" aca="1" ref="V1164" ca="1">z_score_diff(OFFSET(U1164,0,0,$J$5*-1,1),OFFSET(E1164,0,0,$J$5*-1,1))</f>
        <v>-0.14503594808665221</v>
      </c>
      <c r="W1164" s="9">
        <f t="shared" ca="1" si="1266"/>
        <v>-1.7639309630991976E-2</v>
      </c>
      <c r="X1164" s="17">
        <f t="shared" ca="1" si="1261"/>
        <v>-4.1088307015640625E-2</v>
      </c>
      <c r="Y1164" s="13">
        <f t="shared" ref="Y1164:Z1164" ca="1" si="1272">+Y1163</f>
        <v>0</v>
      </c>
      <c r="Z1164" s="13">
        <f t="shared" ca="1" si="1272"/>
        <v>0</v>
      </c>
      <c r="AA1164">
        <f t="shared" ca="1" si="1268"/>
        <v>1</v>
      </c>
      <c r="AB1164">
        <f t="shared" ca="1" si="1269"/>
        <v>0</v>
      </c>
      <c r="AC1164" s="24">
        <f t="shared" ca="1" si="1270"/>
        <v>-4.1088307015640625E-2</v>
      </c>
      <c r="AD1164" s="24">
        <f t="shared" ca="1" si="1271"/>
        <v>0</v>
      </c>
    </row>
    <row r="1165" spans="3:30" x14ac:dyDescent="0.25">
      <c r="C1165" s="6">
        <v>1259</v>
      </c>
      <c r="D1165" s="36">
        <v>43796</v>
      </c>
      <c r="E1165" s="38">
        <v>18.495000000000001</v>
      </c>
      <c r="F1165" s="38">
        <v>52.667082007250386</v>
      </c>
      <c r="G1165" s="38">
        <v>50.72</v>
      </c>
      <c r="H1165" s="38">
        <v>2.3551766338038056</v>
      </c>
      <c r="I1165" s="38">
        <v>6.1901151903560407</v>
      </c>
      <c r="J1165" s="10">
        <v>0</v>
      </c>
      <c r="K1165" s="39">
        <v>0</v>
      </c>
      <c r="L1165" s="39">
        <v>0</v>
      </c>
      <c r="M1165" s="39">
        <v>0</v>
      </c>
      <c r="N1165" s="39">
        <v>0</v>
      </c>
      <c r="O1165" s="39">
        <v>0</v>
      </c>
      <c r="P1165" s="39">
        <v>0</v>
      </c>
      <c r="Q1165" s="39">
        <v>0</v>
      </c>
      <c r="R1165" s="39">
        <v>0</v>
      </c>
      <c r="S1165" s="39">
        <v>0</v>
      </c>
      <c r="T1165" s="39">
        <v>1</v>
      </c>
      <c r="U1165" s="29" cm="1">
        <f t="array" aca="1" ref="U1165" ca="1">+fair_value_gap(OFFSET(T1164,0,0,-1*$J$5,-1*$AA$1),OFFSET(E1164,0,0,-1*$J$5,1),F1165:T1165,0)</f>
        <v>18.649230308452971</v>
      </c>
      <c r="V1165" s="9" cm="1">
        <f t="array" aca="1" ref="V1165" ca="1">z_score_diff(OFFSET(U1165,0,0,$J$5*-1,1),OFFSET(E1165,0,0,$J$5*-1,1))</f>
        <v>-0.12791580090200885</v>
      </c>
      <c r="W1165" s="9">
        <f t="shared" ca="1" si="1266"/>
        <v>-2.3158154930670992E-2</v>
      </c>
      <c r="X1165" s="17">
        <f t="shared" ca="1" si="1261"/>
        <v>-4.8465804776383889E-2</v>
      </c>
      <c r="Y1165" s="13">
        <f t="shared" ref="Y1165:Z1165" ca="1" si="1273">+Y1164</f>
        <v>0</v>
      </c>
      <c r="Z1165" s="13">
        <f t="shared" ca="1" si="1273"/>
        <v>0</v>
      </c>
      <c r="AA1165">
        <f t="shared" ca="1" si="1268"/>
        <v>1</v>
      </c>
      <c r="AB1165">
        <f t="shared" ca="1" si="1269"/>
        <v>0</v>
      </c>
      <c r="AC1165" s="24">
        <f t="shared" ca="1" si="1270"/>
        <v>-4.8465804776383889E-2</v>
      </c>
      <c r="AD1165" s="24">
        <f t="shared" ca="1" si="1271"/>
        <v>0</v>
      </c>
    </row>
    <row r="1166" spans="3:30" x14ac:dyDescent="0.25">
      <c r="C1166" s="6">
        <v>1260</v>
      </c>
      <c r="D1166" s="36">
        <v>43797</v>
      </c>
      <c r="E1166" s="38">
        <v>18.23</v>
      </c>
      <c r="F1166" s="38">
        <v>52.942618408151084</v>
      </c>
      <c r="G1166" s="38">
        <v>50.25</v>
      </c>
      <c r="H1166" s="38">
        <v>2.3535973625499138</v>
      </c>
      <c r="I1166" s="38">
        <v>6.1859643887396789</v>
      </c>
      <c r="J1166" s="10">
        <v>0</v>
      </c>
      <c r="K1166" s="39">
        <v>0</v>
      </c>
      <c r="L1166" s="39">
        <v>0</v>
      </c>
      <c r="M1166" s="39">
        <v>0</v>
      </c>
      <c r="N1166" s="39">
        <v>0</v>
      </c>
      <c r="O1166" s="39">
        <v>0</v>
      </c>
      <c r="P1166" s="39">
        <v>0</v>
      </c>
      <c r="Q1166" s="39">
        <v>0</v>
      </c>
      <c r="R1166" s="39">
        <v>0</v>
      </c>
      <c r="S1166" s="39">
        <v>0</v>
      </c>
      <c r="T1166" s="39">
        <v>1</v>
      </c>
      <c r="U1166" s="29" cm="1">
        <f t="array" aca="1" ref="U1166" ca="1">+fair_value_gap(OFFSET(T1165,0,0,-1*$J$5,-1*$AA$1),OFFSET(E1165,0,0,-1*$J$5,1),F1166:T1166,0)</f>
        <v>18.540152674453786</v>
      </c>
      <c r="V1166" s="9" cm="1">
        <f t="array" aca="1" ref="V1166" ca="1">z_score_diff(OFFSET(U1166,0,0,$J$5*-1,1),OFFSET(E1166,0,0,$J$5*-1,1))</f>
        <v>-6.2289209281224944E-2</v>
      </c>
      <c r="W1166" s="9">
        <f t="shared" ca="1" si="1266"/>
        <v>-2.5808920162988528E-2</v>
      </c>
      <c r="X1166" s="17">
        <f t="shared" ca="1" si="1261"/>
        <v>-6.3288616910467332E-2</v>
      </c>
      <c r="Y1166" s="13">
        <f t="shared" ref="Y1166:Z1166" ca="1" si="1274">+Y1165</f>
        <v>0</v>
      </c>
      <c r="Z1166" s="13">
        <f t="shared" ca="1" si="1274"/>
        <v>0</v>
      </c>
      <c r="AA1166">
        <f t="shared" ca="1" si="1268"/>
        <v>1</v>
      </c>
      <c r="AB1166">
        <f t="shared" ca="1" si="1269"/>
        <v>0</v>
      </c>
      <c r="AC1166" s="24">
        <f t="shared" ca="1" si="1270"/>
        <v>-6.3288616910467332E-2</v>
      </c>
      <c r="AD1166" s="24">
        <f t="shared" ca="1" si="1271"/>
        <v>0</v>
      </c>
    </row>
    <row r="1167" spans="3:30" x14ac:dyDescent="0.25">
      <c r="C1167" s="6">
        <v>1261</v>
      </c>
      <c r="D1167" s="36">
        <v>43798</v>
      </c>
      <c r="E1167" s="38">
        <v>18.579999999999998</v>
      </c>
      <c r="F1167" s="38">
        <v>50.534549547470348</v>
      </c>
      <c r="G1167" s="38">
        <v>51.63</v>
      </c>
      <c r="H1167" s="38">
        <v>2.2741878788093981</v>
      </c>
      <c r="I1167" s="38">
        <v>6.1159853571415894</v>
      </c>
      <c r="J1167" s="10">
        <v>0</v>
      </c>
      <c r="K1167" s="39">
        <v>0</v>
      </c>
      <c r="L1167" s="39">
        <v>0</v>
      </c>
      <c r="M1167" s="39">
        <v>0</v>
      </c>
      <c r="N1167" s="39">
        <v>0</v>
      </c>
      <c r="O1167" s="39">
        <v>0</v>
      </c>
      <c r="P1167" s="39">
        <v>0</v>
      </c>
      <c r="Q1167" s="39">
        <v>0</v>
      </c>
      <c r="R1167" s="39">
        <v>0</v>
      </c>
      <c r="S1167" s="39">
        <v>0</v>
      </c>
      <c r="T1167" s="39">
        <v>1</v>
      </c>
      <c r="U1167" s="29" cm="1">
        <f t="array" aca="1" ref="U1167" ca="1">+fair_value_gap(OFFSET(T1166,0,0,-1*$J$5,-1*$AA$1),OFFSET(E1166,0,0,-1*$J$5,1),F1167:T1167,0)</f>
        <v>18.626777185478311</v>
      </c>
      <c r="V1167" s="9" cm="1">
        <f t="array" aca="1" ref="V1167" ca="1">z_score_diff(OFFSET(U1167,0,0,$J$5*-1,1),OFFSET(E1167,0,0,$J$5*-1,1))</f>
        <v>-0.1741291753397296</v>
      </c>
      <c r="W1167" s="9">
        <f t="shared" ca="1" si="1266"/>
        <v>-3.1657066441339296E-2</v>
      </c>
      <c r="X1167" s="17">
        <f t="shared" ca="1" si="1261"/>
        <v>-8.7990425432823247E-2</v>
      </c>
      <c r="Y1167" s="13">
        <f t="shared" ref="Y1167:Z1167" ca="1" si="1275">+Y1166</f>
        <v>0</v>
      </c>
      <c r="Z1167" s="13">
        <f t="shared" ca="1" si="1275"/>
        <v>0</v>
      </c>
      <c r="AA1167">
        <f t="shared" ca="1" si="1268"/>
        <v>1</v>
      </c>
      <c r="AB1167">
        <f t="shared" ca="1" si="1269"/>
        <v>0</v>
      </c>
      <c r="AC1167" s="24">
        <f t="shared" ca="1" si="1270"/>
        <v>-8.7990425432823247E-2</v>
      </c>
      <c r="AD1167" s="24">
        <f t="shared" ca="1" si="1271"/>
        <v>0</v>
      </c>
    </row>
    <row r="1168" spans="3:30" x14ac:dyDescent="0.25">
      <c r="C1168" s="6">
        <v>1262</v>
      </c>
      <c r="D1168" s="36">
        <v>43801</v>
      </c>
      <c r="E1168" s="38">
        <v>18.257999999999999</v>
      </c>
      <c r="F1168" s="38">
        <v>50.616622551801505</v>
      </c>
      <c r="G1168" s="38">
        <v>51.4</v>
      </c>
      <c r="H1168" s="38">
        <v>2.2629646071982399</v>
      </c>
      <c r="I1168" s="38">
        <v>6.0016222031778588</v>
      </c>
      <c r="J1168" s="10">
        <v>0</v>
      </c>
      <c r="K1168" s="39">
        <v>0</v>
      </c>
      <c r="L1168" s="39">
        <v>0</v>
      </c>
      <c r="M1168" s="39">
        <v>0</v>
      </c>
      <c r="N1168" s="39">
        <v>0</v>
      </c>
      <c r="O1168" s="39">
        <v>0</v>
      </c>
      <c r="P1168" s="39">
        <v>0</v>
      </c>
      <c r="Q1168" s="39">
        <v>0</v>
      </c>
      <c r="R1168" s="39">
        <v>0</v>
      </c>
      <c r="S1168" s="39">
        <v>0</v>
      </c>
      <c r="T1168" s="39">
        <v>0</v>
      </c>
      <c r="U1168" s="29" cm="1">
        <f t="array" aca="1" ref="U1168" ca="1">+fair_value_gap(OFFSET(T1167,0,0,-1*$J$5,-1*$AA$1),OFFSET(E1167,0,0,-1*$J$5,1),F1168:T1168,0)</f>
        <v>19.725539199610548</v>
      </c>
      <c r="V1168" s="9" cm="1">
        <f t="array" aca="1" ref="V1168" ca="1">z_score_diff(OFFSET(U1168,0,0,$J$5*-1,1),OFFSET(E1168,0,0,$J$5*-1,1))</f>
        <v>0.44273338528726625</v>
      </c>
      <c r="W1168" s="9">
        <f t="shared" ca="1" si="1266"/>
        <v>-2.0716540847739509E-2</v>
      </c>
      <c r="X1168" s="17">
        <f t="shared" ca="1" si="1261"/>
        <v>-8.9374277576068972E-2</v>
      </c>
      <c r="Y1168" s="13">
        <f t="shared" ref="Y1168:Z1168" ca="1" si="1276">+Y1167</f>
        <v>0</v>
      </c>
      <c r="Z1168" s="13">
        <f t="shared" ca="1" si="1276"/>
        <v>0</v>
      </c>
      <c r="AA1168">
        <f t="shared" ca="1" si="1268"/>
        <v>1</v>
      </c>
      <c r="AB1168">
        <f t="shared" ca="1" si="1269"/>
        <v>0</v>
      </c>
      <c r="AC1168" s="24">
        <f t="shared" ca="1" si="1270"/>
        <v>-8.9374277576068972E-2</v>
      </c>
      <c r="AD1168" s="24">
        <f t="shared" ca="1" si="1271"/>
        <v>0</v>
      </c>
    </row>
    <row r="1169" spans="3:30" x14ac:dyDescent="0.25">
      <c r="C1169" s="6">
        <v>1263</v>
      </c>
      <c r="D1169" s="36">
        <v>43802</v>
      </c>
      <c r="E1169" s="38">
        <v>18.321000000000002</v>
      </c>
      <c r="F1169" s="38">
        <v>50.570730600500944</v>
      </c>
      <c r="G1169" s="38">
        <v>50.92</v>
      </c>
      <c r="H1169" s="38">
        <v>2.279567500183195</v>
      </c>
      <c r="I1169" s="38">
        <v>5.9152216309943491</v>
      </c>
      <c r="J1169" s="10">
        <v>0</v>
      </c>
      <c r="K1169" s="39">
        <v>0</v>
      </c>
      <c r="L1169" s="39">
        <v>0</v>
      </c>
      <c r="M1169" s="39">
        <v>0</v>
      </c>
      <c r="N1169" s="39">
        <v>0</v>
      </c>
      <c r="O1169" s="39">
        <v>0</v>
      </c>
      <c r="P1169" s="39">
        <v>0</v>
      </c>
      <c r="Q1169" s="39">
        <v>0</v>
      </c>
      <c r="R1169" s="39">
        <v>0</v>
      </c>
      <c r="S1169" s="39">
        <v>0</v>
      </c>
      <c r="T1169" s="39">
        <v>0</v>
      </c>
      <c r="U1169" s="29" cm="1">
        <f t="array" aca="1" ref="U1169" ca="1">+fair_value_gap(OFFSET(T1168,0,0,-1*$J$5,-1*$AA$1),OFFSET(E1168,0,0,-1*$J$5,1),F1169:T1169,0)</f>
        <v>19.226455636391478</v>
      </c>
      <c r="V1169" s="9" cm="1">
        <f t="array" aca="1" ref="V1169" ca="1">z_score_diff(OFFSET(U1169,0,0,$J$5*-1,1),OFFSET(E1169,0,0,$J$5*-1,1))</f>
        <v>0.19676599511772064</v>
      </c>
      <c r="W1169" s="9">
        <f t="shared" ca="1" si="1266"/>
        <v>-1.3720268456133536E-2</v>
      </c>
      <c r="X1169" s="17">
        <f t="shared" ca="1" si="1261"/>
        <v>-0.11541152536554806</v>
      </c>
      <c r="Y1169" s="13">
        <f t="shared" ref="Y1169:Z1169" ca="1" si="1277">+Y1168</f>
        <v>0</v>
      </c>
      <c r="Z1169" s="13">
        <f t="shared" ca="1" si="1277"/>
        <v>0</v>
      </c>
      <c r="AA1169">
        <f t="shared" ca="1" si="1268"/>
        <v>1</v>
      </c>
      <c r="AB1169">
        <f t="shared" ca="1" si="1269"/>
        <v>0</v>
      </c>
      <c r="AC1169" s="24">
        <f t="shared" ca="1" si="1270"/>
        <v>-0.11541152536554806</v>
      </c>
      <c r="AD1169" s="24">
        <f t="shared" ca="1" si="1271"/>
        <v>0</v>
      </c>
    </row>
    <row r="1170" spans="3:30" x14ac:dyDescent="0.25">
      <c r="C1170" s="6">
        <v>1264</v>
      </c>
      <c r="D1170" s="36">
        <v>43803</v>
      </c>
      <c r="E1170" s="38">
        <v>18.454000000000001</v>
      </c>
      <c r="F1170" s="38">
        <v>51.924224712434622</v>
      </c>
      <c r="G1170" s="38">
        <v>51.16</v>
      </c>
      <c r="H1170" s="38">
        <v>2.2911641409414703</v>
      </c>
      <c r="I1170" s="38">
        <v>5.8272382775389984</v>
      </c>
      <c r="J1170" s="10">
        <v>0</v>
      </c>
      <c r="K1170" s="39">
        <v>0</v>
      </c>
      <c r="L1170" s="39">
        <v>0</v>
      </c>
      <c r="M1170" s="39">
        <v>0</v>
      </c>
      <c r="N1170" s="39">
        <v>0</v>
      </c>
      <c r="O1170" s="39">
        <v>0</v>
      </c>
      <c r="P1170" s="39">
        <v>0</v>
      </c>
      <c r="Q1170" s="39">
        <v>0</v>
      </c>
      <c r="R1170" s="39">
        <v>0</v>
      </c>
      <c r="S1170" s="39">
        <v>0</v>
      </c>
      <c r="T1170" s="39">
        <v>0</v>
      </c>
      <c r="U1170" s="29" cm="1">
        <f t="array" aca="1" ref="U1170" ca="1">+fair_value_gap(OFFSET(T1169,0,0,-1*$J$5,-1*$AA$1),OFFSET(E1169,0,0,-1*$J$5,1),F1170:T1170,0)</f>
        <v>19.022369574392119</v>
      </c>
      <c r="V1170" s="9" cm="1">
        <f t="array" aca="1" ref="V1170" ca="1">z_score_diff(OFFSET(U1170,0,0,$J$5*-1,1),OFFSET(E1170,0,0,$J$5*-1,1))</f>
        <v>4.8722973975374478E-2</v>
      </c>
      <c r="W1170" s="9">
        <f t="shared" ca="1" si="1266"/>
        <v>-1.0841634919589086E-2</v>
      </c>
      <c r="X1170" s="17">
        <f t="shared" ca="1" si="1261"/>
        <v>-0.15920297904357247</v>
      </c>
      <c r="Y1170" s="13">
        <f t="shared" ref="Y1170:Z1170" ca="1" si="1278">+Y1169</f>
        <v>0</v>
      </c>
      <c r="Z1170" s="13">
        <f t="shared" ca="1" si="1278"/>
        <v>0</v>
      </c>
      <c r="AA1170">
        <f t="shared" ca="1" si="1268"/>
        <v>1</v>
      </c>
      <c r="AB1170">
        <f t="shared" ca="1" si="1269"/>
        <v>0</v>
      </c>
      <c r="AC1170" s="24">
        <f t="shared" ca="1" si="1270"/>
        <v>-0.15920297904357247</v>
      </c>
      <c r="AD1170" s="24">
        <f t="shared" ca="1" si="1271"/>
        <v>0</v>
      </c>
    </row>
    <row r="1171" spans="3:30" x14ac:dyDescent="0.25">
      <c r="C1171" s="6">
        <v>1265</v>
      </c>
      <c r="D1171" s="36">
        <v>43804</v>
      </c>
      <c r="E1171" s="38">
        <v>18.097999999999999</v>
      </c>
      <c r="F1171" s="38">
        <v>51.885450315497017</v>
      </c>
      <c r="G1171" s="38">
        <v>51.2</v>
      </c>
      <c r="H1171" s="38">
        <v>2.2947639740555132</v>
      </c>
      <c r="I1171" s="38">
        <v>5.8580347130399861</v>
      </c>
      <c r="J1171" s="10">
        <v>0</v>
      </c>
      <c r="K1171" s="39">
        <v>0</v>
      </c>
      <c r="L1171" s="39">
        <v>0</v>
      </c>
      <c r="M1171" s="39">
        <v>0</v>
      </c>
      <c r="N1171" s="39">
        <v>0</v>
      </c>
      <c r="O1171" s="39">
        <v>0</v>
      </c>
      <c r="P1171" s="39">
        <v>0</v>
      </c>
      <c r="Q1171" s="39">
        <v>0</v>
      </c>
      <c r="R1171" s="39">
        <v>0</v>
      </c>
      <c r="S1171" s="39">
        <v>0</v>
      </c>
      <c r="T1171" s="39">
        <v>0</v>
      </c>
      <c r="U1171" s="29" cm="1">
        <f t="array" aca="1" ref="U1171" ca="1">+fair_value_gap(OFFSET(T1170,0,0,-1*$J$5,-1*$AA$1),OFFSET(E1170,0,0,-1*$J$5,1),F1171:T1171,0)</f>
        <v>18.912192079503338</v>
      </c>
      <c r="V1171" s="9" cm="1">
        <f t="array" aca="1" ref="V1171" ca="1">z_score_diff(OFFSET(U1171,0,0,$J$5*-1,1),OFFSET(E1171,0,0,$J$5*-1,1))</f>
        <v>0.15583562569711459</v>
      </c>
      <c r="W1171" s="9">
        <f t="shared" ca="1" si="1266"/>
        <v>-2.1976300809004572E-3</v>
      </c>
      <c r="X1171" s="17">
        <f t="shared" ca="1" si="1261"/>
        <v>-0.12734624397076724</v>
      </c>
      <c r="Y1171" s="13">
        <f t="shared" ref="Y1171:Z1171" ca="1" si="1279">+Y1170</f>
        <v>0</v>
      </c>
      <c r="Z1171" s="13">
        <f t="shared" ca="1" si="1279"/>
        <v>0</v>
      </c>
      <c r="AA1171">
        <f t="shared" ca="1" si="1268"/>
        <v>1</v>
      </c>
      <c r="AB1171">
        <f t="shared" ca="1" si="1269"/>
        <v>0</v>
      </c>
      <c r="AC1171" s="24">
        <f t="shared" ca="1" si="1270"/>
        <v>-0.12734624397076724</v>
      </c>
      <c r="AD1171" s="24">
        <f t="shared" ca="1" si="1271"/>
        <v>0</v>
      </c>
    </row>
    <row r="1172" spans="3:30" x14ac:dyDescent="0.25">
      <c r="C1172" s="6">
        <v>1266</v>
      </c>
      <c r="D1172" s="36">
        <v>43805</v>
      </c>
      <c r="E1172" s="38">
        <v>17.949000000000002</v>
      </c>
      <c r="F1172" s="38">
        <v>52.41302453930755</v>
      </c>
      <c r="G1172" s="38">
        <v>50.89</v>
      </c>
      <c r="H1172" s="38">
        <v>2.2757123209523851</v>
      </c>
      <c r="I1172" s="38">
        <v>5.7489817668832117</v>
      </c>
      <c r="J1172" s="10">
        <v>0</v>
      </c>
      <c r="K1172" s="39">
        <v>0</v>
      </c>
      <c r="L1172" s="39">
        <v>0</v>
      </c>
      <c r="M1172" s="39">
        <v>0</v>
      </c>
      <c r="N1172" s="39">
        <v>0</v>
      </c>
      <c r="O1172" s="39">
        <v>0</v>
      </c>
      <c r="P1172" s="39">
        <v>0</v>
      </c>
      <c r="Q1172" s="39">
        <v>0</v>
      </c>
      <c r="R1172" s="39">
        <v>0</v>
      </c>
      <c r="S1172" s="39">
        <v>0</v>
      </c>
      <c r="T1172" s="39">
        <v>0</v>
      </c>
      <c r="U1172" s="29" cm="1">
        <f t="array" aca="1" ref="U1172" ca="1">+fair_value_gap(OFFSET(T1171,0,0,-1*$J$5,-1*$AA$1),OFFSET(E1171,0,0,-1*$J$5,1),F1172:T1172,0)</f>
        <v>18.521285481406423</v>
      </c>
      <c r="V1172" s="9" cm="1">
        <f t="array" aca="1" ref="V1172" ca="1">z_score_diff(OFFSET(U1172,0,0,$J$5*-1,1),OFFSET(E1172,0,0,$J$5*-1,1))</f>
        <v>4.7239029819256872E-2</v>
      </c>
      <c r="W1172" s="9">
        <f t="shared" ca="1" si="1266"/>
        <v>-2.7500771520204875E-4</v>
      </c>
      <c r="X1172" s="17">
        <f t="shared" ca="1" si="1261"/>
        <v>-0.13240979458786556</v>
      </c>
      <c r="Y1172" s="13">
        <f t="shared" ref="Y1172:Z1172" ca="1" si="1280">+Y1171</f>
        <v>0</v>
      </c>
      <c r="Z1172" s="13">
        <f t="shared" ca="1" si="1280"/>
        <v>0</v>
      </c>
      <c r="AA1172">
        <f t="shared" ca="1" si="1268"/>
        <v>1</v>
      </c>
      <c r="AB1172">
        <f t="shared" ca="1" si="1269"/>
        <v>0</v>
      </c>
      <c r="AC1172" s="24">
        <f t="shared" ca="1" si="1270"/>
        <v>-0.13240979458786556</v>
      </c>
      <c r="AD1172" s="24">
        <f t="shared" ca="1" si="1271"/>
        <v>0</v>
      </c>
    </row>
    <row r="1173" spans="3:30" x14ac:dyDescent="0.25">
      <c r="C1173" s="6">
        <v>1267</v>
      </c>
      <c r="D1173" s="36">
        <v>43808</v>
      </c>
      <c r="E1173" s="38">
        <v>17.736999999999998</v>
      </c>
      <c r="F1173" s="38">
        <v>52.43325852548697</v>
      </c>
      <c r="G1173" s="38">
        <v>50.79</v>
      </c>
      <c r="H1173" s="38">
        <v>2.2583778747912882</v>
      </c>
      <c r="I1173" s="38">
        <v>5.7011887641502179</v>
      </c>
      <c r="J1173" s="10">
        <v>0</v>
      </c>
      <c r="K1173" s="39">
        <v>0</v>
      </c>
      <c r="L1173" s="39">
        <v>0</v>
      </c>
      <c r="M1173" s="39">
        <v>0</v>
      </c>
      <c r="N1173" s="39">
        <v>0</v>
      </c>
      <c r="O1173" s="39">
        <v>0</v>
      </c>
      <c r="P1173" s="39">
        <v>0</v>
      </c>
      <c r="Q1173" s="39">
        <v>0</v>
      </c>
      <c r="R1173" s="39">
        <v>0</v>
      </c>
      <c r="S1173" s="39">
        <v>0</v>
      </c>
      <c r="T1173" s="39">
        <v>0</v>
      </c>
      <c r="U1173" s="29" cm="1">
        <f t="array" aca="1" ref="U1173" ca="1">+fair_value_gap(OFFSET(T1172,0,0,-1*$J$5,-1*$AA$1),OFFSET(E1172,0,0,-1*$J$5,1),F1173:T1173,0)</f>
        <v>18.29219120801999</v>
      </c>
      <c r="V1173" s="9" cm="1">
        <f t="array" aca="1" ref="V1173" ca="1">z_score_diff(OFFSET(U1173,0,0,$J$5*-1,1),OFFSET(E1173,0,0,$J$5*-1,1))</f>
        <v>3.904521496095098E-2</v>
      </c>
      <c r="W1173" s="9">
        <f t="shared" ca="1" si="1266"/>
        <v>2.2563417858346073E-3</v>
      </c>
      <c r="X1173" s="17">
        <f t="shared" ca="1" si="1261"/>
        <v>-0.12966481278084702</v>
      </c>
      <c r="Y1173" s="13">
        <f t="shared" ref="Y1173:Z1173" ca="1" si="1281">+Y1172</f>
        <v>0</v>
      </c>
      <c r="Z1173" s="13">
        <f t="shared" ca="1" si="1281"/>
        <v>0</v>
      </c>
      <c r="AA1173">
        <f t="shared" ca="1" si="1268"/>
        <v>0</v>
      </c>
      <c r="AB1173">
        <f t="shared" ca="1" si="1269"/>
        <v>1</v>
      </c>
      <c r="AC1173" s="24">
        <f t="shared" ca="1" si="1270"/>
        <v>0</v>
      </c>
      <c r="AD1173" s="24">
        <f t="shared" ca="1" si="1271"/>
        <v>-0.12966481278084702</v>
      </c>
    </row>
    <row r="1174" spans="3:30" x14ac:dyDescent="0.25">
      <c r="C1174" s="6">
        <v>1268</v>
      </c>
      <c r="D1174" s="36">
        <v>43809</v>
      </c>
      <c r="E1174" s="38">
        <v>17.713999999999999</v>
      </c>
      <c r="F1174" s="38">
        <v>52.525145719610357</v>
      </c>
      <c r="G1174" s="38">
        <v>50.4</v>
      </c>
      <c r="H1174" s="38">
        <v>2.2592597487851194</v>
      </c>
      <c r="I1174" s="38">
        <v>5.5952805790895113</v>
      </c>
      <c r="J1174" s="10">
        <v>0</v>
      </c>
      <c r="K1174" s="39">
        <v>0</v>
      </c>
      <c r="L1174" s="39">
        <v>0</v>
      </c>
      <c r="M1174" s="39">
        <v>0</v>
      </c>
      <c r="N1174" s="39">
        <v>0</v>
      </c>
      <c r="O1174" s="39">
        <v>0</v>
      </c>
      <c r="P1174" s="39">
        <v>0</v>
      </c>
      <c r="Q1174" s="39">
        <v>0</v>
      </c>
      <c r="R1174" s="39">
        <v>0</v>
      </c>
      <c r="S1174" s="39">
        <v>0</v>
      </c>
      <c r="T1174" s="39">
        <v>0</v>
      </c>
      <c r="U1174" s="29" cm="1">
        <f t="array" aca="1" ref="U1174" ca="1">+fair_value_gap(OFFSET(T1173,0,0,-1*$J$5,-1*$AA$1),OFFSET(E1173,0,0,-1*$J$5,1),F1174:T1174,0)</f>
        <v>17.986848583385555</v>
      </c>
      <c r="V1174" s="9" cm="1">
        <f t="array" aca="1" ref="V1174" ca="1">z_score_diff(OFFSET(U1174,0,0,$J$5*-1,1),OFFSET(E1174,0,0,$J$5*-1,1))</f>
        <v>-8.91926717769147E-2</v>
      </c>
      <c r="W1174" s="9">
        <f t="shared" ca="1" si="1266"/>
        <v>1.2645897779771911E-3</v>
      </c>
      <c r="X1174" s="17">
        <f t="shared" ca="1" si="1261"/>
        <v>-0.12018515067162798</v>
      </c>
      <c r="Y1174" s="13">
        <f t="shared" ref="Y1174:Z1174" ca="1" si="1282">+Y1173</f>
        <v>0</v>
      </c>
      <c r="Z1174" s="13">
        <f t="shared" ca="1" si="1282"/>
        <v>0</v>
      </c>
      <c r="AA1174">
        <f t="shared" ca="1" si="1268"/>
        <v>0</v>
      </c>
      <c r="AB1174">
        <f t="shared" ca="1" si="1269"/>
        <v>1</v>
      </c>
      <c r="AC1174" s="24">
        <f t="shared" ca="1" si="1270"/>
        <v>0</v>
      </c>
      <c r="AD1174" s="24">
        <f t="shared" ca="1" si="1271"/>
        <v>-0.12018515067162798</v>
      </c>
    </row>
    <row r="1175" spans="3:30" x14ac:dyDescent="0.25">
      <c r="C1175" s="6">
        <v>1269</v>
      </c>
      <c r="D1175" s="36">
        <v>43810</v>
      </c>
      <c r="E1175" s="38">
        <v>17.361000000000001</v>
      </c>
      <c r="F1175" s="38">
        <v>51.861252486573598</v>
      </c>
      <c r="G1175" s="38">
        <v>50.12</v>
      </c>
      <c r="H1175" s="38">
        <v>2.2421977578022423</v>
      </c>
      <c r="I1175" s="38">
        <v>5.5769509447881855</v>
      </c>
      <c r="J1175" s="10">
        <v>0</v>
      </c>
      <c r="K1175" s="39">
        <v>0</v>
      </c>
      <c r="L1175" s="39">
        <v>0</v>
      </c>
      <c r="M1175" s="39">
        <v>0</v>
      </c>
      <c r="N1175" s="39">
        <v>0</v>
      </c>
      <c r="O1175" s="39">
        <v>0</v>
      </c>
      <c r="P1175" s="39">
        <v>0</v>
      </c>
      <c r="Q1175" s="39">
        <v>0</v>
      </c>
      <c r="R1175" s="39">
        <v>0</v>
      </c>
      <c r="S1175" s="39">
        <v>0</v>
      </c>
      <c r="T1175" s="39">
        <v>0</v>
      </c>
      <c r="U1175" s="29" cm="1">
        <f t="array" aca="1" ref="U1175" ca="1">+fair_value_gap(OFFSET(T1174,0,0,-1*$J$5,-1*$AA$1),OFFSET(E1174,0,0,-1*$J$5,1),F1175:T1175,0)</f>
        <v>17.855441146600896</v>
      </c>
      <c r="V1175" s="9" cm="1">
        <f t="array" aca="1" ref="V1175" ca="1">z_score_diff(OFFSET(U1175,0,0,$J$5*-1,1),OFFSET(E1175,0,0,$J$5*-1,1))</f>
        <v>1.2282786598639683E-2</v>
      </c>
      <c r="W1175" s="9">
        <f t="shared" ca="1" si="1266"/>
        <v>2.1642444099456296E-3</v>
      </c>
      <c r="X1175" s="17">
        <f t="shared" ca="1" si="1261"/>
        <v>-0.10541811768543365</v>
      </c>
      <c r="Y1175" s="13">
        <f t="shared" ref="Y1175:Z1175" ca="1" si="1283">+Y1174</f>
        <v>0</v>
      </c>
      <c r="Z1175" s="13">
        <f t="shared" ca="1" si="1283"/>
        <v>0</v>
      </c>
      <c r="AA1175">
        <f t="shared" ca="1" si="1268"/>
        <v>0</v>
      </c>
      <c r="AB1175">
        <f t="shared" ca="1" si="1269"/>
        <v>1</v>
      </c>
      <c r="AC1175" s="24">
        <f t="shared" ca="1" si="1270"/>
        <v>0</v>
      </c>
      <c r="AD1175" s="24">
        <f t="shared" ca="1" si="1271"/>
        <v>-0.10541811768543365</v>
      </c>
    </row>
    <row r="1176" spans="3:30" x14ac:dyDescent="0.25">
      <c r="C1176" s="6">
        <v>1270</v>
      </c>
      <c r="D1176" s="36">
        <v>43811</v>
      </c>
      <c r="E1176" s="38">
        <v>17.859000000000002</v>
      </c>
      <c r="F1176" s="38">
        <v>52.220973285746808</v>
      </c>
      <c r="G1176" s="38">
        <v>50.69</v>
      </c>
      <c r="H1176" s="38">
        <v>2.270056782179132</v>
      </c>
      <c r="I1176" s="38">
        <v>5.6685506175204798</v>
      </c>
      <c r="J1176" s="10">
        <v>0</v>
      </c>
      <c r="K1176" s="39">
        <v>0</v>
      </c>
      <c r="L1176" s="39">
        <v>0</v>
      </c>
      <c r="M1176" s="39">
        <v>0</v>
      </c>
      <c r="N1176" s="39">
        <v>0</v>
      </c>
      <c r="O1176" s="39">
        <v>0</v>
      </c>
      <c r="P1176" s="39">
        <v>0</v>
      </c>
      <c r="Q1176" s="39">
        <v>0</v>
      </c>
      <c r="R1176" s="39">
        <v>0</v>
      </c>
      <c r="S1176" s="39">
        <v>0</v>
      </c>
      <c r="T1176" s="39">
        <v>0</v>
      </c>
      <c r="U1176" s="29" cm="1">
        <f t="array" aca="1" ref="U1176" ca="1">+fair_value_gap(OFFSET(T1175,0,0,-1*$J$5,-1*$AA$1),OFFSET(E1175,0,0,-1*$J$5,1),F1176:T1176,0)</f>
        <v>18.014569122000555</v>
      </c>
      <c r="V1176" s="9" cm="1">
        <f t="array" aca="1" ref="V1176" ca="1">z_score_diff(OFFSET(U1176,0,0,$J$5*-1,1),OFFSET(E1176,0,0,$J$5*-1,1))</f>
        <v>-0.14417246074791024</v>
      </c>
      <c r="W1176" s="9">
        <f t="shared" ca="1" si="1266"/>
        <v>1.6623416411648505E-2</v>
      </c>
      <c r="X1176" s="17">
        <f t="shared" ca="1" si="1261"/>
        <v>-0.12192818472531221</v>
      </c>
      <c r="Y1176" s="13">
        <f t="shared" ref="Y1176:Z1176" ca="1" si="1284">+Y1175</f>
        <v>0</v>
      </c>
      <c r="Z1176" s="13">
        <f t="shared" ca="1" si="1284"/>
        <v>0</v>
      </c>
      <c r="AA1176">
        <f t="shared" ca="1" si="1268"/>
        <v>0</v>
      </c>
      <c r="AB1176">
        <f t="shared" ca="1" si="1269"/>
        <v>1</v>
      </c>
      <c r="AC1176" s="24">
        <f t="shared" ca="1" si="1270"/>
        <v>0</v>
      </c>
      <c r="AD1176" s="24">
        <f t="shared" ca="1" si="1271"/>
        <v>-0.12192818472531221</v>
      </c>
    </row>
    <row r="1177" spans="3:30" x14ac:dyDescent="0.25">
      <c r="C1177" s="6">
        <v>1271</v>
      </c>
      <c r="D1177" s="36">
        <v>43812</v>
      </c>
      <c r="E1177" s="38">
        <v>17.59</v>
      </c>
      <c r="F1177" s="38">
        <v>52.806122448979593</v>
      </c>
      <c r="G1177" s="38">
        <v>50.6</v>
      </c>
      <c r="H1177" s="38">
        <v>2.246657283603096</v>
      </c>
      <c r="I1177" s="38">
        <v>5.4978888106966926</v>
      </c>
      <c r="J1177" s="10">
        <v>0</v>
      </c>
      <c r="K1177" s="39">
        <v>0</v>
      </c>
      <c r="L1177" s="39">
        <v>0</v>
      </c>
      <c r="M1177" s="39">
        <v>0</v>
      </c>
      <c r="N1177" s="39">
        <v>0</v>
      </c>
      <c r="O1177" s="39">
        <v>0</v>
      </c>
      <c r="P1177" s="39">
        <v>0</v>
      </c>
      <c r="Q1177" s="39">
        <v>0</v>
      </c>
      <c r="R1177" s="39">
        <v>0</v>
      </c>
      <c r="S1177" s="39">
        <v>0</v>
      </c>
      <c r="T1177" s="39">
        <v>0</v>
      </c>
      <c r="U1177" s="29" cm="1">
        <f t="array" aca="1" ref="U1177" ca="1">+fair_value_gap(OFFSET(T1176,0,0,-1*$J$5,-1*$AA$1),OFFSET(E1176,0,0,-1*$J$5,1),F1177:T1177,0)</f>
        <v>17.766812132852184</v>
      </c>
      <c r="V1177" s="9" cm="1">
        <f t="array" aca="1" ref="V1177" ca="1">z_score_diff(OFFSET(U1177,0,0,$J$5*-1,1),OFFSET(E1177,0,0,$J$5*-1,1))</f>
        <v>-0.1336681364197353</v>
      </c>
      <c r="W1177" s="9">
        <f t="shared" ca="1" si="1266"/>
        <v>1.2770787145993002E-3</v>
      </c>
      <c r="X1177" s="17">
        <f t="shared" ca="1" si="1261"/>
        <v>-0.14098212936588109</v>
      </c>
      <c r="Y1177" s="13">
        <f t="shared" ref="Y1177:Z1177" ca="1" si="1285">+Y1176</f>
        <v>0</v>
      </c>
      <c r="Z1177" s="13">
        <f t="shared" ca="1" si="1285"/>
        <v>0</v>
      </c>
      <c r="AA1177">
        <f t="shared" ca="1" si="1268"/>
        <v>0</v>
      </c>
      <c r="AB1177">
        <f t="shared" ca="1" si="1269"/>
        <v>1</v>
      </c>
      <c r="AC1177" s="24">
        <f t="shared" ca="1" si="1270"/>
        <v>0</v>
      </c>
      <c r="AD1177" s="24">
        <f t="shared" ca="1" si="1271"/>
        <v>-0.14098212936588109</v>
      </c>
    </row>
    <row r="1178" spans="3:30" x14ac:dyDescent="0.25">
      <c r="C1178" s="6">
        <v>1272</v>
      </c>
      <c r="D1178" s="36">
        <v>43815</v>
      </c>
      <c r="E1178" s="38">
        <v>17.677</v>
      </c>
      <c r="F1178" s="38">
        <v>52.858342274654575</v>
      </c>
      <c r="G1178" s="38">
        <v>49.89</v>
      </c>
      <c r="H1178" s="38">
        <v>2.2608456106520305</v>
      </c>
      <c r="I1178" s="38">
        <v>5.9438218906354319</v>
      </c>
      <c r="J1178" s="10">
        <v>0</v>
      </c>
      <c r="K1178" s="39">
        <v>0</v>
      </c>
      <c r="L1178" s="39">
        <v>0</v>
      </c>
      <c r="M1178" s="39">
        <v>0</v>
      </c>
      <c r="N1178" s="39">
        <v>0</v>
      </c>
      <c r="O1178" s="39">
        <v>0</v>
      </c>
      <c r="P1178" s="39">
        <v>0</v>
      </c>
      <c r="Q1178" s="39">
        <v>0</v>
      </c>
      <c r="R1178" s="39">
        <v>0</v>
      </c>
      <c r="S1178" s="39">
        <v>0</v>
      </c>
      <c r="T1178" s="39">
        <v>0</v>
      </c>
      <c r="U1178" s="29" cm="1">
        <f t="array" aca="1" ref="U1178" ca="1">+fair_value_gap(OFFSET(T1177,0,0,-1*$J$5,-1*$AA$1),OFFSET(E1177,0,0,-1*$J$5,1),F1178:T1178,0)</f>
        <v>17.979889771000281</v>
      </c>
      <c r="V1178" s="9" cm="1">
        <f t="array" aca="1" ref="V1178" ca="1">z_score_diff(OFFSET(U1178,0,0,$J$5*-1,1),OFFSET(E1178,0,0,$J$5*-1,1))</f>
        <v>-7.5289735043046813E-2</v>
      </c>
      <c r="W1178" s="9">
        <f t="shared" ca="1" si="1266"/>
        <v>-7.219340819908911E-3</v>
      </c>
      <c r="X1178" s="17">
        <f t="shared" ca="1" si="1261"/>
        <v>-0.17615179602457895</v>
      </c>
      <c r="Y1178" s="13">
        <f t="shared" ref="Y1178:Z1178" ca="1" si="1286">+Y1177</f>
        <v>0</v>
      </c>
      <c r="Z1178" s="13">
        <f t="shared" ca="1" si="1286"/>
        <v>0</v>
      </c>
      <c r="AA1178">
        <f t="shared" ca="1" si="1268"/>
        <v>1</v>
      </c>
      <c r="AB1178">
        <f t="shared" ca="1" si="1269"/>
        <v>0</v>
      </c>
      <c r="AC1178" s="24">
        <f t="shared" ca="1" si="1270"/>
        <v>-0.17615179602457895</v>
      </c>
      <c r="AD1178" s="24">
        <f t="shared" ca="1" si="1271"/>
        <v>0</v>
      </c>
    </row>
    <row r="1179" spans="3:30" x14ac:dyDescent="0.25">
      <c r="C1179" s="6">
        <v>1273</v>
      </c>
      <c r="D1179" s="36">
        <v>43816</v>
      </c>
      <c r="E1179" s="38">
        <v>18.042000000000002</v>
      </c>
      <c r="F1179" s="38">
        <v>53.113874322594228</v>
      </c>
      <c r="G1179" s="38">
        <v>50.28</v>
      </c>
      <c r="H1179" s="38">
        <v>2.2580192567389821</v>
      </c>
      <c r="I1179" s="38">
        <v>6.0988442449008229</v>
      </c>
      <c r="J1179" s="10">
        <v>0</v>
      </c>
      <c r="K1179" s="39">
        <v>0</v>
      </c>
      <c r="L1179" s="39">
        <v>0</v>
      </c>
      <c r="M1179" s="39">
        <v>0</v>
      </c>
      <c r="N1179" s="39">
        <v>0</v>
      </c>
      <c r="O1179" s="39">
        <v>0</v>
      </c>
      <c r="P1179" s="39">
        <v>0</v>
      </c>
      <c r="Q1179" s="39">
        <v>0</v>
      </c>
      <c r="R1179" s="39">
        <v>0</v>
      </c>
      <c r="S1179" s="39">
        <v>0</v>
      </c>
      <c r="T1179" s="39">
        <v>0</v>
      </c>
      <c r="U1179" s="29" cm="1">
        <f t="array" aca="1" ref="U1179" ca="1">+fair_value_gap(OFFSET(T1178,0,0,-1*$J$5,-1*$AA$1),OFFSET(E1178,0,0,-1*$J$5,1),F1179:T1179,0)</f>
        <v>18.160992767527013</v>
      </c>
      <c r="V1179" s="9" cm="1">
        <f t="array" aca="1" ref="V1179" ca="1">z_score_diff(OFFSET(U1179,0,0,$J$5*-1,1),OFFSET(E1179,0,0,$J$5*-1,1))</f>
        <v>-0.16409801185991368</v>
      </c>
      <c r="W1179" s="9">
        <f t="shared" ca="1" si="1266"/>
        <v>-1.6215373670161529E-2</v>
      </c>
      <c r="X1179" s="17">
        <f t="shared" ca="1" si="1261"/>
        <v>-0.21758867237850188</v>
      </c>
      <c r="Y1179" s="13">
        <f t="shared" ref="Y1179:Z1179" ca="1" si="1287">+Y1178</f>
        <v>0</v>
      </c>
      <c r="Z1179" s="13">
        <f t="shared" ca="1" si="1287"/>
        <v>0</v>
      </c>
      <c r="AA1179">
        <f t="shared" ca="1" si="1268"/>
        <v>1</v>
      </c>
      <c r="AB1179">
        <f t="shared" ca="1" si="1269"/>
        <v>0</v>
      </c>
      <c r="AC1179" s="24">
        <f t="shared" ca="1" si="1270"/>
        <v>-0.21758867237850188</v>
      </c>
      <c r="AD1179" s="24">
        <f t="shared" ca="1" si="1271"/>
        <v>0</v>
      </c>
    </row>
    <row r="1180" spans="3:30" x14ac:dyDescent="0.25">
      <c r="C1180" s="6">
        <v>1274</v>
      </c>
      <c r="D1180" s="36">
        <v>43817</v>
      </c>
      <c r="E1180" s="38">
        <v>18.292000000000002</v>
      </c>
      <c r="F1180" s="38">
        <v>53.237984519301634</v>
      </c>
      <c r="G1180" s="38">
        <v>50.72</v>
      </c>
      <c r="H1180" s="38">
        <v>2.2494675322162796</v>
      </c>
      <c r="I1180" s="38">
        <v>6.1776815534868517</v>
      </c>
      <c r="J1180" s="10">
        <v>0</v>
      </c>
      <c r="K1180" s="39">
        <v>0</v>
      </c>
      <c r="L1180" s="39">
        <v>0</v>
      </c>
      <c r="M1180" s="39">
        <v>0</v>
      </c>
      <c r="N1180" s="39">
        <v>0</v>
      </c>
      <c r="O1180" s="39">
        <v>0</v>
      </c>
      <c r="P1180" s="39">
        <v>0</v>
      </c>
      <c r="Q1180" s="39">
        <v>0</v>
      </c>
      <c r="R1180" s="39">
        <v>0</v>
      </c>
      <c r="S1180" s="39">
        <v>0</v>
      </c>
      <c r="T1180" s="39">
        <v>0</v>
      </c>
      <c r="U1180" s="29" cm="1">
        <f t="array" aca="1" ref="U1180" ca="1">+fair_value_gap(OFFSET(T1179,0,0,-1*$J$5,-1*$AA$1),OFFSET(E1179,0,0,-1*$J$5,1),F1180:T1180,0)</f>
        <v>18.302354557621317</v>
      </c>
      <c r="V1180" s="9" cm="1">
        <f t="array" aca="1" ref="V1180" ca="1">z_score_diff(OFFSET(U1180,0,0,$J$5*-1,1),OFFSET(E1180,0,0,$J$5*-1,1))</f>
        <v>-0.21750437124492233</v>
      </c>
      <c r="W1180" s="9">
        <f t="shared" ca="1" si="1266"/>
        <v>-2.769839368893694E-2</v>
      </c>
      <c r="X1180" s="17">
        <f t="shared" ca="1" si="1261"/>
        <v>-0.25540732621371909</v>
      </c>
      <c r="Y1180" s="13">
        <f t="shared" ref="Y1180:Z1180" ca="1" si="1288">+Y1179</f>
        <v>0</v>
      </c>
      <c r="Z1180" s="13">
        <f t="shared" ca="1" si="1288"/>
        <v>0</v>
      </c>
      <c r="AA1180">
        <f t="shared" ca="1" si="1268"/>
        <v>1</v>
      </c>
      <c r="AB1180">
        <f t="shared" ca="1" si="1269"/>
        <v>0</v>
      </c>
      <c r="AC1180" s="24">
        <f t="shared" ca="1" si="1270"/>
        <v>-0.25540732621371909</v>
      </c>
      <c r="AD1180" s="24">
        <f t="shared" ca="1" si="1271"/>
        <v>0</v>
      </c>
    </row>
    <row r="1181" spans="3:30" x14ac:dyDescent="0.25">
      <c r="C1181" s="6">
        <v>1275</v>
      </c>
      <c r="D1181" s="36">
        <v>43818</v>
      </c>
      <c r="E1181" s="38">
        <v>18.643000000000001</v>
      </c>
      <c r="F1181" s="38">
        <v>53.25975359342916</v>
      </c>
      <c r="G1181" s="38">
        <v>51.05</v>
      </c>
      <c r="H1181" s="38">
        <v>2.2494092993164752</v>
      </c>
      <c r="I1181" s="38">
        <v>6.1751075919102139</v>
      </c>
      <c r="J1181" s="10">
        <v>0</v>
      </c>
      <c r="K1181" s="39">
        <v>0</v>
      </c>
      <c r="L1181" s="39">
        <v>0</v>
      </c>
      <c r="M1181" s="39">
        <v>0</v>
      </c>
      <c r="N1181" s="39">
        <v>0</v>
      </c>
      <c r="O1181" s="39">
        <v>0</v>
      </c>
      <c r="P1181" s="39">
        <v>0</v>
      </c>
      <c r="Q1181" s="39">
        <v>0</v>
      </c>
      <c r="R1181" s="39">
        <v>0</v>
      </c>
      <c r="S1181" s="39">
        <v>0</v>
      </c>
      <c r="T1181" s="39">
        <v>0</v>
      </c>
      <c r="U1181" s="29" cm="1">
        <f t="array" aca="1" ref="U1181" ca="1">+fair_value_gap(OFFSET(T1180,0,0,-1*$J$5,-1*$AA$1),OFFSET(E1180,0,0,-1*$J$5,1),F1181:T1181,0)</f>
        <v>18.370773672289715</v>
      </c>
      <c r="V1181" s="9" cm="1">
        <f t="array" aca="1" ref="V1181" ca="1">z_score_diff(OFFSET(U1181,0,0,$J$5*-1,1),OFFSET(E1181,0,0,$J$5*-1,1))</f>
        <v>-0.3558425610772446</v>
      </c>
      <c r="W1181" s="9">
        <f t="shared" ca="1" si="1266"/>
        <v>-4.0528005739325551E-2</v>
      </c>
      <c r="X1181" s="17">
        <f t="shared" ca="1" si="1261"/>
        <v>-0.24980599955526944</v>
      </c>
      <c r="Y1181" s="13">
        <f t="shared" ref="Y1181:Z1181" ca="1" si="1289">+Y1180</f>
        <v>0</v>
      </c>
      <c r="Z1181" s="13">
        <f t="shared" ca="1" si="1289"/>
        <v>0</v>
      </c>
      <c r="AA1181">
        <f t="shared" ca="1" si="1268"/>
        <v>1</v>
      </c>
      <c r="AB1181">
        <f t="shared" ca="1" si="1269"/>
        <v>0</v>
      </c>
      <c r="AC1181" s="24">
        <f t="shared" ca="1" si="1270"/>
        <v>-0.24980599955526944</v>
      </c>
      <c r="AD1181" s="24">
        <f t="shared" ca="1" si="1271"/>
        <v>0</v>
      </c>
    </row>
    <row r="1182" spans="3:30" x14ac:dyDescent="0.25">
      <c r="C1182" s="6">
        <v>1276</v>
      </c>
      <c r="D1182" s="36">
        <v>43819</v>
      </c>
      <c r="E1182" s="38">
        <v>18.536000000000001</v>
      </c>
      <c r="F1182" s="38">
        <v>53.392530871280663</v>
      </c>
      <c r="G1182" s="38">
        <v>51.12</v>
      </c>
      <c r="H1182" s="38">
        <v>2.2755156982337832</v>
      </c>
      <c r="I1182" s="38">
        <v>6.1786694676634921</v>
      </c>
      <c r="J1182" s="10">
        <v>0</v>
      </c>
      <c r="K1182" s="39">
        <v>0</v>
      </c>
      <c r="L1182" s="39">
        <v>0</v>
      </c>
      <c r="M1182" s="39">
        <v>0</v>
      </c>
      <c r="N1182" s="39">
        <v>0</v>
      </c>
      <c r="O1182" s="39">
        <v>0</v>
      </c>
      <c r="P1182" s="39">
        <v>0</v>
      </c>
      <c r="Q1182" s="39">
        <v>0</v>
      </c>
      <c r="R1182" s="39">
        <v>0</v>
      </c>
      <c r="S1182" s="39">
        <v>0</v>
      </c>
      <c r="T1182" s="39">
        <v>0</v>
      </c>
      <c r="U1182" s="29" cm="1">
        <f t="array" aca="1" ref="U1182" ca="1">+fair_value_gap(OFFSET(T1181,0,0,-1*$J$5,-1*$AA$1),OFFSET(E1181,0,0,-1*$J$5,1),F1182:T1182,0)</f>
        <v>18.383791425563725</v>
      </c>
      <c r="V1182" s="9" cm="1">
        <f t="array" aca="1" ref="V1182" ca="1">z_score_diff(OFFSET(U1182,0,0,$J$5*-1,1),OFFSET(E1182,0,0,$J$5*-1,1))</f>
        <v>-0.29859081926613845</v>
      </c>
      <c r="W1182" s="9">
        <f t="shared" ca="1" si="1266"/>
        <v>-5.0916916898276106E-2</v>
      </c>
      <c r="X1182" s="17">
        <f t="shared" ca="1" si="1261"/>
        <v>-0.22387212913561003</v>
      </c>
      <c r="Y1182" s="13">
        <f t="shared" ref="Y1182:Z1182" ca="1" si="1290">+Y1181</f>
        <v>0</v>
      </c>
      <c r="Z1182" s="13">
        <f t="shared" ca="1" si="1290"/>
        <v>0</v>
      </c>
      <c r="AA1182">
        <f t="shared" ca="1" si="1268"/>
        <v>1</v>
      </c>
      <c r="AB1182">
        <f t="shared" ca="1" si="1269"/>
        <v>0</v>
      </c>
      <c r="AC1182" s="24">
        <f t="shared" ca="1" si="1270"/>
        <v>-0.22387212913561003</v>
      </c>
      <c r="AD1182" s="24">
        <f t="shared" ca="1" si="1271"/>
        <v>0</v>
      </c>
    </row>
    <row r="1183" spans="3:30" x14ac:dyDescent="0.25">
      <c r="C1183" s="6">
        <v>1277</v>
      </c>
      <c r="D1183" s="36">
        <v>43822</v>
      </c>
      <c r="E1183" s="38">
        <v>18.149999999999999</v>
      </c>
      <c r="F1183" s="38">
        <v>53.463351692080707</v>
      </c>
      <c r="G1183" s="38">
        <v>50.79</v>
      </c>
      <c r="H1183" s="38">
        <v>2.2474702739005243</v>
      </c>
      <c r="I1183" s="38">
        <v>5.9271519968553044</v>
      </c>
      <c r="J1183" s="10">
        <v>0</v>
      </c>
      <c r="K1183" s="39">
        <v>0</v>
      </c>
      <c r="L1183" s="39">
        <v>0</v>
      </c>
      <c r="M1183" s="39">
        <v>0</v>
      </c>
      <c r="N1183" s="39">
        <v>0</v>
      </c>
      <c r="O1183" s="39">
        <v>0</v>
      </c>
      <c r="P1183" s="39">
        <v>0</v>
      </c>
      <c r="Q1183" s="39">
        <v>0</v>
      </c>
      <c r="R1183" s="39">
        <v>0</v>
      </c>
      <c r="S1183" s="39">
        <v>0</v>
      </c>
      <c r="T1183" s="39">
        <v>0</v>
      </c>
      <c r="U1183" s="29" cm="1">
        <f t="array" aca="1" ref="U1183" ca="1">+fair_value_gap(OFFSET(T1182,0,0,-1*$J$5,-1*$AA$1),OFFSET(E1182,0,0,-1*$J$5,1),F1183:T1183,0)</f>
        <v>18.103144500478962</v>
      </c>
      <c r="V1183" s="9" cm="1">
        <f t="array" aca="1" ref="V1183" ca="1">z_score_diff(OFFSET(U1183,0,0,$J$5*-1,1),OFFSET(E1183,0,0,$J$5*-1,1))</f>
        <v>-0.24614458415672541</v>
      </c>
      <c r="W1183" s="9">
        <f t="shared" ca="1" si="1266"/>
        <v>-5.9131161379635831E-2</v>
      </c>
      <c r="X1183" s="17">
        <f t="shared" ca="1" si="1261"/>
        <v>-0.20824136836605212</v>
      </c>
      <c r="Y1183" s="13">
        <f t="shared" ref="Y1183:Z1183" ca="1" si="1291">+Y1182</f>
        <v>0</v>
      </c>
      <c r="Z1183" s="13">
        <f t="shared" ca="1" si="1291"/>
        <v>0</v>
      </c>
      <c r="AA1183">
        <f t="shared" ca="1" si="1268"/>
        <v>1</v>
      </c>
      <c r="AB1183">
        <f t="shared" ca="1" si="1269"/>
        <v>0</v>
      </c>
      <c r="AC1183" s="24">
        <f t="shared" ca="1" si="1270"/>
        <v>-0.20824136836605212</v>
      </c>
      <c r="AD1183" s="24">
        <f t="shared" ca="1" si="1271"/>
        <v>0</v>
      </c>
    </row>
    <row r="1184" spans="3:30" x14ac:dyDescent="0.25">
      <c r="C1184" s="6">
        <v>1278</v>
      </c>
      <c r="D1184" s="36">
        <v>43823</v>
      </c>
      <c r="E1184" s="38">
        <v>17.945</v>
      </c>
      <c r="F1184" s="38">
        <v>53.994604067499424</v>
      </c>
      <c r="G1184" s="38">
        <v>50.42</v>
      </c>
      <c r="H1184" s="38">
        <v>2.2419843766674865</v>
      </c>
      <c r="I1184" s="38">
        <v>6.0635887449209172</v>
      </c>
      <c r="J1184" s="10">
        <v>0</v>
      </c>
      <c r="K1184" s="39">
        <v>0</v>
      </c>
      <c r="L1184" s="39">
        <v>0</v>
      </c>
      <c r="M1184" s="39">
        <v>0</v>
      </c>
      <c r="N1184" s="39">
        <v>0</v>
      </c>
      <c r="O1184" s="39">
        <v>0</v>
      </c>
      <c r="P1184" s="39">
        <v>0</v>
      </c>
      <c r="Q1184" s="39">
        <v>0</v>
      </c>
      <c r="R1184" s="39">
        <v>0</v>
      </c>
      <c r="S1184" s="39">
        <v>0</v>
      </c>
      <c r="T1184" s="39">
        <v>0</v>
      </c>
      <c r="U1184" s="29" cm="1">
        <f t="array" aca="1" ref="U1184" ca="1">+fair_value_gap(OFFSET(T1183,0,0,-1*$J$5,-1*$AA$1),OFFSET(E1183,0,0,-1*$J$5,1),F1184:T1184,0)</f>
        <v>18.133752333236718</v>
      </c>
      <c r="V1184" s="9" cm="1">
        <f t="array" aca="1" ref="V1184" ca="1">z_score_diff(OFFSET(U1184,0,0,$J$5*-1,1),OFFSET(E1184,0,0,$J$5*-1,1))</f>
        <v>-0.13055828539902692</v>
      </c>
      <c r="W1184" s="9">
        <f t="shared" ca="1" si="1266"/>
        <v>-6.2971325228568062E-2</v>
      </c>
      <c r="X1184" s="17">
        <f t="shared" ca="1" si="1261"/>
        <v>-0.19248166166821548</v>
      </c>
      <c r="Y1184" s="13">
        <f t="shared" ref="Y1184:Z1184" ca="1" si="1292">+Y1183</f>
        <v>0</v>
      </c>
      <c r="Z1184" s="13">
        <f t="shared" ca="1" si="1292"/>
        <v>0</v>
      </c>
      <c r="AA1184">
        <f t="shared" ca="1" si="1268"/>
        <v>1</v>
      </c>
      <c r="AB1184">
        <f t="shared" ca="1" si="1269"/>
        <v>0</v>
      </c>
      <c r="AC1184" s="24">
        <f t="shared" ca="1" si="1270"/>
        <v>-0.19248166166821548</v>
      </c>
      <c r="AD1184" s="24">
        <f t="shared" ca="1" si="1271"/>
        <v>0</v>
      </c>
    </row>
    <row r="1185" spans="3:30" x14ac:dyDescent="0.25">
      <c r="C1185" s="6">
        <v>1279</v>
      </c>
      <c r="D1185" s="36">
        <v>43826</v>
      </c>
      <c r="E1185" s="38">
        <v>17.782</v>
      </c>
      <c r="F1185" s="38">
        <v>54.007394171683806</v>
      </c>
      <c r="G1185" s="38">
        <v>50.42</v>
      </c>
      <c r="H1185" s="38">
        <v>2.2613243499020799</v>
      </c>
      <c r="I1185" s="38">
        <v>5.9312707977493568</v>
      </c>
      <c r="J1185" s="10">
        <v>0</v>
      </c>
      <c r="K1185" s="39">
        <v>0</v>
      </c>
      <c r="L1185" s="39">
        <v>0</v>
      </c>
      <c r="M1185" s="39">
        <v>0</v>
      </c>
      <c r="N1185" s="39">
        <v>0</v>
      </c>
      <c r="O1185" s="39">
        <v>0</v>
      </c>
      <c r="P1185" s="39">
        <v>0</v>
      </c>
      <c r="Q1185" s="39">
        <v>0</v>
      </c>
      <c r="R1185" s="39">
        <v>0</v>
      </c>
      <c r="S1185" s="39">
        <v>0</v>
      </c>
      <c r="T1185" s="39">
        <v>0</v>
      </c>
      <c r="U1185" s="29" cm="1">
        <f t="array" aca="1" ref="U1185" ca="1">+fair_value_gap(OFFSET(T1184,0,0,-1*$J$5,-1*$AA$1),OFFSET(E1184,0,0,-1*$J$5,1),F1185:T1185,0)</f>
        <v>18.028833779466076</v>
      </c>
      <c r="V1185" s="9" cm="1">
        <f t="array" aca="1" ref="V1185" ca="1">z_score_diff(OFFSET(U1185,0,0,$J$5*-1,1),OFFSET(E1185,0,0,$J$5*-1,1))</f>
        <v>-0.10122933523491517</v>
      </c>
      <c r="W1185" s="9">
        <f t="shared" ca="1" si="1266"/>
        <v>-6.5183872423035819E-2</v>
      </c>
      <c r="X1185" s="17">
        <f t="shared" ca="1" si="1261"/>
        <v>-0.20569460399745115</v>
      </c>
      <c r="Y1185" s="13">
        <f t="shared" ref="Y1185:Z1185" ca="1" si="1293">+Y1184</f>
        <v>0</v>
      </c>
      <c r="Z1185" s="13">
        <f t="shared" ca="1" si="1293"/>
        <v>0</v>
      </c>
      <c r="AA1185">
        <f t="shared" ca="1" si="1268"/>
        <v>1</v>
      </c>
      <c r="AB1185">
        <f t="shared" ca="1" si="1269"/>
        <v>0</v>
      </c>
      <c r="AC1185" s="24">
        <f t="shared" ca="1" si="1270"/>
        <v>-0.20569460399745115</v>
      </c>
      <c r="AD1185" s="24">
        <f t="shared" ca="1" si="1271"/>
        <v>0</v>
      </c>
    </row>
    <row r="1186" spans="3:30" x14ac:dyDescent="0.25">
      <c r="C1186" s="6">
        <v>1280</v>
      </c>
      <c r="D1186" s="36">
        <v>43829</v>
      </c>
      <c r="E1186" s="38">
        <v>17.459</v>
      </c>
      <c r="F1186" s="38">
        <v>53.688288571278989</v>
      </c>
      <c r="G1186" s="38">
        <v>48.36</v>
      </c>
      <c r="H1186" s="38">
        <v>2.3628780343088494</v>
      </c>
      <c r="I1186" s="38">
        <v>5.8766556724778809</v>
      </c>
      <c r="J1186" s="10">
        <v>0</v>
      </c>
      <c r="K1186" s="39">
        <v>0</v>
      </c>
      <c r="L1186" s="39">
        <v>0</v>
      </c>
      <c r="M1186" s="39">
        <v>0</v>
      </c>
      <c r="N1186" s="39">
        <v>0</v>
      </c>
      <c r="O1186" s="39">
        <v>0</v>
      </c>
      <c r="P1186" s="39">
        <v>0</v>
      </c>
      <c r="Q1186" s="39">
        <v>0</v>
      </c>
      <c r="R1186" s="39">
        <v>0</v>
      </c>
      <c r="S1186" s="39">
        <v>0</v>
      </c>
      <c r="T1186" s="39">
        <v>0</v>
      </c>
      <c r="U1186" s="29" cm="1">
        <f t="array" aca="1" ref="U1186" ca="1">+fair_value_gap(OFFSET(T1185,0,0,-1*$J$5,-1*$AA$1),OFFSET(E1185,0,0,-1*$J$5,1),F1186:T1186,0)</f>
        <v>17.56981488583147</v>
      </c>
      <c r="V1186" s="9" cm="1">
        <f t="array" aca="1" ref="V1186" ca="1">z_score_diff(OFFSET(U1186,0,0,$J$5*-1,1),OFFSET(E1186,0,0,$J$5*-1,1))</f>
        <v>-0.16687321007050337</v>
      </c>
      <c r="W1186" s="9">
        <f t="shared" ca="1" si="1266"/>
        <v>-6.9470687883537774E-2</v>
      </c>
      <c r="X1186" s="17">
        <f t="shared" ca="1" si="1261"/>
        <v>-0.17910775642843599</v>
      </c>
      <c r="Y1186" s="13">
        <f t="shared" ref="Y1186:Z1186" ca="1" si="1294">+Y1185</f>
        <v>0</v>
      </c>
      <c r="Z1186" s="13">
        <f t="shared" ca="1" si="1294"/>
        <v>0</v>
      </c>
      <c r="AA1186">
        <f t="shared" ca="1" si="1268"/>
        <v>1</v>
      </c>
      <c r="AB1186">
        <f t="shared" ca="1" si="1269"/>
        <v>0</v>
      </c>
      <c r="AC1186" s="24">
        <f t="shared" ca="1" si="1270"/>
        <v>-0.17910775642843599</v>
      </c>
      <c r="AD1186" s="24">
        <f t="shared" ca="1" si="1271"/>
        <v>0</v>
      </c>
    </row>
    <row r="1187" spans="3:30" x14ac:dyDescent="0.25">
      <c r="C1187" s="6">
        <v>1281</v>
      </c>
      <c r="D1187" s="36">
        <v>43830</v>
      </c>
      <c r="E1187" s="38">
        <v>17.456</v>
      </c>
      <c r="F1187" s="38">
        <v>52.771575710602875</v>
      </c>
      <c r="G1187" s="38">
        <v>49.35</v>
      </c>
      <c r="H1187" s="38">
        <v>2.3713643801889943</v>
      </c>
      <c r="I1187" s="38">
        <v>5.8630240649893333</v>
      </c>
      <c r="J1187" s="10">
        <v>0</v>
      </c>
      <c r="K1187" s="39">
        <v>0</v>
      </c>
      <c r="L1187" s="39">
        <v>0</v>
      </c>
      <c r="M1187" s="39">
        <v>0</v>
      </c>
      <c r="N1187" s="39">
        <v>0</v>
      </c>
      <c r="O1187" s="39">
        <v>0</v>
      </c>
      <c r="P1187" s="39">
        <v>0</v>
      </c>
      <c r="Q1187" s="39">
        <v>0</v>
      </c>
      <c r="R1187" s="39">
        <v>0</v>
      </c>
      <c r="S1187" s="39">
        <v>0</v>
      </c>
      <c r="T1187" s="39">
        <v>0</v>
      </c>
      <c r="U1187" s="29" cm="1">
        <f t="array" aca="1" ref="U1187" ca="1">+fair_value_gap(OFFSET(T1186,0,0,-1*$J$5,-1*$AA$1),OFFSET(E1186,0,0,-1*$J$5,1),F1187:T1187,0)</f>
        <v>17.769933393551153</v>
      </c>
      <c r="V1187" s="9" cm="1">
        <f t="array" aca="1" ref="V1187" ca="1">z_score_diff(OFFSET(U1187,0,0,$J$5*-1,1),OFFSET(E1187,0,0,$J$5*-1,1))</f>
        <v>-6.5325055683553401E-2</v>
      </c>
      <c r="W1187" s="9">
        <f t="shared" ca="1" si="1266"/>
        <v>-6.6921914777377176E-2</v>
      </c>
      <c r="X1187" s="17">
        <f t="shared" ca="1" si="1261"/>
        <v>-0.15129995019838452</v>
      </c>
      <c r="Y1187" s="13">
        <f t="shared" ref="Y1187:Z1187" ca="1" si="1295">+Y1186</f>
        <v>0</v>
      </c>
      <c r="Z1187" s="13">
        <f t="shared" ca="1" si="1295"/>
        <v>0</v>
      </c>
      <c r="AA1187">
        <f t="shared" ca="1" si="1268"/>
        <v>1</v>
      </c>
      <c r="AB1187">
        <f t="shared" ca="1" si="1269"/>
        <v>0</v>
      </c>
      <c r="AC1187" s="24">
        <f t="shared" ca="1" si="1270"/>
        <v>-0.15129995019838452</v>
      </c>
      <c r="AD1187" s="24">
        <f t="shared" ca="1" si="1271"/>
        <v>0</v>
      </c>
    </row>
    <row r="1188" spans="3:30" x14ac:dyDescent="0.25">
      <c r="C1188" s="6">
        <v>1282</v>
      </c>
      <c r="D1188" s="36">
        <v>43832</v>
      </c>
      <c r="E1188" s="38">
        <v>17.372</v>
      </c>
      <c r="F1188" s="38">
        <v>53.356821775607152</v>
      </c>
      <c r="G1188" s="38">
        <v>49.32</v>
      </c>
      <c r="H1188" s="38">
        <v>2.3657717826992211</v>
      </c>
      <c r="I1188" s="38">
        <v>5.8662734804162779</v>
      </c>
      <c r="J1188" s="10">
        <v>1</v>
      </c>
      <c r="K1188" s="39">
        <v>0</v>
      </c>
      <c r="L1188" s="39">
        <v>0</v>
      </c>
      <c r="M1188" s="39">
        <v>0</v>
      </c>
      <c r="N1188" s="39">
        <v>0</v>
      </c>
      <c r="O1188" s="39">
        <v>0</v>
      </c>
      <c r="P1188" s="39">
        <v>0</v>
      </c>
      <c r="Q1188" s="39">
        <v>0</v>
      </c>
      <c r="R1188" s="39">
        <v>0</v>
      </c>
      <c r="S1188" s="39">
        <v>0</v>
      </c>
      <c r="T1188" s="39">
        <v>0</v>
      </c>
      <c r="U1188" s="29" cm="1">
        <f t="array" aca="1" ref="U1188" ca="1">+fair_value_gap(OFFSET(T1187,0,0,-1*$J$5,-1*$AA$1),OFFSET(E1187,0,0,-1*$J$5,1),F1188:T1188,0)</f>
        <v>19.109056359668998</v>
      </c>
      <c r="V1188" s="9" cm="1">
        <f t="array" aca="1" ref="V1188" ca="1">z_score_diff(OFFSET(U1188,0,0,$J$5*-1,1),OFFSET(E1188,0,0,$J$5*-1,1))</f>
        <v>0.65635886699360091</v>
      </c>
      <c r="W1188" s="9">
        <f t="shared" ca="1" si="1266"/>
        <v>-4.6834806232189836E-2</v>
      </c>
      <c r="X1188" s="17">
        <f t="shared" ca="1" si="1261"/>
        <v>-0.12628819034961733</v>
      </c>
      <c r="Y1188" s="13">
        <f t="shared" ref="Y1188:Z1188" ca="1" si="1296">+Y1187</f>
        <v>0</v>
      </c>
      <c r="Z1188" s="13">
        <f t="shared" ca="1" si="1296"/>
        <v>0</v>
      </c>
      <c r="AA1188">
        <f t="shared" ca="1" si="1268"/>
        <v>1</v>
      </c>
      <c r="AB1188">
        <f t="shared" ca="1" si="1269"/>
        <v>0</v>
      </c>
      <c r="AC1188" s="24">
        <f t="shared" ca="1" si="1270"/>
        <v>-0.12628819034961733</v>
      </c>
      <c r="AD1188" s="24">
        <f t="shared" ca="1" si="1271"/>
        <v>0</v>
      </c>
    </row>
    <row r="1189" spans="3:30" x14ac:dyDescent="0.25">
      <c r="C1189" s="6">
        <v>1283</v>
      </c>
      <c r="D1189" s="36">
        <v>43833</v>
      </c>
      <c r="E1189" s="38">
        <v>18.170000000000002</v>
      </c>
      <c r="F1189" s="38">
        <v>54.310852702304643</v>
      </c>
      <c r="G1189" s="38">
        <v>50.07</v>
      </c>
      <c r="H1189" s="38">
        <v>2.3828393485853758</v>
      </c>
      <c r="I1189" s="38">
        <v>6.0842182042614086</v>
      </c>
      <c r="J1189" s="10">
        <v>1</v>
      </c>
      <c r="K1189" s="39">
        <v>0</v>
      </c>
      <c r="L1189" s="39">
        <v>0</v>
      </c>
      <c r="M1189" s="39">
        <v>0</v>
      </c>
      <c r="N1189" s="39">
        <v>0</v>
      </c>
      <c r="O1189" s="39">
        <v>0</v>
      </c>
      <c r="P1189" s="39">
        <v>0</v>
      </c>
      <c r="Q1189" s="39">
        <v>0</v>
      </c>
      <c r="R1189" s="39">
        <v>0</v>
      </c>
      <c r="S1189" s="39">
        <v>0</v>
      </c>
      <c r="T1189" s="39">
        <v>0</v>
      </c>
      <c r="U1189" s="29" cm="1">
        <f t="array" aca="1" ref="U1189" ca="1">+fair_value_gap(OFFSET(T1188,0,0,-1*$J$5,-1*$AA$1),OFFSET(E1188,0,0,-1*$J$5,1),F1189:T1189,0)</f>
        <v>18.981441632705579</v>
      </c>
      <c r="V1189" s="9" cm="1">
        <f t="array" aca="1" ref="V1189" ca="1">z_score_diff(OFFSET(U1189,0,0,$J$5*-1,1),OFFSET(E1189,0,0,$J$5*-1,1))</f>
        <v>0.17928333916243624</v>
      </c>
      <c r="W1189" s="9">
        <f t="shared" ca="1" si="1266"/>
        <v>-4.2385171976128594E-2</v>
      </c>
      <c r="X1189" s="17">
        <f t="shared" ca="1" si="1261"/>
        <v>-0.16145115828762233</v>
      </c>
      <c r="Y1189" s="13">
        <f t="shared" ref="Y1189:Z1189" ca="1" si="1297">+Y1188</f>
        <v>0</v>
      </c>
      <c r="Z1189" s="13">
        <f t="shared" ca="1" si="1297"/>
        <v>0</v>
      </c>
      <c r="AA1189">
        <f t="shared" ca="1" si="1268"/>
        <v>1</v>
      </c>
      <c r="AB1189">
        <f t="shared" ca="1" si="1269"/>
        <v>0</v>
      </c>
      <c r="AC1189" s="24">
        <f t="shared" ca="1" si="1270"/>
        <v>-0.16145115828762233</v>
      </c>
      <c r="AD1189" s="24">
        <f t="shared" ca="1" si="1271"/>
        <v>0</v>
      </c>
    </row>
    <row r="1190" spans="3:30" x14ac:dyDescent="0.25">
      <c r="C1190" s="6">
        <v>1284</v>
      </c>
      <c r="D1190" s="36">
        <v>43836</v>
      </c>
      <c r="E1190" s="38">
        <v>17.856000000000002</v>
      </c>
      <c r="F1190" s="38">
        <v>54.27615912500994</v>
      </c>
      <c r="G1190" s="38">
        <v>50.16</v>
      </c>
      <c r="H1190" s="38">
        <v>2.3760566198824988</v>
      </c>
      <c r="I1190" s="38">
        <v>5.9423262284667135</v>
      </c>
      <c r="J1190" s="10">
        <v>1</v>
      </c>
      <c r="K1190" s="39">
        <v>0</v>
      </c>
      <c r="L1190" s="39">
        <v>0</v>
      </c>
      <c r="M1190" s="39">
        <v>0</v>
      </c>
      <c r="N1190" s="39">
        <v>0</v>
      </c>
      <c r="O1190" s="39">
        <v>0</v>
      </c>
      <c r="P1190" s="39">
        <v>0</v>
      </c>
      <c r="Q1190" s="39">
        <v>0</v>
      </c>
      <c r="R1190" s="39">
        <v>0</v>
      </c>
      <c r="S1190" s="39">
        <v>0</v>
      </c>
      <c r="T1190" s="39">
        <v>0</v>
      </c>
      <c r="U1190" s="29" cm="1">
        <f t="array" aca="1" ref="U1190" ca="1">+fair_value_gap(OFFSET(T1189,0,0,-1*$J$5,-1*$AA$1),OFFSET(E1189,0,0,-1*$J$5,1),F1190:T1190,0)</f>
        <v>18.683625482302045</v>
      </c>
      <c r="V1190" s="9" cm="1">
        <f t="array" aca="1" ref="V1190" ca="1">z_score_diff(OFFSET(U1190,0,0,$J$5*-1,1),OFFSET(E1190,0,0,$J$5*-1,1))</f>
        <v>0.19085294881666132</v>
      </c>
      <c r="W1190" s="9">
        <f t="shared" ca="1" si="1266"/>
        <v>-3.3905861205567898E-2</v>
      </c>
      <c r="X1190" s="17">
        <f t="shared" ca="1" si="1261"/>
        <v>-0.11917008587561094</v>
      </c>
      <c r="Y1190" s="13">
        <f t="shared" ref="Y1190:Z1190" ca="1" si="1298">+Y1189</f>
        <v>0</v>
      </c>
      <c r="Z1190" s="13">
        <f t="shared" ca="1" si="1298"/>
        <v>0</v>
      </c>
      <c r="AA1190">
        <f t="shared" ca="1" si="1268"/>
        <v>1</v>
      </c>
      <c r="AB1190">
        <f t="shared" ca="1" si="1269"/>
        <v>0</v>
      </c>
      <c r="AC1190" s="24">
        <f t="shared" ca="1" si="1270"/>
        <v>-0.11917008587561094</v>
      </c>
      <c r="AD1190" s="24">
        <f t="shared" ca="1" si="1271"/>
        <v>0</v>
      </c>
    </row>
    <row r="1191" spans="3:30" x14ac:dyDescent="0.25">
      <c r="C1191" s="6">
        <v>1285</v>
      </c>
      <c r="D1191" s="36">
        <v>43837</v>
      </c>
      <c r="E1191" s="38">
        <v>17.628</v>
      </c>
      <c r="F1191" s="38">
        <v>54.397321546077166</v>
      </c>
      <c r="G1191" s="38">
        <v>49.75</v>
      </c>
      <c r="H1191" s="38">
        <v>2.3847083864877052</v>
      </c>
      <c r="I1191" s="38">
        <v>5.917902158520814</v>
      </c>
      <c r="J1191" s="10">
        <v>1</v>
      </c>
      <c r="K1191" s="39">
        <v>0</v>
      </c>
      <c r="L1191" s="39">
        <v>0</v>
      </c>
      <c r="M1191" s="39">
        <v>0</v>
      </c>
      <c r="N1191" s="39">
        <v>0</v>
      </c>
      <c r="O1191" s="39">
        <v>0</v>
      </c>
      <c r="P1191" s="39">
        <v>0</v>
      </c>
      <c r="Q1191" s="39">
        <v>0</v>
      </c>
      <c r="R1191" s="39">
        <v>0</v>
      </c>
      <c r="S1191" s="39">
        <v>0</v>
      </c>
      <c r="T1191" s="39">
        <v>0</v>
      </c>
      <c r="U1191" s="29" cm="1">
        <f t="array" aca="1" ref="U1191" ca="1">+fair_value_gap(OFFSET(T1190,0,0,-1*$J$5,-1*$AA$1),OFFSET(E1190,0,0,-1*$J$5,1),F1191:T1191,0)</f>
        <v>18.408152026636685</v>
      </c>
      <c r="V1191" s="9" cm="1">
        <f t="array" aca="1" ref="V1191" ca="1">z_score_diff(OFFSET(U1191,0,0,$J$5*-1,1),OFFSET(E1191,0,0,$J$5*-1,1))</f>
        <v>0.16910104777752683</v>
      </c>
      <c r="W1191" s="9">
        <f t="shared" ca="1" si="1266"/>
        <v>-2.8492692791774282E-2</v>
      </c>
      <c r="X1191" s="17">
        <f t="shared" ca="1" si="1261"/>
        <v>-0.12080836979163496</v>
      </c>
      <c r="Y1191" s="13">
        <f t="shared" ref="Y1191:Z1191" ca="1" si="1299">+Y1190</f>
        <v>0</v>
      </c>
      <c r="Z1191" s="13">
        <f t="shared" ca="1" si="1299"/>
        <v>0</v>
      </c>
      <c r="AA1191">
        <f t="shared" ca="1" si="1268"/>
        <v>1</v>
      </c>
      <c r="AB1191">
        <f t="shared" ca="1" si="1269"/>
        <v>0</v>
      </c>
      <c r="AC1191" s="24">
        <f t="shared" ca="1" si="1270"/>
        <v>-0.12080836979163496</v>
      </c>
      <c r="AD1191" s="24">
        <f t="shared" ca="1" si="1271"/>
        <v>0</v>
      </c>
    </row>
    <row r="1192" spans="3:30" x14ac:dyDescent="0.25">
      <c r="C1192" s="6">
        <v>1286</v>
      </c>
      <c r="D1192" s="36">
        <v>43838</v>
      </c>
      <c r="E1192" s="38">
        <v>17.709</v>
      </c>
      <c r="F1192" s="38">
        <v>52.674440614696543</v>
      </c>
      <c r="G1192" s="38">
        <v>49.37</v>
      </c>
      <c r="H1192" s="38">
        <v>2.390290928779895</v>
      </c>
      <c r="I1192" s="38">
        <v>5.8854861358724122</v>
      </c>
      <c r="J1192" s="10">
        <v>1</v>
      </c>
      <c r="K1192" s="39">
        <v>0</v>
      </c>
      <c r="L1192" s="39">
        <v>0</v>
      </c>
      <c r="M1192" s="39">
        <v>0</v>
      </c>
      <c r="N1192" s="39">
        <v>0</v>
      </c>
      <c r="O1192" s="39">
        <v>0</v>
      </c>
      <c r="P1192" s="39">
        <v>0</v>
      </c>
      <c r="Q1192" s="39">
        <v>0</v>
      </c>
      <c r="R1192" s="39">
        <v>0</v>
      </c>
      <c r="S1192" s="39">
        <v>0</v>
      </c>
      <c r="T1192" s="39">
        <v>0</v>
      </c>
      <c r="U1192" s="29" cm="1">
        <f t="array" aca="1" ref="U1192" ca="1">+fair_value_gap(OFFSET(T1191,0,0,-1*$J$5,-1*$AA$1),OFFSET(E1191,0,0,-1*$J$5,1),F1192:T1192,0)</f>
        <v>18.237527832773999</v>
      </c>
      <c r="V1192" s="9" cm="1">
        <f t="array" aca="1" ref="V1192" ca="1">z_score_diff(OFFSET(U1192,0,0,$J$5*-1,1),OFFSET(E1192,0,0,$J$5*-1,1))</f>
        <v>3.6902552977430891E-2</v>
      </c>
      <c r="W1192" s="9">
        <f t="shared" ca="1" si="1266"/>
        <v>-2.314116897781299E-2</v>
      </c>
      <c r="X1192" s="17">
        <f t="shared" ca="1" si="1261"/>
        <v>-0.13951068928434143</v>
      </c>
      <c r="Y1192" s="13">
        <f t="shared" ref="Y1192:Z1192" ca="1" si="1300">+Y1191</f>
        <v>0</v>
      </c>
      <c r="Z1192" s="13">
        <f t="shared" ca="1" si="1300"/>
        <v>0</v>
      </c>
      <c r="AA1192">
        <f t="shared" ca="1" si="1268"/>
        <v>1</v>
      </c>
      <c r="AB1192">
        <f t="shared" ca="1" si="1269"/>
        <v>0</v>
      </c>
      <c r="AC1192" s="24">
        <f t="shared" ca="1" si="1270"/>
        <v>-0.13951068928434143</v>
      </c>
      <c r="AD1192" s="24">
        <f t="shared" ca="1" si="1271"/>
        <v>0</v>
      </c>
    </row>
    <row r="1193" spans="3:30" x14ac:dyDescent="0.25">
      <c r="C1193" s="6">
        <v>1287</v>
      </c>
      <c r="D1193" s="36">
        <v>43839</v>
      </c>
      <c r="E1193" s="38">
        <v>17.783999999999999</v>
      </c>
      <c r="F1193" s="38">
        <v>52.812915422692733</v>
      </c>
      <c r="G1193" s="38">
        <v>49.99</v>
      </c>
      <c r="H1193" s="38">
        <v>2.3926585202340864</v>
      </c>
      <c r="I1193" s="38">
        <v>5.889146615524619</v>
      </c>
      <c r="J1193" s="10">
        <v>1</v>
      </c>
      <c r="K1193" s="39">
        <v>0</v>
      </c>
      <c r="L1193" s="39">
        <v>0</v>
      </c>
      <c r="M1193" s="39">
        <v>0</v>
      </c>
      <c r="N1193" s="39">
        <v>0</v>
      </c>
      <c r="O1193" s="39">
        <v>0</v>
      </c>
      <c r="P1193" s="39">
        <v>0</v>
      </c>
      <c r="Q1193" s="39">
        <v>0</v>
      </c>
      <c r="R1193" s="39">
        <v>0</v>
      </c>
      <c r="S1193" s="39">
        <v>0</v>
      </c>
      <c r="T1193" s="39">
        <v>0</v>
      </c>
      <c r="U1193" s="29" cm="1">
        <f t="array" aca="1" ref="U1193" ca="1">+fair_value_gap(OFFSET(T1192,0,0,-1*$J$5,-1*$AA$1),OFFSET(E1192,0,0,-1*$J$5,1),F1193:T1193,0)</f>
        <v>18.3133365806829</v>
      </c>
      <c r="V1193" s="9" cm="1">
        <f t="array" aca="1" ref="V1193" ca="1">z_score_diff(OFFSET(U1193,0,0,$J$5*-1,1),OFFSET(E1193,0,0,$J$5*-1,1))</f>
        <v>3.6679537187746913E-2</v>
      </c>
      <c r="W1193" s="9">
        <f t="shared" ca="1" si="1266"/>
        <v>-1.6201868907281317E-2</v>
      </c>
      <c r="X1193" s="17">
        <f t="shared" ca="1" si="1261"/>
        <v>-0.15378524952902023</v>
      </c>
      <c r="Y1193" s="13">
        <f t="shared" ref="Y1193:Z1193" ca="1" si="1301">+Y1192</f>
        <v>0</v>
      </c>
      <c r="Z1193" s="13">
        <f t="shared" ca="1" si="1301"/>
        <v>0</v>
      </c>
      <c r="AA1193">
        <f t="shared" ca="1" si="1268"/>
        <v>1</v>
      </c>
      <c r="AB1193">
        <f t="shared" ca="1" si="1269"/>
        <v>0</v>
      </c>
      <c r="AC1193" s="24">
        <f t="shared" ca="1" si="1270"/>
        <v>-0.15378524952902023</v>
      </c>
      <c r="AD1193" s="24">
        <f t="shared" ca="1" si="1271"/>
        <v>0</v>
      </c>
    </row>
    <row r="1194" spans="3:30" x14ac:dyDescent="0.25">
      <c r="C1194" s="6">
        <v>1288</v>
      </c>
      <c r="D1194" s="36">
        <v>43840</v>
      </c>
      <c r="E1194" s="38">
        <v>17.571000000000002</v>
      </c>
      <c r="F1194" s="38">
        <v>52.54320918160478</v>
      </c>
      <c r="G1194" s="38">
        <v>49.5</v>
      </c>
      <c r="H1194" s="38">
        <v>2.3879279030474887</v>
      </c>
      <c r="I1194" s="38">
        <v>5.8444865251383282</v>
      </c>
      <c r="J1194" s="10">
        <v>1</v>
      </c>
      <c r="K1194" s="39">
        <v>0</v>
      </c>
      <c r="L1194" s="39">
        <v>0</v>
      </c>
      <c r="M1194" s="39">
        <v>0</v>
      </c>
      <c r="N1194" s="39">
        <v>0</v>
      </c>
      <c r="O1194" s="39">
        <v>0</v>
      </c>
      <c r="P1194" s="39">
        <v>0</v>
      </c>
      <c r="Q1194" s="39">
        <v>0</v>
      </c>
      <c r="R1194" s="39">
        <v>0</v>
      </c>
      <c r="S1194" s="39">
        <v>0</v>
      </c>
      <c r="T1194" s="39">
        <v>0</v>
      </c>
      <c r="U1194" s="29" cm="1">
        <f t="array" aca="1" ref="U1194" ca="1">+fair_value_gap(OFFSET(T1193,0,0,-1*$J$5,-1*$AA$1),OFFSET(E1193,0,0,-1*$J$5,1),F1194:T1194,0)</f>
        <v>18.082060872187888</v>
      </c>
      <c r="V1194" s="9" cm="1">
        <f t="array" aca="1" ref="V1194" ca="1">z_score_diff(OFFSET(U1194,0,0,$J$5*-1,1),OFFSET(E1194,0,0,$J$5*-1,1))</f>
        <v>3.0567042617325346E-2</v>
      </c>
      <c r="W1194" s="9">
        <f t="shared" ca="1" si="1266"/>
        <v>-1.0348435883815394E-2</v>
      </c>
      <c r="X1194" s="17">
        <f t="shared" ca="1" si="1261"/>
        <v>-0.15566948481991988</v>
      </c>
      <c r="Y1194" s="13">
        <f t="shared" ref="Y1194:Z1194" ca="1" si="1302">+Y1193</f>
        <v>0</v>
      </c>
      <c r="Z1194" s="13">
        <f t="shared" ca="1" si="1302"/>
        <v>0</v>
      </c>
      <c r="AA1194">
        <f t="shared" ca="1" si="1268"/>
        <v>1</v>
      </c>
      <c r="AB1194">
        <f t="shared" ca="1" si="1269"/>
        <v>0</v>
      </c>
      <c r="AC1194" s="24">
        <f t="shared" ca="1" si="1270"/>
        <v>-0.15566948481991988</v>
      </c>
      <c r="AD1194" s="24">
        <f t="shared" ca="1" si="1271"/>
        <v>0</v>
      </c>
    </row>
    <row r="1195" spans="3:30" x14ac:dyDescent="0.25">
      <c r="C1195" s="6">
        <v>1289</v>
      </c>
      <c r="D1195" s="36">
        <v>43843</v>
      </c>
      <c r="E1195" s="38">
        <v>17.62</v>
      </c>
      <c r="F1195" s="38">
        <v>51.994863750621398</v>
      </c>
      <c r="G1195" s="38">
        <v>49.48</v>
      </c>
      <c r="H1195" s="38">
        <v>2.389831490970284</v>
      </c>
      <c r="I1195" s="38">
        <v>5.8450307138578612</v>
      </c>
      <c r="J1195" s="10">
        <v>1</v>
      </c>
      <c r="K1195" s="39">
        <v>0</v>
      </c>
      <c r="L1195" s="39">
        <v>0</v>
      </c>
      <c r="M1195" s="39">
        <v>0</v>
      </c>
      <c r="N1195" s="39">
        <v>0</v>
      </c>
      <c r="O1195" s="39">
        <v>0</v>
      </c>
      <c r="P1195" s="39">
        <v>0</v>
      </c>
      <c r="Q1195" s="39">
        <v>0</v>
      </c>
      <c r="R1195" s="39">
        <v>0</v>
      </c>
      <c r="S1195" s="39">
        <v>0</v>
      </c>
      <c r="T1195" s="39">
        <v>0</v>
      </c>
      <c r="U1195" s="29" cm="1">
        <f t="array" aca="1" ref="U1195" ca="1">+fair_value_gap(OFFSET(T1194,0,0,-1*$J$5,-1*$AA$1),OFFSET(E1194,0,0,-1*$J$5,1),F1195:T1195,0)</f>
        <v>18.044775901379396</v>
      </c>
      <c r="V1195" s="9" cm="1">
        <f t="array" aca="1" ref="V1195" ca="1">z_score_diff(OFFSET(U1195,0,0,$J$5*-1,1),OFFSET(E1195,0,0,$J$5*-1,1))</f>
        <v>-1.7004537621307991E-2</v>
      </c>
      <c r="W1195" s="9">
        <f t="shared" ca="1" si="1266"/>
        <v>-6.6513937744586936E-3</v>
      </c>
      <c r="X1195" s="17">
        <f t="shared" ca="1" si="1261"/>
        <v>-0.19716442686058036</v>
      </c>
      <c r="Y1195" s="13">
        <f t="shared" ref="Y1195:Z1195" ca="1" si="1303">+Y1194</f>
        <v>0</v>
      </c>
      <c r="Z1195" s="13">
        <f t="shared" ca="1" si="1303"/>
        <v>0</v>
      </c>
      <c r="AA1195">
        <f t="shared" ca="1" si="1268"/>
        <v>1</v>
      </c>
      <c r="AB1195">
        <f t="shared" ca="1" si="1269"/>
        <v>0</v>
      </c>
      <c r="AC1195" s="24">
        <f t="shared" ca="1" si="1270"/>
        <v>-0.19716442686058036</v>
      </c>
      <c r="AD1195" s="24">
        <f t="shared" ca="1" si="1271"/>
        <v>0</v>
      </c>
    </row>
    <row r="1196" spans="3:30" x14ac:dyDescent="0.25">
      <c r="C1196" s="6">
        <v>1290</v>
      </c>
      <c r="D1196" s="36">
        <v>43844</v>
      </c>
      <c r="E1196" s="38">
        <v>17.111999999999998</v>
      </c>
      <c r="F1196" s="38">
        <v>52.181371127479679</v>
      </c>
      <c r="G1196" s="38">
        <v>48.45</v>
      </c>
      <c r="H1196" s="38">
        <v>2.3911335607590467</v>
      </c>
      <c r="I1196" s="38">
        <v>5.7339751870462257</v>
      </c>
      <c r="J1196" s="10">
        <v>1</v>
      </c>
      <c r="K1196" s="39">
        <v>0</v>
      </c>
      <c r="L1196" s="39">
        <v>0</v>
      </c>
      <c r="M1196" s="39">
        <v>0</v>
      </c>
      <c r="N1196" s="39">
        <v>0</v>
      </c>
      <c r="O1196" s="39">
        <v>0</v>
      </c>
      <c r="P1196" s="39">
        <v>0</v>
      </c>
      <c r="Q1196" s="39">
        <v>0</v>
      </c>
      <c r="R1196" s="39">
        <v>0</v>
      </c>
      <c r="S1196" s="39">
        <v>0</v>
      </c>
      <c r="T1196" s="39">
        <v>0</v>
      </c>
      <c r="U1196" s="29" cm="1">
        <f t="array" aca="1" ref="U1196" ca="1">+fair_value_gap(OFFSET(T1195,0,0,-1*$J$5,-1*$AA$1),OFFSET(E1195,0,0,-1*$J$5,1),F1196:T1196,0)</f>
        <v>17.623190931378598</v>
      </c>
      <c r="V1196" s="9" cm="1">
        <f t="array" aca="1" ref="V1196" ca="1">z_score_diff(OFFSET(U1196,0,0,$J$5*-1,1),OFFSET(E1196,0,0,$J$5*-1,1))</f>
        <v>4.0100493797460723E-2</v>
      </c>
      <c r="W1196" s="9">
        <f t="shared" ca="1" si="1266"/>
        <v>-3.2384036718358339E-3</v>
      </c>
      <c r="X1196" s="17">
        <f t="shared" ca="1" si="1261"/>
        <v>-0.17603002957447428</v>
      </c>
      <c r="Y1196" s="13">
        <f t="shared" ref="Y1196:Z1196" ca="1" si="1304">+Y1195</f>
        <v>0</v>
      </c>
      <c r="Z1196" s="13">
        <f t="shared" ca="1" si="1304"/>
        <v>0</v>
      </c>
      <c r="AA1196">
        <f t="shared" ca="1" si="1268"/>
        <v>1</v>
      </c>
      <c r="AB1196">
        <f t="shared" ca="1" si="1269"/>
        <v>0</v>
      </c>
      <c r="AC1196" s="24">
        <f t="shared" ca="1" si="1270"/>
        <v>-0.17603002957447428</v>
      </c>
      <c r="AD1196" s="24">
        <f t="shared" ca="1" si="1271"/>
        <v>0</v>
      </c>
    </row>
    <row r="1197" spans="3:30" x14ac:dyDescent="0.25">
      <c r="C1197" s="6">
        <v>1291</v>
      </c>
      <c r="D1197" s="36">
        <v>43845</v>
      </c>
      <c r="E1197" s="38">
        <v>17.015000000000001</v>
      </c>
      <c r="F1197" s="38">
        <v>51.755439978248859</v>
      </c>
      <c r="G1197" s="38">
        <v>48.75</v>
      </c>
      <c r="H1197" s="38">
        <v>2.3663137953112257</v>
      </c>
      <c r="I1197" s="38">
        <v>5.6570511414964439</v>
      </c>
      <c r="J1197" s="10">
        <v>1</v>
      </c>
      <c r="K1197" s="39">
        <v>0</v>
      </c>
      <c r="L1197" s="39">
        <v>0</v>
      </c>
      <c r="M1197" s="39">
        <v>0</v>
      </c>
      <c r="N1197" s="39">
        <v>0</v>
      </c>
      <c r="O1197" s="39">
        <v>0</v>
      </c>
      <c r="P1197" s="39">
        <v>0</v>
      </c>
      <c r="Q1197" s="39">
        <v>0</v>
      </c>
      <c r="R1197" s="39">
        <v>0</v>
      </c>
      <c r="S1197" s="39">
        <v>0</v>
      </c>
      <c r="T1197" s="39">
        <v>0</v>
      </c>
      <c r="U1197" s="29" cm="1">
        <f t="array" aca="1" ref="U1197" ca="1">+fair_value_gap(OFFSET(T1196,0,0,-1*$J$5,-1*$AA$1),OFFSET(E1196,0,0,-1*$J$5,1),F1197:T1197,0)</f>
        <v>17.572031174239267</v>
      </c>
      <c r="V1197" s="9" cm="1">
        <f t="array" aca="1" ref="V1197" ca="1">z_score_diff(OFFSET(U1197,0,0,$J$5*-1,1),OFFSET(E1197,0,0,$J$5*-1,1))</f>
        <v>6.9522440970257171E-2</v>
      </c>
      <c r="W1197" s="9">
        <f t="shared" ca="1" si="1266"/>
        <v>4.8833168718303765E-3</v>
      </c>
      <c r="X1197" s="17">
        <f t="shared" ca="1" si="1261"/>
        <v>-0.16492454491157649</v>
      </c>
      <c r="Y1197" s="13">
        <f t="shared" ref="Y1197:Z1197" ca="1" si="1305">+Y1196</f>
        <v>0</v>
      </c>
      <c r="Z1197" s="13">
        <f t="shared" ca="1" si="1305"/>
        <v>0</v>
      </c>
      <c r="AA1197">
        <f t="shared" ca="1" si="1268"/>
        <v>0</v>
      </c>
      <c r="AB1197">
        <f t="shared" ca="1" si="1269"/>
        <v>1</v>
      </c>
      <c r="AC1197" s="24">
        <f t="shared" ca="1" si="1270"/>
        <v>0</v>
      </c>
      <c r="AD1197" s="24">
        <f t="shared" ca="1" si="1271"/>
        <v>-0.16492454491157649</v>
      </c>
    </row>
    <row r="1198" spans="3:30" x14ac:dyDescent="0.25">
      <c r="C1198" s="6">
        <v>1292</v>
      </c>
      <c r="D1198" s="36">
        <v>43846</v>
      </c>
      <c r="E1198" s="38">
        <v>16.696999999999999</v>
      </c>
      <c r="F1198" s="38">
        <v>52.102638332856102</v>
      </c>
      <c r="G1198" s="38">
        <v>48.29</v>
      </c>
      <c r="H1198" s="38">
        <v>2.3618340269226241</v>
      </c>
      <c r="I1198" s="38">
        <v>5.5774064971954864</v>
      </c>
      <c r="J1198" s="10">
        <v>1</v>
      </c>
      <c r="K1198" s="39">
        <v>0</v>
      </c>
      <c r="L1198" s="39">
        <v>0</v>
      </c>
      <c r="M1198" s="39">
        <v>0</v>
      </c>
      <c r="N1198" s="39">
        <v>0</v>
      </c>
      <c r="O1198" s="39">
        <v>0</v>
      </c>
      <c r="P1198" s="39">
        <v>0</v>
      </c>
      <c r="Q1198" s="39">
        <v>0</v>
      </c>
      <c r="R1198" s="39">
        <v>0</v>
      </c>
      <c r="S1198" s="39">
        <v>0</v>
      </c>
      <c r="T1198" s="39">
        <v>0</v>
      </c>
      <c r="U1198" s="29" cm="1">
        <f t="array" aca="1" ref="U1198" ca="1">+fair_value_gap(OFFSET(T1197,0,0,-1*$J$5,-1*$AA$1),OFFSET(E1197,0,0,-1*$J$5,1),F1198:T1198,0)</f>
        <v>17.297593202558662</v>
      </c>
      <c r="V1198" s="9" cm="1">
        <f t="array" aca="1" ref="V1198" ca="1">z_score_diff(OFFSET(U1198,0,0,$J$5*-1,1),OFFSET(E1198,0,0,$J$5*-1,1))</f>
        <v>0.10185148030299018</v>
      </c>
      <c r="W1198" s="9">
        <f t="shared" ca="1" si="1266"/>
        <v>-6.4794132943121569E-3</v>
      </c>
      <c r="X1198" s="17">
        <f t="shared" ca="1" si="1261"/>
        <v>-0.17331866396915496</v>
      </c>
      <c r="Y1198" s="13">
        <f t="shared" ref="Y1198:Z1198" ca="1" si="1306">+Y1197</f>
        <v>0</v>
      </c>
      <c r="Z1198" s="13">
        <f t="shared" ca="1" si="1306"/>
        <v>0</v>
      </c>
      <c r="AA1198">
        <f t="shared" ca="1" si="1268"/>
        <v>1</v>
      </c>
      <c r="AB1198">
        <f t="shared" ca="1" si="1269"/>
        <v>0</v>
      </c>
      <c r="AC1198" s="24">
        <f t="shared" ca="1" si="1270"/>
        <v>-0.17331866396915496</v>
      </c>
      <c r="AD1198" s="24">
        <f t="shared" ca="1" si="1271"/>
        <v>0</v>
      </c>
    </row>
    <row r="1199" spans="3:30" x14ac:dyDescent="0.25">
      <c r="C1199" s="6">
        <v>1293</v>
      </c>
      <c r="D1199" s="36">
        <v>43847</v>
      </c>
      <c r="E1199" s="38">
        <v>16.324000000000002</v>
      </c>
      <c r="F1199" s="38">
        <v>52.287777676849359</v>
      </c>
      <c r="G1199" s="38">
        <v>48.24</v>
      </c>
      <c r="H1199" s="38">
        <v>2.3423231153602955</v>
      </c>
      <c r="I1199" s="38">
        <v>5.5559622088741945</v>
      </c>
      <c r="J1199" s="10">
        <v>1</v>
      </c>
      <c r="K1199" s="39">
        <v>0</v>
      </c>
      <c r="L1199" s="39">
        <v>0</v>
      </c>
      <c r="M1199" s="39">
        <v>0</v>
      </c>
      <c r="N1199" s="39">
        <v>0</v>
      </c>
      <c r="O1199" s="39">
        <v>0</v>
      </c>
      <c r="P1199" s="39">
        <v>0</v>
      </c>
      <c r="Q1199" s="39">
        <v>0</v>
      </c>
      <c r="R1199" s="39">
        <v>0</v>
      </c>
      <c r="S1199" s="39">
        <v>0</v>
      </c>
      <c r="T1199" s="39">
        <v>0</v>
      </c>
      <c r="U1199" s="29" cm="1">
        <f t="array" aca="1" ref="U1199" ca="1">+fair_value_gap(OFFSET(T1198,0,0,-1*$J$5,-1*$AA$1),OFFSET(E1198,0,0,-1*$J$5,1),F1199:T1199,0)</f>
        <v>17.180624829464577</v>
      </c>
      <c r="V1199" s="9" cm="1">
        <f t="array" aca="1" ref="V1199" ca="1">z_score_diff(OFFSET(U1199,0,0,$J$5*-1,1),OFFSET(E1199,0,0,$J$5*-1,1))</f>
        <v>0.25956742589403514</v>
      </c>
      <c r="W1199" s="9">
        <f t="shared" ca="1" si="1266"/>
        <v>-4.3860322684349988E-3</v>
      </c>
      <c r="X1199" s="17">
        <f t="shared" ca="1" si="1261"/>
        <v>-0.16869272573834893</v>
      </c>
      <c r="Y1199" s="13">
        <f t="shared" ref="Y1199:Z1199" ca="1" si="1307">+Y1198</f>
        <v>0</v>
      </c>
      <c r="Z1199" s="13">
        <f t="shared" ca="1" si="1307"/>
        <v>0</v>
      </c>
      <c r="AA1199">
        <f t="shared" ca="1" si="1268"/>
        <v>1</v>
      </c>
      <c r="AB1199">
        <f t="shared" ca="1" si="1269"/>
        <v>0</v>
      </c>
      <c r="AC1199" s="24">
        <f t="shared" ca="1" si="1270"/>
        <v>-0.16869272573834893</v>
      </c>
      <c r="AD1199" s="24">
        <f t="shared" ca="1" si="1271"/>
        <v>0</v>
      </c>
    </row>
    <row r="1200" spans="3:30" x14ac:dyDescent="0.25">
      <c r="C1200" s="6">
        <v>1294</v>
      </c>
      <c r="D1200" s="36">
        <v>43850</v>
      </c>
      <c r="E1200" s="38">
        <v>15.738</v>
      </c>
      <c r="F1200" s="38">
        <v>52.44528684459921</v>
      </c>
      <c r="G1200" s="38">
        <v>47.45</v>
      </c>
      <c r="H1200" s="38">
        <v>2.3414806162255086</v>
      </c>
      <c r="I1200" s="38">
        <v>5.5539638110770717</v>
      </c>
      <c r="J1200" s="10">
        <v>1</v>
      </c>
      <c r="K1200" s="39">
        <v>0</v>
      </c>
      <c r="L1200" s="39">
        <v>0</v>
      </c>
      <c r="M1200" s="39">
        <v>0</v>
      </c>
      <c r="N1200" s="39">
        <v>0</v>
      </c>
      <c r="O1200" s="39">
        <v>0</v>
      </c>
      <c r="P1200" s="39">
        <v>0</v>
      </c>
      <c r="Q1200" s="39">
        <v>0</v>
      </c>
      <c r="R1200" s="39">
        <v>0</v>
      </c>
      <c r="S1200" s="39">
        <v>0</v>
      </c>
      <c r="T1200" s="39">
        <v>0</v>
      </c>
      <c r="U1200" s="29" cm="1">
        <f t="array" aca="1" ref="U1200" ca="1">+fair_value_gap(OFFSET(T1199,0,0,-1*$J$5,-1*$AA$1),OFFSET(E1199,0,0,-1*$J$5,1),F1200:T1200,0)</f>
        <v>16.891239161589557</v>
      </c>
      <c r="V1200" s="9" cm="1">
        <f t="array" aca="1" ref="V1200" ca="1">z_score_diff(OFFSET(U1200,0,0,$J$5*-1,1),OFFSET(E1200,0,0,$J$5*-1,1))</f>
        <v>0.44766943593608577</v>
      </c>
      <c r="W1200" s="9">
        <f t="shared" ca="1" si="1266"/>
        <v>8.9121831302553696E-3</v>
      </c>
      <c r="X1200" s="17">
        <f t="shared" ca="1" si="1261"/>
        <v>-0.12959962270439312</v>
      </c>
      <c r="Y1200" s="13">
        <f t="shared" ref="Y1200:Z1200" ca="1" si="1308">+Y1199</f>
        <v>0</v>
      </c>
      <c r="Z1200" s="13">
        <f t="shared" ca="1" si="1308"/>
        <v>0</v>
      </c>
      <c r="AA1200">
        <f t="shared" ca="1" si="1268"/>
        <v>0</v>
      </c>
      <c r="AB1200">
        <f t="shared" ca="1" si="1269"/>
        <v>1</v>
      </c>
      <c r="AC1200" s="24">
        <f t="shared" ca="1" si="1270"/>
        <v>0</v>
      </c>
      <c r="AD1200" s="24">
        <f t="shared" ca="1" si="1271"/>
        <v>-0.12959962270439312</v>
      </c>
    </row>
    <row r="1201" spans="3:30" x14ac:dyDescent="0.25">
      <c r="C1201" s="6">
        <v>1295</v>
      </c>
      <c r="D1201" s="36">
        <v>43851</v>
      </c>
      <c r="E1201" s="38">
        <v>15.933999999999999</v>
      </c>
      <c r="F1201" s="38">
        <v>52.416035071092558</v>
      </c>
      <c r="G1201" s="38">
        <v>47.45</v>
      </c>
      <c r="H1201" s="38">
        <v>2.3110706372254448</v>
      </c>
      <c r="I1201" s="38">
        <v>5.3254338662296901</v>
      </c>
      <c r="J1201" s="10">
        <v>1</v>
      </c>
      <c r="K1201" s="39">
        <v>0</v>
      </c>
      <c r="L1201" s="39">
        <v>0</v>
      </c>
      <c r="M1201" s="39">
        <v>0</v>
      </c>
      <c r="N1201" s="39">
        <v>0</v>
      </c>
      <c r="O1201" s="39">
        <v>0</v>
      </c>
      <c r="P1201" s="39">
        <v>0</v>
      </c>
      <c r="Q1201" s="39">
        <v>0</v>
      </c>
      <c r="R1201" s="39">
        <v>0</v>
      </c>
      <c r="S1201" s="39">
        <v>0</v>
      </c>
      <c r="T1201" s="39">
        <v>0</v>
      </c>
      <c r="U1201" s="29" cm="1">
        <f t="array" aca="1" ref="U1201" ca="1">+fair_value_gap(OFFSET(T1200,0,0,-1*$J$5,-1*$AA$1),OFFSET(E1200,0,0,-1*$J$5,1),F1201:T1201,0)</f>
        <v>16.551944247741591</v>
      </c>
      <c r="V1201" s="9" cm="1">
        <f t="array" aca="1" ref="V1201" ca="1">z_score_diff(OFFSET(U1201,0,0,$J$5*-1,1),OFFSET(E1201,0,0,$J$5*-1,1))</f>
        <v>0.13339725577437744</v>
      </c>
      <c r="W1201" s="9">
        <f t="shared" ca="1" si="1266"/>
        <v>8.1642374661641415E-3</v>
      </c>
      <c r="X1201" s="17">
        <f t="shared" ca="1" si="1261"/>
        <v>-0.10449621136893102</v>
      </c>
      <c r="Y1201" s="13">
        <f t="shared" ref="Y1201:Z1201" ca="1" si="1309">+Y1200</f>
        <v>0</v>
      </c>
      <c r="Z1201" s="13">
        <f t="shared" ca="1" si="1309"/>
        <v>0</v>
      </c>
      <c r="AA1201">
        <f t="shared" ca="1" si="1268"/>
        <v>0</v>
      </c>
      <c r="AB1201">
        <f t="shared" ca="1" si="1269"/>
        <v>1</v>
      </c>
      <c r="AC1201" s="24">
        <f t="shared" ca="1" si="1270"/>
        <v>0</v>
      </c>
      <c r="AD1201" s="24">
        <f t="shared" ca="1" si="1271"/>
        <v>-0.10449621136893102</v>
      </c>
    </row>
    <row r="1202" spans="3:30" x14ac:dyDescent="0.25">
      <c r="C1202" s="6">
        <v>1296</v>
      </c>
      <c r="D1202" s="36">
        <v>43852</v>
      </c>
      <c r="E1202" s="38">
        <v>15.723000000000001</v>
      </c>
      <c r="F1202" s="38">
        <v>51.450365788902666</v>
      </c>
      <c r="G1202" s="38">
        <v>47.35</v>
      </c>
      <c r="H1202" s="38">
        <v>2.3039320322409353</v>
      </c>
      <c r="I1202" s="38">
        <v>5.2129549427809829</v>
      </c>
      <c r="J1202" s="10">
        <v>1</v>
      </c>
      <c r="K1202" s="39">
        <v>0</v>
      </c>
      <c r="L1202" s="39">
        <v>0</v>
      </c>
      <c r="M1202" s="39">
        <v>0</v>
      </c>
      <c r="N1202" s="39">
        <v>0</v>
      </c>
      <c r="O1202" s="39">
        <v>0</v>
      </c>
      <c r="P1202" s="39">
        <v>0</v>
      </c>
      <c r="Q1202" s="39">
        <v>0</v>
      </c>
      <c r="R1202" s="39">
        <v>0</v>
      </c>
      <c r="S1202" s="39">
        <v>0</v>
      </c>
      <c r="T1202" s="39">
        <v>0</v>
      </c>
      <c r="U1202" s="29" cm="1">
        <f t="array" aca="1" ref="U1202" ca="1">+fair_value_gap(OFFSET(T1201,0,0,-1*$J$5,-1*$AA$1),OFFSET(E1201,0,0,-1*$J$5,1),F1202:T1202,0)</f>
        <v>16.393222809419974</v>
      </c>
      <c r="V1202" s="9" cm="1">
        <f t="array" aca="1" ref="V1202" ca="1">z_score_diff(OFFSET(U1202,0,0,$J$5*-1,1),OFFSET(E1202,0,0,$J$5*-1,1))</f>
        <v>0.17202635193455462</v>
      </c>
      <c r="W1202" s="9">
        <f t="shared" ca="1" si="1266"/>
        <v>1.2323814870007391E-2</v>
      </c>
      <c r="X1202" s="17">
        <f t="shared" ca="1" si="1261"/>
        <v>-9.2978739576903724E-2</v>
      </c>
      <c r="Y1202" s="13">
        <f t="shared" ref="Y1202:Z1202" ca="1" si="1310">+Y1201</f>
        <v>0</v>
      </c>
      <c r="Z1202" s="13">
        <f t="shared" ca="1" si="1310"/>
        <v>0</v>
      </c>
      <c r="AA1202">
        <f t="shared" ca="1" si="1268"/>
        <v>0</v>
      </c>
      <c r="AB1202">
        <f t="shared" ca="1" si="1269"/>
        <v>1</v>
      </c>
      <c r="AC1202" s="24">
        <f t="shared" ca="1" si="1270"/>
        <v>0</v>
      </c>
      <c r="AD1202" s="24">
        <f t="shared" ca="1" si="1271"/>
        <v>-9.2978739576903724E-2</v>
      </c>
    </row>
    <row r="1203" spans="3:30" x14ac:dyDescent="0.25">
      <c r="C1203" s="6">
        <v>1297</v>
      </c>
      <c r="D1203" s="36">
        <v>43853</v>
      </c>
      <c r="E1203" s="38">
        <v>15.58</v>
      </c>
      <c r="F1203" s="38">
        <v>50.627377721298991</v>
      </c>
      <c r="G1203" s="38">
        <v>46.16</v>
      </c>
      <c r="H1203" s="38">
        <v>2.308806650495876</v>
      </c>
      <c r="I1203" s="38">
        <v>5.0397293501625198</v>
      </c>
      <c r="J1203" s="10">
        <v>1</v>
      </c>
      <c r="K1203" s="39">
        <v>0</v>
      </c>
      <c r="L1203" s="39">
        <v>0</v>
      </c>
      <c r="M1203" s="39">
        <v>0</v>
      </c>
      <c r="N1203" s="39">
        <v>0</v>
      </c>
      <c r="O1203" s="39">
        <v>0</v>
      </c>
      <c r="P1203" s="39">
        <v>0</v>
      </c>
      <c r="Q1203" s="39">
        <v>0</v>
      </c>
      <c r="R1203" s="39">
        <v>0</v>
      </c>
      <c r="S1203" s="39">
        <v>0</v>
      </c>
      <c r="T1203" s="39">
        <v>0</v>
      </c>
      <c r="U1203" s="29" cm="1">
        <f t="array" aca="1" ref="U1203" ca="1">+fair_value_gap(OFFSET(T1202,0,0,-1*$J$5,-1*$AA$1),OFFSET(E1202,0,0,-1*$J$5,1),F1203:T1203,0)</f>
        <v>15.890365446645822</v>
      </c>
      <c r="V1203" s="9" cm="1">
        <f t="array" aca="1" ref="V1203" ca="1">z_score_diff(OFFSET(U1203,0,0,$J$5*-1,1),OFFSET(E1203,0,0,$J$5*-1,1))</f>
        <v>-3.5301887789604525E-2</v>
      </c>
      <c r="W1203" s="9">
        <f t="shared" ca="1" si="1266"/>
        <v>9.8455781116555396E-3</v>
      </c>
      <c r="X1203" s="17">
        <f t="shared" ca="1" si="1261"/>
        <v>-9.1549608789041184E-2</v>
      </c>
      <c r="Y1203" s="13">
        <f t="shared" ref="Y1203:Z1203" ca="1" si="1311">+Y1202</f>
        <v>0</v>
      </c>
      <c r="Z1203" s="13">
        <f t="shared" ca="1" si="1311"/>
        <v>0</v>
      </c>
      <c r="AA1203">
        <f t="shared" ca="1" si="1268"/>
        <v>0</v>
      </c>
      <c r="AB1203">
        <f t="shared" ca="1" si="1269"/>
        <v>1</v>
      </c>
      <c r="AC1203" s="24">
        <f t="shared" ca="1" si="1270"/>
        <v>0</v>
      </c>
      <c r="AD1203" s="24">
        <f t="shared" ca="1" si="1271"/>
        <v>-9.1549608789041184E-2</v>
      </c>
    </row>
    <row r="1204" spans="3:30" x14ac:dyDescent="0.25">
      <c r="C1204" s="6">
        <v>1298</v>
      </c>
      <c r="D1204" s="36">
        <v>43854</v>
      </c>
      <c r="E1204" s="38">
        <v>15.708</v>
      </c>
      <c r="F1204" s="38">
        <v>49.62602988211156</v>
      </c>
      <c r="G1204" s="38">
        <v>46.14</v>
      </c>
      <c r="H1204" s="38">
        <v>2.2816259446872107</v>
      </c>
      <c r="I1204" s="38">
        <v>5.0939451273841261</v>
      </c>
      <c r="J1204" s="10">
        <v>1</v>
      </c>
      <c r="K1204" s="39">
        <v>0</v>
      </c>
      <c r="L1204" s="39">
        <v>0</v>
      </c>
      <c r="M1204" s="39">
        <v>0</v>
      </c>
      <c r="N1204" s="39">
        <v>0</v>
      </c>
      <c r="O1204" s="39">
        <v>0</v>
      </c>
      <c r="P1204" s="39">
        <v>0</v>
      </c>
      <c r="Q1204" s="39">
        <v>0</v>
      </c>
      <c r="R1204" s="39">
        <v>0</v>
      </c>
      <c r="S1204" s="39">
        <v>0</v>
      </c>
      <c r="T1204" s="39">
        <v>0</v>
      </c>
      <c r="U1204" s="29" cm="1">
        <f t="array" aca="1" ref="U1204" ca="1">+fair_value_gap(OFFSET(T1203,0,0,-1*$J$5,-1*$AA$1),OFFSET(E1203,0,0,-1*$J$5,1),F1204:T1204,0)</f>
        <v>15.844975289542969</v>
      </c>
      <c r="V1204" s="9" cm="1">
        <f t="array" aca="1" ref="V1204" ca="1">z_score_diff(OFFSET(U1204,0,0,$J$5*-1,1),OFFSET(E1204,0,0,$J$5*-1,1))</f>
        <v>-0.1476431486925649</v>
      </c>
      <c r="W1204" s="9">
        <f t="shared" ca="1" si="1266"/>
        <v>7.8972288811338665E-3</v>
      </c>
      <c r="X1204" s="17">
        <f t="shared" ca="1" si="1261"/>
        <v>-0.13320404252066648</v>
      </c>
      <c r="Y1204" s="13">
        <f t="shared" ref="Y1204:Z1204" ca="1" si="1312">+Y1203</f>
        <v>0</v>
      </c>
      <c r="Z1204" s="13">
        <f t="shared" ca="1" si="1312"/>
        <v>0</v>
      </c>
      <c r="AA1204">
        <f t="shared" ca="1" si="1268"/>
        <v>0</v>
      </c>
      <c r="AB1204">
        <f t="shared" ca="1" si="1269"/>
        <v>1</v>
      </c>
      <c r="AC1204" s="24">
        <f t="shared" ca="1" si="1270"/>
        <v>0</v>
      </c>
      <c r="AD1204" s="24">
        <f t="shared" ca="1" si="1271"/>
        <v>-0.13320404252066648</v>
      </c>
    </row>
    <row r="1205" spans="3:30" x14ac:dyDescent="0.25">
      <c r="C1205" s="6">
        <v>1299</v>
      </c>
      <c r="D1205" s="36">
        <v>43857</v>
      </c>
      <c r="E1205" s="38">
        <v>15.624000000000001</v>
      </c>
      <c r="F1205" s="38">
        <v>49.108007412395331</v>
      </c>
      <c r="G1205" s="38">
        <v>45.56</v>
      </c>
      <c r="H1205" s="38">
        <v>2.2803953514402826</v>
      </c>
      <c r="I1205" s="38">
        <v>5.0547134981282458</v>
      </c>
      <c r="J1205" s="10">
        <v>1</v>
      </c>
      <c r="K1205" s="39">
        <v>0</v>
      </c>
      <c r="L1205" s="39">
        <v>0</v>
      </c>
      <c r="M1205" s="39">
        <v>0</v>
      </c>
      <c r="N1205" s="39">
        <v>0</v>
      </c>
      <c r="O1205" s="39">
        <v>0</v>
      </c>
      <c r="P1205" s="39">
        <v>0</v>
      </c>
      <c r="Q1205" s="39">
        <v>0</v>
      </c>
      <c r="R1205" s="39">
        <v>0</v>
      </c>
      <c r="S1205" s="39">
        <v>0</v>
      </c>
      <c r="T1205" s="39">
        <v>0</v>
      </c>
      <c r="U1205" s="29" cm="1">
        <f t="array" aca="1" ref="U1205" ca="1">+fair_value_gap(OFFSET(T1204,0,0,-1*$J$5,-1*$AA$1),OFFSET(E1204,0,0,-1*$J$5,1),F1205:T1205,0)</f>
        <v>15.666657368797933</v>
      </c>
      <c r="V1205" s="9" cm="1">
        <f t="array" aca="1" ref="V1205" ca="1">z_score_diff(OFFSET(U1205,0,0,$J$5*-1,1),OFFSET(E1205,0,0,$J$5*-1,1))</f>
        <v>-0.20140543649020537</v>
      </c>
      <c r="W1205" s="9">
        <f t="shared" ca="1" si="1266"/>
        <v>7.7428811150570542E-4</v>
      </c>
      <c r="X1205" s="17">
        <f t="shared" ca="1" si="1261"/>
        <v>-0.16722865652611674</v>
      </c>
      <c r="Y1205" s="13">
        <f t="shared" ref="Y1205:Z1205" ca="1" si="1313">+Y1204</f>
        <v>0</v>
      </c>
      <c r="Z1205" s="13">
        <f t="shared" ca="1" si="1313"/>
        <v>0</v>
      </c>
      <c r="AA1205">
        <f t="shared" ca="1" si="1268"/>
        <v>0</v>
      </c>
      <c r="AB1205">
        <f t="shared" ca="1" si="1269"/>
        <v>1</v>
      </c>
      <c r="AC1205" s="24">
        <f t="shared" ca="1" si="1270"/>
        <v>0</v>
      </c>
      <c r="AD1205" s="24">
        <f t="shared" ca="1" si="1271"/>
        <v>-0.16722865652611674</v>
      </c>
    </row>
    <row r="1206" spans="3:30" x14ac:dyDescent="0.25">
      <c r="C1206" s="6">
        <v>1300</v>
      </c>
      <c r="D1206" s="36">
        <v>43858</v>
      </c>
      <c r="E1206" s="38">
        <v>15.808999999999999</v>
      </c>
      <c r="F1206" s="38">
        <v>49.335590366282347</v>
      </c>
      <c r="G1206" s="38">
        <v>45.84</v>
      </c>
      <c r="H1206" s="38">
        <v>2.2895976951264787</v>
      </c>
      <c r="I1206" s="38">
        <v>5.1733539853032342</v>
      </c>
      <c r="J1206" s="10">
        <v>1</v>
      </c>
      <c r="K1206" s="39">
        <v>0</v>
      </c>
      <c r="L1206" s="39">
        <v>0</v>
      </c>
      <c r="M1206" s="39">
        <v>0</v>
      </c>
      <c r="N1206" s="39">
        <v>0</v>
      </c>
      <c r="O1206" s="39">
        <v>0</v>
      </c>
      <c r="P1206" s="39">
        <v>0</v>
      </c>
      <c r="Q1206" s="39">
        <v>0</v>
      </c>
      <c r="R1206" s="39">
        <v>0</v>
      </c>
      <c r="S1206" s="39">
        <v>0</v>
      </c>
      <c r="T1206" s="39">
        <v>0</v>
      </c>
      <c r="U1206" s="29" cm="1">
        <f t="array" aca="1" ref="U1206" ca="1">+fair_value_gap(OFFSET(T1205,0,0,-1*$J$5,-1*$AA$1),OFFSET(E1205,0,0,-1*$J$5,1),F1206:T1206,0)</f>
        <v>15.833447280851594</v>
      </c>
      <c r="V1206" s="9" cm="1">
        <f t="array" aca="1" ref="V1206" ca="1">z_score_diff(OFFSET(U1206,0,0,$J$5*-1,1),OFFSET(E1206,0,0,$J$5*-1,1))</f>
        <v>-0.21854118443153148</v>
      </c>
      <c r="W1206" s="9">
        <f t="shared" ca="1" si="1266"/>
        <v>-1.7046693446150026E-3</v>
      </c>
      <c r="X1206" s="17">
        <f t="shared" ca="1" si="1261"/>
        <v>-0.15522659525018315</v>
      </c>
      <c r="Y1206" s="13">
        <f t="shared" ref="Y1206:Z1206" ca="1" si="1314">+Y1205</f>
        <v>0</v>
      </c>
      <c r="Z1206" s="13">
        <f t="shared" ca="1" si="1314"/>
        <v>0</v>
      </c>
      <c r="AA1206">
        <f t="shared" ca="1" si="1268"/>
        <v>1</v>
      </c>
      <c r="AB1206">
        <f t="shared" ca="1" si="1269"/>
        <v>0</v>
      </c>
      <c r="AC1206" s="24">
        <f t="shared" ca="1" si="1270"/>
        <v>-0.15522659525018315</v>
      </c>
      <c r="AD1206" s="24">
        <f t="shared" ca="1" si="1271"/>
        <v>0</v>
      </c>
    </row>
    <row r="1207" spans="3:30" x14ac:dyDescent="0.25">
      <c r="C1207" s="6">
        <v>1301</v>
      </c>
      <c r="D1207" s="36">
        <v>43859</v>
      </c>
      <c r="E1207" s="38">
        <v>15.276999999999999</v>
      </c>
      <c r="F1207" s="38">
        <v>49.387328485333697</v>
      </c>
      <c r="G1207" s="38">
        <v>45.33</v>
      </c>
      <c r="H1207" s="38">
        <v>2.2798941445949255</v>
      </c>
      <c r="I1207" s="38">
        <v>5.0125647697200169</v>
      </c>
      <c r="J1207" s="10">
        <v>1</v>
      </c>
      <c r="K1207" s="39">
        <v>0</v>
      </c>
      <c r="L1207" s="39">
        <v>0</v>
      </c>
      <c r="M1207" s="39">
        <v>0</v>
      </c>
      <c r="N1207" s="39">
        <v>0</v>
      </c>
      <c r="O1207" s="39">
        <v>0</v>
      </c>
      <c r="P1207" s="39">
        <v>0</v>
      </c>
      <c r="Q1207" s="39">
        <v>0</v>
      </c>
      <c r="R1207" s="39">
        <v>0</v>
      </c>
      <c r="S1207" s="39">
        <v>0</v>
      </c>
      <c r="T1207" s="39">
        <v>0</v>
      </c>
      <c r="U1207" s="29" cm="1">
        <f t="array" aca="1" ref="U1207" ca="1">+fair_value_gap(OFFSET(T1206,0,0,-1*$J$5,-1*$AA$1),OFFSET(E1206,0,0,-1*$J$5,1),F1207:T1207,0)</f>
        <v>15.576498735732711</v>
      </c>
      <c r="V1207" s="9" cm="1">
        <f t="array" aca="1" ref="V1207" ca="1">z_score_diff(OFFSET(U1207,0,0,$J$5*-1,1),OFFSET(E1207,0,0,$J$5*-1,1))</f>
        <v>-3.5137862509633022E-2</v>
      </c>
      <c r="W1207" s="9">
        <f t="shared" ca="1" si="1266"/>
        <v>1.5796731190550694E-3</v>
      </c>
      <c r="X1207" s="17">
        <f t="shared" ca="1" si="1261"/>
        <v>-0.1139284592966258</v>
      </c>
      <c r="Y1207" s="13">
        <f t="shared" ref="Y1207:Z1207" ca="1" si="1315">+Y1206</f>
        <v>0</v>
      </c>
      <c r="Z1207" s="13">
        <f t="shared" ca="1" si="1315"/>
        <v>0</v>
      </c>
      <c r="AA1207">
        <f t="shared" ca="1" si="1268"/>
        <v>0</v>
      </c>
      <c r="AB1207">
        <f t="shared" ca="1" si="1269"/>
        <v>1</v>
      </c>
      <c r="AC1207" s="24">
        <f t="shared" ca="1" si="1270"/>
        <v>0</v>
      </c>
      <c r="AD1207" s="24">
        <f t="shared" ca="1" si="1271"/>
        <v>-0.1139284592966258</v>
      </c>
    </row>
    <row r="1208" spans="3:30" x14ac:dyDescent="0.25">
      <c r="C1208" s="6">
        <v>1302</v>
      </c>
      <c r="D1208" s="36">
        <v>43860</v>
      </c>
      <c r="E1208" s="38">
        <v>14.821999999999999</v>
      </c>
      <c r="F1208" s="38">
        <v>48.819695371488343</v>
      </c>
      <c r="G1208" s="38">
        <v>44.61</v>
      </c>
      <c r="H1208" s="38">
        <v>2.229400226577325</v>
      </c>
      <c r="I1208" s="38">
        <v>4.8881795656351219</v>
      </c>
      <c r="J1208" s="10">
        <v>1</v>
      </c>
      <c r="K1208" s="39">
        <v>0</v>
      </c>
      <c r="L1208" s="39">
        <v>0</v>
      </c>
      <c r="M1208" s="39">
        <v>0</v>
      </c>
      <c r="N1208" s="39">
        <v>0</v>
      </c>
      <c r="O1208" s="39">
        <v>0</v>
      </c>
      <c r="P1208" s="39">
        <v>0</v>
      </c>
      <c r="Q1208" s="39">
        <v>0</v>
      </c>
      <c r="R1208" s="39">
        <v>0</v>
      </c>
      <c r="S1208" s="39">
        <v>0</v>
      </c>
      <c r="T1208" s="39">
        <v>0</v>
      </c>
      <c r="U1208" s="29" cm="1">
        <f t="array" aca="1" ref="U1208" ca="1">+fair_value_gap(OFFSET(T1207,0,0,-1*$J$5,-1*$AA$1),OFFSET(E1207,0,0,-1*$J$5,1),F1208:T1208,0)</f>
        <v>15.259844612513703</v>
      </c>
      <c r="V1208" s="9" cm="1">
        <f t="array" aca="1" ref="V1208" ca="1">z_score_diff(OFFSET(U1208,0,0,$J$5*-1,1),OFFSET(E1208,0,0,$J$5*-1,1))</f>
        <v>6.3412319122770011E-2</v>
      </c>
      <c r="W1208" s="9">
        <f t="shared" ca="1" si="1266"/>
        <v>6.2030749245822929E-3</v>
      </c>
      <c r="X1208" s="17">
        <f t="shared" ca="1" si="1261"/>
        <v>-0.11726030089863891</v>
      </c>
      <c r="Y1208" s="13">
        <f t="shared" ref="Y1208:Z1208" ca="1" si="1316">+Y1207</f>
        <v>0</v>
      </c>
      <c r="Z1208" s="13">
        <f t="shared" ca="1" si="1316"/>
        <v>0</v>
      </c>
      <c r="AA1208">
        <f t="shared" ca="1" si="1268"/>
        <v>0</v>
      </c>
      <c r="AB1208">
        <f t="shared" ca="1" si="1269"/>
        <v>1</v>
      </c>
      <c r="AC1208" s="24">
        <f t="shared" ca="1" si="1270"/>
        <v>0</v>
      </c>
      <c r="AD1208" s="24">
        <f t="shared" ca="1" si="1271"/>
        <v>-0.11726030089863891</v>
      </c>
    </row>
    <row r="1209" spans="3:30" x14ac:dyDescent="0.25">
      <c r="C1209" s="6">
        <v>1303</v>
      </c>
      <c r="D1209" s="36">
        <v>43861</v>
      </c>
      <c r="E1209" s="38">
        <v>14.513999999999999</v>
      </c>
      <c r="F1209" s="38">
        <v>48.481518905054301</v>
      </c>
      <c r="G1209" s="38">
        <v>43.55</v>
      </c>
      <c r="H1209" s="38">
        <v>2.2257866212559088</v>
      </c>
      <c r="I1209" s="38">
        <v>4.7518777866495192</v>
      </c>
      <c r="J1209" s="10">
        <v>1</v>
      </c>
      <c r="K1209" s="39">
        <v>0</v>
      </c>
      <c r="L1209" s="39">
        <v>0</v>
      </c>
      <c r="M1209" s="39">
        <v>0</v>
      </c>
      <c r="N1209" s="39">
        <v>0</v>
      </c>
      <c r="O1209" s="39">
        <v>0</v>
      </c>
      <c r="P1209" s="39">
        <v>0</v>
      </c>
      <c r="Q1209" s="39">
        <v>0</v>
      </c>
      <c r="R1209" s="39">
        <v>0</v>
      </c>
      <c r="S1209" s="39">
        <v>0</v>
      </c>
      <c r="T1209" s="39">
        <v>0</v>
      </c>
      <c r="U1209" s="29" cm="1">
        <f t="array" aca="1" ref="U1209" ca="1">+fair_value_gap(OFFSET(T1208,0,0,-1*$J$5,-1*$AA$1),OFFSET(E1208,0,0,-1*$J$5,1),F1209:T1209,0)</f>
        <v>14.869464613091708</v>
      </c>
      <c r="V1209" s="9" cm="1">
        <f t="array" aca="1" ref="V1209" ca="1">z_score_diff(OFFSET(U1209,0,0,$J$5*-1,1),OFFSET(E1209,0,0,$J$5*-1,1))</f>
        <v>1.9003048824444146E-2</v>
      </c>
      <c r="W1209" s="9">
        <f t="shared" ca="1" si="1266"/>
        <v>1.2306443614060898E-2</v>
      </c>
      <c r="X1209" s="17">
        <f t="shared" ca="1" si="1261"/>
        <v>-8.7725676160962079E-2</v>
      </c>
      <c r="Y1209" s="13">
        <f t="shared" ref="Y1209:Z1209" ca="1" si="1317">+Y1208</f>
        <v>0</v>
      </c>
      <c r="Z1209" s="13">
        <f t="shared" ca="1" si="1317"/>
        <v>0</v>
      </c>
      <c r="AA1209">
        <f t="shared" ca="1" si="1268"/>
        <v>0</v>
      </c>
      <c r="AB1209">
        <f t="shared" ca="1" si="1269"/>
        <v>1</v>
      </c>
      <c r="AC1209" s="24">
        <f t="shared" ca="1" si="1270"/>
        <v>0</v>
      </c>
      <c r="AD1209" s="24">
        <f t="shared" ca="1" si="1271"/>
        <v>-8.7725676160962079E-2</v>
      </c>
    </row>
    <row r="1210" spans="3:30" x14ac:dyDescent="0.25">
      <c r="C1210" s="6">
        <v>1304</v>
      </c>
      <c r="D1210" s="36">
        <v>43864</v>
      </c>
      <c r="E1210" s="38">
        <v>14.169</v>
      </c>
      <c r="F1210" s="38">
        <v>48.100465508371094</v>
      </c>
      <c r="G1210" s="38">
        <v>42.43</v>
      </c>
      <c r="H1210" s="38">
        <v>2.2146403578136247</v>
      </c>
      <c r="I1210" s="38">
        <v>4.5603350030948295</v>
      </c>
      <c r="J1210" s="10">
        <v>0</v>
      </c>
      <c r="K1210" s="39">
        <v>1</v>
      </c>
      <c r="L1210" s="39">
        <v>0</v>
      </c>
      <c r="M1210" s="39">
        <v>0</v>
      </c>
      <c r="N1210" s="39">
        <v>0</v>
      </c>
      <c r="O1210" s="39">
        <v>0</v>
      </c>
      <c r="P1210" s="39">
        <v>0</v>
      </c>
      <c r="Q1210" s="39">
        <v>0</v>
      </c>
      <c r="R1210" s="39">
        <v>0</v>
      </c>
      <c r="S1210" s="39">
        <v>0</v>
      </c>
      <c r="T1210" s="39">
        <v>0</v>
      </c>
      <c r="U1210" s="29" cm="1">
        <f t="array" aca="1" ref="U1210" ca="1">+fair_value_gap(OFFSET(T1209,0,0,-1*$J$5,-1*$AA$1),OFFSET(E1209,0,0,-1*$J$5,1),F1210:T1210,0)</f>
        <v>15.879165978755994</v>
      </c>
      <c r="V1210" s="9" cm="1">
        <f t="array" aca="1" ref="V1210" ca="1">z_score_diff(OFFSET(U1210,0,0,$J$5*-1,1),OFFSET(E1210,0,0,$J$5*-1,1))</f>
        <v>0.87115827254905409</v>
      </c>
      <c r="W1210" s="9">
        <f t="shared" ca="1" si="1266"/>
        <v>4.8595198407193445E-2</v>
      </c>
      <c r="X1210" s="17">
        <f t="shared" ca="1" si="1261"/>
        <v>-8.8417481253737246E-2</v>
      </c>
      <c r="Y1210" s="13">
        <f t="shared" ref="Y1210:Z1210" ca="1" si="1318">+Y1209</f>
        <v>0</v>
      </c>
      <c r="Z1210" s="13">
        <f t="shared" ca="1" si="1318"/>
        <v>0</v>
      </c>
      <c r="AA1210">
        <f t="shared" ca="1" si="1268"/>
        <v>0</v>
      </c>
      <c r="AB1210">
        <f t="shared" ca="1" si="1269"/>
        <v>1</v>
      </c>
      <c r="AC1210" s="24">
        <f t="shared" ca="1" si="1270"/>
        <v>0</v>
      </c>
      <c r="AD1210" s="24">
        <f t="shared" ca="1" si="1271"/>
        <v>-8.8417481253737246E-2</v>
      </c>
    </row>
    <row r="1211" spans="3:30" x14ac:dyDescent="0.25">
      <c r="C1211" s="6">
        <v>1305</v>
      </c>
      <c r="D1211" s="36">
        <v>43865</v>
      </c>
      <c r="E1211" s="38">
        <v>14.522</v>
      </c>
      <c r="F1211" s="38">
        <v>47.905624590076748</v>
      </c>
      <c r="G1211" s="38">
        <v>42.58</v>
      </c>
      <c r="H1211" s="38">
        <v>2.2211192455639654</v>
      </c>
      <c r="I1211" s="38">
        <v>4.6221615585060176</v>
      </c>
      <c r="J1211" s="10">
        <v>0</v>
      </c>
      <c r="K1211" s="39">
        <v>1</v>
      </c>
      <c r="L1211" s="39">
        <v>0</v>
      </c>
      <c r="M1211" s="39">
        <v>0</v>
      </c>
      <c r="N1211" s="39">
        <v>0</v>
      </c>
      <c r="O1211" s="39">
        <v>0</v>
      </c>
      <c r="P1211" s="39">
        <v>0</v>
      </c>
      <c r="Q1211" s="39">
        <v>0</v>
      </c>
      <c r="R1211" s="39">
        <v>0</v>
      </c>
      <c r="S1211" s="39">
        <v>0</v>
      </c>
      <c r="T1211" s="39">
        <v>0</v>
      </c>
      <c r="U1211" s="29" cm="1">
        <f t="array" aca="1" ref="U1211" ca="1">+fair_value_gap(OFFSET(T1210,0,0,-1*$J$5,-1*$AA$1),OFFSET(E1210,0,0,-1*$J$5,1),F1211:T1211,0)</f>
        <v>15.577931846550333</v>
      </c>
      <c r="V1211" s="9" cm="1">
        <f t="array" aca="1" ref="V1211" ca="1">z_score_diff(OFFSET(U1211,0,0,$J$5*-1,1),OFFSET(E1211,0,0,$J$5*-1,1))</f>
        <v>0.43932221492665779</v>
      </c>
      <c r="W1211" s="9">
        <f t="shared" ca="1" si="1266"/>
        <v>7.5100690940656842E-2</v>
      </c>
      <c r="X1211" s="17">
        <f t="shared" ca="1" si="1261"/>
        <v>-0.14109529198431758</v>
      </c>
      <c r="Y1211" s="13">
        <f t="shared" ref="Y1211:Z1211" ca="1" si="1319">+Y1210</f>
        <v>0</v>
      </c>
      <c r="Z1211" s="13">
        <f t="shared" ca="1" si="1319"/>
        <v>0</v>
      </c>
      <c r="AA1211">
        <f t="shared" ca="1" si="1268"/>
        <v>0</v>
      </c>
      <c r="AB1211">
        <f t="shared" ca="1" si="1269"/>
        <v>1</v>
      </c>
      <c r="AC1211" s="24">
        <f t="shared" ca="1" si="1270"/>
        <v>0</v>
      </c>
      <c r="AD1211" s="24">
        <f t="shared" ca="1" si="1271"/>
        <v>-0.14109529198431758</v>
      </c>
    </row>
    <row r="1212" spans="3:30" x14ac:dyDescent="0.25">
      <c r="C1212" s="6">
        <v>1306</v>
      </c>
      <c r="D1212" s="36">
        <v>43866</v>
      </c>
      <c r="E1212" s="38">
        <v>14.818</v>
      </c>
      <c r="F1212" s="38">
        <v>48.925063748548133</v>
      </c>
      <c r="G1212" s="38">
        <v>43.47</v>
      </c>
      <c r="H1212" s="38">
        <v>2.225970246227376</v>
      </c>
      <c r="I1212" s="38">
        <v>4.6637681288410446</v>
      </c>
      <c r="J1212" s="10">
        <v>0</v>
      </c>
      <c r="K1212" s="39">
        <v>1</v>
      </c>
      <c r="L1212" s="39">
        <v>0</v>
      </c>
      <c r="M1212" s="39">
        <v>0</v>
      </c>
      <c r="N1212" s="39">
        <v>0</v>
      </c>
      <c r="O1212" s="39">
        <v>0</v>
      </c>
      <c r="P1212" s="39">
        <v>0</v>
      </c>
      <c r="Q1212" s="39">
        <v>0</v>
      </c>
      <c r="R1212" s="39">
        <v>0</v>
      </c>
      <c r="S1212" s="39">
        <v>0</v>
      </c>
      <c r="T1212" s="39">
        <v>0</v>
      </c>
      <c r="U1212" s="29" cm="1">
        <f t="array" aca="1" ref="U1212" ca="1">+fair_value_gap(OFFSET(T1211,0,0,-1*$J$5,-1*$AA$1),OFFSET(E1211,0,0,-1*$J$5,1),F1212:T1212,0)</f>
        <v>15.630896566151677</v>
      </c>
      <c r="V1212" s="9" cm="1">
        <f t="array" aca="1" ref="V1212" ca="1">z_score_diff(OFFSET(U1212,0,0,$J$5*-1,1),OFFSET(E1212,0,0,$J$5*-1,1))</f>
        <v>0.27793785411705696</v>
      </c>
      <c r="W1212" s="9">
        <f t="shared" ca="1" si="1266"/>
        <v>9.4318313386763344E-2</v>
      </c>
      <c r="X1212" s="17">
        <f t="shared" ca="1" si="1261"/>
        <v>-0.19056164895531491</v>
      </c>
      <c r="Y1212" s="13">
        <f t="shared" ref="Y1212:Z1212" ca="1" si="1320">+Y1211</f>
        <v>0</v>
      </c>
      <c r="Z1212" s="13">
        <f t="shared" ca="1" si="1320"/>
        <v>0</v>
      </c>
      <c r="AA1212">
        <f t="shared" ca="1" si="1268"/>
        <v>0</v>
      </c>
      <c r="AB1212">
        <f t="shared" ca="1" si="1269"/>
        <v>1</v>
      </c>
      <c r="AC1212" s="24">
        <f t="shared" ca="1" si="1270"/>
        <v>0</v>
      </c>
      <c r="AD1212" s="24">
        <f t="shared" ca="1" si="1271"/>
        <v>-0.19056164895531491</v>
      </c>
    </row>
    <row r="1213" spans="3:30" x14ac:dyDescent="0.25">
      <c r="C1213" s="6">
        <v>1307</v>
      </c>
      <c r="D1213" s="36">
        <v>43867</v>
      </c>
      <c r="E1213" s="38">
        <v>14.738</v>
      </c>
      <c r="F1213" s="38">
        <v>49.373514470594323</v>
      </c>
      <c r="G1213" s="38">
        <v>42.82</v>
      </c>
      <c r="H1213" s="38">
        <v>2.2457905913944947</v>
      </c>
      <c r="I1213" s="38">
        <v>4.6582992616261345</v>
      </c>
      <c r="J1213" s="10">
        <v>0</v>
      </c>
      <c r="K1213" s="39">
        <v>1</v>
      </c>
      <c r="L1213" s="39">
        <v>0</v>
      </c>
      <c r="M1213" s="39">
        <v>0</v>
      </c>
      <c r="N1213" s="39">
        <v>0</v>
      </c>
      <c r="O1213" s="39">
        <v>0</v>
      </c>
      <c r="P1213" s="39">
        <v>0</v>
      </c>
      <c r="Q1213" s="39">
        <v>0</v>
      </c>
      <c r="R1213" s="39">
        <v>0</v>
      </c>
      <c r="S1213" s="39">
        <v>0</v>
      </c>
      <c r="T1213" s="39">
        <v>0</v>
      </c>
      <c r="U1213" s="29" cm="1">
        <f t="array" aca="1" ref="U1213" ca="1">+fair_value_gap(OFFSET(T1212,0,0,-1*$J$5,-1*$AA$1),OFFSET(E1212,0,0,-1*$J$5,1),F1213:T1213,0)</f>
        <v>15.317212280607329</v>
      </c>
      <c r="V1213" s="9" cm="1">
        <f t="array" aca="1" ref="V1213" ca="1">z_score_diff(OFFSET(U1213,0,0,$J$5*-1,1),OFFSET(E1213,0,0,$J$5*-1,1))</f>
        <v>0.13023465598595885</v>
      </c>
      <c r="W1213" s="9">
        <f t="shared" ca="1" si="1266"/>
        <v>0.10686428805818612</v>
      </c>
      <c r="X1213" s="17">
        <f t="shared" ca="1" si="1261"/>
        <v>-0.17839387516855459</v>
      </c>
      <c r="Y1213" s="13">
        <f t="shared" ref="Y1213:Z1213" ca="1" si="1321">+Y1212</f>
        <v>0</v>
      </c>
      <c r="Z1213" s="13">
        <f t="shared" ca="1" si="1321"/>
        <v>0</v>
      </c>
      <c r="AA1213">
        <f t="shared" ca="1" si="1268"/>
        <v>0</v>
      </c>
      <c r="AB1213">
        <f t="shared" ca="1" si="1269"/>
        <v>1</v>
      </c>
      <c r="AC1213" s="24">
        <f t="shared" ca="1" si="1270"/>
        <v>0</v>
      </c>
      <c r="AD1213" s="24">
        <f t="shared" ca="1" si="1271"/>
        <v>-0.17839387516855459</v>
      </c>
    </row>
    <row r="1214" spans="3:30" x14ac:dyDescent="0.25">
      <c r="C1214" s="6">
        <v>1308</v>
      </c>
      <c r="D1214" s="36">
        <v>43868</v>
      </c>
      <c r="E1214" s="38">
        <v>14.803000000000001</v>
      </c>
      <c r="F1214" s="38">
        <v>49.444133765798</v>
      </c>
      <c r="G1214" s="38">
        <v>42.9</v>
      </c>
      <c r="H1214" s="38">
        <v>2.2735711889050441</v>
      </c>
      <c r="I1214" s="38">
        <v>4.7153562241360021</v>
      </c>
      <c r="J1214" s="10">
        <v>0</v>
      </c>
      <c r="K1214" s="39">
        <v>1</v>
      </c>
      <c r="L1214" s="39">
        <v>0</v>
      </c>
      <c r="M1214" s="39">
        <v>0</v>
      </c>
      <c r="N1214" s="39">
        <v>0</v>
      </c>
      <c r="O1214" s="39">
        <v>0</v>
      </c>
      <c r="P1214" s="39">
        <v>0</v>
      </c>
      <c r="Q1214" s="39">
        <v>0</v>
      </c>
      <c r="R1214" s="39">
        <v>0</v>
      </c>
      <c r="S1214" s="39">
        <v>0</v>
      </c>
      <c r="T1214" s="39">
        <v>0</v>
      </c>
      <c r="U1214" s="29" cm="1">
        <f t="array" aca="1" ref="U1214" ca="1">+fair_value_gap(OFFSET(T1213,0,0,-1*$J$5,-1*$AA$1),OFFSET(E1213,0,0,-1*$J$5,1),F1214:T1214,0)</f>
        <v>15.318774232715972</v>
      </c>
      <c r="V1214" s="9" cm="1">
        <f t="array" aca="1" ref="V1214" ca="1">z_score_diff(OFFSET(U1214,0,0,$J$5*-1,1),OFFSET(E1214,0,0,$J$5*-1,1))</f>
        <v>9.1557780533749966E-2</v>
      </c>
      <c r="W1214" s="9">
        <f t="shared" ca="1" si="1266"/>
        <v>0.11426815692261205</v>
      </c>
      <c r="X1214" s="17">
        <f t="shared" ca="1" si="1261"/>
        <v>-0.18052623629256731</v>
      </c>
      <c r="Y1214" s="13">
        <f t="shared" ref="Y1214:Z1214" ca="1" si="1322">+Y1213</f>
        <v>0</v>
      </c>
      <c r="Z1214" s="13">
        <f t="shared" ca="1" si="1322"/>
        <v>0</v>
      </c>
      <c r="AA1214">
        <f t="shared" ca="1" si="1268"/>
        <v>0</v>
      </c>
      <c r="AB1214">
        <f t="shared" ca="1" si="1269"/>
        <v>1</v>
      </c>
      <c r="AC1214" s="24">
        <f t="shared" ca="1" si="1270"/>
        <v>0</v>
      </c>
      <c r="AD1214" s="24">
        <f t="shared" ca="1" si="1271"/>
        <v>-0.18052623629256731</v>
      </c>
    </row>
    <row r="1215" spans="3:30" x14ac:dyDescent="0.25">
      <c r="C1215" s="6">
        <v>1309</v>
      </c>
      <c r="D1215" s="36">
        <v>43871</v>
      </c>
      <c r="E1215" s="38">
        <v>14.476000000000001</v>
      </c>
      <c r="F1215" s="38">
        <v>49.155796766453413</v>
      </c>
      <c r="G1215" s="38">
        <v>42.39</v>
      </c>
      <c r="H1215" s="38">
        <v>2.2683838281378339</v>
      </c>
      <c r="I1215" s="38">
        <v>4.6498726670969441</v>
      </c>
      <c r="J1215" s="10">
        <v>0</v>
      </c>
      <c r="K1215" s="39">
        <v>1</v>
      </c>
      <c r="L1215" s="39">
        <v>0</v>
      </c>
      <c r="M1215" s="39">
        <v>0</v>
      </c>
      <c r="N1215" s="39">
        <v>0</v>
      </c>
      <c r="O1215" s="39">
        <v>0</v>
      </c>
      <c r="P1215" s="39">
        <v>0</v>
      </c>
      <c r="Q1215" s="39">
        <v>0</v>
      </c>
      <c r="R1215" s="39">
        <v>0</v>
      </c>
      <c r="S1215" s="39">
        <v>0</v>
      </c>
      <c r="T1215" s="39">
        <v>0</v>
      </c>
      <c r="U1215" s="29" cm="1">
        <f t="array" aca="1" ref="U1215" ca="1">+fair_value_gap(OFFSET(T1214,0,0,-1*$J$5,-1*$AA$1),OFFSET(E1214,0,0,-1*$J$5,1),F1215:T1215,0)</f>
        <v>15.051160222465791</v>
      </c>
      <c r="V1215" s="9" cm="1">
        <f t="array" aca="1" ref="V1215" ca="1">z_score_diff(OFFSET(U1215,0,0,$J$5*-1,1),OFFSET(E1215,0,0,$J$5*-1,1))</f>
        <v>0.13721292565770504</v>
      </c>
      <c r="W1215" s="9">
        <f t="shared" ca="1" si="1266"/>
        <v>0.1222162322856994</v>
      </c>
      <c r="X1215" s="17">
        <f t="shared" ca="1" si="1261"/>
        <v>-0.18226629443589584</v>
      </c>
      <c r="Y1215" s="13">
        <f t="shared" ref="Y1215:Z1215" ca="1" si="1323">+Y1214</f>
        <v>0</v>
      </c>
      <c r="Z1215" s="13">
        <f t="shared" ca="1" si="1323"/>
        <v>0</v>
      </c>
      <c r="AA1215">
        <f t="shared" ca="1" si="1268"/>
        <v>0</v>
      </c>
      <c r="AB1215">
        <f t="shared" ca="1" si="1269"/>
        <v>1</v>
      </c>
      <c r="AC1215" s="24">
        <f t="shared" ca="1" si="1270"/>
        <v>0</v>
      </c>
      <c r="AD1215" s="24">
        <f t="shared" ca="1" si="1271"/>
        <v>-0.18226629443589584</v>
      </c>
    </row>
    <row r="1216" spans="3:30" x14ac:dyDescent="0.25">
      <c r="C1216" s="6">
        <v>1310</v>
      </c>
      <c r="D1216" s="36">
        <v>43872</v>
      </c>
      <c r="E1216" s="38">
        <v>14.596</v>
      </c>
      <c r="F1216" s="38">
        <v>49.273275233610924</v>
      </c>
      <c r="G1216" s="38">
        <v>43.07</v>
      </c>
      <c r="H1216" s="38">
        <v>2.2820834480353009</v>
      </c>
      <c r="I1216" s="38">
        <v>4.7255716193108199</v>
      </c>
      <c r="J1216" s="10">
        <v>0</v>
      </c>
      <c r="K1216" s="39">
        <v>1</v>
      </c>
      <c r="L1216" s="39">
        <v>0</v>
      </c>
      <c r="M1216" s="39">
        <v>0</v>
      </c>
      <c r="N1216" s="39">
        <v>0</v>
      </c>
      <c r="O1216" s="39">
        <v>0</v>
      </c>
      <c r="P1216" s="39">
        <v>0</v>
      </c>
      <c r="Q1216" s="39">
        <v>0</v>
      </c>
      <c r="R1216" s="39">
        <v>0</v>
      </c>
      <c r="S1216" s="39">
        <v>0</v>
      </c>
      <c r="T1216" s="39">
        <v>0</v>
      </c>
      <c r="U1216" s="29" cm="1">
        <f t="array" aca="1" ref="U1216" ca="1">+fair_value_gap(OFFSET(T1215,0,0,-1*$J$5,-1*$AA$1),OFFSET(E1215,0,0,-1*$J$5,1),F1216:T1216,0)</f>
        <v>15.240825896479747</v>
      </c>
      <c r="V1216" s="9" cm="1">
        <f t="array" aca="1" ref="V1216" ca="1">z_score_diff(OFFSET(U1216,0,0,$J$5*-1,1),OFFSET(E1216,0,0,$J$5*-1,1))</f>
        <v>0.18383639681568198</v>
      </c>
      <c r="W1216" s="9">
        <f t="shared" ca="1" si="1266"/>
        <v>0.13390655251523889</v>
      </c>
      <c r="X1216" s="17">
        <f t="shared" ca="1" si="1261"/>
        <v>-0.16280913974100866</v>
      </c>
      <c r="Y1216" s="13">
        <f t="shared" ref="Y1216:Z1216" ca="1" si="1324">+Y1215</f>
        <v>0</v>
      </c>
      <c r="Z1216" s="13">
        <f t="shared" ca="1" si="1324"/>
        <v>0</v>
      </c>
      <c r="AA1216">
        <f t="shared" ca="1" si="1268"/>
        <v>0</v>
      </c>
      <c r="AB1216">
        <f t="shared" ca="1" si="1269"/>
        <v>1</v>
      </c>
      <c r="AC1216" s="24">
        <f t="shared" ca="1" si="1270"/>
        <v>0</v>
      </c>
      <c r="AD1216" s="24">
        <f t="shared" ca="1" si="1271"/>
        <v>-0.16280913974100866</v>
      </c>
    </row>
    <row r="1217" spans="3:30" x14ac:dyDescent="0.25">
      <c r="C1217" s="6">
        <v>1311</v>
      </c>
      <c r="D1217" s="36">
        <v>43873</v>
      </c>
      <c r="E1217" s="38">
        <v>15.005000000000001</v>
      </c>
      <c r="F1217" s="38">
        <v>50.355658215245683</v>
      </c>
      <c r="G1217" s="38">
        <v>44.09</v>
      </c>
      <c r="H1217" s="38">
        <v>2.3143438911583245</v>
      </c>
      <c r="I1217" s="38">
        <v>4.8879375064137305</v>
      </c>
      <c r="J1217" s="10">
        <v>0</v>
      </c>
      <c r="K1217" s="39">
        <v>1</v>
      </c>
      <c r="L1217" s="39">
        <v>0</v>
      </c>
      <c r="M1217" s="39">
        <v>0</v>
      </c>
      <c r="N1217" s="39">
        <v>0</v>
      </c>
      <c r="O1217" s="39">
        <v>0</v>
      </c>
      <c r="P1217" s="39">
        <v>0</v>
      </c>
      <c r="Q1217" s="39">
        <v>0</v>
      </c>
      <c r="R1217" s="39">
        <v>0</v>
      </c>
      <c r="S1217" s="39">
        <v>0</v>
      </c>
      <c r="T1217" s="39">
        <v>0</v>
      </c>
      <c r="U1217" s="29" cm="1">
        <f t="array" aca="1" ref="U1217" ca="1">+fair_value_gap(OFFSET(T1216,0,0,-1*$J$5,-1*$AA$1),OFFSET(E1216,0,0,-1*$J$5,1),F1217:T1217,0)</f>
        <v>15.566639689267344</v>
      </c>
      <c r="V1217" s="9" cm="1">
        <f t="array" aca="1" ref="V1217" ca="1">z_score_diff(OFFSET(U1217,0,0,$J$5*-1,1),OFFSET(E1217,0,0,$J$5*-1,1))</f>
        <v>0.12556820935574464</v>
      </c>
      <c r="W1217" s="9">
        <f t="shared" ca="1" si="1266"/>
        <v>0.14026966134988214</v>
      </c>
      <c r="X1217" s="17">
        <f t="shared" ca="1" si="1261"/>
        <v>-0.18305491460541484</v>
      </c>
      <c r="Y1217" s="13">
        <f t="shared" ref="Y1217:Z1217" ca="1" si="1325">+Y1216</f>
        <v>0</v>
      </c>
      <c r="Z1217" s="13">
        <f t="shared" ca="1" si="1325"/>
        <v>0</v>
      </c>
      <c r="AA1217">
        <f t="shared" ca="1" si="1268"/>
        <v>0</v>
      </c>
      <c r="AB1217">
        <f t="shared" ca="1" si="1269"/>
        <v>1</v>
      </c>
      <c r="AC1217" s="24">
        <f t="shared" ca="1" si="1270"/>
        <v>0</v>
      </c>
      <c r="AD1217" s="24">
        <f t="shared" ca="1" si="1271"/>
        <v>-0.18305491460541484</v>
      </c>
    </row>
    <row r="1218" spans="3:30" x14ac:dyDescent="0.25">
      <c r="C1218" s="6">
        <v>1312</v>
      </c>
      <c r="D1218" s="36">
        <v>43874</v>
      </c>
      <c r="E1218" s="38">
        <v>15.311</v>
      </c>
      <c r="F1218" s="38">
        <v>50.756836003660197</v>
      </c>
      <c r="G1218" s="38">
        <v>44.39</v>
      </c>
      <c r="H1218" s="38">
        <v>2.3052401758558609</v>
      </c>
      <c r="I1218" s="38">
        <v>4.8778593062780766</v>
      </c>
      <c r="J1218" s="10">
        <v>0</v>
      </c>
      <c r="K1218" s="39">
        <v>1</v>
      </c>
      <c r="L1218" s="39">
        <v>0</v>
      </c>
      <c r="M1218" s="39">
        <v>0</v>
      </c>
      <c r="N1218" s="39">
        <v>0</v>
      </c>
      <c r="O1218" s="39">
        <v>0</v>
      </c>
      <c r="P1218" s="39">
        <v>0</v>
      </c>
      <c r="Q1218" s="39">
        <v>0</v>
      </c>
      <c r="R1218" s="39">
        <v>0</v>
      </c>
      <c r="S1218" s="39">
        <v>0</v>
      </c>
      <c r="T1218" s="39">
        <v>0</v>
      </c>
      <c r="U1218" s="29" cm="1">
        <f t="array" aca="1" ref="U1218" ca="1">+fair_value_gap(OFFSET(T1217,0,0,-1*$J$5,-1*$AA$1),OFFSET(E1217,0,0,-1*$J$5,1),F1218:T1218,0)</f>
        <v>15.543432697075723</v>
      </c>
      <c r="V1218" s="9" cm="1">
        <f t="array" aca="1" ref="V1218" ca="1">z_score_diff(OFFSET(U1218,0,0,$J$5*-1,1),OFFSET(E1218,0,0,$J$5*-1,1))</f>
        <v>-9.2324512155761429E-2</v>
      </c>
      <c r="W1218" s="9">
        <f t="shared" ca="1" si="1266"/>
        <v>0.11531354871157011</v>
      </c>
      <c r="X1218" s="17">
        <f t="shared" ca="1" si="1261"/>
        <v>-0.20588751020092791</v>
      </c>
      <c r="Y1218" s="13">
        <f t="shared" ref="Y1218:Z1218" ca="1" si="1326">+Y1217</f>
        <v>0</v>
      </c>
      <c r="Z1218" s="13">
        <f t="shared" ca="1" si="1326"/>
        <v>0</v>
      </c>
      <c r="AA1218">
        <f t="shared" ca="1" si="1268"/>
        <v>0</v>
      </c>
      <c r="AB1218">
        <f t="shared" ca="1" si="1269"/>
        <v>1</v>
      </c>
      <c r="AC1218" s="24">
        <f t="shared" ca="1" si="1270"/>
        <v>0</v>
      </c>
      <c r="AD1218" s="24">
        <f t="shared" ca="1" si="1271"/>
        <v>-0.20588751020092791</v>
      </c>
    </row>
    <row r="1219" spans="3:30" x14ac:dyDescent="0.25">
      <c r="C1219" s="6">
        <v>1313</v>
      </c>
      <c r="D1219" s="36">
        <v>43875</v>
      </c>
      <c r="E1219" s="38">
        <v>15.461</v>
      </c>
      <c r="F1219" s="38">
        <v>51.048158742607058</v>
      </c>
      <c r="G1219" s="38">
        <v>44.6</v>
      </c>
      <c r="H1219" s="38">
        <v>2.2958118825657436</v>
      </c>
      <c r="I1219" s="38">
        <v>4.9150793550403966</v>
      </c>
      <c r="J1219" s="10">
        <v>0</v>
      </c>
      <c r="K1219" s="39">
        <v>1</v>
      </c>
      <c r="L1219" s="39">
        <v>0</v>
      </c>
      <c r="M1219" s="39">
        <v>0</v>
      </c>
      <c r="N1219" s="39">
        <v>0</v>
      </c>
      <c r="O1219" s="39">
        <v>0</v>
      </c>
      <c r="P1219" s="39">
        <v>0</v>
      </c>
      <c r="Q1219" s="39">
        <v>0</v>
      </c>
      <c r="R1219" s="39">
        <v>0</v>
      </c>
      <c r="S1219" s="39">
        <v>0</v>
      </c>
      <c r="T1219" s="39">
        <v>0</v>
      </c>
      <c r="U1219" s="29" cm="1">
        <f t="array" aca="1" ref="U1219" ca="1">+fair_value_gap(OFFSET(T1218,0,0,-1*$J$5,-1*$AA$1),OFFSET(E1218,0,0,-1*$J$5,1),F1219:T1219,0)</f>
        <v>15.586208801362535</v>
      </c>
      <c r="V1219" s="9" cm="1">
        <f t="array" aca="1" ref="V1219" ca="1">z_score_diff(OFFSET(U1219,0,0,$J$5*-1,1),OFFSET(E1219,0,0,$J$5*-1,1))</f>
        <v>-0.16176643455367778</v>
      </c>
      <c r="W1219" s="9">
        <f t="shared" ca="1" si="1266"/>
        <v>0.10394522292103296</v>
      </c>
      <c r="X1219" s="17">
        <f t="shared" ca="1" si="1261"/>
        <v>-0.23926465122803769</v>
      </c>
      <c r="Y1219" s="13">
        <f t="shared" ref="Y1219:Z1219" ca="1" si="1327">+Y1218</f>
        <v>0</v>
      </c>
      <c r="Z1219" s="13">
        <f t="shared" ca="1" si="1327"/>
        <v>0</v>
      </c>
      <c r="AA1219">
        <f t="shared" ca="1" si="1268"/>
        <v>0</v>
      </c>
      <c r="AB1219">
        <f t="shared" ca="1" si="1269"/>
        <v>1</v>
      </c>
      <c r="AC1219" s="24">
        <f t="shared" ca="1" si="1270"/>
        <v>0</v>
      </c>
      <c r="AD1219" s="24">
        <f t="shared" ca="1" si="1271"/>
        <v>-0.23926465122803769</v>
      </c>
    </row>
    <row r="1220" spans="3:30" x14ac:dyDescent="0.25">
      <c r="C1220" s="6">
        <v>1314</v>
      </c>
      <c r="D1220" s="36">
        <v>43878</v>
      </c>
      <c r="E1220" s="38">
        <v>15.85</v>
      </c>
      <c r="F1220" s="38">
        <v>51.237084512262363</v>
      </c>
      <c r="G1220" s="38">
        <v>45.07</v>
      </c>
      <c r="H1220" s="38">
        <v>2.2969906800574922</v>
      </c>
      <c r="I1220" s="38">
        <v>4.9176030301112794</v>
      </c>
      <c r="J1220" s="10">
        <v>0</v>
      </c>
      <c r="K1220" s="39">
        <v>1</v>
      </c>
      <c r="L1220" s="39">
        <v>0</v>
      </c>
      <c r="M1220" s="39">
        <v>0</v>
      </c>
      <c r="N1220" s="39">
        <v>0</v>
      </c>
      <c r="O1220" s="39">
        <v>0</v>
      </c>
      <c r="P1220" s="39">
        <v>0</v>
      </c>
      <c r="Q1220" s="39">
        <v>0</v>
      </c>
      <c r="R1220" s="39">
        <v>0</v>
      </c>
      <c r="S1220" s="39">
        <v>0</v>
      </c>
      <c r="T1220" s="39">
        <v>0</v>
      </c>
      <c r="U1220" s="29" cm="1">
        <f t="array" aca="1" ref="U1220" ca="1">+fair_value_gap(OFFSET(T1219,0,0,-1*$J$5,-1*$AA$1),OFFSET(E1219,0,0,-1*$J$5,1),F1220:T1220,0)</f>
        <v>15.671639264015324</v>
      </c>
      <c r="V1220" s="9" cm="1">
        <f t="array" aca="1" ref="V1220" ca="1">z_score_diff(OFFSET(U1220,0,0,$J$5*-1,1),OFFSET(E1220,0,0,$J$5*-1,1))</f>
        <v>-0.36953834470909497</v>
      </c>
      <c r="W1220" s="9">
        <f t="shared" ca="1" si="1266"/>
        <v>8.5265513136841095E-2</v>
      </c>
      <c r="X1220" s="17">
        <f t="shared" ca="1" si="1261"/>
        <v>-0.28570715742452574</v>
      </c>
      <c r="Y1220" s="13">
        <f t="shared" ref="Y1220:Z1220" ca="1" si="1328">+Y1219</f>
        <v>0</v>
      </c>
      <c r="Z1220" s="13">
        <f t="shared" ca="1" si="1328"/>
        <v>0</v>
      </c>
      <c r="AA1220">
        <f t="shared" ca="1" si="1268"/>
        <v>0</v>
      </c>
      <c r="AB1220">
        <f t="shared" ca="1" si="1269"/>
        <v>1</v>
      </c>
      <c r="AC1220" s="24">
        <f t="shared" ca="1" si="1270"/>
        <v>0</v>
      </c>
      <c r="AD1220" s="24">
        <f t="shared" ca="1" si="1271"/>
        <v>-0.28570715742452574</v>
      </c>
    </row>
    <row r="1221" spans="3:30" x14ac:dyDescent="0.25">
      <c r="C1221" s="6">
        <v>1315</v>
      </c>
      <c r="D1221" s="36">
        <v>43879</v>
      </c>
      <c r="E1221" s="38">
        <v>15.622</v>
      </c>
      <c r="F1221" s="38">
        <v>51.443959008089358</v>
      </c>
      <c r="G1221" s="38">
        <v>44.98</v>
      </c>
      <c r="H1221" s="38">
        <v>2.3254991342866913</v>
      </c>
      <c r="I1221" s="38">
        <v>4.7072310869531702</v>
      </c>
      <c r="J1221" s="10">
        <v>0</v>
      </c>
      <c r="K1221" s="39">
        <v>1</v>
      </c>
      <c r="L1221" s="39">
        <v>0</v>
      </c>
      <c r="M1221" s="39">
        <v>0</v>
      </c>
      <c r="N1221" s="39">
        <v>0</v>
      </c>
      <c r="O1221" s="39">
        <v>0</v>
      </c>
      <c r="P1221" s="39">
        <v>0</v>
      </c>
      <c r="Q1221" s="39">
        <v>0</v>
      </c>
      <c r="R1221" s="39">
        <v>0</v>
      </c>
      <c r="S1221" s="39">
        <v>0</v>
      </c>
      <c r="T1221" s="39">
        <v>0</v>
      </c>
      <c r="U1221" s="29" cm="1">
        <f t="array" aca="1" ref="U1221" ca="1">+fair_value_gap(OFFSET(T1220,0,0,-1*$J$5,-1*$AA$1),OFFSET(E1220,0,0,-1*$J$5,1),F1221:T1221,0)</f>
        <v>15.412565215030535</v>
      </c>
      <c r="V1221" s="9" cm="1">
        <f t="array" aca="1" ref="V1221" ca="1">z_score_diff(OFFSET(U1221,0,0,$J$5*-1,1),OFFSET(E1221,0,0,$J$5*-1,1))</f>
        <v>-0.37169035708890874</v>
      </c>
      <c r="W1221" s="9">
        <f t="shared" ca="1" si="1266"/>
        <v>6.7239132974626595E-2</v>
      </c>
      <c r="X1221" s="17">
        <f t="shared" ca="1" si="1261"/>
        <v>-0.28329619388896909</v>
      </c>
      <c r="Y1221" s="13">
        <f t="shared" ref="Y1221:Z1221" ca="1" si="1329">+Y1220</f>
        <v>0</v>
      </c>
      <c r="Z1221" s="13">
        <f t="shared" ca="1" si="1329"/>
        <v>0</v>
      </c>
      <c r="AA1221">
        <f t="shared" ca="1" si="1268"/>
        <v>0</v>
      </c>
      <c r="AB1221">
        <f t="shared" ca="1" si="1269"/>
        <v>1</v>
      </c>
      <c r="AC1221" s="24">
        <f t="shared" ca="1" si="1270"/>
        <v>0</v>
      </c>
      <c r="AD1221" s="24">
        <f t="shared" ca="1" si="1271"/>
        <v>-0.28329619388896909</v>
      </c>
    </row>
    <row r="1222" spans="3:30" x14ac:dyDescent="0.25">
      <c r="C1222" s="6">
        <v>1316</v>
      </c>
      <c r="D1222" s="36">
        <v>43880</v>
      </c>
      <c r="E1222" s="38">
        <v>15.403</v>
      </c>
      <c r="F1222" s="38">
        <v>52.02105842880642</v>
      </c>
      <c r="G1222" s="38">
        <v>45.29</v>
      </c>
      <c r="H1222" s="38">
        <v>2.3279491583150356</v>
      </c>
      <c r="I1222" s="38">
        <v>4.6241947288709175</v>
      </c>
      <c r="J1222" s="10">
        <v>0</v>
      </c>
      <c r="K1222" s="39">
        <v>1</v>
      </c>
      <c r="L1222" s="39">
        <v>0</v>
      </c>
      <c r="M1222" s="39">
        <v>0</v>
      </c>
      <c r="N1222" s="39">
        <v>0</v>
      </c>
      <c r="O1222" s="39">
        <v>0</v>
      </c>
      <c r="P1222" s="39">
        <v>0</v>
      </c>
      <c r="Q1222" s="39">
        <v>0</v>
      </c>
      <c r="R1222" s="39">
        <v>0</v>
      </c>
      <c r="S1222" s="39">
        <v>0</v>
      </c>
      <c r="T1222" s="39">
        <v>0</v>
      </c>
      <c r="U1222" s="29" cm="1">
        <f t="array" aca="1" ref="U1222" ca="1">+fair_value_gap(OFFSET(T1221,0,0,-1*$J$5,-1*$AA$1),OFFSET(E1221,0,0,-1*$J$5,1),F1222:T1222,0)</f>
        <v>15.392428265801222</v>
      </c>
      <c r="V1222" s="9" cm="1">
        <f t="array" aca="1" ref="V1222" ca="1">z_score_diff(OFFSET(U1222,0,0,$J$5*-1,1),OFFSET(E1222,0,0,$J$5*-1,1))</f>
        <v>-0.21695075178833068</v>
      </c>
      <c r="W1222" s="9">
        <f t="shared" ca="1" si="1266"/>
        <v>5.8777356149101186E-2</v>
      </c>
      <c r="X1222" s="17">
        <f t="shared" ca="1" si="1261"/>
        <v>-0.26671703378261513</v>
      </c>
      <c r="Y1222" s="13">
        <f t="shared" ref="Y1222:Z1222" ca="1" si="1330">+Y1221</f>
        <v>0</v>
      </c>
      <c r="Z1222" s="13">
        <f t="shared" ca="1" si="1330"/>
        <v>0</v>
      </c>
      <c r="AA1222">
        <f t="shared" ca="1" si="1268"/>
        <v>0</v>
      </c>
      <c r="AB1222">
        <f t="shared" ca="1" si="1269"/>
        <v>1</v>
      </c>
      <c r="AC1222" s="24">
        <f t="shared" ca="1" si="1270"/>
        <v>0</v>
      </c>
      <c r="AD1222" s="24">
        <f t="shared" ca="1" si="1271"/>
        <v>-0.26671703378261513</v>
      </c>
    </row>
    <row r="1223" spans="3:30" x14ac:dyDescent="0.25">
      <c r="C1223" s="6">
        <v>1317</v>
      </c>
      <c r="D1223" s="36">
        <v>43881</v>
      </c>
      <c r="E1223" s="38">
        <v>15.249000000000001</v>
      </c>
      <c r="F1223" s="38">
        <v>52.042672631345788</v>
      </c>
      <c r="G1223" s="38">
        <v>45.13</v>
      </c>
      <c r="H1223" s="38">
        <v>2.3066532558215536</v>
      </c>
      <c r="I1223" s="38">
        <v>4.6251075711966996</v>
      </c>
      <c r="J1223" s="10">
        <v>0</v>
      </c>
      <c r="K1223" s="39">
        <v>1</v>
      </c>
      <c r="L1223" s="39">
        <v>0</v>
      </c>
      <c r="M1223" s="39">
        <v>0</v>
      </c>
      <c r="N1223" s="39">
        <v>0</v>
      </c>
      <c r="O1223" s="39">
        <v>0</v>
      </c>
      <c r="P1223" s="39">
        <v>0</v>
      </c>
      <c r="Q1223" s="39">
        <v>0</v>
      </c>
      <c r="R1223" s="39">
        <v>0</v>
      </c>
      <c r="S1223" s="39">
        <v>0</v>
      </c>
      <c r="T1223" s="39">
        <v>0</v>
      </c>
      <c r="U1223" s="29" cm="1">
        <f t="array" aca="1" ref="U1223" ca="1">+fair_value_gap(OFFSET(T1222,0,0,-1*$J$5,-1*$AA$1),OFFSET(E1222,0,0,-1*$J$5,1),F1223:T1223,0)</f>
        <v>15.302428788350189</v>
      </c>
      <c r="V1223" s="9" cm="1">
        <f t="array" aca="1" ref="V1223" ca="1">z_score_diff(OFFSET(U1223,0,0,$J$5*-1,1),OFFSET(E1223,0,0,$J$5*-1,1))</f>
        <v>-0.15517812881975024</v>
      </c>
      <c r="W1223" s="9">
        <f t="shared" ca="1" si="1266"/>
        <v>5.2382100615517971E-2</v>
      </c>
      <c r="X1223" s="17">
        <f t="shared" ref="X1223:X1286" ca="1" si="1331">+LN(OFFSET(E1223,$X$3,0,1,1)/E1223)</f>
        <v>-0.23312831124716582</v>
      </c>
      <c r="Y1223" s="13">
        <f t="shared" ref="Y1223:Z1223" ca="1" si="1332">+Y1222</f>
        <v>0</v>
      </c>
      <c r="Z1223" s="13">
        <f t="shared" ca="1" si="1332"/>
        <v>0</v>
      </c>
      <c r="AA1223">
        <f t="shared" ca="1" si="1268"/>
        <v>0</v>
      </c>
      <c r="AB1223">
        <f t="shared" ca="1" si="1269"/>
        <v>1</v>
      </c>
      <c r="AC1223" s="24">
        <f t="shared" ca="1" si="1270"/>
        <v>0</v>
      </c>
      <c r="AD1223" s="24">
        <f t="shared" ca="1" si="1271"/>
        <v>-0.23312831124716582</v>
      </c>
    </row>
    <row r="1224" spans="3:30" x14ac:dyDescent="0.25">
      <c r="C1224" s="6">
        <v>1318</v>
      </c>
      <c r="D1224" s="36">
        <v>43882</v>
      </c>
      <c r="E1224" s="38">
        <v>15.038</v>
      </c>
      <c r="F1224" s="38">
        <v>51.24500530509966</v>
      </c>
      <c r="G1224" s="38">
        <v>44.72</v>
      </c>
      <c r="H1224" s="38">
        <v>2.2818701040702529</v>
      </c>
      <c r="I1224" s="38">
        <v>4.5736731607106575</v>
      </c>
      <c r="J1224" s="10">
        <v>0</v>
      </c>
      <c r="K1224" s="39">
        <v>1</v>
      </c>
      <c r="L1224" s="39">
        <v>0</v>
      </c>
      <c r="M1224" s="39">
        <v>0</v>
      </c>
      <c r="N1224" s="39">
        <v>0</v>
      </c>
      <c r="O1224" s="39">
        <v>0</v>
      </c>
      <c r="P1224" s="39">
        <v>0</v>
      </c>
      <c r="Q1224" s="39">
        <v>0</v>
      </c>
      <c r="R1224" s="39">
        <v>0</v>
      </c>
      <c r="S1224" s="39">
        <v>0</v>
      </c>
      <c r="T1224" s="39">
        <v>0</v>
      </c>
      <c r="U1224" s="29" cm="1">
        <f t="array" aca="1" ref="U1224" ca="1">+fair_value_gap(OFFSET(T1223,0,0,-1*$J$5,-1*$AA$1),OFFSET(E1223,0,0,-1*$J$5,1),F1224:T1224,0)</f>
        <v>15.090086273648813</v>
      </c>
      <c r="V1224" s="9" cm="1">
        <f t="array" aca="1" ref="V1224" ca="1">z_score_diff(OFFSET(U1224,0,0,$J$5*-1,1),OFFSET(E1224,0,0,$J$5*-1,1))</f>
        <v>-0.15913940020967332</v>
      </c>
      <c r="W1224" s="9">
        <f t="shared" ca="1" si="1266"/>
        <v>4.6058552521284685E-2</v>
      </c>
      <c r="X1224" s="17">
        <f t="shared" ca="1" si="1331"/>
        <v>-0.20317860334046398</v>
      </c>
      <c r="Y1224" s="13">
        <f t="shared" ref="Y1224:Z1224" ca="1" si="1333">+Y1223</f>
        <v>0</v>
      </c>
      <c r="Z1224" s="13">
        <f t="shared" ca="1" si="1333"/>
        <v>0</v>
      </c>
      <c r="AA1224">
        <f t="shared" ca="1" si="1268"/>
        <v>0</v>
      </c>
      <c r="AB1224">
        <f t="shared" ca="1" si="1269"/>
        <v>1</v>
      </c>
      <c r="AC1224" s="24">
        <f t="shared" ca="1" si="1270"/>
        <v>0</v>
      </c>
      <c r="AD1224" s="24">
        <f t="shared" ca="1" si="1271"/>
        <v>-0.20317860334046398</v>
      </c>
    </row>
    <row r="1225" spans="3:30" x14ac:dyDescent="0.25">
      <c r="C1225" s="6">
        <v>1319</v>
      </c>
      <c r="D1225" s="36">
        <v>43885</v>
      </c>
      <c r="E1225" s="38">
        <v>14.467000000000001</v>
      </c>
      <c r="F1225" s="38">
        <v>50.336964216061595</v>
      </c>
      <c r="G1225" s="38">
        <v>43.61</v>
      </c>
      <c r="H1225" s="38">
        <v>2.2536513485791883</v>
      </c>
      <c r="I1225" s="38">
        <v>4.4332644717643488</v>
      </c>
      <c r="J1225" s="10">
        <v>0</v>
      </c>
      <c r="K1225" s="39">
        <v>1</v>
      </c>
      <c r="L1225" s="39">
        <v>0</v>
      </c>
      <c r="M1225" s="39">
        <v>0</v>
      </c>
      <c r="N1225" s="39">
        <v>0</v>
      </c>
      <c r="O1225" s="39">
        <v>0</v>
      </c>
      <c r="P1225" s="39">
        <v>0</v>
      </c>
      <c r="Q1225" s="39">
        <v>0</v>
      </c>
      <c r="R1225" s="39">
        <v>0</v>
      </c>
      <c r="S1225" s="39">
        <v>0</v>
      </c>
      <c r="T1225" s="39">
        <v>0</v>
      </c>
      <c r="U1225" s="29" cm="1">
        <f t="array" aca="1" ref="U1225" ca="1">+fair_value_gap(OFFSET(T1224,0,0,-1*$J$5,-1*$AA$1),OFFSET(E1224,0,0,-1*$J$5,1),F1225:T1225,0)</f>
        <v>14.694547180494608</v>
      </c>
      <c r="V1225" s="9" cm="1">
        <f t="array" aca="1" ref="V1225" ca="1">z_score_diff(OFFSET(U1225,0,0,$J$5*-1,1),OFFSET(E1225,0,0,$J$5*-1,1))</f>
        <v>-2.4294604606442061E-2</v>
      </c>
      <c r="W1225" s="9">
        <f t="shared" ca="1" si="1266"/>
        <v>4.5815550288446867E-2</v>
      </c>
      <c r="X1225" s="17">
        <f t="shared" ca="1" si="1331"/>
        <v>-0.12297204731255532</v>
      </c>
      <c r="Y1225" s="13">
        <f t="shared" ref="Y1225:Z1225" ca="1" si="1334">+Y1224</f>
        <v>0</v>
      </c>
      <c r="Z1225" s="13">
        <f t="shared" ca="1" si="1334"/>
        <v>0</v>
      </c>
      <c r="AA1225">
        <f t="shared" ca="1" si="1268"/>
        <v>0</v>
      </c>
      <c r="AB1225">
        <f t="shared" ca="1" si="1269"/>
        <v>1</v>
      </c>
      <c r="AC1225" s="24">
        <f t="shared" ca="1" si="1270"/>
        <v>0</v>
      </c>
      <c r="AD1225" s="24">
        <f t="shared" ca="1" si="1271"/>
        <v>-0.12297204731255532</v>
      </c>
    </row>
    <row r="1226" spans="3:30" x14ac:dyDescent="0.25">
      <c r="C1226" s="6">
        <v>1320</v>
      </c>
      <c r="D1226" s="36">
        <v>43886</v>
      </c>
      <c r="E1226" s="38">
        <v>14.35</v>
      </c>
      <c r="F1226" s="38">
        <v>48.866289469012749</v>
      </c>
      <c r="G1226" s="38">
        <v>43.49</v>
      </c>
      <c r="H1226" s="38">
        <v>2.2680518272820409</v>
      </c>
      <c r="I1226" s="38">
        <v>4.3703024880087007</v>
      </c>
      <c r="J1226" s="10">
        <v>0</v>
      </c>
      <c r="K1226" s="39">
        <v>1</v>
      </c>
      <c r="L1226" s="39">
        <v>0</v>
      </c>
      <c r="M1226" s="39">
        <v>0</v>
      </c>
      <c r="N1226" s="39">
        <v>0</v>
      </c>
      <c r="O1226" s="39">
        <v>0</v>
      </c>
      <c r="P1226" s="39">
        <v>0</v>
      </c>
      <c r="Q1226" s="39">
        <v>0</v>
      </c>
      <c r="R1226" s="39">
        <v>0</v>
      </c>
      <c r="S1226" s="39">
        <v>0</v>
      </c>
      <c r="T1226" s="39">
        <v>0</v>
      </c>
      <c r="U1226" s="29" cm="1">
        <f t="array" aca="1" ref="U1226" ca="1">+fair_value_gap(OFFSET(T1225,0,0,-1*$J$5,-1*$AA$1),OFFSET(E1225,0,0,-1*$J$5,1),F1226:T1226,0)</f>
        <v>14.608651686527894</v>
      </c>
      <c r="V1226" s="9" cm="1">
        <f t="array" aca="1" ref="V1226" ca="1">z_score_diff(OFFSET(U1226,0,0,$J$5*-1,1),OFFSET(E1226,0,0,$J$5*-1,1))</f>
        <v>-1.3590800734897712E-2</v>
      </c>
      <c r="W1226" s="9">
        <f t="shared" ca="1" si="1266"/>
        <v>4.4025840470701592E-2</v>
      </c>
      <c r="X1226" s="17">
        <f t="shared" ca="1" si="1331"/>
        <v>-0.11516451575444712</v>
      </c>
      <c r="Y1226" s="13">
        <f t="shared" ref="Y1226:Z1226" ca="1" si="1335">+Y1225</f>
        <v>0</v>
      </c>
      <c r="Z1226" s="13">
        <f t="shared" ca="1" si="1335"/>
        <v>0</v>
      </c>
      <c r="AA1226">
        <f t="shared" ca="1" si="1268"/>
        <v>0</v>
      </c>
      <c r="AB1226">
        <f t="shared" ca="1" si="1269"/>
        <v>1</v>
      </c>
      <c r="AC1226" s="24">
        <f t="shared" ca="1" si="1270"/>
        <v>0</v>
      </c>
      <c r="AD1226" s="24">
        <f t="shared" ca="1" si="1271"/>
        <v>-0.11516451575444712</v>
      </c>
    </row>
    <row r="1227" spans="3:30" x14ac:dyDescent="0.25">
      <c r="C1227" s="6">
        <v>1321</v>
      </c>
      <c r="D1227" s="36">
        <v>43887</v>
      </c>
      <c r="E1227" s="38">
        <v>14.428000000000001</v>
      </c>
      <c r="F1227" s="38">
        <v>48.075666919238103</v>
      </c>
      <c r="G1227" s="38">
        <v>42.78</v>
      </c>
      <c r="H1227" s="38">
        <v>2.2677371371012427</v>
      </c>
      <c r="I1227" s="38">
        <v>4.3561815883530031</v>
      </c>
      <c r="J1227" s="10">
        <v>0</v>
      </c>
      <c r="K1227" s="39">
        <v>1</v>
      </c>
      <c r="L1227" s="39">
        <v>0</v>
      </c>
      <c r="M1227" s="39">
        <v>0</v>
      </c>
      <c r="N1227" s="39">
        <v>0</v>
      </c>
      <c r="O1227" s="39">
        <v>0</v>
      </c>
      <c r="P1227" s="39">
        <v>0</v>
      </c>
      <c r="Q1227" s="39">
        <v>0</v>
      </c>
      <c r="R1227" s="39">
        <v>0</v>
      </c>
      <c r="S1227" s="39">
        <v>0</v>
      </c>
      <c r="T1227" s="39">
        <v>0</v>
      </c>
      <c r="U1227" s="29" cm="1">
        <f t="array" aca="1" ref="U1227" ca="1">+fair_value_gap(OFFSET(T1226,0,0,-1*$J$5,-1*$AA$1),OFFSET(E1226,0,0,-1*$J$5,1),F1227:T1227,0)</f>
        <v>14.411937939896816</v>
      </c>
      <c r="V1227" s="9" cm="1">
        <f t="array" aca="1" ref="V1227" ca="1">z_score_diff(OFFSET(U1227,0,0,$J$5*-1,1),OFFSET(E1227,0,0,$J$5*-1,1))</f>
        <v>-0.22257565905830612</v>
      </c>
      <c r="W1227" s="9">
        <f t="shared" ref="W1227:W1290" ca="1" si="1336">+IF(ISERROR(AVERAGE(OFFSET(V1227,0,0,$W$5*-1,1))),"",AVERAGE(OFFSET(V1227,0,0,$W$5*-1,1)))</f>
        <v>3.4289237136416136E-2</v>
      </c>
      <c r="X1227" s="17">
        <f t="shared" ca="1" si="1331"/>
        <v>-0.13064436050317654</v>
      </c>
      <c r="Y1227" s="13">
        <f t="shared" ref="Y1227:Z1227" ca="1" si="1337">+Y1226</f>
        <v>0</v>
      </c>
      <c r="Z1227" s="13">
        <f t="shared" ca="1" si="1337"/>
        <v>0</v>
      </c>
      <c r="AA1227">
        <f t="shared" ref="AA1227:AA1290" ca="1" si="1338">+IF(W1227="","",IF(W1227&lt;Y1227,1,0))</f>
        <v>0</v>
      </c>
      <c r="AB1227">
        <f t="shared" ref="AB1227:AB1290" ca="1" si="1339">+IF(W1227="","",IF(W1227&gt;Z1227,1,0))</f>
        <v>1</v>
      </c>
      <c r="AC1227" s="24">
        <f t="shared" ref="AC1227:AC1290" ca="1" si="1340">+IF(ISERROR(AA1227*X1227),"",AA1227*X1227)</f>
        <v>0</v>
      </c>
      <c r="AD1227" s="24">
        <f t="shared" ref="AD1227:AD1290" ca="1" si="1341">+IF(ISERROR(AB1227*X1227),"",AB1227*X1227)</f>
        <v>-0.13064436050317654</v>
      </c>
    </row>
    <row r="1228" spans="3:30" x14ac:dyDescent="0.25">
      <c r="C1228" s="6">
        <v>1322</v>
      </c>
      <c r="D1228" s="36">
        <v>43888</v>
      </c>
      <c r="E1228" s="38">
        <v>14.04</v>
      </c>
      <c r="F1228" s="38">
        <v>46.961439460113141</v>
      </c>
      <c r="G1228" s="38">
        <v>42.25</v>
      </c>
      <c r="H1228" s="38">
        <v>2.1363971698096353</v>
      </c>
      <c r="I1228" s="38">
        <v>4.1888389324444777</v>
      </c>
      <c r="J1228" s="10">
        <v>0</v>
      </c>
      <c r="K1228" s="39">
        <v>1</v>
      </c>
      <c r="L1228" s="39">
        <v>0</v>
      </c>
      <c r="M1228" s="39">
        <v>0</v>
      </c>
      <c r="N1228" s="39">
        <v>0</v>
      </c>
      <c r="O1228" s="39">
        <v>0</v>
      </c>
      <c r="P1228" s="39">
        <v>0</v>
      </c>
      <c r="Q1228" s="39">
        <v>0</v>
      </c>
      <c r="R1228" s="39">
        <v>0</v>
      </c>
      <c r="S1228" s="39">
        <v>0</v>
      </c>
      <c r="T1228" s="39">
        <v>0</v>
      </c>
      <c r="U1228" s="29" cm="1">
        <f t="array" aca="1" ref="U1228" ca="1">+fair_value_gap(OFFSET(T1227,0,0,-1*$J$5,-1*$AA$1),OFFSET(E1227,0,0,-1*$J$5,1),F1228:T1228,0)</f>
        <v>14.082202962995101</v>
      </c>
      <c r="V1228" s="9" cm="1">
        <f t="array" aca="1" ref="V1228" ca="1">z_score_diff(OFFSET(U1228,0,0,$J$5*-1,1),OFFSET(E1228,0,0,$J$5*-1,1))</f>
        <v>-0.17671054657388474</v>
      </c>
      <c r="W1228" s="9">
        <f t="shared" ca="1" si="1336"/>
        <v>2.5003836240520303E-2</v>
      </c>
      <c r="X1228" s="17">
        <f t="shared" ca="1" si="1331"/>
        <v>-9.2465227672093434E-2</v>
      </c>
      <c r="Y1228" s="13">
        <f t="shared" ref="Y1228:Z1228" ca="1" si="1342">+Y1227</f>
        <v>0</v>
      </c>
      <c r="Z1228" s="13">
        <f t="shared" ca="1" si="1342"/>
        <v>0</v>
      </c>
      <c r="AA1228">
        <f t="shared" ca="1" si="1338"/>
        <v>0</v>
      </c>
      <c r="AB1228">
        <f t="shared" ca="1" si="1339"/>
        <v>1</v>
      </c>
      <c r="AC1228" s="24">
        <f t="shared" ca="1" si="1340"/>
        <v>0</v>
      </c>
      <c r="AD1228" s="24">
        <f t="shared" ca="1" si="1341"/>
        <v>-9.2465227672093434E-2</v>
      </c>
    </row>
    <row r="1229" spans="3:30" x14ac:dyDescent="0.25">
      <c r="C1229" s="6">
        <v>1323</v>
      </c>
      <c r="D1229" s="36">
        <v>43889</v>
      </c>
      <c r="E1229" s="38">
        <v>13.79</v>
      </c>
      <c r="F1229" s="38">
        <v>45.162830215901657</v>
      </c>
      <c r="G1229" s="38">
        <v>40.83</v>
      </c>
      <c r="H1229" s="38">
        <v>2.0822460470277675</v>
      </c>
      <c r="I1229" s="38">
        <v>4.2526624784249742</v>
      </c>
      <c r="J1229" s="10">
        <v>0</v>
      </c>
      <c r="K1229" s="39">
        <v>1</v>
      </c>
      <c r="L1229" s="39">
        <v>0</v>
      </c>
      <c r="M1229" s="39">
        <v>0</v>
      </c>
      <c r="N1229" s="39">
        <v>0</v>
      </c>
      <c r="O1229" s="39">
        <v>0</v>
      </c>
      <c r="P1229" s="39">
        <v>0</v>
      </c>
      <c r="Q1229" s="39">
        <v>0</v>
      </c>
      <c r="R1229" s="39">
        <v>0</v>
      </c>
      <c r="S1229" s="39">
        <v>0</v>
      </c>
      <c r="T1229" s="39">
        <v>0</v>
      </c>
      <c r="U1229" s="29" cm="1">
        <f t="array" aca="1" ref="U1229" ca="1">+fair_value_gap(OFFSET(T1228,0,0,-1*$J$5,-1*$AA$1),OFFSET(E1228,0,0,-1*$J$5,1),F1229:T1229,0)</f>
        <v>13.769096550287992</v>
      </c>
      <c r="V1229" s="9" cm="1">
        <f t="array" aca="1" ref="V1229" ca="1">z_score_diff(OFFSET(U1229,0,0,$J$5*-1,1),OFFSET(E1229,0,0,$J$5*-1,1))</f>
        <v>-0.22226760092316677</v>
      </c>
      <c r="W1229" s="9">
        <f t="shared" ca="1" si="1336"/>
        <v>8.9426686799469E-3</v>
      </c>
      <c r="X1229" s="17">
        <f t="shared" ca="1" si="1331"/>
        <v>-9.8615127518294737E-2</v>
      </c>
      <c r="Y1229" s="13">
        <f t="shared" ref="Y1229:Z1229" ca="1" si="1343">+Y1228</f>
        <v>0</v>
      </c>
      <c r="Z1229" s="13">
        <f t="shared" ca="1" si="1343"/>
        <v>0</v>
      </c>
      <c r="AA1229">
        <f t="shared" ca="1" si="1338"/>
        <v>0</v>
      </c>
      <c r="AB1229">
        <f t="shared" ca="1" si="1339"/>
        <v>1</v>
      </c>
      <c r="AC1229" s="24">
        <f t="shared" ca="1" si="1340"/>
        <v>0</v>
      </c>
      <c r="AD1229" s="24">
        <f t="shared" ca="1" si="1341"/>
        <v>-9.8615127518294737E-2</v>
      </c>
    </row>
    <row r="1230" spans="3:30" x14ac:dyDescent="0.25">
      <c r="C1230" s="6">
        <v>1324</v>
      </c>
      <c r="D1230" s="36">
        <v>43892</v>
      </c>
      <c r="E1230" s="38">
        <v>13.824999999999999</v>
      </c>
      <c r="F1230" s="38">
        <v>46.15049103875247</v>
      </c>
      <c r="G1230" s="38">
        <v>40.97</v>
      </c>
      <c r="H1230" s="38">
        <v>2.0925323084339649</v>
      </c>
      <c r="I1230" s="38">
        <v>4.3395764961826737</v>
      </c>
      <c r="J1230" s="10">
        <v>0</v>
      </c>
      <c r="K1230" s="39">
        <v>0</v>
      </c>
      <c r="L1230" s="39">
        <v>1</v>
      </c>
      <c r="M1230" s="39">
        <v>0</v>
      </c>
      <c r="N1230" s="39">
        <v>0</v>
      </c>
      <c r="O1230" s="39">
        <v>0</v>
      </c>
      <c r="P1230" s="39">
        <v>0</v>
      </c>
      <c r="Q1230" s="39">
        <v>0</v>
      </c>
      <c r="R1230" s="39">
        <v>0</v>
      </c>
      <c r="S1230" s="39">
        <v>0</v>
      </c>
      <c r="T1230" s="39">
        <v>0</v>
      </c>
      <c r="U1230" s="29" cm="1">
        <f t="array" aca="1" ref="U1230" ca="1">+fair_value_gap(OFFSET(T1229,0,0,-1*$J$5,-1*$AA$1),OFFSET(E1229,0,0,-1*$J$5,1),F1230:T1230,0)</f>
        <v>14.758108260754563</v>
      </c>
      <c r="V1230" s="9" cm="1">
        <f t="array" aca="1" ref="V1230" ca="1">z_score_diff(OFFSET(U1230,0,0,$J$5*-1,1),OFFSET(E1230,0,0,$J$5*-1,1))</f>
        <v>0.43671526693633123</v>
      </c>
      <c r="W1230" s="9">
        <f t="shared" ca="1" si="1336"/>
        <v>8.5775297132884235E-3</v>
      </c>
      <c r="X1230" s="17">
        <f t="shared" ca="1" si="1331"/>
        <v>-0.14123861983027777</v>
      </c>
      <c r="Y1230" s="13">
        <f t="shared" ref="Y1230:Z1230" ca="1" si="1344">+Y1229</f>
        <v>0</v>
      </c>
      <c r="Z1230" s="13">
        <f t="shared" ca="1" si="1344"/>
        <v>0</v>
      </c>
      <c r="AA1230">
        <f t="shared" ca="1" si="1338"/>
        <v>0</v>
      </c>
      <c r="AB1230">
        <f t="shared" ca="1" si="1339"/>
        <v>1</v>
      </c>
      <c r="AC1230" s="24">
        <f t="shared" ca="1" si="1340"/>
        <v>0</v>
      </c>
      <c r="AD1230" s="24">
        <f t="shared" ca="1" si="1341"/>
        <v>-0.14123861983027777</v>
      </c>
    </row>
    <row r="1231" spans="3:30" x14ac:dyDescent="0.25">
      <c r="C1231" s="6">
        <v>1325</v>
      </c>
      <c r="D1231" s="36">
        <v>43893</v>
      </c>
      <c r="E1231" s="38">
        <v>14.353</v>
      </c>
      <c r="F1231" s="38">
        <v>46.182681098056904</v>
      </c>
      <c r="G1231" s="38">
        <v>41.92</v>
      </c>
      <c r="H1231" s="38">
        <v>2.1042595394420891</v>
      </c>
      <c r="I1231" s="38">
        <v>4.4631803045536778</v>
      </c>
      <c r="J1231" s="10">
        <v>0</v>
      </c>
      <c r="K1231" s="39">
        <v>0</v>
      </c>
      <c r="L1231" s="39">
        <v>1</v>
      </c>
      <c r="M1231" s="39">
        <v>0</v>
      </c>
      <c r="N1231" s="39">
        <v>0</v>
      </c>
      <c r="O1231" s="39">
        <v>0</v>
      </c>
      <c r="P1231" s="39">
        <v>0</v>
      </c>
      <c r="Q1231" s="39">
        <v>0</v>
      </c>
      <c r="R1231" s="39">
        <v>0</v>
      </c>
      <c r="S1231" s="39">
        <v>0</v>
      </c>
      <c r="T1231" s="39">
        <v>0</v>
      </c>
      <c r="U1231" s="29" cm="1">
        <f t="array" aca="1" ref="U1231" ca="1">+fair_value_gap(OFFSET(T1230,0,0,-1*$J$5,-1*$AA$1),OFFSET(E1230,0,0,-1*$J$5,1),F1231:T1231,0)</f>
        <v>15.01713983121649</v>
      </c>
      <c r="V1231" s="9" cm="1">
        <f t="array" aca="1" ref="V1231" ca="1">z_score_diff(OFFSET(U1231,0,0,$J$5*-1,1),OFFSET(E1231,0,0,$J$5*-1,1))</f>
        <v>0.21022355827322459</v>
      </c>
      <c r="W1231" s="9">
        <f t="shared" ca="1" si="1336"/>
        <v>1.1138406463250003E-2</v>
      </c>
      <c r="X1231" s="17">
        <f t="shared" ca="1" si="1331"/>
        <v>-0.15265385594671202</v>
      </c>
      <c r="Y1231" s="13">
        <f t="shared" ref="Y1231:Z1231" ca="1" si="1345">+Y1230</f>
        <v>0</v>
      </c>
      <c r="Z1231" s="13">
        <f t="shared" ca="1" si="1345"/>
        <v>0</v>
      </c>
      <c r="AA1231">
        <f t="shared" ca="1" si="1338"/>
        <v>0</v>
      </c>
      <c r="AB1231">
        <f t="shared" ca="1" si="1339"/>
        <v>1</v>
      </c>
      <c r="AC1231" s="24">
        <f t="shared" ca="1" si="1340"/>
        <v>0</v>
      </c>
      <c r="AD1231" s="24">
        <f t="shared" ca="1" si="1341"/>
        <v>-0.15265385594671202</v>
      </c>
    </row>
    <row r="1232" spans="3:30" x14ac:dyDescent="0.25">
      <c r="C1232" s="6">
        <v>1326</v>
      </c>
      <c r="D1232" s="36">
        <v>43894</v>
      </c>
      <c r="E1232" s="38">
        <v>14.327</v>
      </c>
      <c r="F1232" s="38">
        <v>46.334165471574515</v>
      </c>
      <c r="G1232" s="38">
        <v>42.05</v>
      </c>
      <c r="H1232" s="38">
        <v>2.128149289141481</v>
      </c>
      <c r="I1232" s="38">
        <v>4.5015137833961862</v>
      </c>
      <c r="J1232" s="10">
        <v>0</v>
      </c>
      <c r="K1232" s="39">
        <v>0</v>
      </c>
      <c r="L1232" s="39">
        <v>1</v>
      </c>
      <c r="M1232" s="39">
        <v>0</v>
      </c>
      <c r="N1232" s="39">
        <v>0</v>
      </c>
      <c r="O1232" s="39">
        <v>0</v>
      </c>
      <c r="P1232" s="39">
        <v>0</v>
      </c>
      <c r="Q1232" s="39">
        <v>0</v>
      </c>
      <c r="R1232" s="39">
        <v>0</v>
      </c>
      <c r="S1232" s="39">
        <v>0</v>
      </c>
      <c r="T1232" s="39">
        <v>0</v>
      </c>
      <c r="U1232" s="29" cm="1">
        <f t="array" aca="1" ref="U1232" ca="1">+fair_value_gap(OFFSET(T1231,0,0,-1*$J$5,-1*$AA$1),OFFSET(E1231,0,0,-1*$J$5,1),F1232:T1232,0)</f>
        <v>15.055974630292768</v>
      </c>
      <c r="V1232" s="9" cm="1">
        <f t="array" aca="1" ref="V1232" ca="1">z_score_diff(OFFSET(U1232,0,0,$J$5*-1,1),OFFSET(E1232,0,0,$J$5*-1,1))</f>
        <v>0.2430974358461091</v>
      </c>
      <c r="W1232" s="9">
        <f t="shared" ca="1" si="1336"/>
        <v>1.3507442593635151E-2</v>
      </c>
      <c r="X1232" s="17">
        <f t="shared" ca="1" si="1331"/>
        <v>-0.12172567585998997</v>
      </c>
      <c r="Y1232" s="13">
        <f t="shared" ref="Y1232:Z1232" ca="1" si="1346">+Y1231</f>
        <v>0</v>
      </c>
      <c r="Z1232" s="13">
        <f t="shared" ca="1" si="1346"/>
        <v>0</v>
      </c>
      <c r="AA1232">
        <f t="shared" ca="1" si="1338"/>
        <v>0</v>
      </c>
      <c r="AB1232">
        <f t="shared" ca="1" si="1339"/>
        <v>1</v>
      </c>
      <c r="AC1232" s="24">
        <f t="shared" ca="1" si="1340"/>
        <v>0</v>
      </c>
      <c r="AD1232" s="24">
        <f t="shared" ca="1" si="1341"/>
        <v>-0.12172567585998997</v>
      </c>
    </row>
    <row r="1233" spans="3:30" x14ac:dyDescent="0.25">
      <c r="C1233" s="6">
        <v>1327</v>
      </c>
      <c r="D1233" s="36">
        <v>43895</v>
      </c>
      <c r="E1233" s="38">
        <v>14.217000000000001</v>
      </c>
      <c r="F1233" s="38">
        <v>45.278154168777924</v>
      </c>
      <c r="G1233" s="38">
        <v>41.72</v>
      </c>
      <c r="H1233" s="38">
        <v>2.089153001697492</v>
      </c>
      <c r="I1233" s="38">
        <v>4.4566841040835525</v>
      </c>
      <c r="J1233" s="10">
        <v>0</v>
      </c>
      <c r="K1233" s="39">
        <v>0</v>
      </c>
      <c r="L1233" s="39">
        <v>1</v>
      </c>
      <c r="M1233" s="39">
        <v>0</v>
      </c>
      <c r="N1233" s="39">
        <v>0</v>
      </c>
      <c r="O1233" s="39">
        <v>0</v>
      </c>
      <c r="P1233" s="39">
        <v>0</v>
      </c>
      <c r="Q1233" s="39">
        <v>0</v>
      </c>
      <c r="R1233" s="39">
        <v>0</v>
      </c>
      <c r="S1233" s="39">
        <v>0</v>
      </c>
      <c r="T1233" s="39">
        <v>0</v>
      </c>
      <c r="U1233" s="29" cm="1">
        <f t="array" aca="1" ref="U1233" ca="1">+fair_value_gap(OFFSET(T1232,0,0,-1*$J$5,-1*$AA$1),OFFSET(E1232,0,0,-1*$J$5,1),F1233:T1233,0)</f>
        <v>14.890877281717293</v>
      </c>
      <c r="V1233" s="9" cm="1">
        <f t="array" aca="1" ref="V1233" ca="1">z_score_diff(OFFSET(U1233,0,0,$J$5*-1,1),OFFSET(E1233,0,0,$J$5*-1,1))</f>
        <v>0.18859109920591521</v>
      </c>
      <c r="W1233" s="9">
        <f t="shared" ca="1" si="1336"/>
        <v>2.0970542160152476E-2</v>
      </c>
      <c r="X1233" s="17">
        <f t="shared" ca="1" si="1331"/>
        <v>-0.11607000699886966</v>
      </c>
      <c r="Y1233" s="13">
        <f t="shared" ref="Y1233:Z1233" ca="1" si="1347">+Y1232</f>
        <v>0</v>
      </c>
      <c r="Z1233" s="13">
        <f t="shared" ca="1" si="1347"/>
        <v>0</v>
      </c>
      <c r="AA1233">
        <f t="shared" ca="1" si="1338"/>
        <v>0</v>
      </c>
      <c r="AB1233">
        <f t="shared" ca="1" si="1339"/>
        <v>1</v>
      </c>
      <c r="AC1233" s="24">
        <f t="shared" ca="1" si="1340"/>
        <v>0</v>
      </c>
      <c r="AD1233" s="24">
        <f t="shared" ca="1" si="1341"/>
        <v>-0.11607000699886966</v>
      </c>
    </row>
    <row r="1234" spans="3:30" x14ac:dyDescent="0.25">
      <c r="C1234" s="6">
        <v>1328</v>
      </c>
      <c r="D1234" s="36">
        <v>43896</v>
      </c>
      <c r="E1234" s="38">
        <v>13.749000000000001</v>
      </c>
      <c r="F1234" s="38">
        <v>42.592754255783504</v>
      </c>
      <c r="G1234" s="38">
        <v>41.23</v>
      </c>
      <c r="H1234" s="38">
        <v>2.0436490615451772</v>
      </c>
      <c r="I1234" s="38">
        <v>4.2776080314273246</v>
      </c>
      <c r="J1234" s="10">
        <v>0</v>
      </c>
      <c r="K1234" s="39">
        <v>0</v>
      </c>
      <c r="L1234" s="39">
        <v>1</v>
      </c>
      <c r="M1234" s="39">
        <v>0</v>
      </c>
      <c r="N1234" s="39">
        <v>0</v>
      </c>
      <c r="O1234" s="39">
        <v>0</v>
      </c>
      <c r="P1234" s="39">
        <v>0</v>
      </c>
      <c r="Q1234" s="39">
        <v>0</v>
      </c>
      <c r="R1234" s="39">
        <v>0</v>
      </c>
      <c r="S1234" s="39">
        <v>0</v>
      </c>
      <c r="T1234" s="39">
        <v>0</v>
      </c>
      <c r="U1234" s="29" cm="1">
        <f t="array" aca="1" ref="U1234" ca="1">+fair_value_gap(OFFSET(T1233,0,0,-1*$J$5,-1*$AA$1),OFFSET(E1233,0,0,-1*$J$5,1),F1234:T1234,0)</f>
        <v>14.59346467157892</v>
      </c>
      <c r="V1234" s="9" cm="1">
        <f t="array" aca="1" ref="V1234" ca="1">z_score_diff(OFFSET(U1234,0,0,$J$5*-1,1),OFFSET(E1234,0,0,$J$5*-1,1))</f>
        <v>0.2969104370695459</v>
      </c>
      <c r="W1234" s="9">
        <f t="shared" ca="1" si="1336"/>
        <v>3.5788995018889505E-2</v>
      </c>
      <c r="X1234" s="17">
        <f t="shared" ca="1" si="1331"/>
        <v>-0.10698619692138941</v>
      </c>
      <c r="Y1234" s="13">
        <f t="shared" ref="Y1234:Z1234" ca="1" si="1348">+Y1233</f>
        <v>0</v>
      </c>
      <c r="Z1234" s="13">
        <f t="shared" ca="1" si="1348"/>
        <v>0</v>
      </c>
      <c r="AA1234">
        <f t="shared" ca="1" si="1338"/>
        <v>0</v>
      </c>
      <c r="AB1234">
        <f t="shared" ca="1" si="1339"/>
        <v>1</v>
      </c>
      <c r="AC1234" s="24">
        <f t="shared" ca="1" si="1340"/>
        <v>0</v>
      </c>
      <c r="AD1234" s="24">
        <f t="shared" ca="1" si="1341"/>
        <v>-0.10698619692138941</v>
      </c>
    </row>
    <row r="1235" spans="3:30" x14ac:dyDescent="0.25">
      <c r="C1235" s="6">
        <v>1329</v>
      </c>
      <c r="D1235" s="36">
        <v>43899</v>
      </c>
      <c r="E1235" s="38">
        <v>13.218</v>
      </c>
      <c r="F1235" s="38">
        <v>35.415011306059029</v>
      </c>
      <c r="G1235" s="38">
        <v>40.200000000000003</v>
      </c>
      <c r="H1235" s="38">
        <v>2.1050579192882832</v>
      </c>
      <c r="I1235" s="38">
        <v>3.9987473179922919</v>
      </c>
      <c r="J1235" s="10">
        <v>0</v>
      </c>
      <c r="K1235" s="39">
        <v>0</v>
      </c>
      <c r="L1235" s="39">
        <v>1</v>
      </c>
      <c r="M1235" s="39">
        <v>0</v>
      </c>
      <c r="N1235" s="39">
        <v>0</v>
      </c>
      <c r="O1235" s="39">
        <v>0</v>
      </c>
      <c r="P1235" s="39">
        <v>0</v>
      </c>
      <c r="Q1235" s="39">
        <v>0</v>
      </c>
      <c r="R1235" s="39">
        <v>0</v>
      </c>
      <c r="S1235" s="39">
        <v>0</v>
      </c>
      <c r="T1235" s="39">
        <v>0</v>
      </c>
      <c r="U1235" s="29" cm="1">
        <f t="array" aca="1" ref="U1235" ca="1">+fair_value_gap(OFFSET(T1234,0,0,-1*$J$5,-1*$AA$1),OFFSET(E1234,0,0,-1*$J$5,1),F1235:T1235,0)</f>
        <v>14.123721258983133</v>
      </c>
      <c r="V1235" s="9" cm="1">
        <f t="array" aca="1" ref="V1235" ca="1">z_score_diff(OFFSET(U1235,0,0,$J$5*-1,1),OFFSET(E1235,0,0,$J$5*-1,1))</f>
        <v>0.32332337993704252</v>
      </c>
      <c r="W1235" s="9">
        <f t="shared" ca="1" si="1336"/>
        <v>5.3279955566464442E-2</v>
      </c>
      <c r="X1235" s="17">
        <f t="shared" ca="1" si="1331"/>
        <v>-8.4497311330127348E-2</v>
      </c>
      <c r="Y1235" s="13">
        <f t="shared" ref="Y1235:Z1235" ca="1" si="1349">+Y1234</f>
        <v>0</v>
      </c>
      <c r="Z1235" s="13">
        <f t="shared" ca="1" si="1349"/>
        <v>0</v>
      </c>
      <c r="AA1235">
        <f t="shared" ca="1" si="1338"/>
        <v>0</v>
      </c>
      <c r="AB1235">
        <f t="shared" ca="1" si="1339"/>
        <v>1</v>
      </c>
      <c r="AC1235" s="24">
        <f t="shared" ca="1" si="1340"/>
        <v>0</v>
      </c>
      <c r="AD1235" s="24">
        <f t="shared" ca="1" si="1341"/>
        <v>-8.4497311330127348E-2</v>
      </c>
    </row>
    <row r="1236" spans="3:30" x14ac:dyDescent="0.25">
      <c r="C1236" s="6">
        <v>1330</v>
      </c>
      <c r="D1236" s="36">
        <v>43900</v>
      </c>
      <c r="E1236" s="38">
        <v>13.536</v>
      </c>
      <c r="F1236" s="38">
        <v>38.09388853317099</v>
      </c>
      <c r="G1236" s="38">
        <v>40.81</v>
      </c>
      <c r="H1236" s="38">
        <v>2.2139065873124175</v>
      </c>
      <c r="I1236" s="38">
        <v>4.2379997690749356</v>
      </c>
      <c r="J1236" s="10">
        <v>0</v>
      </c>
      <c r="K1236" s="39">
        <v>0</v>
      </c>
      <c r="L1236" s="39">
        <v>1</v>
      </c>
      <c r="M1236" s="39">
        <v>0</v>
      </c>
      <c r="N1236" s="39">
        <v>0</v>
      </c>
      <c r="O1236" s="39">
        <v>0</v>
      </c>
      <c r="P1236" s="39">
        <v>0</v>
      </c>
      <c r="Q1236" s="39">
        <v>0</v>
      </c>
      <c r="R1236" s="39">
        <v>0</v>
      </c>
      <c r="S1236" s="39">
        <v>0</v>
      </c>
      <c r="T1236" s="39">
        <v>0</v>
      </c>
      <c r="U1236" s="29" cm="1">
        <f t="array" aca="1" ref="U1236" ca="1">+fair_value_gap(OFFSET(T1235,0,0,-1*$J$5,-1*$AA$1),OFFSET(E1235,0,0,-1*$J$5,1),F1236:T1236,0)</f>
        <v>14.258526228562856</v>
      </c>
      <c r="V1236" s="9" cm="1">
        <f t="array" aca="1" ref="V1236" ca="1">z_score_diff(OFFSET(U1236,0,0,$J$5*-1,1),OFFSET(E1236,0,0,$J$5*-1,1))</f>
        <v>0.18182375690965635</v>
      </c>
      <c r="W1236" s="9">
        <f t="shared" ca="1" si="1336"/>
        <v>6.6625453611170699E-2</v>
      </c>
      <c r="X1236" s="17">
        <f t="shared" ca="1" si="1331"/>
        <v>-0.11347053933944194</v>
      </c>
      <c r="Y1236" s="13">
        <f t="shared" ref="Y1236:Z1236" ca="1" si="1350">+Y1235</f>
        <v>0</v>
      </c>
      <c r="Z1236" s="13">
        <f t="shared" ca="1" si="1350"/>
        <v>0</v>
      </c>
      <c r="AA1236">
        <f t="shared" ca="1" si="1338"/>
        <v>0</v>
      </c>
      <c r="AB1236">
        <f t="shared" ca="1" si="1339"/>
        <v>1</v>
      </c>
      <c r="AC1236" s="24">
        <f t="shared" ca="1" si="1340"/>
        <v>0</v>
      </c>
      <c r="AD1236" s="24">
        <f t="shared" ca="1" si="1341"/>
        <v>-0.11347053933944194</v>
      </c>
    </row>
    <row r="1237" spans="3:30" x14ac:dyDescent="0.25">
      <c r="C1237" s="6">
        <v>1331</v>
      </c>
      <c r="D1237" s="36">
        <v>43901</v>
      </c>
      <c r="E1237" s="38">
        <v>13.632</v>
      </c>
      <c r="F1237" s="38">
        <v>38.182710103631258</v>
      </c>
      <c r="G1237" s="38">
        <v>41.02</v>
      </c>
      <c r="H1237" s="38">
        <v>2.178985731724119</v>
      </c>
      <c r="I1237" s="38">
        <v>4.2737255390642206</v>
      </c>
      <c r="J1237" s="10">
        <v>0</v>
      </c>
      <c r="K1237" s="39">
        <v>0</v>
      </c>
      <c r="L1237" s="39">
        <v>1</v>
      </c>
      <c r="M1237" s="39">
        <v>0</v>
      </c>
      <c r="N1237" s="39">
        <v>0</v>
      </c>
      <c r="O1237" s="39">
        <v>0</v>
      </c>
      <c r="P1237" s="39">
        <v>0</v>
      </c>
      <c r="Q1237" s="39">
        <v>0</v>
      </c>
      <c r="R1237" s="39">
        <v>0</v>
      </c>
      <c r="S1237" s="39">
        <v>0</v>
      </c>
      <c r="T1237" s="39">
        <v>0</v>
      </c>
      <c r="U1237" s="29" cm="1">
        <f t="array" aca="1" ref="U1237" ca="1">+fair_value_gap(OFFSET(T1236,0,0,-1*$J$5,-1*$AA$1),OFFSET(E1236,0,0,-1*$J$5,1),F1237:T1237,0)</f>
        <v>14.198842599049792</v>
      </c>
      <c r="V1237" s="9" cm="1">
        <f t="array" aca="1" ref="V1237" ca="1">z_score_diff(OFFSET(U1237,0,0,$J$5*-1,1),OFFSET(E1237,0,0,$J$5*-1,1))</f>
        <v>6.9936236642170968E-2</v>
      </c>
      <c r="W1237" s="9">
        <f t="shared" ca="1" si="1336"/>
        <v>7.0127923582897503E-2</v>
      </c>
      <c r="X1237" s="17">
        <f t="shared" ca="1" si="1331"/>
        <v>-0.13520952693342997</v>
      </c>
      <c r="Y1237" s="13">
        <f t="shared" ref="Y1237:Z1237" ca="1" si="1351">+Y1236</f>
        <v>0</v>
      </c>
      <c r="Z1237" s="13">
        <f t="shared" ca="1" si="1351"/>
        <v>0</v>
      </c>
      <c r="AA1237">
        <f t="shared" ca="1" si="1338"/>
        <v>0</v>
      </c>
      <c r="AB1237">
        <f t="shared" ca="1" si="1339"/>
        <v>1</v>
      </c>
      <c r="AC1237" s="24">
        <f t="shared" ca="1" si="1340"/>
        <v>0</v>
      </c>
      <c r="AD1237" s="24">
        <f t="shared" ca="1" si="1341"/>
        <v>-0.13520952693342997</v>
      </c>
    </row>
    <row r="1238" spans="3:30" x14ac:dyDescent="0.25">
      <c r="C1238" s="6">
        <v>1332</v>
      </c>
      <c r="D1238" s="36">
        <v>43902</v>
      </c>
      <c r="E1238" s="38">
        <v>13.182</v>
      </c>
      <c r="F1238" s="38">
        <v>37.752907397662781</v>
      </c>
      <c r="G1238" s="38">
        <v>40.049999999999997</v>
      </c>
      <c r="H1238" s="38">
        <v>2.1895979968709938</v>
      </c>
      <c r="I1238" s="38">
        <v>4.1893719738519621</v>
      </c>
      <c r="J1238" s="10">
        <v>0</v>
      </c>
      <c r="K1238" s="39">
        <v>0</v>
      </c>
      <c r="L1238" s="39">
        <v>1</v>
      </c>
      <c r="M1238" s="39">
        <v>0</v>
      </c>
      <c r="N1238" s="39">
        <v>0</v>
      </c>
      <c r="O1238" s="39">
        <v>0</v>
      </c>
      <c r="P1238" s="39">
        <v>0</v>
      </c>
      <c r="Q1238" s="39">
        <v>0</v>
      </c>
      <c r="R1238" s="39">
        <v>0</v>
      </c>
      <c r="S1238" s="39">
        <v>0</v>
      </c>
      <c r="T1238" s="39">
        <v>0</v>
      </c>
      <c r="U1238" s="29" cm="1">
        <f t="array" aca="1" ref="U1238" ca="1">+fair_value_gap(OFFSET(T1237,0,0,-1*$J$5,-1*$AA$1),OFFSET(E1237,0,0,-1*$J$5,1),F1238:T1238,0)</f>
        <v>13.754798837767586</v>
      </c>
      <c r="V1238" s="9" cm="1">
        <f t="array" aca="1" ref="V1238" ca="1">z_score_diff(OFFSET(U1238,0,0,$J$5*-1,1),OFFSET(E1238,0,0,$J$5*-1,1))</f>
        <v>7.0314224405901182E-2</v>
      </c>
      <c r="W1238" s="9">
        <f t="shared" ca="1" si="1336"/>
        <v>7.0357987092335192E-2</v>
      </c>
      <c r="X1238" s="17">
        <f t="shared" ca="1" si="1331"/>
        <v>-0.11312843225930186</v>
      </c>
      <c r="Y1238" s="13">
        <f t="shared" ref="Y1238:Z1238" ca="1" si="1352">+Y1237</f>
        <v>0</v>
      </c>
      <c r="Z1238" s="13">
        <f t="shared" ca="1" si="1352"/>
        <v>0</v>
      </c>
      <c r="AA1238">
        <f t="shared" ca="1" si="1338"/>
        <v>0</v>
      </c>
      <c r="AB1238">
        <f t="shared" ca="1" si="1339"/>
        <v>1</v>
      </c>
      <c r="AC1238" s="24">
        <f t="shared" ca="1" si="1340"/>
        <v>0</v>
      </c>
      <c r="AD1238" s="24">
        <f t="shared" ca="1" si="1341"/>
        <v>-0.11312843225930186</v>
      </c>
    </row>
    <row r="1239" spans="3:30" x14ac:dyDescent="0.25">
      <c r="C1239" s="6">
        <v>1333</v>
      </c>
      <c r="D1239" s="36">
        <v>43903</v>
      </c>
      <c r="E1239" s="38">
        <v>13.295</v>
      </c>
      <c r="F1239" s="38">
        <v>37.599970823774711</v>
      </c>
      <c r="G1239" s="38">
        <v>39.97</v>
      </c>
      <c r="H1239" s="38">
        <v>2.2166815068097132</v>
      </c>
      <c r="I1239" s="38">
        <v>4.2163203620698395</v>
      </c>
      <c r="J1239" s="10">
        <v>0</v>
      </c>
      <c r="K1239" s="39">
        <v>0</v>
      </c>
      <c r="L1239" s="39">
        <v>1</v>
      </c>
      <c r="M1239" s="39">
        <v>0</v>
      </c>
      <c r="N1239" s="39">
        <v>0</v>
      </c>
      <c r="O1239" s="39">
        <v>0</v>
      </c>
      <c r="P1239" s="39">
        <v>0</v>
      </c>
      <c r="Q1239" s="39">
        <v>0</v>
      </c>
      <c r="R1239" s="39">
        <v>0</v>
      </c>
      <c r="S1239" s="39">
        <v>0</v>
      </c>
      <c r="T1239" s="39">
        <v>0</v>
      </c>
      <c r="U1239" s="29" cm="1">
        <f t="array" aca="1" ref="U1239" ca="1">+fair_value_gap(OFFSET(T1238,0,0,-1*$J$5,-1*$AA$1),OFFSET(E1238,0,0,-1*$J$5,1),F1239:T1239,0)</f>
        <v>13.643358394305766</v>
      </c>
      <c r="V1239" s="9" cm="1">
        <f t="array" aca="1" ref="V1239" ca="1">z_score_diff(OFFSET(U1239,0,0,$J$5*-1,1),OFFSET(E1239,0,0,$J$5*-1,1))</f>
        <v>-7.9993366813610134E-2</v>
      </c>
      <c r="W1239" s="9">
        <f t="shared" ca="1" si="1336"/>
        <v>6.7058106571066728E-2</v>
      </c>
      <c r="X1239" s="17">
        <f t="shared" ca="1" si="1331"/>
        <v>-0.12472698385430246</v>
      </c>
      <c r="Y1239" s="13">
        <f t="shared" ref="Y1239:Z1239" ca="1" si="1353">+Y1238</f>
        <v>0</v>
      </c>
      <c r="Z1239" s="13">
        <f t="shared" ca="1" si="1353"/>
        <v>0</v>
      </c>
      <c r="AA1239">
        <f t="shared" ca="1" si="1338"/>
        <v>0</v>
      </c>
      <c r="AB1239">
        <f t="shared" ca="1" si="1339"/>
        <v>1</v>
      </c>
      <c r="AC1239" s="24">
        <f t="shared" ca="1" si="1340"/>
        <v>0</v>
      </c>
      <c r="AD1239" s="24">
        <f t="shared" ca="1" si="1341"/>
        <v>-0.12472698385430246</v>
      </c>
    </row>
    <row r="1240" spans="3:30" x14ac:dyDescent="0.25">
      <c r="C1240" s="6">
        <v>1334</v>
      </c>
      <c r="D1240" s="36">
        <v>43906</v>
      </c>
      <c r="E1240" s="38">
        <v>12.97</v>
      </c>
      <c r="F1240" s="38">
        <v>35.074575438608889</v>
      </c>
      <c r="G1240" s="38">
        <v>38.299999999999997</v>
      </c>
      <c r="H1240" s="38">
        <v>2.1990080167933885</v>
      </c>
      <c r="I1240" s="38">
        <v>3.7062429210318464</v>
      </c>
      <c r="J1240" s="10">
        <v>0</v>
      </c>
      <c r="K1240" s="39">
        <v>0</v>
      </c>
      <c r="L1240" s="39">
        <v>1</v>
      </c>
      <c r="M1240" s="39">
        <v>0</v>
      </c>
      <c r="N1240" s="39">
        <v>0</v>
      </c>
      <c r="O1240" s="39">
        <v>0</v>
      </c>
      <c r="P1240" s="39">
        <v>0</v>
      </c>
      <c r="Q1240" s="39">
        <v>0</v>
      </c>
      <c r="R1240" s="39">
        <v>0</v>
      </c>
      <c r="S1240" s="39">
        <v>0</v>
      </c>
      <c r="T1240" s="39">
        <v>0</v>
      </c>
      <c r="U1240" s="29" cm="1">
        <f t="array" aca="1" ref="U1240" ca="1">+fair_value_gap(OFFSET(T1239,0,0,-1*$J$5,-1*$AA$1),OFFSET(E1239,0,0,-1*$J$5,1),F1240:T1240,0)</f>
        <v>12.557933320924095</v>
      </c>
      <c r="V1240" s="9" cm="1">
        <f t="array" aca="1" ref="V1240" ca="1">z_score_diff(OFFSET(U1240,0,0,$J$5*-1,1),OFFSET(E1240,0,0,$J$5*-1,1))</f>
        <v>-0.56836032718534568</v>
      </c>
      <c r="W1240" s="9">
        <f t="shared" ca="1" si="1336"/>
        <v>1.907415324658673E-2</v>
      </c>
      <c r="X1240" s="17">
        <f t="shared" ca="1" si="1331"/>
        <v>-0.10518919477339153</v>
      </c>
      <c r="Y1240" s="13">
        <f t="shared" ref="Y1240:Z1240" ca="1" si="1354">+Y1239</f>
        <v>0</v>
      </c>
      <c r="Z1240" s="13">
        <f t="shared" ca="1" si="1354"/>
        <v>0</v>
      </c>
      <c r="AA1240">
        <f t="shared" ca="1" si="1338"/>
        <v>0</v>
      </c>
      <c r="AB1240">
        <f t="shared" ca="1" si="1339"/>
        <v>1</v>
      </c>
      <c r="AC1240" s="24">
        <f t="shared" ca="1" si="1340"/>
        <v>0</v>
      </c>
      <c r="AD1240" s="24">
        <f t="shared" ca="1" si="1341"/>
        <v>-0.10518919477339153</v>
      </c>
    </row>
    <row r="1241" spans="3:30" x14ac:dyDescent="0.25">
      <c r="C1241" s="6">
        <v>1335</v>
      </c>
      <c r="D1241" s="36">
        <v>43907</v>
      </c>
      <c r="E1241" s="38">
        <v>12.611000000000001</v>
      </c>
      <c r="F1241" s="38">
        <v>34.951062226720325</v>
      </c>
      <c r="G1241" s="38">
        <v>37.44</v>
      </c>
      <c r="H1241" s="38">
        <v>2.2594263248311495</v>
      </c>
      <c r="I1241" s="38">
        <v>3.6549543489915655</v>
      </c>
      <c r="J1241" s="10">
        <v>0</v>
      </c>
      <c r="K1241" s="39">
        <v>0</v>
      </c>
      <c r="L1241" s="39">
        <v>1</v>
      </c>
      <c r="M1241" s="39">
        <v>0</v>
      </c>
      <c r="N1241" s="39">
        <v>0</v>
      </c>
      <c r="O1241" s="39">
        <v>0</v>
      </c>
      <c r="P1241" s="39">
        <v>0</v>
      </c>
      <c r="Q1241" s="39">
        <v>0</v>
      </c>
      <c r="R1241" s="39">
        <v>0</v>
      </c>
      <c r="S1241" s="39">
        <v>0</v>
      </c>
      <c r="T1241" s="39">
        <v>0</v>
      </c>
      <c r="U1241" s="29" cm="1">
        <f t="array" aca="1" ref="U1241" ca="1">+fair_value_gap(OFFSET(T1240,0,0,-1*$J$5,-1*$AA$1),OFFSET(E1240,0,0,-1*$J$5,1),F1241:T1241,0)</f>
        <v>12.311831930595824</v>
      </c>
      <c r="V1241" s="9" cm="1">
        <f t="array" aca="1" ref="V1241" ca="1">z_score_diff(OFFSET(U1241,0,0,$J$5*-1,1),OFFSET(E1241,0,0,$J$5*-1,1))</f>
        <v>-0.45517581197936696</v>
      </c>
      <c r="W1241" s="9">
        <f t="shared" ca="1" si="1336"/>
        <v>-1.0742447650280762E-2</v>
      </c>
      <c r="X1241" s="17">
        <f t="shared" ca="1" si="1331"/>
        <v>-0.10025458530179747</v>
      </c>
      <c r="Y1241" s="13">
        <f t="shared" ref="Y1241:Z1241" ca="1" si="1355">+Y1240</f>
        <v>0</v>
      </c>
      <c r="Z1241" s="13">
        <f t="shared" ca="1" si="1355"/>
        <v>0</v>
      </c>
      <c r="AA1241">
        <f t="shared" ca="1" si="1338"/>
        <v>1</v>
      </c>
      <c r="AB1241">
        <f t="shared" ca="1" si="1339"/>
        <v>0</v>
      </c>
      <c r="AC1241" s="24">
        <f t="shared" ca="1" si="1340"/>
        <v>-0.10025458530179747</v>
      </c>
      <c r="AD1241" s="24">
        <f t="shared" ca="1" si="1341"/>
        <v>0</v>
      </c>
    </row>
    <row r="1242" spans="3:30" x14ac:dyDescent="0.25">
      <c r="C1242" s="6">
        <v>1336</v>
      </c>
      <c r="D1242" s="36">
        <v>43908</v>
      </c>
      <c r="E1242" s="38">
        <v>12.247</v>
      </c>
      <c r="F1242" s="38">
        <v>32.313613070951497</v>
      </c>
      <c r="G1242" s="38">
        <v>35.56</v>
      </c>
      <c r="H1242" s="38">
        <v>2.2314581302986949</v>
      </c>
      <c r="I1242" s="38">
        <v>3.5471678308073331</v>
      </c>
      <c r="J1242" s="10">
        <v>0</v>
      </c>
      <c r="K1242" s="39">
        <v>0</v>
      </c>
      <c r="L1242" s="39">
        <v>1</v>
      </c>
      <c r="M1242" s="39">
        <v>0</v>
      </c>
      <c r="N1242" s="39">
        <v>0</v>
      </c>
      <c r="O1242" s="39">
        <v>0</v>
      </c>
      <c r="P1242" s="39">
        <v>0</v>
      </c>
      <c r="Q1242" s="39">
        <v>0</v>
      </c>
      <c r="R1242" s="39">
        <v>0</v>
      </c>
      <c r="S1242" s="39">
        <v>0</v>
      </c>
      <c r="T1242" s="39">
        <v>0</v>
      </c>
      <c r="U1242" s="29" cm="1">
        <f t="array" aca="1" ref="U1242" ca="1">+fair_value_gap(OFFSET(T1241,0,0,-1*$J$5,-1*$AA$1),OFFSET(E1241,0,0,-1*$J$5,1),F1242:T1242,0)</f>
        <v>11.760587846718018</v>
      </c>
      <c r="V1242" s="9" cm="1">
        <f t="array" aca="1" ref="V1242" ca="1">z_score_diff(OFFSET(U1242,0,0,$J$5*-1,1),OFFSET(E1242,0,0,$J$5*-1,1))</f>
        <v>-0.5275109164965972</v>
      </c>
      <c r="W1242" s="9">
        <f t="shared" ca="1" si="1336"/>
        <v>-3.7590740004069235E-2</v>
      </c>
      <c r="X1242" s="17">
        <f t="shared" ca="1" si="1331"/>
        <v>-8.9188675251509753E-2</v>
      </c>
      <c r="Y1242" s="13">
        <f t="shared" ref="Y1242:Z1242" ca="1" si="1356">+Y1241</f>
        <v>0</v>
      </c>
      <c r="Z1242" s="13">
        <f t="shared" ca="1" si="1356"/>
        <v>0</v>
      </c>
      <c r="AA1242">
        <f t="shared" ca="1" si="1338"/>
        <v>1</v>
      </c>
      <c r="AB1242">
        <f t="shared" ca="1" si="1339"/>
        <v>0</v>
      </c>
      <c r="AC1242" s="24">
        <f t="shared" ca="1" si="1340"/>
        <v>-8.9188675251509753E-2</v>
      </c>
      <c r="AD1242" s="24">
        <f t="shared" ca="1" si="1341"/>
        <v>0</v>
      </c>
    </row>
    <row r="1243" spans="3:30" x14ac:dyDescent="0.25">
      <c r="C1243" s="6">
        <v>1337</v>
      </c>
      <c r="D1243" s="36">
        <v>43909</v>
      </c>
      <c r="E1243" s="38">
        <v>12.33</v>
      </c>
      <c r="F1243" s="38">
        <v>35.281997025769265</v>
      </c>
      <c r="G1243" s="38">
        <v>35.630000000000003</v>
      </c>
      <c r="H1243" s="38">
        <v>2.3157567641553407</v>
      </c>
      <c r="I1243" s="38">
        <v>3.6068096566317207</v>
      </c>
      <c r="J1243" s="10">
        <v>0</v>
      </c>
      <c r="K1243" s="39">
        <v>0</v>
      </c>
      <c r="L1243" s="39">
        <v>1</v>
      </c>
      <c r="M1243" s="39">
        <v>0</v>
      </c>
      <c r="N1243" s="39">
        <v>0</v>
      </c>
      <c r="O1243" s="39">
        <v>0</v>
      </c>
      <c r="P1243" s="39">
        <v>0</v>
      </c>
      <c r="Q1243" s="39">
        <v>0</v>
      </c>
      <c r="R1243" s="39">
        <v>0</v>
      </c>
      <c r="S1243" s="39">
        <v>0</v>
      </c>
      <c r="T1243" s="39">
        <v>0</v>
      </c>
      <c r="U1243" s="29" cm="1">
        <f t="array" aca="1" ref="U1243" ca="1">+fair_value_gap(OFFSET(T1242,0,0,-1*$J$5,-1*$AA$1),OFFSET(E1242,0,0,-1*$J$5,1),F1243:T1243,0)</f>
        <v>11.93280175886537</v>
      </c>
      <c r="V1243" s="9" cm="1">
        <f t="array" aca="1" ref="V1243" ca="1">z_score_diff(OFFSET(U1243,0,0,$J$5*-1,1),OFFSET(E1243,0,0,$J$5*-1,1))</f>
        <v>-0.4362186316082739</v>
      </c>
      <c r="W1243" s="9">
        <f t="shared" ca="1" si="1336"/>
        <v>-5.6472516257210323E-2</v>
      </c>
      <c r="X1243" s="17">
        <f t="shared" ca="1" si="1331"/>
        <v>-8.7498113431461119E-2</v>
      </c>
      <c r="Y1243" s="13">
        <f t="shared" ref="Y1243:Z1243" ca="1" si="1357">+Y1242</f>
        <v>0</v>
      </c>
      <c r="Z1243" s="13">
        <f t="shared" ca="1" si="1357"/>
        <v>0</v>
      </c>
      <c r="AA1243">
        <f t="shared" ca="1" si="1338"/>
        <v>1</v>
      </c>
      <c r="AB1243">
        <f t="shared" ca="1" si="1339"/>
        <v>0</v>
      </c>
      <c r="AC1243" s="24">
        <f t="shared" ca="1" si="1340"/>
        <v>-8.7498113431461119E-2</v>
      </c>
      <c r="AD1243" s="24">
        <f t="shared" ca="1" si="1341"/>
        <v>0</v>
      </c>
    </row>
    <row r="1244" spans="3:30" x14ac:dyDescent="0.25">
      <c r="C1244" s="6">
        <v>1338</v>
      </c>
      <c r="D1244" s="36">
        <v>43910</v>
      </c>
      <c r="E1244" s="38">
        <v>12.358000000000001</v>
      </c>
      <c r="F1244" s="38">
        <v>34.048150244747099</v>
      </c>
      <c r="G1244" s="38">
        <v>36.19</v>
      </c>
      <c r="H1244" s="38">
        <v>2.313350278785995</v>
      </c>
      <c r="I1244" s="38">
        <v>3.6998804938600482</v>
      </c>
      <c r="J1244" s="10">
        <v>0</v>
      </c>
      <c r="K1244" s="39">
        <v>0</v>
      </c>
      <c r="L1244" s="39">
        <v>1</v>
      </c>
      <c r="M1244" s="39">
        <v>0</v>
      </c>
      <c r="N1244" s="39">
        <v>0</v>
      </c>
      <c r="O1244" s="39">
        <v>0</v>
      </c>
      <c r="P1244" s="39">
        <v>0</v>
      </c>
      <c r="Q1244" s="39">
        <v>0</v>
      </c>
      <c r="R1244" s="39">
        <v>0</v>
      </c>
      <c r="S1244" s="39">
        <v>0</v>
      </c>
      <c r="T1244" s="39">
        <v>0</v>
      </c>
      <c r="U1244" s="29" cm="1">
        <f t="array" aca="1" ref="U1244" ca="1">+fair_value_gap(OFFSET(T1243,0,0,-1*$J$5,-1*$AA$1),OFFSET(E1243,0,0,-1*$J$5,1),F1244:T1244,0)</f>
        <v>12.282030876378741</v>
      </c>
      <c r="V1244" s="9" cm="1">
        <f t="array" aca="1" ref="V1244" ca="1">z_score_diff(OFFSET(U1244,0,0,$J$5*-1,1),OFFSET(E1244,0,0,$J$5*-1,1))</f>
        <v>-0.21953001110383896</v>
      </c>
      <c r="W1244" s="9">
        <f t="shared" ca="1" si="1336"/>
        <v>-6.6842109311796613E-2</v>
      </c>
      <c r="X1244" s="17">
        <f t="shared" ca="1" si="1331"/>
        <v>-7.8937422410923663E-2</v>
      </c>
      <c r="Y1244" s="13">
        <f t="shared" ref="Y1244:Z1244" ca="1" si="1358">+Y1243</f>
        <v>0</v>
      </c>
      <c r="Z1244" s="13">
        <f t="shared" ca="1" si="1358"/>
        <v>0</v>
      </c>
      <c r="AA1244">
        <f t="shared" ca="1" si="1338"/>
        <v>1</v>
      </c>
      <c r="AB1244">
        <f t="shared" ca="1" si="1339"/>
        <v>0</v>
      </c>
      <c r="AC1244" s="24">
        <f t="shared" ca="1" si="1340"/>
        <v>-7.8937422410923663E-2</v>
      </c>
      <c r="AD1244" s="24">
        <f t="shared" ca="1" si="1341"/>
        <v>0</v>
      </c>
    </row>
    <row r="1245" spans="3:30" x14ac:dyDescent="0.25">
      <c r="C1245" s="6">
        <v>1339</v>
      </c>
      <c r="D1245" s="36">
        <v>43913</v>
      </c>
      <c r="E1245" s="38">
        <v>12.064</v>
      </c>
      <c r="F1245" s="38">
        <v>34.839316680810249</v>
      </c>
      <c r="G1245" s="38">
        <v>35.47</v>
      </c>
      <c r="H1245" s="38">
        <v>2.3281555547356381</v>
      </c>
      <c r="I1245" s="38">
        <v>3.6435080987344577</v>
      </c>
      <c r="J1245" s="10">
        <v>0</v>
      </c>
      <c r="K1245" s="39">
        <v>0</v>
      </c>
      <c r="L1245" s="39">
        <v>1</v>
      </c>
      <c r="M1245" s="39">
        <v>0</v>
      </c>
      <c r="N1245" s="39">
        <v>0</v>
      </c>
      <c r="O1245" s="39">
        <v>0</v>
      </c>
      <c r="P1245" s="39">
        <v>0</v>
      </c>
      <c r="Q1245" s="39">
        <v>0</v>
      </c>
      <c r="R1245" s="39">
        <v>0</v>
      </c>
      <c r="S1245" s="39">
        <v>0</v>
      </c>
      <c r="T1245" s="39">
        <v>0</v>
      </c>
      <c r="U1245" s="29" cm="1">
        <f t="array" aca="1" ref="U1245" ca="1">+fair_value_gap(OFFSET(T1244,0,0,-1*$J$5,-1*$AA$1),OFFSET(E1244,0,0,-1*$J$5,1),F1245:T1245,0)</f>
        <v>12.131104023145225</v>
      </c>
      <c r="V1245" s="9" cm="1">
        <f t="array" aca="1" ref="V1245" ca="1">z_score_diff(OFFSET(U1245,0,0,$J$5*-1,1),OFFSET(E1245,0,0,$J$5*-1,1))</f>
        <v>-0.12801918752476693</v>
      </c>
      <c r="W1245" s="9">
        <f t="shared" ca="1" si="1336"/>
        <v>-7.5683179751212346E-2</v>
      </c>
      <c r="X1245" s="17">
        <f t="shared" ca="1" si="1331"/>
        <v>-5.2672857861070246E-2</v>
      </c>
      <c r="Y1245" s="13">
        <f t="shared" ref="Y1245:Z1245" ca="1" si="1359">+Y1244</f>
        <v>0</v>
      </c>
      <c r="Z1245" s="13">
        <f t="shared" ca="1" si="1359"/>
        <v>0</v>
      </c>
      <c r="AA1245">
        <f t="shared" ca="1" si="1338"/>
        <v>1</v>
      </c>
      <c r="AB1245">
        <f t="shared" ca="1" si="1339"/>
        <v>0</v>
      </c>
      <c r="AC1245" s="24">
        <f t="shared" ca="1" si="1340"/>
        <v>-5.2672857861070246E-2</v>
      </c>
      <c r="AD1245" s="24">
        <f t="shared" ca="1" si="1341"/>
        <v>0</v>
      </c>
    </row>
    <row r="1246" spans="3:30" x14ac:dyDescent="0.25">
      <c r="C1246" s="6">
        <v>1340</v>
      </c>
      <c r="D1246" s="36">
        <v>43914</v>
      </c>
      <c r="E1246" s="38">
        <v>12.403</v>
      </c>
      <c r="F1246" s="38">
        <v>35.34381854395567</v>
      </c>
      <c r="G1246" s="38">
        <v>36.18</v>
      </c>
      <c r="H1246" s="38">
        <v>2.3510605437045196</v>
      </c>
      <c r="I1246" s="38">
        <v>3.6892860383667418</v>
      </c>
      <c r="J1246" s="10">
        <v>0</v>
      </c>
      <c r="K1246" s="39">
        <v>0</v>
      </c>
      <c r="L1246" s="39">
        <v>1</v>
      </c>
      <c r="M1246" s="39">
        <v>0</v>
      </c>
      <c r="N1246" s="39">
        <v>0</v>
      </c>
      <c r="O1246" s="39">
        <v>0</v>
      </c>
      <c r="P1246" s="39">
        <v>0</v>
      </c>
      <c r="Q1246" s="39">
        <v>0</v>
      </c>
      <c r="R1246" s="39">
        <v>0</v>
      </c>
      <c r="S1246" s="39">
        <v>0</v>
      </c>
      <c r="T1246" s="39">
        <v>0</v>
      </c>
      <c r="U1246" s="29" cm="1">
        <f t="array" aca="1" ref="U1246" ca="1">+fair_value_gap(OFFSET(T1245,0,0,-1*$J$5,-1*$AA$1),OFFSET(E1245,0,0,-1*$J$5,1),F1246:T1246,0)</f>
        <v>12.353784603646417</v>
      </c>
      <c r="V1246" s="9" cm="1">
        <f t="array" aca="1" ref="V1246" ca="1">z_score_diff(OFFSET(U1246,0,0,$J$5*-1,1),OFFSET(E1246,0,0,$J$5*-1,1))</f>
        <v>-0.19946188975772206</v>
      </c>
      <c r="W1246" s="9">
        <f t="shared" ca="1" si="1336"/>
        <v>-8.8459789303659164E-2</v>
      </c>
      <c r="X1246" s="17">
        <f t="shared" ca="1" si="1331"/>
        <v>-5.7409807773192267E-2</v>
      </c>
      <c r="Y1246" s="13">
        <f t="shared" ref="Y1246:Z1246" ca="1" si="1360">+Y1245</f>
        <v>0</v>
      </c>
      <c r="Z1246" s="13">
        <f t="shared" ca="1" si="1360"/>
        <v>0</v>
      </c>
      <c r="AA1246">
        <f t="shared" ca="1" si="1338"/>
        <v>1</v>
      </c>
      <c r="AB1246">
        <f t="shared" ca="1" si="1339"/>
        <v>0</v>
      </c>
      <c r="AC1246" s="24">
        <f t="shared" ca="1" si="1340"/>
        <v>-5.7409807773192267E-2</v>
      </c>
      <c r="AD1246" s="24">
        <f t="shared" ca="1" si="1341"/>
        <v>0</v>
      </c>
    </row>
    <row r="1247" spans="3:30" x14ac:dyDescent="0.25">
      <c r="C1247" s="6">
        <v>1341</v>
      </c>
      <c r="D1247" s="36">
        <v>43915</v>
      </c>
      <c r="E1247" s="38">
        <v>12.494999999999999</v>
      </c>
      <c r="F1247" s="38">
        <v>36.053997318688594</v>
      </c>
      <c r="G1247" s="38">
        <v>36.24</v>
      </c>
      <c r="H1247" s="38">
        <v>2.3393259612428627</v>
      </c>
      <c r="I1247" s="38">
        <v>3.6836198067782244</v>
      </c>
      <c r="J1247" s="10">
        <v>0</v>
      </c>
      <c r="K1247" s="39">
        <v>0</v>
      </c>
      <c r="L1247" s="39">
        <v>1</v>
      </c>
      <c r="M1247" s="39">
        <v>0</v>
      </c>
      <c r="N1247" s="39">
        <v>0</v>
      </c>
      <c r="O1247" s="39">
        <v>0</v>
      </c>
      <c r="P1247" s="39">
        <v>0</v>
      </c>
      <c r="Q1247" s="39">
        <v>0</v>
      </c>
      <c r="R1247" s="39">
        <v>0</v>
      </c>
      <c r="S1247" s="39">
        <v>0</v>
      </c>
      <c r="T1247" s="39">
        <v>0</v>
      </c>
      <c r="U1247" s="29" cm="1">
        <f t="array" aca="1" ref="U1247" ca="1">+fair_value_gap(OFFSET(T1246,0,0,-1*$J$5,-1*$AA$1),OFFSET(E1246,0,0,-1*$J$5,1),F1247:T1247,0)</f>
        <v>12.376486370948232</v>
      </c>
      <c r="V1247" s="9" cm="1">
        <f t="array" aca="1" ref="V1247" ca="1">z_score_diff(OFFSET(U1247,0,0,$J$5*-1,1),OFFSET(E1247,0,0,$J$5*-1,1))</f>
        <v>-0.23465848610075257</v>
      </c>
      <c r="W1247" s="9">
        <f t="shared" ca="1" si="1336"/>
        <v>-0.10046734581887574</v>
      </c>
      <c r="X1247" s="17">
        <f t="shared" ca="1" si="1331"/>
        <v>-6.4458492327156711E-2</v>
      </c>
      <c r="Y1247" s="13">
        <f t="shared" ref="Y1247:Z1247" ca="1" si="1361">+Y1246</f>
        <v>0</v>
      </c>
      <c r="Z1247" s="13">
        <f t="shared" ca="1" si="1361"/>
        <v>0</v>
      </c>
      <c r="AA1247">
        <f t="shared" ca="1" si="1338"/>
        <v>1</v>
      </c>
      <c r="AB1247">
        <f t="shared" ca="1" si="1339"/>
        <v>0</v>
      </c>
      <c r="AC1247" s="24">
        <f t="shared" ca="1" si="1340"/>
        <v>-6.4458492327156711E-2</v>
      </c>
      <c r="AD1247" s="24">
        <f t="shared" ca="1" si="1341"/>
        <v>0</v>
      </c>
    </row>
    <row r="1248" spans="3:30" x14ac:dyDescent="0.25">
      <c r="C1248" s="6">
        <v>1342</v>
      </c>
      <c r="D1248" s="36">
        <v>43916</v>
      </c>
      <c r="E1248" s="38">
        <v>12.462</v>
      </c>
      <c r="F1248" s="38">
        <v>34.663164467026938</v>
      </c>
      <c r="G1248" s="38">
        <v>36.83</v>
      </c>
      <c r="H1248" s="38">
        <v>2.2992155934003633</v>
      </c>
      <c r="I1248" s="38">
        <v>3.6107462986486394</v>
      </c>
      <c r="J1248" s="10">
        <v>0</v>
      </c>
      <c r="K1248" s="39">
        <v>0</v>
      </c>
      <c r="L1248" s="39">
        <v>1</v>
      </c>
      <c r="M1248" s="39">
        <v>0</v>
      </c>
      <c r="N1248" s="39">
        <v>0</v>
      </c>
      <c r="O1248" s="39">
        <v>0</v>
      </c>
      <c r="P1248" s="39">
        <v>0</v>
      </c>
      <c r="Q1248" s="39">
        <v>0</v>
      </c>
      <c r="R1248" s="39">
        <v>0</v>
      </c>
      <c r="S1248" s="39">
        <v>0</v>
      </c>
      <c r="T1248" s="39">
        <v>0</v>
      </c>
      <c r="U1248" s="29" cm="1">
        <f t="array" aca="1" ref="U1248" ca="1">+fair_value_gap(OFFSET(T1247,0,0,-1*$J$5,-1*$AA$1),OFFSET(E1247,0,0,-1*$J$5,1),F1248:T1248,0)</f>
        <v>12.42644958272545</v>
      </c>
      <c r="V1248" s="9" cm="1">
        <f t="array" aca="1" ref="V1248" ca="1">z_score_diff(OFFSET(U1248,0,0,$J$5*-1,1),OFFSET(E1248,0,0,$J$5*-1,1))</f>
        <v>-0.17782736552327183</v>
      </c>
      <c r="W1248" s="9">
        <f t="shared" ca="1" si="1336"/>
        <v>-0.10331744093112608</v>
      </c>
      <c r="X1248" s="17">
        <f t="shared" ca="1" si="1331"/>
        <v>-6.1387229973163662E-2</v>
      </c>
      <c r="Y1248" s="13">
        <f t="shared" ref="Y1248:Z1248" ca="1" si="1362">+Y1247</f>
        <v>0</v>
      </c>
      <c r="Z1248" s="13">
        <f t="shared" ca="1" si="1362"/>
        <v>0</v>
      </c>
      <c r="AA1248">
        <f t="shared" ca="1" si="1338"/>
        <v>1</v>
      </c>
      <c r="AB1248">
        <f t="shared" ca="1" si="1339"/>
        <v>0</v>
      </c>
      <c r="AC1248" s="24">
        <f t="shared" ca="1" si="1340"/>
        <v>-6.1387229973163662E-2</v>
      </c>
      <c r="AD1248" s="24">
        <f t="shared" ca="1" si="1341"/>
        <v>0</v>
      </c>
    </row>
    <row r="1249" spans="3:30" x14ac:dyDescent="0.25">
      <c r="C1249" s="6">
        <v>1343</v>
      </c>
      <c r="D1249" s="36">
        <v>43917</v>
      </c>
      <c r="E1249" s="38">
        <v>12.170999999999999</v>
      </c>
      <c r="F1249" s="38">
        <v>34.746092396894163</v>
      </c>
      <c r="G1249" s="38">
        <v>35.58</v>
      </c>
      <c r="H1249" s="38">
        <v>2.2782138803178307</v>
      </c>
      <c r="I1249" s="38">
        <v>3.5527701837315098</v>
      </c>
      <c r="J1249" s="10">
        <v>0</v>
      </c>
      <c r="K1249" s="39">
        <v>0</v>
      </c>
      <c r="L1249" s="39">
        <v>1</v>
      </c>
      <c r="M1249" s="39">
        <v>0</v>
      </c>
      <c r="N1249" s="39">
        <v>0</v>
      </c>
      <c r="O1249" s="39">
        <v>0</v>
      </c>
      <c r="P1249" s="39">
        <v>0</v>
      </c>
      <c r="Q1249" s="39">
        <v>0</v>
      </c>
      <c r="R1249" s="39">
        <v>0</v>
      </c>
      <c r="S1249" s="39">
        <v>0</v>
      </c>
      <c r="T1249" s="39">
        <v>0</v>
      </c>
      <c r="U1249" s="29" cm="1">
        <f t="array" aca="1" ref="U1249" ca="1">+fair_value_gap(OFFSET(T1248,0,0,-1*$J$5,-1*$AA$1),OFFSET(E1248,0,0,-1*$J$5,1),F1249:T1249,0)</f>
        <v>12.097542851595353</v>
      </c>
      <c r="V1249" s="9" cm="1">
        <f t="array" aca="1" ref="V1249" ca="1">z_score_diff(OFFSET(U1249,0,0,$J$5*-1,1),OFFSET(E1249,0,0,$J$5*-1,1))</f>
        <v>-0.18181232654202217</v>
      </c>
      <c r="W1249" s="9">
        <f t="shared" ca="1" si="1336"/>
        <v>-0.10398563733073755</v>
      </c>
      <c r="X1249" s="17">
        <f t="shared" ca="1" si="1331"/>
        <v>-6.0979010461217349E-2</v>
      </c>
      <c r="Y1249" s="13">
        <f t="shared" ref="Y1249:Z1249" ca="1" si="1363">+Y1248</f>
        <v>0</v>
      </c>
      <c r="Z1249" s="13">
        <f t="shared" ca="1" si="1363"/>
        <v>0</v>
      </c>
      <c r="AA1249">
        <f t="shared" ca="1" si="1338"/>
        <v>1</v>
      </c>
      <c r="AB1249">
        <f t="shared" ca="1" si="1339"/>
        <v>0</v>
      </c>
      <c r="AC1249" s="24">
        <f t="shared" ca="1" si="1340"/>
        <v>-6.0979010461217349E-2</v>
      </c>
      <c r="AD1249" s="24">
        <f t="shared" ca="1" si="1341"/>
        <v>0</v>
      </c>
    </row>
    <row r="1250" spans="3:30" x14ac:dyDescent="0.25">
      <c r="C1250" s="6">
        <v>1344</v>
      </c>
      <c r="D1250" s="36">
        <v>43920</v>
      </c>
      <c r="E1250" s="38">
        <v>11.911</v>
      </c>
      <c r="F1250" s="38">
        <v>35.105558350235675</v>
      </c>
      <c r="G1250" s="38">
        <v>35.61</v>
      </c>
      <c r="H1250" s="38">
        <v>2.1097348554692887</v>
      </c>
      <c r="I1250" s="38">
        <v>3.5132411148565788</v>
      </c>
      <c r="J1250" s="10">
        <v>0</v>
      </c>
      <c r="K1250" s="39">
        <v>0</v>
      </c>
      <c r="L1250" s="39">
        <v>1</v>
      </c>
      <c r="M1250" s="39">
        <v>0</v>
      </c>
      <c r="N1250" s="39">
        <v>0</v>
      </c>
      <c r="O1250" s="39">
        <v>0</v>
      </c>
      <c r="P1250" s="39">
        <v>0</v>
      </c>
      <c r="Q1250" s="39">
        <v>0</v>
      </c>
      <c r="R1250" s="39">
        <v>0</v>
      </c>
      <c r="S1250" s="39">
        <v>0</v>
      </c>
      <c r="T1250" s="39">
        <v>0</v>
      </c>
      <c r="U1250" s="29" cm="1">
        <f t="array" aca="1" ref="U1250" ca="1">+fair_value_gap(OFFSET(T1249,0,0,-1*$J$5,-1*$AA$1),OFFSET(E1249,0,0,-1*$J$5,1),F1250:T1250,0)</f>
        <v>11.913810894303955</v>
      </c>
      <c r="V1250" s="9" cm="1">
        <f t="array" aca="1" ref="V1250" ca="1">z_score_diff(OFFSET(U1250,0,0,$J$5*-1,1),OFFSET(E1250,0,0,$J$5*-1,1))</f>
        <v>-0.12407090755986205</v>
      </c>
      <c r="W1250" s="9">
        <f t="shared" ca="1" si="1336"/>
        <v>-9.5803389425763122E-2</v>
      </c>
      <c r="X1250" s="17">
        <f t="shared" ca="1" si="1331"/>
        <v>-5.4785769646897686E-2</v>
      </c>
      <c r="Y1250" s="13">
        <f t="shared" ref="Y1250:Z1250" ca="1" si="1364">+Y1249</f>
        <v>0</v>
      </c>
      <c r="Z1250" s="13">
        <f t="shared" ca="1" si="1364"/>
        <v>0</v>
      </c>
      <c r="AA1250">
        <f t="shared" ca="1" si="1338"/>
        <v>1</v>
      </c>
      <c r="AB1250">
        <f t="shared" ca="1" si="1339"/>
        <v>0</v>
      </c>
      <c r="AC1250" s="24">
        <f t="shared" ca="1" si="1340"/>
        <v>-5.4785769646897686E-2</v>
      </c>
      <c r="AD1250" s="24">
        <f t="shared" ca="1" si="1341"/>
        <v>0</v>
      </c>
    </row>
    <row r="1251" spans="3:30" x14ac:dyDescent="0.25">
      <c r="C1251" s="6">
        <v>1345</v>
      </c>
      <c r="D1251" s="36">
        <v>43921</v>
      </c>
      <c r="E1251" s="38">
        <v>11.768000000000001</v>
      </c>
      <c r="F1251" s="38">
        <v>34.877967450815873</v>
      </c>
      <c r="G1251" s="38">
        <v>32.65</v>
      </c>
      <c r="H1251" s="38">
        <v>2.1145496072082923</v>
      </c>
      <c r="I1251" s="38">
        <v>3.563092280056364</v>
      </c>
      <c r="J1251" s="10">
        <v>0</v>
      </c>
      <c r="K1251" s="39">
        <v>0</v>
      </c>
      <c r="L1251" s="39">
        <v>1</v>
      </c>
      <c r="M1251" s="39">
        <v>0</v>
      </c>
      <c r="N1251" s="39">
        <v>0</v>
      </c>
      <c r="O1251" s="39">
        <v>0</v>
      </c>
      <c r="P1251" s="39">
        <v>0</v>
      </c>
      <c r="Q1251" s="39">
        <v>0</v>
      </c>
      <c r="R1251" s="39">
        <v>0</v>
      </c>
      <c r="S1251" s="39">
        <v>0</v>
      </c>
      <c r="T1251" s="39">
        <v>0</v>
      </c>
      <c r="U1251" s="29" cm="1">
        <f t="array" aca="1" ref="U1251" ca="1">+fair_value_gap(OFFSET(T1250,0,0,-1*$J$5,-1*$AA$1),OFFSET(E1250,0,0,-1*$J$5,1),F1251:T1251,0)</f>
        <v>11.361838638393902</v>
      </c>
      <c r="V1251" s="9" cm="1">
        <f t="array" aca="1" ref="V1251" ca="1">z_score_diff(OFFSET(U1251,0,0,$J$5*-1,1),OFFSET(E1251,0,0,$J$5*-1,1))</f>
        <v>-0.32284506378361399</v>
      </c>
      <c r="W1251" s="9">
        <f t="shared" ca="1" si="1336"/>
        <v>-9.4175212982253301E-2</v>
      </c>
      <c r="X1251" s="17">
        <f t="shared" ca="1" si="1331"/>
        <v>-1.9824721353983787E-2</v>
      </c>
      <c r="Y1251" s="13">
        <f t="shared" ref="Y1251:Z1251" ca="1" si="1365">+Y1250</f>
        <v>0</v>
      </c>
      <c r="Z1251" s="13">
        <f t="shared" ca="1" si="1365"/>
        <v>0</v>
      </c>
      <c r="AA1251">
        <f t="shared" ca="1" si="1338"/>
        <v>1</v>
      </c>
      <c r="AB1251">
        <f t="shared" ca="1" si="1339"/>
        <v>0</v>
      </c>
      <c r="AC1251" s="24">
        <f t="shared" ca="1" si="1340"/>
        <v>-1.9824721353983787E-2</v>
      </c>
      <c r="AD1251" s="24">
        <f t="shared" ca="1" si="1341"/>
        <v>0</v>
      </c>
    </row>
    <row r="1252" spans="3:30" x14ac:dyDescent="0.25">
      <c r="C1252" s="6">
        <v>1346</v>
      </c>
      <c r="D1252" s="36">
        <v>43922</v>
      </c>
      <c r="E1252" s="38">
        <v>11.797000000000001</v>
      </c>
      <c r="F1252" s="38">
        <v>34.262649019055665</v>
      </c>
      <c r="G1252" s="38">
        <v>32.04</v>
      </c>
      <c r="H1252" s="38">
        <v>2.1436720605968707</v>
      </c>
      <c r="I1252" s="38">
        <v>3.542700142249565</v>
      </c>
      <c r="J1252" s="10">
        <v>0</v>
      </c>
      <c r="K1252" s="39">
        <v>0</v>
      </c>
      <c r="L1252" s="39">
        <v>0</v>
      </c>
      <c r="M1252" s="39">
        <v>1</v>
      </c>
      <c r="N1252" s="39">
        <v>0</v>
      </c>
      <c r="O1252" s="39">
        <v>0</v>
      </c>
      <c r="P1252" s="39">
        <v>0</v>
      </c>
      <c r="Q1252" s="39">
        <v>0</v>
      </c>
      <c r="R1252" s="39">
        <v>0</v>
      </c>
      <c r="S1252" s="39">
        <v>0</v>
      </c>
      <c r="T1252" s="39">
        <v>0</v>
      </c>
      <c r="U1252" s="29" cm="1">
        <f t="array" aca="1" ref="U1252" ca="1">+fair_value_gap(OFFSET(T1251,0,0,-1*$J$5,-1*$AA$1),OFFSET(E1251,0,0,-1*$J$5,1),F1252:T1252,0)</f>
        <v>13.438082062552379</v>
      </c>
      <c r="V1252" s="9" cm="1">
        <f t="array" aca="1" ref="V1252" ca="1">z_score_diff(OFFSET(U1252,0,0,$J$5*-1,1),OFFSET(E1252,0,0,$J$5*-1,1))</f>
        <v>0.78707637848495438</v>
      </c>
      <c r="W1252" s="9">
        <f t="shared" ca="1" si="1336"/>
        <v>-6.0707641973143808E-2</v>
      </c>
      <c r="X1252" s="17">
        <f t="shared" ca="1" si="1331"/>
        <v>-1.2195793138823036E-2</v>
      </c>
      <c r="Y1252" s="13">
        <f t="shared" ref="Y1252:Z1252" ca="1" si="1366">+Y1251</f>
        <v>0</v>
      </c>
      <c r="Z1252" s="13">
        <f t="shared" ca="1" si="1366"/>
        <v>0</v>
      </c>
      <c r="AA1252">
        <f t="shared" ca="1" si="1338"/>
        <v>1</v>
      </c>
      <c r="AB1252">
        <f t="shared" ca="1" si="1339"/>
        <v>0</v>
      </c>
      <c r="AC1252" s="24">
        <f t="shared" ca="1" si="1340"/>
        <v>-1.2195793138823036E-2</v>
      </c>
      <c r="AD1252" s="24">
        <f t="shared" ca="1" si="1341"/>
        <v>0</v>
      </c>
    </row>
    <row r="1253" spans="3:30" x14ac:dyDescent="0.25">
      <c r="C1253" s="6">
        <v>1347</v>
      </c>
      <c r="D1253" s="36">
        <v>43923</v>
      </c>
      <c r="E1253" s="38">
        <v>12.077999999999999</v>
      </c>
      <c r="F1253" s="38">
        <v>35.432873274780427</v>
      </c>
      <c r="G1253" s="38">
        <v>32.619999999999997</v>
      </c>
      <c r="H1253" s="38">
        <v>2.1772556176571234</v>
      </c>
      <c r="I1253" s="38">
        <v>3.6500513288468119</v>
      </c>
      <c r="J1253" s="10">
        <v>0</v>
      </c>
      <c r="K1253" s="39">
        <v>0</v>
      </c>
      <c r="L1253" s="39">
        <v>0</v>
      </c>
      <c r="M1253" s="39">
        <v>1</v>
      </c>
      <c r="N1253" s="39">
        <v>0</v>
      </c>
      <c r="O1253" s="39">
        <v>0</v>
      </c>
      <c r="P1253" s="39">
        <v>0</v>
      </c>
      <c r="Q1253" s="39">
        <v>0</v>
      </c>
      <c r="R1253" s="39">
        <v>0</v>
      </c>
      <c r="S1253" s="39">
        <v>0</v>
      </c>
      <c r="T1253" s="39">
        <v>0</v>
      </c>
      <c r="U1253" s="29" cm="1">
        <f t="array" aca="1" ref="U1253" ca="1">+fair_value_gap(OFFSET(T1252,0,0,-1*$J$5,-1*$AA$1),OFFSET(E1252,0,0,-1*$J$5,1),F1253:T1253,0)</f>
        <v>13.064018610272274</v>
      </c>
      <c r="V1253" s="9" cm="1">
        <f t="array" aca="1" ref="V1253" ca="1">z_score_diff(OFFSET(U1253,0,0,$J$5*-1,1),OFFSET(E1253,0,0,$J$5*-1,1))</f>
        <v>0.40667989012435957</v>
      </c>
      <c r="W1253" s="9">
        <f t="shared" ca="1" si="1336"/>
        <v>-4.1979041341673469E-2</v>
      </c>
      <c r="X1253" s="17">
        <f t="shared" ca="1" si="1331"/>
        <v>-2.676671104443067E-2</v>
      </c>
      <c r="Y1253" s="13">
        <f t="shared" ref="Y1253:Z1253" ca="1" si="1367">+Y1252</f>
        <v>0</v>
      </c>
      <c r="Z1253" s="13">
        <f t="shared" ca="1" si="1367"/>
        <v>0</v>
      </c>
      <c r="AA1253">
        <f t="shared" ca="1" si="1338"/>
        <v>1</v>
      </c>
      <c r="AB1253">
        <f t="shared" ca="1" si="1339"/>
        <v>0</v>
      </c>
      <c r="AC1253" s="24">
        <f t="shared" ca="1" si="1340"/>
        <v>-2.676671104443067E-2</v>
      </c>
      <c r="AD1253" s="24">
        <f t="shared" ca="1" si="1341"/>
        <v>0</v>
      </c>
    </row>
    <row r="1254" spans="3:30" x14ac:dyDescent="0.25">
      <c r="C1254" s="6">
        <v>1348</v>
      </c>
      <c r="D1254" s="36">
        <v>43924</v>
      </c>
      <c r="E1254" s="38">
        <v>12.273</v>
      </c>
      <c r="F1254" s="38">
        <v>36.148917044420564</v>
      </c>
      <c r="G1254" s="38">
        <v>33.28</v>
      </c>
      <c r="H1254" s="38">
        <v>2.2000899828556086</v>
      </c>
      <c r="I1254" s="38">
        <v>3.6652894341617808</v>
      </c>
      <c r="J1254" s="10">
        <v>0</v>
      </c>
      <c r="K1254" s="39">
        <v>0</v>
      </c>
      <c r="L1254" s="39">
        <v>0</v>
      </c>
      <c r="M1254" s="39">
        <v>1</v>
      </c>
      <c r="N1254" s="39">
        <v>0</v>
      </c>
      <c r="O1254" s="39">
        <v>0</v>
      </c>
      <c r="P1254" s="39">
        <v>0</v>
      </c>
      <c r="Q1254" s="39">
        <v>0</v>
      </c>
      <c r="R1254" s="39">
        <v>0</v>
      </c>
      <c r="S1254" s="39">
        <v>0</v>
      </c>
      <c r="T1254" s="39">
        <v>0</v>
      </c>
      <c r="U1254" s="29" cm="1">
        <f t="array" aca="1" ref="U1254" ca="1">+fair_value_gap(OFFSET(T1253,0,0,-1*$J$5,-1*$AA$1),OFFSET(E1253,0,0,-1*$J$5,1),F1254:T1254,0)</f>
        <v>12.945561841943263</v>
      </c>
      <c r="V1254" s="9" cm="1">
        <f t="array" aca="1" ref="V1254" ca="1">z_score_diff(OFFSET(U1254,0,0,$J$5*-1,1),OFFSET(E1254,0,0,$J$5*-1,1))</f>
        <v>0.22495721406523472</v>
      </c>
      <c r="W1254" s="9">
        <f t="shared" ca="1" si="1336"/>
        <v>-2.9175820865843204E-2</v>
      </c>
      <c r="X1254" s="17">
        <f t="shared" ca="1" si="1331"/>
        <v>-5.0294595185154577E-2</v>
      </c>
      <c r="Y1254" s="13">
        <f t="shared" ref="Y1254:Z1254" ca="1" si="1368">+Y1253</f>
        <v>0</v>
      </c>
      <c r="Z1254" s="13">
        <f t="shared" ca="1" si="1368"/>
        <v>0</v>
      </c>
      <c r="AA1254">
        <f t="shared" ca="1" si="1338"/>
        <v>1</v>
      </c>
      <c r="AB1254">
        <f t="shared" ca="1" si="1339"/>
        <v>0</v>
      </c>
      <c r="AC1254" s="24">
        <f t="shared" ca="1" si="1340"/>
        <v>-5.0294595185154577E-2</v>
      </c>
      <c r="AD1254" s="24">
        <f t="shared" ca="1" si="1341"/>
        <v>0</v>
      </c>
    </row>
    <row r="1255" spans="3:30" x14ac:dyDescent="0.25">
      <c r="C1255" s="6">
        <v>1349</v>
      </c>
      <c r="D1255" s="36">
        <v>43927</v>
      </c>
      <c r="E1255" s="38">
        <v>12.792999999999999</v>
      </c>
      <c r="F1255" s="38">
        <v>36.42469172049325</v>
      </c>
      <c r="G1255" s="38">
        <v>35.92</v>
      </c>
      <c r="H1255" s="38">
        <v>2.2157589547856724</v>
      </c>
      <c r="I1255" s="38">
        <v>3.7755064591896654</v>
      </c>
      <c r="J1255" s="10">
        <v>0</v>
      </c>
      <c r="K1255" s="39">
        <v>0</v>
      </c>
      <c r="L1255" s="39">
        <v>0</v>
      </c>
      <c r="M1255" s="39">
        <v>1</v>
      </c>
      <c r="N1255" s="39">
        <v>0</v>
      </c>
      <c r="O1255" s="39">
        <v>0</v>
      </c>
      <c r="P1255" s="39">
        <v>0</v>
      </c>
      <c r="Q1255" s="39">
        <v>0</v>
      </c>
      <c r="R1255" s="39">
        <v>0</v>
      </c>
      <c r="S1255" s="39">
        <v>0</v>
      </c>
      <c r="T1255" s="39">
        <v>0</v>
      </c>
      <c r="U1255" s="29" cm="1">
        <f t="array" aca="1" ref="U1255" ca="1">+fair_value_gap(OFFSET(T1254,0,0,-1*$J$5,-1*$AA$1),OFFSET(E1254,0,0,-1*$J$5,1),F1255:T1255,0)</f>
        <v>13.478922419030296</v>
      </c>
      <c r="V1255" s="9" cm="1">
        <f t="array" aca="1" ref="V1255" ca="1">z_score_diff(OFFSET(U1255,0,0,$J$5*-1,1),OFFSET(E1255,0,0,$J$5*-1,1))</f>
        <v>0.21649134914878276</v>
      </c>
      <c r="W1255" s="9">
        <f t="shared" ca="1" si="1336"/>
        <v>-2.114962240733571E-2</v>
      </c>
      <c r="X1255" s="17">
        <f t="shared" ca="1" si="1331"/>
        <v>-8.291950643241644E-2</v>
      </c>
      <c r="Y1255" s="13">
        <f t="shared" ref="Y1255:Z1255" ca="1" si="1369">+Y1254</f>
        <v>0</v>
      </c>
      <c r="Z1255" s="13">
        <f t="shared" ca="1" si="1369"/>
        <v>0</v>
      </c>
      <c r="AA1255">
        <f t="shared" ca="1" si="1338"/>
        <v>1</v>
      </c>
      <c r="AB1255">
        <f t="shared" ca="1" si="1339"/>
        <v>0</v>
      </c>
      <c r="AC1255" s="24">
        <f t="shared" ca="1" si="1340"/>
        <v>-8.291950643241644E-2</v>
      </c>
      <c r="AD1255" s="24">
        <f t="shared" ca="1" si="1341"/>
        <v>0</v>
      </c>
    </row>
    <row r="1256" spans="3:30" x14ac:dyDescent="0.25">
      <c r="C1256" s="6">
        <v>1350</v>
      </c>
      <c r="D1256" s="36">
        <v>43928</v>
      </c>
      <c r="E1256" s="38">
        <v>12.789</v>
      </c>
      <c r="F1256" s="38">
        <v>36.60516417329778</v>
      </c>
      <c r="G1256" s="38">
        <v>37.47</v>
      </c>
      <c r="H1256" s="38">
        <v>2.2070359725047677</v>
      </c>
      <c r="I1256" s="38">
        <v>3.8177722753377368</v>
      </c>
      <c r="J1256" s="10">
        <v>0</v>
      </c>
      <c r="K1256" s="39">
        <v>0</v>
      </c>
      <c r="L1256" s="39">
        <v>0</v>
      </c>
      <c r="M1256" s="39">
        <v>1</v>
      </c>
      <c r="N1256" s="39">
        <v>0</v>
      </c>
      <c r="O1256" s="39">
        <v>0</v>
      </c>
      <c r="P1256" s="39">
        <v>0</v>
      </c>
      <c r="Q1256" s="39">
        <v>0</v>
      </c>
      <c r="R1256" s="39">
        <v>0</v>
      </c>
      <c r="S1256" s="39">
        <v>0</v>
      </c>
      <c r="T1256" s="39">
        <v>0</v>
      </c>
      <c r="U1256" s="29" cm="1">
        <f t="array" aca="1" ref="U1256" ca="1">+fair_value_gap(OFFSET(T1255,0,0,-1*$J$5,-1*$AA$1),OFFSET(E1255,0,0,-1*$J$5,1),F1256:T1256,0)</f>
        <v>13.736351571380002</v>
      </c>
      <c r="V1256" s="9" cm="1">
        <f t="array" aca="1" ref="V1256" ca="1">z_score_diff(OFFSET(U1256,0,0,$J$5*-1,1),OFFSET(E1256,0,0,$J$5*-1,1))</f>
        <v>0.35263703018678072</v>
      </c>
      <c r="W1256" s="9">
        <f t="shared" ca="1" si="1336"/>
        <v>-8.9420280432797629E-3</v>
      </c>
      <c r="X1256" s="17">
        <f t="shared" ca="1" si="1331"/>
        <v>-0.11181915199111762</v>
      </c>
      <c r="Y1256" s="13">
        <f t="shared" ref="Y1256:Z1256" ca="1" si="1370">+Y1255</f>
        <v>0</v>
      </c>
      <c r="Z1256" s="13">
        <f t="shared" ca="1" si="1370"/>
        <v>0</v>
      </c>
      <c r="AA1256">
        <f t="shared" ca="1" si="1338"/>
        <v>1</v>
      </c>
      <c r="AB1256">
        <f t="shared" ca="1" si="1339"/>
        <v>0</v>
      </c>
      <c r="AC1256" s="24">
        <f t="shared" ca="1" si="1340"/>
        <v>-0.11181915199111762</v>
      </c>
      <c r="AD1256" s="24">
        <f t="shared" ca="1" si="1341"/>
        <v>0</v>
      </c>
    </row>
    <row r="1257" spans="3:30" x14ac:dyDescent="0.25">
      <c r="C1257" s="6">
        <v>1351</v>
      </c>
      <c r="D1257" s="36">
        <v>43929</v>
      </c>
      <c r="E1257" s="38">
        <v>12.661</v>
      </c>
      <c r="F1257" s="38">
        <v>36.531928960627404</v>
      </c>
      <c r="G1257" s="38">
        <v>36.47</v>
      </c>
      <c r="H1257" s="38">
        <v>2.2333173745525841</v>
      </c>
      <c r="I1257" s="38">
        <v>3.8529056380092555</v>
      </c>
      <c r="J1257" s="10">
        <v>0</v>
      </c>
      <c r="K1257" s="39">
        <v>0</v>
      </c>
      <c r="L1257" s="39">
        <v>0</v>
      </c>
      <c r="M1257" s="39">
        <v>1</v>
      </c>
      <c r="N1257" s="39">
        <v>0</v>
      </c>
      <c r="O1257" s="39">
        <v>0</v>
      </c>
      <c r="P1257" s="39">
        <v>0</v>
      </c>
      <c r="Q1257" s="39">
        <v>0</v>
      </c>
      <c r="R1257" s="39">
        <v>0</v>
      </c>
      <c r="S1257" s="39">
        <v>0</v>
      </c>
      <c r="T1257" s="39">
        <v>0</v>
      </c>
      <c r="U1257" s="29" cm="1">
        <f t="array" aca="1" ref="U1257" ca="1">+fair_value_gap(OFFSET(T1256,0,0,-1*$J$5,-1*$AA$1),OFFSET(E1256,0,0,-1*$J$5,1),F1257:T1257,0)</f>
        <v>13.393862547870977</v>
      </c>
      <c r="V1257" s="9" cm="1">
        <f t="array" aca="1" ref="V1257" ca="1">z_score_diff(OFFSET(U1257,0,0,$J$5*-1,1),OFFSET(E1257,0,0,$J$5*-1,1))</f>
        <v>0.23407932929233111</v>
      </c>
      <c r="W1257" s="9">
        <f t="shared" ca="1" si="1336"/>
        <v>6.2798049017414774E-3</v>
      </c>
      <c r="X1257" s="17">
        <f t="shared" ca="1" si="1331"/>
        <v>-0.12002668494771461</v>
      </c>
      <c r="Y1257" s="13">
        <f t="shared" ref="Y1257:Z1257" ca="1" si="1371">+Y1256</f>
        <v>0</v>
      </c>
      <c r="Z1257" s="13">
        <f t="shared" ca="1" si="1371"/>
        <v>0</v>
      </c>
      <c r="AA1257">
        <f t="shared" ca="1" si="1338"/>
        <v>0</v>
      </c>
      <c r="AB1257">
        <f t="shared" ca="1" si="1339"/>
        <v>1</v>
      </c>
      <c r="AC1257" s="24">
        <f t="shared" ca="1" si="1340"/>
        <v>0</v>
      </c>
      <c r="AD1257" s="24">
        <f t="shared" ca="1" si="1341"/>
        <v>-0.12002668494771461</v>
      </c>
    </row>
    <row r="1258" spans="3:30" x14ac:dyDescent="0.25">
      <c r="C1258" s="6">
        <v>1352</v>
      </c>
      <c r="D1258" s="36">
        <v>43930</v>
      </c>
      <c r="E1258" s="38">
        <v>12.8</v>
      </c>
      <c r="F1258" s="38">
        <v>36.237692453303552</v>
      </c>
      <c r="G1258" s="38">
        <v>36.520000000000003</v>
      </c>
      <c r="H1258" s="38">
        <v>2.2371182294341363</v>
      </c>
      <c r="I1258" s="38">
        <v>3.849292500038493</v>
      </c>
      <c r="J1258" s="10">
        <v>0</v>
      </c>
      <c r="K1258" s="39">
        <v>0</v>
      </c>
      <c r="L1258" s="39">
        <v>0</v>
      </c>
      <c r="M1258" s="39">
        <v>1</v>
      </c>
      <c r="N1258" s="39">
        <v>0</v>
      </c>
      <c r="O1258" s="39">
        <v>0</v>
      </c>
      <c r="P1258" s="39">
        <v>0</v>
      </c>
      <c r="Q1258" s="39">
        <v>0</v>
      </c>
      <c r="R1258" s="39">
        <v>0</v>
      </c>
      <c r="S1258" s="39">
        <v>0</v>
      </c>
      <c r="T1258" s="39">
        <v>0</v>
      </c>
      <c r="U1258" s="29" cm="1">
        <f t="array" aca="1" ref="U1258" ca="1">+fair_value_gap(OFFSET(T1257,0,0,-1*$J$5,-1*$AA$1),OFFSET(E1257,0,0,-1*$J$5,1),F1258:T1258,0)</f>
        <v>13.273220418431897</v>
      </c>
      <c r="V1258" s="9" cm="1">
        <f t="array" aca="1" ref="V1258" ca="1">z_score_diff(OFFSET(U1258,0,0,$J$5*-1,1),OFFSET(E1258,0,0,$J$5*-1,1))</f>
        <v>8.8939736193164975E-2</v>
      </c>
      <c r="W1258" s="9">
        <f t="shared" ca="1" si="1336"/>
        <v>1.5134814327309802E-2</v>
      </c>
      <c r="X1258" s="17">
        <f t="shared" ca="1" si="1331"/>
        <v>-9.8612501471322597E-2</v>
      </c>
      <c r="Y1258" s="13">
        <f t="shared" ref="Y1258:Z1258" ca="1" si="1372">+Y1257</f>
        <v>0</v>
      </c>
      <c r="Z1258" s="13">
        <f t="shared" ca="1" si="1372"/>
        <v>0</v>
      </c>
      <c r="AA1258">
        <f t="shared" ca="1" si="1338"/>
        <v>0</v>
      </c>
      <c r="AB1258">
        <f t="shared" ca="1" si="1339"/>
        <v>1</v>
      </c>
      <c r="AC1258" s="24">
        <f t="shared" ca="1" si="1340"/>
        <v>0</v>
      </c>
      <c r="AD1258" s="24">
        <f t="shared" ca="1" si="1341"/>
        <v>-9.8612501471322597E-2</v>
      </c>
    </row>
    <row r="1259" spans="3:30" x14ac:dyDescent="0.25">
      <c r="C1259" s="6">
        <v>1353</v>
      </c>
      <c r="D1259" s="36">
        <v>43935</v>
      </c>
      <c r="E1259" s="38">
        <v>12.494999999999999</v>
      </c>
      <c r="F1259" s="38">
        <v>37.148582611650831</v>
      </c>
      <c r="G1259" s="38">
        <v>35.54</v>
      </c>
      <c r="H1259" s="38">
        <v>2.2491073432678674</v>
      </c>
      <c r="I1259" s="38">
        <v>3.7860724816533238</v>
      </c>
      <c r="J1259" s="10">
        <v>0</v>
      </c>
      <c r="K1259" s="39">
        <v>0</v>
      </c>
      <c r="L1259" s="39">
        <v>0</v>
      </c>
      <c r="M1259" s="39">
        <v>1</v>
      </c>
      <c r="N1259" s="39">
        <v>0</v>
      </c>
      <c r="O1259" s="39">
        <v>0</v>
      </c>
      <c r="P1259" s="39">
        <v>0</v>
      </c>
      <c r="Q1259" s="39">
        <v>0</v>
      </c>
      <c r="R1259" s="39">
        <v>0</v>
      </c>
      <c r="S1259" s="39">
        <v>0</v>
      </c>
      <c r="T1259" s="39">
        <v>0</v>
      </c>
      <c r="U1259" s="29" cm="1">
        <f t="array" aca="1" ref="U1259" ca="1">+fair_value_gap(OFFSET(T1258,0,0,-1*$J$5,-1*$AA$1),OFFSET(E1258,0,0,-1*$J$5,1),F1259:T1259,0)</f>
        <v>12.972765919155462</v>
      </c>
      <c r="V1259" s="9" cm="1">
        <f t="array" aca="1" ref="V1259" ca="1">z_score_diff(OFFSET(U1259,0,0,$J$5*-1,1),OFFSET(E1259,0,0,$J$5*-1,1))</f>
        <v>9.7120079744521526E-2</v>
      </c>
      <c r="W1259" s="9">
        <f t="shared" ca="1" si="1336"/>
        <v>2.5781070349566077E-2</v>
      </c>
      <c r="X1259" s="17">
        <f t="shared" ca="1" si="1331"/>
        <v>-8.193859470184893E-2</v>
      </c>
      <c r="Y1259" s="13">
        <f t="shared" ref="Y1259:Z1259" ca="1" si="1373">+Y1258</f>
        <v>0</v>
      </c>
      <c r="Z1259" s="13">
        <f t="shared" ca="1" si="1373"/>
        <v>0</v>
      </c>
      <c r="AA1259">
        <f t="shared" ca="1" si="1338"/>
        <v>0</v>
      </c>
      <c r="AB1259">
        <f t="shared" ca="1" si="1339"/>
        <v>1</v>
      </c>
      <c r="AC1259" s="24">
        <f t="shared" ca="1" si="1340"/>
        <v>0</v>
      </c>
      <c r="AD1259" s="24">
        <f t="shared" ca="1" si="1341"/>
        <v>-8.193859470184893E-2</v>
      </c>
    </row>
    <row r="1260" spans="3:30" x14ac:dyDescent="0.25">
      <c r="C1260" s="6">
        <v>1354</v>
      </c>
      <c r="D1260" s="36">
        <v>43936</v>
      </c>
      <c r="E1260" s="38">
        <v>12.004</v>
      </c>
      <c r="F1260" s="38">
        <v>35.443470299062234</v>
      </c>
      <c r="G1260" s="38">
        <v>34.6</v>
      </c>
      <c r="H1260" s="38">
        <v>2.2436025535285422</v>
      </c>
      <c r="I1260" s="38">
        <v>3.7469070985041437</v>
      </c>
      <c r="J1260" s="10">
        <v>0</v>
      </c>
      <c r="K1260" s="39">
        <v>0</v>
      </c>
      <c r="L1260" s="39">
        <v>0</v>
      </c>
      <c r="M1260" s="39">
        <v>1</v>
      </c>
      <c r="N1260" s="39">
        <v>0</v>
      </c>
      <c r="O1260" s="39">
        <v>0</v>
      </c>
      <c r="P1260" s="39">
        <v>0</v>
      </c>
      <c r="Q1260" s="39">
        <v>0</v>
      </c>
      <c r="R1260" s="39">
        <v>0</v>
      </c>
      <c r="S1260" s="39">
        <v>0</v>
      </c>
      <c r="T1260" s="39">
        <v>0</v>
      </c>
      <c r="U1260" s="29" cm="1">
        <f t="array" aca="1" ref="U1260" ca="1">+fair_value_gap(OFFSET(T1259,0,0,-1*$J$5,-1*$AA$1),OFFSET(E1259,0,0,-1*$J$5,1),F1260:T1260,0)</f>
        <v>12.621928693056807</v>
      </c>
      <c r="V1260" s="9" cm="1">
        <f t="array" aca="1" ref="V1260" ca="1">z_score_diff(OFFSET(U1260,0,0,$J$5*-1,1),OFFSET(E1260,0,0,$J$5*-1,1))</f>
        <v>0.17858984087009278</v>
      </c>
      <c r="W1260" s="9">
        <f t="shared" ca="1" si="1336"/>
        <v>1.7176889480691463E-2</v>
      </c>
      <c r="X1260" s="17">
        <f t="shared" ca="1" si="1331"/>
        <v>-6.212003295533737E-2</v>
      </c>
      <c r="Y1260" s="13">
        <f t="shared" ref="Y1260:Z1260" ca="1" si="1374">+Y1259</f>
        <v>0</v>
      </c>
      <c r="Z1260" s="13">
        <f t="shared" ca="1" si="1374"/>
        <v>0</v>
      </c>
      <c r="AA1260">
        <f t="shared" ca="1" si="1338"/>
        <v>0</v>
      </c>
      <c r="AB1260">
        <f t="shared" ca="1" si="1339"/>
        <v>1</v>
      </c>
      <c r="AC1260" s="24">
        <f t="shared" ca="1" si="1340"/>
        <v>0</v>
      </c>
      <c r="AD1260" s="24">
        <f t="shared" ca="1" si="1341"/>
        <v>-6.212003295533737E-2</v>
      </c>
    </row>
    <row r="1261" spans="3:30" x14ac:dyDescent="0.25">
      <c r="C1261" s="6">
        <v>1355</v>
      </c>
      <c r="D1261" s="36">
        <v>43937</v>
      </c>
      <c r="E1261" s="38">
        <v>12.321</v>
      </c>
      <c r="F1261" s="38">
        <v>35.72107580034222</v>
      </c>
      <c r="G1261" s="38">
        <v>36.409999999999997</v>
      </c>
      <c r="H1261" s="38">
        <v>2.2659300642028755</v>
      </c>
      <c r="I1261" s="38">
        <v>3.7704564400310048</v>
      </c>
      <c r="J1261" s="10">
        <v>0</v>
      </c>
      <c r="K1261" s="39">
        <v>0</v>
      </c>
      <c r="L1261" s="39">
        <v>0</v>
      </c>
      <c r="M1261" s="39">
        <v>1</v>
      </c>
      <c r="N1261" s="39">
        <v>0</v>
      </c>
      <c r="O1261" s="39">
        <v>0</v>
      </c>
      <c r="P1261" s="39">
        <v>0</v>
      </c>
      <c r="Q1261" s="39">
        <v>0</v>
      </c>
      <c r="R1261" s="39">
        <v>0</v>
      </c>
      <c r="S1261" s="39">
        <v>0</v>
      </c>
      <c r="T1261" s="39">
        <v>0</v>
      </c>
      <c r="U1261" s="29" cm="1">
        <f t="array" aca="1" ref="U1261" ca="1">+fair_value_gap(OFFSET(T1260,0,0,-1*$J$5,-1*$AA$1),OFFSET(E1260,0,0,-1*$J$5,1),F1261:T1261,0)</f>
        <v>12.937765192117856</v>
      </c>
      <c r="V1261" s="9" cm="1">
        <f t="array" aca="1" ref="V1261" ca="1">z_score_diff(OFFSET(U1261,0,0,$J$5*-1,1),OFFSET(E1261,0,0,$J$5*-1,1))</f>
        <v>0.17196295750284296</v>
      </c>
      <c r="W1261" s="9">
        <f t="shared" ca="1" si="1336"/>
        <v>1.5901536121678741E-2</v>
      </c>
      <c r="X1261" s="17">
        <f t="shared" ca="1" si="1331"/>
        <v>-0.10372958345754835</v>
      </c>
      <c r="Y1261" s="13">
        <f t="shared" ref="Y1261:Z1261" ca="1" si="1375">+Y1260</f>
        <v>0</v>
      </c>
      <c r="Z1261" s="13">
        <f t="shared" ca="1" si="1375"/>
        <v>0</v>
      </c>
      <c r="AA1261">
        <f t="shared" ca="1" si="1338"/>
        <v>0</v>
      </c>
      <c r="AB1261">
        <f t="shared" ca="1" si="1339"/>
        <v>1</v>
      </c>
      <c r="AC1261" s="24">
        <f t="shared" ca="1" si="1340"/>
        <v>0</v>
      </c>
      <c r="AD1261" s="24">
        <f t="shared" ca="1" si="1341"/>
        <v>-0.10372958345754835</v>
      </c>
    </row>
    <row r="1262" spans="3:30" x14ac:dyDescent="0.25">
      <c r="C1262" s="6">
        <v>1356</v>
      </c>
      <c r="D1262" s="36">
        <v>43938</v>
      </c>
      <c r="E1262" s="38">
        <v>12.685</v>
      </c>
      <c r="F1262" s="38">
        <v>35.644047771950973</v>
      </c>
      <c r="G1262" s="38">
        <v>37.1</v>
      </c>
      <c r="H1262" s="38">
        <v>2.2763729972426647</v>
      </c>
      <c r="I1262" s="38">
        <v>3.7802912919395997</v>
      </c>
      <c r="J1262" s="10">
        <v>0</v>
      </c>
      <c r="K1262" s="39">
        <v>0</v>
      </c>
      <c r="L1262" s="39">
        <v>0</v>
      </c>
      <c r="M1262" s="39">
        <v>1</v>
      </c>
      <c r="N1262" s="39">
        <v>0</v>
      </c>
      <c r="O1262" s="39">
        <v>0</v>
      </c>
      <c r="P1262" s="39">
        <v>0</v>
      </c>
      <c r="Q1262" s="39">
        <v>0</v>
      </c>
      <c r="R1262" s="39">
        <v>0</v>
      </c>
      <c r="S1262" s="39">
        <v>0</v>
      </c>
      <c r="T1262" s="39">
        <v>0</v>
      </c>
      <c r="U1262" s="29" cm="1">
        <f t="array" aca="1" ref="U1262" ca="1">+fair_value_gap(OFFSET(T1261,0,0,-1*$J$5,-1*$AA$1),OFFSET(E1261,0,0,-1*$J$5,1),F1262:T1262,0)</f>
        <v>12.99967770193647</v>
      </c>
      <c r="V1262" s="9" cm="1">
        <f t="array" aca="1" ref="V1262" ca="1">z_score_diff(OFFSET(U1262,0,0,$J$5*-1,1),OFFSET(E1262,0,0,$J$5*-1,1))</f>
        <v>7.27985028439182E-3</v>
      </c>
      <c r="W1262" s="9">
        <f t="shared" ca="1" si="1336"/>
        <v>8.0409499362881671E-3</v>
      </c>
      <c r="X1262" s="17">
        <f t="shared" ca="1" si="1331"/>
        <v>-0.14991580201931606</v>
      </c>
      <c r="Y1262" s="13">
        <f t="shared" ref="Y1262:Z1262" ca="1" si="1376">+Y1261</f>
        <v>0</v>
      </c>
      <c r="Z1262" s="13">
        <f t="shared" ca="1" si="1376"/>
        <v>0</v>
      </c>
      <c r="AA1262">
        <f t="shared" ca="1" si="1338"/>
        <v>0</v>
      </c>
      <c r="AB1262">
        <f t="shared" ca="1" si="1339"/>
        <v>1</v>
      </c>
      <c r="AC1262" s="24">
        <f t="shared" ca="1" si="1340"/>
        <v>0</v>
      </c>
      <c r="AD1262" s="24">
        <f t="shared" ca="1" si="1341"/>
        <v>-0.14991580201931606</v>
      </c>
    </row>
    <row r="1263" spans="3:30" x14ac:dyDescent="0.25">
      <c r="C1263" s="6">
        <v>1357</v>
      </c>
      <c r="D1263" s="36">
        <v>43941</v>
      </c>
      <c r="E1263" s="38">
        <v>12.659000000000001</v>
      </c>
      <c r="F1263" s="38">
        <v>35.404543202938918</v>
      </c>
      <c r="G1263" s="38">
        <v>35.9</v>
      </c>
      <c r="H1263" s="38">
        <v>2.3490517585047077</v>
      </c>
      <c r="I1263" s="38">
        <v>3.7858504069104999</v>
      </c>
      <c r="J1263" s="10">
        <v>0</v>
      </c>
      <c r="K1263" s="39">
        <v>0</v>
      </c>
      <c r="L1263" s="39">
        <v>0</v>
      </c>
      <c r="M1263" s="39">
        <v>1</v>
      </c>
      <c r="N1263" s="39">
        <v>0</v>
      </c>
      <c r="O1263" s="39">
        <v>0</v>
      </c>
      <c r="P1263" s="39">
        <v>0</v>
      </c>
      <c r="Q1263" s="39">
        <v>0</v>
      </c>
      <c r="R1263" s="39">
        <v>0</v>
      </c>
      <c r="S1263" s="39">
        <v>0</v>
      </c>
      <c r="T1263" s="39">
        <v>0</v>
      </c>
      <c r="U1263" s="29" cm="1">
        <f t="array" aca="1" ref="U1263" ca="1">+fair_value_gap(OFFSET(T1262,0,0,-1*$J$5,-1*$AA$1),OFFSET(E1262,0,0,-1*$J$5,1),F1263:T1263,0)</f>
        <v>12.727328558189905</v>
      </c>
      <c r="V1263" s="9" cm="1">
        <f t="array" aca="1" ref="V1263" ca="1">z_score_diff(OFFSET(U1263,0,0,$J$5*-1,1),OFFSET(E1263,0,0,$J$5*-1,1))</f>
        <v>-0.1168106051002793</v>
      </c>
      <c r="W1263" s="9">
        <f t="shared" ca="1" si="1336"/>
        <v>-2.139106873918317E-3</v>
      </c>
      <c r="X1263" s="17">
        <f t="shared" ca="1" si="1331"/>
        <v>-0.16123260039634935</v>
      </c>
      <c r="Y1263" s="13">
        <f t="shared" ref="Y1263:Z1263" ca="1" si="1377">+Y1262</f>
        <v>0</v>
      </c>
      <c r="Z1263" s="13">
        <f t="shared" ca="1" si="1377"/>
        <v>0</v>
      </c>
      <c r="AA1263">
        <f t="shared" ca="1" si="1338"/>
        <v>1</v>
      </c>
      <c r="AB1263">
        <f t="shared" ca="1" si="1339"/>
        <v>0</v>
      </c>
      <c r="AC1263" s="24">
        <f t="shared" ca="1" si="1340"/>
        <v>-0.16123260039634935</v>
      </c>
      <c r="AD1263" s="24">
        <f t="shared" ca="1" si="1341"/>
        <v>0</v>
      </c>
    </row>
    <row r="1264" spans="3:30" x14ac:dyDescent="0.25">
      <c r="C1264" s="6">
        <v>1358</v>
      </c>
      <c r="D1264" s="36">
        <v>43942</v>
      </c>
      <c r="E1264" s="38">
        <v>12.353999999999999</v>
      </c>
      <c r="F1264" s="38">
        <v>31.671969667928071</v>
      </c>
      <c r="G1264" s="38">
        <v>34.54</v>
      </c>
      <c r="H1264" s="38">
        <v>2.3694649353873563</v>
      </c>
      <c r="I1264" s="38">
        <v>3.6965843560550047</v>
      </c>
      <c r="J1264" s="10">
        <v>0</v>
      </c>
      <c r="K1264" s="39">
        <v>0</v>
      </c>
      <c r="L1264" s="39">
        <v>0</v>
      </c>
      <c r="M1264" s="39">
        <v>1</v>
      </c>
      <c r="N1264" s="39">
        <v>0</v>
      </c>
      <c r="O1264" s="39">
        <v>0</v>
      </c>
      <c r="P1264" s="39">
        <v>0</v>
      </c>
      <c r="Q1264" s="39">
        <v>0</v>
      </c>
      <c r="R1264" s="39">
        <v>0</v>
      </c>
      <c r="S1264" s="39">
        <v>0</v>
      </c>
      <c r="T1264" s="39">
        <v>0</v>
      </c>
      <c r="U1264" s="29" cm="1">
        <f t="array" aca="1" ref="U1264" ca="1">+fair_value_gap(OFFSET(T1263,0,0,-1*$J$5,-1*$AA$1),OFFSET(E1263,0,0,-1*$J$5,1),F1264:T1264,0)</f>
        <v>12.305066256086338</v>
      </c>
      <c r="V1264" s="9" cm="1">
        <f t="array" aca="1" ref="V1264" ca="1">z_score_diff(OFFSET(U1264,0,0,$J$5*-1,1),OFFSET(E1264,0,0,$J$5*-1,1))</f>
        <v>-0.1661198009789171</v>
      </c>
      <c r="W1264" s="9">
        <f t="shared" ca="1" si="1336"/>
        <v>-1.7573448142200417E-2</v>
      </c>
      <c r="X1264" s="17">
        <f t="shared" ca="1" si="1331"/>
        <v>-0.10748534088915</v>
      </c>
      <c r="Y1264" s="13">
        <f t="shared" ref="Y1264:Z1264" ca="1" si="1378">+Y1263</f>
        <v>0</v>
      </c>
      <c r="Z1264" s="13">
        <f t="shared" ca="1" si="1378"/>
        <v>0</v>
      </c>
      <c r="AA1264">
        <f t="shared" ca="1" si="1338"/>
        <v>1</v>
      </c>
      <c r="AB1264">
        <f t="shared" ca="1" si="1339"/>
        <v>0</v>
      </c>
      <c r="AC1264" s="24">
        <f t="shared" ca="1" si="1340"/>
        <v>-0.10748534088915</v>
      </c>
      <c r="AD1264" s="24">
        <f t="shared" ca="1" si="1341"/>
        <v>0</v>
      </c>
    </row>
    <row r="1265" spans="3:30" x14ac:dyDescent="0.25">
      <c r="C1265" s="6">
        <v>1359</v>
      </c>
      <c r="D1265" s="36">
        <v>43943</v>
      </c>
      <c r="E1265" s="38">
        <v>12.147</v>
      </c>
      <c r="F1265" s="38">
        <v>32.697527707672371</v>
      </c>
      <c r="G1265" s="38">
        <v>35.520000000000003</v>
      </c>
      <c r="H1265" s="38">
        <v>2.387249430450856</v>
      </c>
      <c r="I1265" s="38">
        <v>3.6793882776430653</v>
      </c>
      <c r="J1265" s="10">
        <v>0</v>
      </c>
      <c r="K1265" s="39">
        <v>0</v>
      </c>
      <c r="L1265" s="39">
        <v>0</v>
      </c>
      <c r="M1265" s="39">
        <v>1</v>
      </c>
      <c r="N1265" s="39">
        <v>0</v>
      </c>
      <c r="O1265" s="39">
        <v>0</v>
      </c>
      <c r="P1265" s="39">
        <v>0</v>
      </c>
      <c r="Q1265" s="39">
        <v>0</v>
      </c>
      <c r="R1265" s="39">
        <v>0</v>
      </c>
      <c r="S1265" s="39">
        <v>0</v>
      </c>
      <c r="T1265" s="39">
        <v>0</v>
      </c>
      <c r="U1265" s="29" cm="1">
        <f t="array" aca="1" ref="U1265" ca="1">+fair_value_gap(OFFSET(T1264,0,0,-1*$J$5,-1*$AA$1),OFFSET(E1264,0,0,-1*$J$5,1),F1265:T1265,0)</f>
        <v>12.541193201732817</v>
      </c>
      <c r="V1265" s="9" cm="1">
        <f t="array" aca="1" ref="V1265" ca="1">z_score_diff(OFFSET(U1265,0,0,$J$5*-1,1),OFFSET(E1265,0,0,$J$5*-1,1))</f>
        <v>6.0652860049821289E-2</v>
      </c>
      <c r="W1265" s="9">
        <f t="shared" ca="1" si="1336"/>
        <v>-2.6329132138441125E-2</v>
      </c>
      <c r="X1265" s="17">
        <f t="shared" ca="1" si="1331"/>
        <v>-8.6270727653216903E-2</v>
      </c>
      <c r="Y1265" s="13">
        <f t="shared" ref="Y1265:Z1265" ca="1" si="1379">+Y1264</f>
        <v>0</v>
      </c>
      <c r="Z1265" s="13">
        <f t="shared" ca="1" si="1379"/>
        <v>0</v>
      </c>
      <c r="AA1265">
        <f t="shared" ca="1" si="1338"/>
        <v>1</v>
      </c>
      <c r="AB1265">
        <f t="shared" ca="1" si="1339"/>
        <v>0</v>
      </c>
      <c r="AC1265" s="24">
        <f t="shared" ca="1" si="1340"/>
        <v>-8.6270727653216903E-2</v>
      </c>
      <c r="AD1265" s="24">
        <f t="shared" ca="1" si="1341"/>
        <v>0</v>
      </c>
    </row>
    <row r="1266" spans="3:30" x14ac:dyDescent="0.25">
      <c r="C1266" s="6">
        <v>1360</v>
      </c>
      <c r="D1266" s="36">
        <v>43944</v>
      </c>
      <c r="E1266" s="38">
        <v>12.084</v>
      </c>
      <c r="F1266" s="38">
        <v>32.529749173186879</v>
      </c>
      <c r="G1266" s="38">
        <v>34.74</v>
      </c>
      <c r="H1266" s="38">
        <v>2.36705442937245</v>
      </c>
      <c r="I1266" s="38">
        <v>3.6338379308282853</v>
      </c>
      <c r="J1266" s="10">
        <v>0</v>
      </c>
      <c r="K1266" s="39">
        <v>0</v>
      </c>
      <c r="L1266" s="39">
        <v>0</v>
      </c>
      <c r="M1266" s="39">
        <v>1</v>
      </c>
      <c r="N1266" s="39">
        <v>0</v>
      </c>
      <c r="O1266" s="39">
        <v>0</v>
      </c>
      <c r="P1266" s="39">
        <v>0</v>
      </c>
      <c r="Q1266" s="39">
        <v>0</v>
      </c>
      <c r="R1266" s="39">
        <v>0</v>
      </c>
      <c r="S1266" s="39">
        <v>0</v>
      </c>
      <c r="T1266" s="39">
        <v>0</v>
      </c>
      <c r="U1266" s="29" cm="1">
        <f t="array" aca="1" ref="U1266" ca="1">+fair_value_gap(OFFSET(T1265,0,0,-1*$J$5,-1*$AA$1),OFFSET(E1265,0,0,-1*$J$5,1),F1266:T1266,0)</f>
        <v>12.287587842377341</v>
      </c>
      <c r="V1266" s="9" cm="1">
        <f t="array" aca="1" ref="V1266" ca="1">z_score_diff(OFFSET(U1266,0,0,$J$5*-1,1),OFFSET(E1266,0,0,$J$5*-1,1))</f>
        <v>-4.0750869489551533E-2</v>
      </c>
      <c r="W1266" s="9">
        <f t="shared" ca="1" si="1336"/>
        <v>-3.3748286351748057E-2</v>
      </c>
      <c r="X1266" s="17">
        <f t="shared" ca="1" si="1331"/>
        <v>-7.2848357887133092E-2</v>
      </c>
      <c r="Y1266" s="13">
        <f t="shared" ref="Y1266:Z1266" ca="1" si="1380">+Y1265</f>
        <v>0</v>
      </c>
      <c r="Z1266" s="13">
        <f t="shared" ca="1" si="1380"/>
        <v>0</v>
      </c>
      <c r="AA1266">
        <f t="shared" ca="1" si="1338"/>
        <v>1</v>
      </c>
      <c r="AB1266">
        <f t="shared" ca="1" si="1339"/>
        <v>0</v>
      </c>
      <c r="AC1266" s="24">
        <f t="shared" ca="1" si="1340"/>
        <v>-7.2848357887133092E-2</v>
      </c>
      <c r="AD1266" s="24">
        <f t="shared" ca="1" si="1341"/>
        <v>0</v>
      </c>
    </row>
    <row r="1267" spans="3:30" x14ac:dyDescent="0.25">
      <c r="C1267" s="6">
        <v>1361</v>
      </c>
      <c r="D1267" s="36">
        <v>43945</v>
      </c>
      <c r="E1267" s="38">
        <v>11.907999999999999</v>
      </c>
      <c r="F1267" s="38">
        <v>32.135053308106386</v>
      </c>
      <c r="G1267" s="38">
        <v>34.58</v>
      </c>
      <c r="H1267" s="38">
        <v>2.3462526809737403</v>
      </c>
      <c r="I1267" s="38">
        <v>3.5486842852354585</v>
      </c>
      <c r="J1267" s="10">
        <v>0</v>
      </c>
      <c r="K1267" s="39">
        <v>0</v>
      </c>
      <c r="L1267" s="39">
        <v>0</v>
      </c>
      <c r="M1267" s="39">
        <v>1</v>
      </c>
      <c r="N1267" s="39">
        <v>0</v>
      </c>
      <c r="O1267" s="39">
        <v>0</v>
      </c>
      <c r="P1267" s="39">
        <v>0</v>
      </c>
      <c r="Q1267" s="39">
        <v>0</v>
      </c>
      <c r="R1267" s="39">
        <v>0</v>
      </c>
      <c r="S1267" s="39">
        <v>0</v>
      </c>
      <c r="T1267" s="39">
        <v>0</v>
      </c>
      <c r="U1267" s="29" cm="1">
        <f t="array" aca="1" ref="U1267" ca="1">+fair_value_gap(OFFSET(T1266,0,0,-1*$J$5,-1*$AA$1),OFFSET(E1266,0,0,-1*$J$5,1),F1267:T1267,0)</f>
        <v>12.126384501587337</v>
      </c>
      <c r="V1267" s="9" cm="1">
        <f t="array" aca="1" ref="V1267" ca="1">z_score_diff(OFFSET(U1267,0,0,$J$5*-1,1),OFFSET(E1267,0,0,$J$5*-1,1))</f>
        <v>-3.1428546516964584E-2</v>
      </c>
      <c r="W1267" s="9">
        <f t="shared" ca="1" si="1336"/>
        <v>-3.7127112457052573E-2</v>
      </c>
      <c r="X1267" s="17">
        <f t="shared" ca="1" si="1331"/>
        <v>-2.3622476622956752E-2</v>
      </c>
      <c r="Y1267" s="13">
        <f t="shared" ref="Y1267:Z1267" ca="1" si="1381">+Y1266</f>
        <v>0</v>
      </c>
      <c r="Z1267" s="13">
        <f t="shared" ca="1" si="1381"/>
        <v>0</v>
      </c>
      <c r="AA1267">
        <f t="shared" ca="1" si="1338"/>
        <v>1</v>
      </c>
      <c r="AB1267">
        <f t="shared" ca="1" si="1339"/>
        <v>0</v>
      </c>
      <c r="AC1267" s="24">
        <f t="shared" ca="1" si="1340"/>
        <v>-2.3622476622956752E-2</v>
      </c>
      <c r="AD1267" s="24">
        <f t="shared" ca="1" si="1341"/>
        <v>0</v>
      </c>
    </row>
    <row r="1268" spans="3:30" x14ac:dyDescent="0.25">
      <c r="C1268" s="6">
        <v>1362</v>
      </c>
      <c r="D1268" s="36">
        <v>43948</v>
      </c>
      <c r="E1268" s="38">
        <v>11.772</v>
      </c>
      <c r="F1268" s="38">
        <v>31.616891878285035</v>
      </c>
      <c r="G1268" s="38">
        <v>33.86</v>
      </c>
      <c r="H1268" s="38">
        <v>2.3808782795431203</v>
      </c>
      <c r="I1268" s="38">
        <v>3.5241758463056567</v>
      </c>
      <c r="J1268" s="10">
        <v>0</v>
      </c>
      <c r="K1268" s="39">
        <v>0</v>
      </c>
      <c r="L1268" s="39">
        <v>0</v>
      </c>
      <c r="M1268" s="39">
        <v>1</v>
      </c>
      <c r="N1268" s="39">
        <v>0</v>
      </c>
      <c r="O1268" s="39">
        <v>0</v>
      </c>
      <c r="P1268" s="39">
        <v>0</v>
      </c>
      <c r="Q1268" s="39">
        <v>0</v>
      </c>
      <c r="R1268" s="39">
        <v>0</v>
      </c>
      <c r="S1268" s="39">
        <v>0</v>
      </c>
      <c r="T1268" s="39">
        <v>0</v>
      </c>
      <c r="U1268" s="29" cm="1">
        <f t="array" aca="1" ref="U1268" ca="1">+fair_value_gap(OFFSET(T1267,0,0,-1*$J$5,-1*$AA$1),OFFSET(E1267,0,0,-1*$J$5,1),F1268:T1268,0)</f>
        <v>11.979221069994161</v>
      </c>
      <c r="V1268" s="9" cm="1">
        <f t="array" aca="1" ref="V1268" ca="1">z_score_diff(OFFSET(U1268,0,0,$J$5*-1,1),OFFSET(E1268,0,0,$J$5*-1,1))</f>
        <v>-3.6108811405616503E-2</v>
      </c>
      <c r="W1268" s="9">
        <f t="shared" ca="1" si="1336"/>
        <v>-4.0674546984103159E-2</v>
      </c>
      <c r="X1268" s="17">
        <f t="shared" ca="1" si="1331"/>
        <v>-3.6329890513484765E-2</v>
      </c>
      <c r="Y1268" s="13">
        <f t="shared" ref="Y1268:Z1268" ca="1" si="1382">+Y1267</f>
        <v>0</v>
      </c>
      <c r="Z1268" s="13">
        <f t="shared" ca="1" si="1382"/>
        <v>0</v>
      </c>
      <c r="AA1268">
        <f t="shared" ca="1" si="1338"/>
        <v>1</v>
      </c>
      <c r="AB1268">
        <f t="shared" ca="1" si="1339"/>
        <v>0</v>
      </c>
      <c r="AC1268" s="24">
        <f t="shared" ca="1" si="1340"/>
        <v>-3.6329890513484765E-2</v>
      </c>
      <c r="AD1268" s="24">
        <f t="shared" ca="1" si="1341"/>
        <v>0</v>
      </c>
    </row>
    <row r="1269" spans="3:30" x14ac:dyDescent="0.25">
      <c r="C1269" s="6">
        <v>1363</v>
      </c>
      <c r="D1269" s="36">
        <v>43949</v>
      </c>
      <c r="E1269" s="38">
        <v>11.736000000000001</v>
      </c>
      <c r="F1269" s="38">
        <v>31.377887796337809</v>
      </c>
      <c r="G1269" s="38">
        <v>34.369999999999997</v>
      </c>
      <c r="H1269" s="38">
        <v>2.3911324714873481</v>
      </c>
      <c r="I1269" s="38">
        <v>3.4905037227458995</v>
      </c>
      <c r="J1269" s="10">
        <v>0</v>
      </c>
      <c r="K1269" s="39">
        <v>0</v>
      </c>
      <c r="L1269" s="39">
        <v>0</v>
      </c>
      <c r="M1269" s="39">
        <v>1</v>
      </c>
      <c r="N1269" s="39">
        <v>0</v>
      </c>
      <c r="O1269" s="39">
        <v>0</v>
      </c>
      <c r="P1269" s="39">
        <v>0</v>
      </c>
      <c r="Q1269" s="39">
        <v>0</v>
      </c>
      <c r="R1269" s="39">
        <v>0</v>
      </c>
      <c r="S1269" s="39">
        <v>0</v>
      </c>
      <c r="T1269" s="39">
        <v>0</v>
      </c>
      <c r="U1269" s="29" cm="1">
        <f t="array" aca="1" ref="U1269" ca="1">+fair_value_gap(OFFSET(T1268,0,0,-1*$J$5,-1*$AA$1),OFFSET(E1268,0,0,-1*$J$5,1),F1269:T1269,0)</f>
        <v>12.026290262358602</v>
      </c>
      <c r="V1269" s="9" cm="1">
        <f t="array" aca="1" ref="V1269" ca="1">z_score_diff(OFFSET(U1269,0,0,$J$5*-1,1),OFFSET(E1269,0,0,$J$5*-1,1))</f>
        <v>4.8213291996930252E-3</v>
      </c>
      <c r="W1269" s="9">
        <f t="shared" ca="1" si="1336"/>
        <v>-3.7847390450326389E-2</v>
      </c>
      <c r="X1269" s="17">
        <f t="shared" ca="1" si="1331"/>
        <v>-5.0235482167102871E-2</v>
      </c>
      <c r="Y1269" s="13">
        <f t="shared" ref="Y1269:Z1269" ca="1" si="1383">+Y1268</f>
        <v>0</v>
      </c>
      <c r="Z1269" s="13">
        <f t="shared" ca="1" si="1383"/>
        <v>0</v>
      </c>
      <c r="AA1269">
        <f t="shared" ca="1" si="1338"/>
        <v>1</v>
      </c>
      <c r="AB1269">
        <f t="shared" ca="1" si="1339"/>
        <v>0</v>
      </c>
      <c r="AC1269" s="24">
        <f t="shared" ca="1" si="1340"/>
        <v>-5.0235482167102871E-2</v>
      </c>
      <c r="AD1269" s="24">
        <f t="shared" ca="1" si="1341"/>
        <v>0</v>
      </c>
    </row>
    <row r="1270" spans="3:30" x14ac:dyDescent="0.25">
      <c r="C1270" s="6">
        <v>1364</v>
      </c>
      <c r="D1270" s="36">
        <v>43950</v>
      </c>
      <c r="E1270" s="38">
        <v>11.675000000000001</v>
      </c>
      <c r="F1270" s="38">
        <v>31.484704889019383</v>
      </c>
      <c r="G1270" s="38">
        <v>34.06</v>
      </c>
      <c r="H1270" s="38">
        <v>2.3396974441130531</v>
      </c>
      <c r="I1270" s="38">
        <v>3.4876627917897229</v>
      </c>
      <c r="J1270" s="10">
        <v>0</v>
      </c>
      <c r="K1270" s="39">
        <v>0</v>
      </c>
      <c r="L1270" s="39">
        <v>0</v>
      </c>
      <c r="M1270" s="39">
        <v>1</v>
      </c>
      <c r="N1270" s="39">
        <v>0</v>
      </c>
      <c r="O1270" s="39">
        <v>0</v>
      </c>
      <c r="P1270" s="39">
        <v>0</v>
      </c>
      <c r="Q1270" s="39">
        <v>0</v>
      </c>
      <c r="R1270" s="39">
        <v>0</v>
      </c>
      <c r="S1270" s="39">
        <v>0</v>
      </c>
      <c r="T1270" s="39">
        <v>0</v>
      </c>
      <c r="U1270" s="29" cm="1">
        <f t="array" aca="1" ref="U1270" ca="1">+fair_value_gap(OFFSET(T1269,0,0,-1*$J$5,-1*$AA$1),OFFSET(E1269,0,0,-1*$J$5,1),F1270:T1270,0)</f>
        <v>11.90080973796579</v>
      </c>
      <c r="V1270" s="9" cm="1">
        <f t="array" aca="1" ref="V1270" ca="1">z_score_diff(OFFSET(U1270,0,0,$J$5*-1,1),OFFSET(E1270,0,0,$J$5*-1,1))</f>
        <v>-2.7562925507405023E-2</v>
      </c>
      <c r="W1270" s="9">
        <f t="shared" ca="1" si="1336"/>
        <v>-1.9820810394395035E-2</v>
      </c>
      <c r="X1270" s="17">
        <f t="shared" ca="1" si="1331"/>
        <v>-3.7526218143682177E-2</v>
      </c>
      <c r="Y1270" s="13">
        <f t="shared" ref="Y1270:Z1270" ca="1" si="1384">+Y1269</f>
        <v>0</v>
      </c>
      <c r="Z1270" s="13">
        <f t="shared" ca="1" si="1384"/>
        <v>0</v>
      </c>
      <c r="AA1270">
        <f t="shared" ca="1" si="1338"/>
        <v>1</v>
      </c>
      <c r="AB1270">
        <f t="shared" ca="1" si="1339"/>
        <v>0</v>
      </c>
      <c r="AC1270" s="24">
        <f t="shared" ca="1" si="1340"/>
        <v>-3.7526218143682177E-2</v>
      </c>
      <c r="AD1270" s="24">
        <f t="shared" ca="1" si="1341"/>
        <v>0</v>
      </c>
    </row>
    <row r="1271" spans="3:30" x14ac:dyDescent="0.25">
      <c r="C1271" s="6">
        <v>1365</v>
      </c>
      <c r="D1271" s="36">
        <v>43951</v>
      </c>
      <c r="E1271" s="38">
        <v>11.407999999999999</v>
      </c>
      <c r="F1271" s="38">
        <v>32.485899997013</v>
      </c>
      <c r="G1271" s="38">
        <v>33.01</v>
      </c>
      <c r="H1271" s="38">
        <v>2.3361969320783103</v>
      </c>
      <c r="I1271" s="38">
        <v>3.4622058369622382</v>
      </c>
      <c r="J1271" s="10">
        <v>0</v>
      </c>
      <c r="K1271" s="39">
        <v>0</v>
      </c>
      <c r="L1271" s="39">
        <v>0</v>
      </c>
      <c r="M1271" s="39">
        <v>1</v>
      </c>
      <c r="N1271" s="39">
        <v>0</v>
      </c>
      <c r="O1271" s="39">
        <v>0</v>
      </c>
      <c r="P1271" s="39">
        <v>0</v>
      </c>
      <c r="Q1271" s="39">
        <v>0</v>
      </c>
      <c r="R1271" s="39">
        <v>0</v>
      </c>
      <c r="S1271" s="39">
        <v>0</v>
      </c>
      <c r="T1271" s="39">
        <v>0</v>
      </c>
      <c r="U1271" s="29" cm="1">
        <f t="array" aca="1" ref="U1271" ca="1">+fair_value_gap(OFFSET(T1270,0,0,-1*$J$5,-1*$AA$1),OFFSET(E1270,0,0,-1*$J$5,1),F1271:T1271,0)</f>
        <v>11.679337605372318</v>
      </c>
      <c r="V1271" s="9" cm="1">
        <f t="array" aca="1" ref="V1271" ca="1">z_score_diff(OFFSET(U1271,0,0,$J$5*-1,1),OFFSET(E1271,0,0,$J$5*-1,1))</f>
        <v>-2.6211186490345817E-3</v>
      </c>
      <c r="W1271" s="9">
        <f t="shared" ca="1" si="1336"/>
        <v>-4.7356539500506226E-3</v>
      </c>
      <c r="X1271" s="17">
        <f t="shared" ca="1" si="1331"/>
        <v>-2.332389683410797E-2</v>
      </c>
      <c r="Y1271" s="13">
        <f t="shared" ref="Y1271:Z1271" ca="1" si="1385">+Y1270</f>
        <v>0</v>
      </c>
      <c r="Z1271" s="13">
        <f t="shared" ca="1" si="1385"/>
        <v>0</v>
      </c>
      <c r="AA1271">
        <f t="shared" ca="1" si="1338"/>
        <v>1</v>
      </c>
      <c r="AB1271">
        <f t="shared" ca="1" si="1339"/>
        <v>0</v>
      </c>
      <c r="AC1271" s="24">
        <f t="shared" ca="1" si="1340"/>
        <v>-2.332389683410797E-2</v>
      </c>
      <c r="AD1271" s="24">
        <f t="shared" ca="1" si="1341"/>
        <v>0</v>
      </c>
    </row>
    <row r="1272" spans="3:30" x14ac:dyDescent="0.25">
      <c r="C1272" s="6">
        <v>1366</v>
      </c>
      <c r="D1272" s="36">
        <v>43952</v>
      </c>
      <c r="E1272" s="38">
        <v>11.202</v>
      </c>
      <c r="F1272" s="38">
        <v>32.024117373625231</v>
      </c>
      <c r="G1272" s="38">
        <v>32.659999999999997</v>
      </c>
      <c r="H1272" s="38">
        <v>2.3187699417374077</v>
      </c>
      <c r="I1272" s="38">
        <v>3.4524309175342878</v>
      </c>
      <c r="J1272" s="10">
        <v>0</v>
      </c>
      <c r="K1272" s="39">
        <v>0</v>
      </c>
      <c r="L1272" s="39">
        <v>0</v>
      </c>
      <c r="M1272" s="39">
        <v>0</v>
      </c>
      <c r="N1272" s="39">
        <v>1</v>
      </c>
      <c r="O1272" s="39">
        <v>0</v>
      </c>
      <c r="P1272" s="39">
        <v>0</v>
      </c>
      <c r="Q1272" s="39">
        <v>0</v>
      </c>
      <c r="R1272" s="39">
        <v>0</v>
      </c>
      <c r="S1272" s="39">
        <v>0</v>
      </c>
      <c r="T1272" s="39">
        <v>0</v>
      </c>
      <c r="U1272" s="29" cm="1">
        <f t="array" aca="1" ref="U1272" ca="1">+fair_value_gap(OFFSET(T1271,0,0,-1*$J$5,-1*$AA$1),OFFSET(E1271,0,0,-1*$J$5,1),F1272:T1272,0)</f>
        <v>12.715429480166032</v>
      </c>
      <c r="V1272" s="9" cm="1">
        <f t="array" aca="1" ref="V1272" ca="1">z_score_diff(OFFSET(U1272,0,0,$J$5*-1,1),OFFSET(E1272,0,0,$J$5*-1,1))</f>
        <v>0.594390215947455</v>
      </c>
      <c r="W1272" s="9">
        <f t="shared" ca="1" si="1336"/>
        <v>3.2661050464751117E-2</v>
      </c>
      <c r="X1272" s="17">
        <f t="shared" ca="1" si="1331"/>
        <v>-1.3209519478231022E-2</v>
      </c>
      <c r="Y1272" s="13">
        <f t="shared" ref="Y1272:Z1272" ca="1" si="1386">+Y1271</f>
        <v>0</v>
      </c>
      <c r="Z1272" s="13">
        <f t="shared" ca="1" si="1386"/>
        <v>0</v>
      </c>
      <c r="AA1272">
        <f t="shared" ca="1" si="1338"/>
        <v>0</v>
      </c>
      <c r="AB1272">
        <f t="shared" ca="1" si="1339"/>
        <v>1</v>
      </c>
      <c r="AC1272" s="24">
        <f t="shared" ca="1" si="1340"/>
        <v>0</v>
      </c>
      <c r="AD1272" s="24">
        <f t="shared" ca="1" si="1341"/>
        <v>-1.3209519478231022E-2</v>
      </c>
    </row>
    <row r="1273" spans="3:30" x14ac:dyDescent="0.25">
      <c r="C1273" s="6">
        <v>1367</v>
      </c>
      <c r="D1273" s="36">
        <v>43955</v>
      </c>
      <c r="E1273" s="38">
        <v>11.297000000000001</v>
      </c>
      <c r="F1273" s="38">
        <v>32.165481718329687</v>
      </c>
      <c r="G1273" s="38">
        <v>32.700000000000003</v>
      </c>
      <c r="H1273" s="38">
        <v>2.355346272278029</v>
      </c>
      <c r="I1273" s="38">
        <v>3.4784554021094447</v>
      </c>
      <c r="J1273" s="10">
        <v>0</v>
      </c>
      <c r="K1273" s="39">
        <v>0</v>
      </c>
      <c r="L1273" s="39">
        <v>0</v>
      </c>
      <c r="M1273" s="39">
        <v>0</v>
      </c>
      <c r="N1273" s="39">
        <v>1</v>
      </c>
      <c r="O1273" s="39">
        <v>0</v>
      </c>
      <c r="P1273" s="39">
        <v>0</v>
      </c>
      <c r="Q1273" s="39">
        <v>0</v>
      </c>
      <c r="R1273" s="39">
        <v>0</v>
      </c>
      <c r="S1273" s="39">
        <v>0</v>
      </c>
      <c r="T1273" s="39">
        <v>0</v>
      </c>
      <c r="U1273" s="29" cm="1">
        <f t="array" aca="1" ref="U1273" ca="1">+fair_value_gap(OFFSET(T1272,0,0,-1*$J$5,-1*$AA$1),OFFSET(E1272,0,0,-1*$J$5,1),F1273:T1273,0)</f>
        <v>12.203560566606233</v>
      </c>
      <c r="V1273" s="9" cm="1">
        <f t="array" aca="1" ref="V1273" ca="1">z_score_diff(OFFSET(U1273,0,0,$J$5*-1,1),OFFSET(E1273,0,0,$J$5*-1,1))</f>
        <v>0.28340522901478371</v>
      </c>
      <c r="W1273" s="9">
        <f t="shared" ca="1" si="1336"/>
        <v>5.6648512485519706E-2</v>
      </c>
      <c r="X1273" s="17">
        <f t="shared" ca="1" si="1331"/>
        <v>-3.2202818607138015E-2</v>
      </c>
      <c r="Y1273" s="13">
        <f t="shared" ref="Y1273:Z1273" ca="1" si="1387">+Y1272</f>
        <v>0</v>
      </c>
      <c r="Z1273" s="13">
        <f t="shared" ca="1" si="1387"/>
        <v>0</v>
      </c>
      <c r="AA1273">
        <f t="shared" ca="1" si="1338"/>
        <v>0</v>
      </c>
      <c r="AB1273">
        <f t="shared" ca="1" si="1339"/>
        <v>1</v>
      </c>
      <c r="AC1273" s="24">
        <f t="shared" ca="1" si="1340"/>
        <v>0</v>
      </c>
      <c r="AD1273" s="24">
        <f t="shared" ca="1" si="1341"/>
        <v>-3.2202818607138015E-2</v>
      </c>
    </row>
    <row r="1274" spans="3:30" x14ac:dyDescent="0.25">
      <c r="C1274" s="6">
        <v>1368</v>
      </c>
      <c r="D1274" s="36">
        <v>43956</v>
      </c>
      <c r="E1274" s="38">
        <v>11.42</v>
      </c>
      <c r="F1274" s="38">
        <v>34.200714931232696</v>
      </c>
      <c r="G1274" s="38">
        <v>32.82</v>
      </c>
      <c r="H1274" s="38">
        <v>2.3489552271571426</v>
      </c>
      <c r="I1274" s="38">
        <v>3.5261769473094953</v>
      </c>
      <c r="J1274" s="10">
        <v>0</v>
      </c>
      <c r="K1274" s="39">
        <v>0</v>
      </c>
      <c r="L1274" s="39">
        <v>0</v>
      </c>
      <c r="M1274" s="39">
        <v>0</v>
      </c>
      <c r="N1274" s="39">
        <v>1</v>
      </c>
      <c r="O1274" s="39">
        <v>0</v>
      </c>
      <c r="P1274" s="39">
        <v>0</v>
      </c>
      <c r="Q1274" s="39">
        <v>0</v>
      </c>
      <c r="R1274" s="39">
        <v>0</v>
      </c>
      <c r="S1274" s="39">
        <v>0</v>
      </c>
      <c r="T1274" s="39">
        <v>0</v>
      </c>
      <c r="U1274" s="29" cm="1">
        <f t="array" aca="1" ref="U1274" ca="1">+fair_value_gap(OFFSET(T1273,0,0,-1*$J$5,-1*$AA$1),OFFSET(E1273,0,0,-1*$J$5,1),F1274:T1274,0)</f>
        <v>12.096563812890544</v>
      </c>
      <c r="V1274" s="9" cm="1">
        <f t="array" aca="1" ref="V1274" ca="1">z_score_diff(OFFSET(U1274,0,0,$J$5*-1,1),OFFSET(E1274,0,0,$J$5*-1,1))</f>
        <v>0.1643335488682216</v>
      </c>
      <c r="W1274" s="9">
        <f t="shared" ca="1" si="1336"/>
        <v>6.9443964484588394E-2</v>
      </c>
      <c r="X1274" s="17">
        <f t="shared" ca="1" si="1331"/>
        <v>-2.6890735976386099E-2</v>
      </c>
      <c r="Y1274" s="13">
        <f t="shared" ref="Y1274:Z1274" ca="1" si="1388">+Y1273</f>
        <v>0</v>
      </c>
      <c r="Z1274" s="13">
        <f t="shared" ca="1" si="1388"/>
        <v>0</v>
      </c>
      <c r="AA1274">
        <f t="shared" ca="1" si="1338"/>
        <v>0</v>
      </c>
      <c r="AB1274">
        <f t="shared" ca="1" si="1339"/>
        <v>1</v>
      </c>
      <c r="AC1274" s="24">
        <f t="shared" ca="1" si="1340"/>
        <v>0</v>
      </c>
      <c r="AD1274" s="24">
        <f t="shared" ca="1" si="1341"/>
        <v>-2.6890735976386099E-2</v>
      </c>
    </row>
    <row r="1275" spans="3:30" x14ac:dyDescent="0.25">
      <c r="C1275" s="6">
        <v>1369</v>
      </c>
      <c r="D1275" s="36">
        <v>43957</v>
      </c>
      <c r="E1275" s="38">
        <v>11.445</v>
      </c>
      <c r="F1275" s="38">
        <v>33.309479605981743</v>
      </c>
      <c r="G1275" s="38">
        <v>32.93</v>
      </c>
      <c r="H1275" s="38">
        <v>2.3342357330060564</v>
      </c>
      <c r="I1275" s="38">
        <v>3.5367208075849343</v>
      </c>
      <c r="J1275" s="10">
        <v>0</v>
      </c>
      <c r="K1275" s="39">
        <v>0</v>
      </c>
      <c r="L1275" s="39">
        <v>0</v>
      </c>
      <c r="M1275" s="39">
        <v>0</v>
      </c>
      <c r="N1275" s="39">
        <v>1</v>
      </c>
      <c r="O1275" s="39">
        <v>0</v>
      </c>
      <c r="P1275" s="39">
        <v>0</v>
      </c>
      <c r="Q1275" s="39">
        <v>0</v>
      </c>
      <c r="R1275" s="39">
        <v>0</v>
      </c>
      <c r="S1275" s="39">
        <v>0</v>
      </c>
      <c r="T1275" s="39">
        <v>0</v>
      </c>
      <c r="U1275" s="29" cm="1">
        <f t="array" aca="1" ref="U1275" ca="1">+fair_value_gap(OFFSET(T1274,0,0,-1*$J$5,-1*$AA$1),OFFSET(E1274,0,0,-1*$J$5,1),F1275:T1275,0)</f>
        <v>11.953894516630358</v>
      </c>
      <c r="V1275" s="9" cm="1">
        <f t="array" aca="1" ref="V1275" ca="1">z_score_diff(OFFSET(U1275,0,0,$J$5*-1,1),OFFSET(E1275,0,0,$J$5*-1,1))</f>
        <v>8.0608922846638009E-2</v>
      </c>
      <c r="W1275" s="9">
        <f t="shared" ca="1" si="1336"/>
        <v>7.6398234830301892E-2</v>
      </c>
      <c r="X1275" s="17">
        <f t="shared" ca="1" si="1331"/>
        <v>-2.6472264257185376E-2</v>
      </c>
      <c r="Y1275" s="13">
        <f t="shared" ref="Y1275:Z1275" ca="1" si="1389">+Y1274</f>
        <v>0</v>
      </c>
      <c r="Z1275" s="13">
        <f t="shared" ca="1" si="1389"/>
        <v>0</v>
      </c>
      <c r="AA1275">
        <f t="shared" ca="1" si="1338"/>
        <v>0</v>
      </c>
      <c r="AB1275">
        <f t="shared" ca="1" si="1339"/>
        <v>1</v>
      </c>
      <c r="AC1275" s="24">
        <f t="shared" ca="1" si="1340"/>
        <v>0</v>
      </c>
      <c r="AD1275" s="24">
        <f t="shared" ca="1" si="1341"/>
        <v>-2.6472264257185376E-2</v>
      </c>
    </row>
    <row r="1276" spans="3:30" x14ac:dyDescent="0.25">
      <c r="C1276" s="6">
        <v>1370</v>
      </c>
      <c r="D1276" s="36">
        <v>43958</v>
      </c>
      <c r="E1276" s="38">
        <v>11.711</v>
      </c>
      <c r="F1276" s="38">
        <v>33.070370010825023</v>
      </c>
      <c r="G1276" s="38">
        <v>33.31</v>
      </c>
      <c r="H1276" s="38">
        <v>2.313369001588037</v>
      </c>
      <c r="I1276" s="38">
        <v>3.5717098599340238</v>
      </c>
      <c r="J1276" s="10">
        <v>0</v>
      </c>
      <c r="K1276" s="39">
        <v>0</v>
      </c>
      <c r="L1276" s="39">
        <v>0</v>
      </c>
      <c r="M1276" s="39">
        <v>0</v>
      </c>
      <c r="N1276" s="39">
        <v>1</v>
      </c>
      <c r="O1276" s="39">
        <v>0</v>
      </c>
      <c r="P1276" s="39">
        <v>0</v>
      </c>
      <c r="Q1276" s="39">
        <v>0</v>
      </c>
      <c r="R1276" s="39">
        <v>0</v>
      </c>
      <c r="S1276" s="39">
        <v>0</v>
      </c>
      <c r="T1276" s="39">
        <v>0</v>
      </c>
      <c r="U1276" s="29" cm="1">
        <f t="array" aca="1" ref="U1276" ca="1">+fair_value_gap(OFFSET(T1275,0,0,-1*$J$5,-1*$AA$1),OFFSET(E1275,0,0,-1*$J$5,1),F1276:T1276,0)</f>
        <v>11.964658099679042</v>
      </c>
      <c r="V1276" s="9" cm="1">
        <f t="array" aca="1" ref="V1276" ca="1">z_score_diff(OFFSET(U1276,0,0,$J$5*-1,1),OFFSET(E1276,0,0,$J$5*-1,1))</f>
        <v>-4.2667050803153472E-2</v>
      </c>
      <c r="W1276" s="9">
        <f t="shared" ca="1" si="1336"/>
        <v>8.1624729462120849E-2</v>
      </c>
      <c r="X1276" s="17">
        <f t="shared" ca="1" si="1331"/>
        <v>-3.1310827132588606E-2</v>
      </c>
      <c r="Y1276" s="13">
        <f t="shared" ref="Y1276:Z1276" ca="1" si="1390">+Y1275</f>
        <v>0</v>
      </c>
      <c r="Z1276" s="13">
        <f t="shared" ca="1" si="1390"/>
        <v>0</v>
      </c>
      <c r="AA1276">
        <f t="shared" ca="1" si="1338"/>
        <v>0</v>
      </c>
      <c r="AB1276">
        <f t="shared" ca="1" si="1339"/>
        <v>1</v>
      </c>
      <c r="AC1276" s="24">
        <f t="shared" ca="1" si="1340"/>
        <v>0</v>
      </c>
      <c r="AD1276" s="24">
        <f t="shared" ca="1" si="1341"/>
        <v>-3.1310827132588606E-2</v>
      </c>
    </row>
    <row r="1277" spans="3:30" x14ac:dyDescent="0.25">
      <c r="C1277" s="6">
        <v>1371</v>
      </c>
      <c r="D1277" s="36">
        <v>43959</v>
      </c>
      <c r="E1277" s="38">
        <v>11.715</v>
      </c>
      <c r="F1277" s="38">
        <v>34.684830990361249</v>
      </c>
      <c r="G1277" s="38">
        <v>33.880000000000003</v>
      </c>
      <c r="H1277" s="38">
        <v>2.306527536974432</v>
      </c>
      <c r="I1277" s="38">
        <v>3.5682099937327592</v>
      </c>
      <c r="J1277" s="10">
        <v>0</v>
      </c>
      <c r="K1277" s="39">
        <v>0</v>
      </c>
      <c r="L1277" s="39">
        <v>0</v>
      </c>
      <c r="M1277" s="39">
        <v>0</v>
      </c>
      <c r="N1277" s="39">
        <v>1</v>
      </c>
      <c r="O1277" s="39">
        <v>0</v>
      </c>
      <c r="P1277" s="39">
        <v>0</v>
      </c>
      <c r="Q1277" s="39">
        <v>0</v>
      </c>
      <c r="R1277" s="39">
        <v>0</v>
      </c>
      <c r="S1277" s="39">
        <v>0</v>
      </c>
      <c r="T1277" s="39">
        <v>0</v>
      </c>
      <c r="U1277" s="29" cm="1">
        <f t="array" aca="1" ref="U1277" ca="1">+fair_value_gap(OFFSET(T1276,0,0,-1*$J$5,-1*$AA$1),OFFSET(E1276,0,0,-1*$J$5,1),F1277:T1277,0)</f>
        <v>12.094709809336594</v>
      </c>
      <c r="V1277" s="9" cm="1">
        <f t="array" aca="1" ref="V1277" ca="1">z_score_diff(OFFSET(U1277,0,0,$J$5*-1,1),OFFSET(E1277,0,0,$J$5*-1,1))</f>
        <v>1.7216403035080319E-2</v>
      </c>
      <c r="W1277" s="9">
        <f t="shared" ca="1" si="1336"/>
        <v>9.0020559099981939E-2</v>
      </c>
      <c r="X1277" s="17">
        <f t="shared" ca="1" si="1331"/>
        <v>-2.2967682018083649E-2</v>
      </c>
      <c r="Y1277" s="13">
        <f t="shared" ref="Y1277:Z1277" ca="1" si="1391">+Y1276</f>
        <v>0</v>
      </c>
      <c r="Z1277" s="13">
        <f t="shared" ca="1" si="1391"/>
        <v>0</v>
      </c>
      <c r="AA1277">
        <f t="shared" ca="1" si="1338"/>
        <v>0</v>
      </c>
      <c r="AB1277">
        <f t="shared" ca="1" si="1339"/>
        <v>1</v>
      </c>
      <c r="AC1277" s="24">
        <f t="shared" ca="1" si="1340"/>
        <v>0</v>
      </c>
      <c r="AD1277" s="24">
        <f t="shared" ca="1" si="1341"/>
        <v>-2.2967682018083649E-2</v>
      </c>
    </row>
    <row r="1278" spans="3:30" x14ac:dyDescent="0.25">
      <c r="C1278" s="6">
        <v>1372</v>
      </c>
      <c r="D1278" s="36">
        <v>43962</v>
      </c>
      <c r="E1278" s="38">
        <v>11.72</v>
      </c>
      <c r="F1278" s="38">
        <v>33.636968542780444</v>
      </c>
      <c r="G1278" s="38">
        <v>33.590000000000003</v>
      </c>
      <c r="H1278" s="38">
        <v>2.3220062868549665</v>
      </c>
      <c r="I1278" s="38">
        <v>3.5793772801321615</v>
      </c>
      <c r="J1278" s="10">
        <v>0</v>
      </c>
      <c r="K1278" s="39">
        <v>0</v>
      </c>
      <c r="L1278" s="39">
        <v>0</v>
      </c>
      <c r="M1278" s="39">
        <v>0</v>
      </c>
      <c r="N1278" s="39">
        <v>1</v>
      </c>
      <c r="O1278" s="39">
        <v>0</v>
      </c>
      <c r="P1278" s="39">
        <v>0</v>
      </c>
      <c r="Q1278" s="39">
        <v>0</v>
      </c>
      <c r="R1278" s="39">
        <v>0</v>
      </c>
      <c r="S1278" s="39">
        <v>0</v>
      </c>
      <c r="T1278" s="39">
        <v>0</v>
      </c>
      <c r="U1278" s="29" cm="1">
        <f t="array" aca="1" ref="U1278" ca="1">+fair_value_gap(OFFSET(T1277,0,0,-1*$J$5,-1*$AA$1),OFFSET(E1277,0,0,-1*$J$5,1),F1278:T1278,0)</f>
        <v>11.960803311385419</v>
      </c>
      <c r="V1278" s="9" cm="1">
        <f t="array" aca="1" ref="V1278" ca="1">z_score_diff(OFFSET(U1278,0,0,$J$5*-1,1),OFFSET(E1278,0,0,$J$5*-1,1))</f>
        <v>-4.6696974167885319E-2</v>
      </c>
      <c r="W1278" s="9">
        <f t="shared" ca="1" si="1336"/>
        <v>9.4391572145161501E-2</v>
      </c>
      <c r="X1278" s="17">
        <f t="shared" ca="1" si="1331"/>
        <v>-3.3048673159163787E-2</v>
      </c>
      <c r="Y1278" s="13">
        <f t="shared" ref="Y1278:Z1278" ca="1" si="1392">+Y1277</f>
        <v>0</v>
      </c>
      <c r="Z1278" s="13">
        <f t="shared" ca="1" si="1392"/>
        <v>0</v>
      </c>
      <c r="AA1278">
        <f t="shared" ca="1" si="1338"/>
        <v>0</v>
      </c>
      <c r="AB1278">
        <f t="shared" ca="1" si="1339"/>
        <v>1</v>
      </c>
      <c r="AC1278" s="24">
        <f t="shared" ca="1" si="1340"/>
        <v>0</v>
      </c>
      <c r="AD1278" s="24">
        <f t="shared" ca="1" si="1341"/>
        <v>-3.3048673159163787E-2</v>
      </c>
    </row>
    <row r="1279" spans="3:30" x14ac:dyDescent="0.25">
      <c r="C1279" s="6">
        <v>1373</v>
      </c>
      <c r="D1279" s="36">
        <v>43963</v>
      </c>
      <c r="E1279" s="38">
        <v>11.451000000000001</v>
      </c>
      <c r="F1279" s="38">
        <v>33.280807153315777</v>
      </c>
      <c r="G1279" s="38">
        <v>32.840000000000003</v>
      </c>
      <c r="H1279" s="38">
        <v>2.2891415307707996</v>
      </c>
      <c r="I1279" s="38">
        <v>3.5439166726875144</v>
      </c>
      <c r="J1279" s="10">
        <v>0</v>
      </c>
      <c r="K1279" s="39">
        <v>0</v>
      </c>
      <c r="L1279" s="39">
        <v>0</v>
      </c>
      <c r="M1279" s="39">
        <v>0</v>
      </c>
      <c r="N1279" s="39">
        <v>1</v>
      </c>
      <c r="O1279" s="39">
        <v>0</v>
      </c>
      <c r="P1279" s="39">
        <v>0</v>
      </c>
      <c r="Q1279" s="39">
        <v>0</v>
      </c>
      <c r="R1279" s="39">
        <v>0</v>
      </c>
      <c r="S1279" s="39">
        <v>0</v>
      </c>
      <c r="T1279" s="39">
        <v>0</v>
      </c>
      <c r="U1279" s="29" cm="1">
        <f t="array" aca="1" ref="U1279" ca="1">+fair_value_gap(OFFSET(T1278,0,0,-1*$J$5,-1*$AA$1),OFFSET(E1278,0,0,-1*$J$5,1),F1279:T1279,0)</f>
        <v>11.739801247528433</v>
      </c>
      <c r="V1279" s="9" cm="1">
        <f t="array" aca="1" ref="V1279" ca="1">z_score_diff(OFFSET(U1279,0,0,$J$5*-1,1),OFFSET(E1279,0,0,$J$5*-1,1))</f>
        <v>-2.0703908801968485E-2</v>
      </c>
      <c r="W1279" s="9">
        <f t="shared" ca="1" si="1336"/>
        <v>9.9761852736496598E-2</v>
      </c>
      <c r="X1279" s="17">
        <f t="shared" ca="1" si="1331"/>
        <v>7.6555397813282784E-3</v>
      </c>
      <c r="Y1279" s="13">
        <f t="shared" ref="Y1279:Z1279" ca="1" si="1393">+Y1278</f>
        <v>0</v>
      </c>
      <c r="Z1279" s="13">
        <f t="shared" ca="1" si="1393"/>
        <v>0</v>
      </c>
      <c r="AA1279">
        <f t="shared" ca="1" si="1338"/>
        <v>0</v>
      </c>
      <c r="AB1279">
        <f t="shared" ca="1" si="1339"/>
        <v>1</v>
      </c>
      <c r="AC1279" s="24">
        <f t="shared" ca="1" si="1340"/>
        <v>0</v>
      </c>
      <c r="AD1279" s="24">
        <f t="shared" ca="1" si="1341"/>
        <v>7.6555397813282784E-3</v>
      </c>
    </row>
    <row r="1280" spans="3:30" x14ac:dyDescent="0.25">
      <c r="C1280" s="6">
        <v>1374</v>
      </c>
      <c r="D1280" s="36">
        <v>43964</v>
      </c>
      <c r="E1280" s="38">
        <v>11.276</v>
      </c>
      <c r="F1280" s="38">
        <v>33.190242435466985</v>
      </c>
      <c r="G1280" s="38">
        <v>32.270000000000003</v>
      </c>
      <c r="H1280" s="38">
        <v>2.271056091509716</v>
      </c>
      <c r="I1280" s="38">
        <v>3.5299014744902735</v>
      </c>
      <c r="J1280" s="10">
        <v>0</v>
      </c>
      <c r="K1280" s="39">
        <v>0</v>
      </c>
      <c r="L1280" s="39">
        <v>0</v>
      </c>
      <c r="M1280" s="39">
        <v>0</v>
      </c>
      <c r="N1280" s="39">
        <v>1</v>
      </c>
      <c r="O1280" s="39">
        <v>0</v>
      </c>
      <c r="P1280" s="39">
        <v>0</v>
      </c>
      <c r="Q1280" s="39">
        <v>0</v>
      </c>
      <c r="R1280" s="39">
        <v>0</v>
      </c>
      <c r="S1280" s="39">
        <v>0</v>
      </c>
      <c r="T1280" s="39">
        <v>0</v>
      </c>
      <c r="U1280" s="29" cm="1">
        <f t="array" aca="1" ref="U1280" ca="1">+fair_value_gap(OFFSET(T1279,0,0,-1*$J$5,-1*$AA$1),OFFSET(E1279,0,0,-1*$J$5,1),F1280:T1280,0)</f>
        <v>11.580886023506906</v>
      </c>
      <c r="V1280" s="9" cm="1">
        <f t="array" aca="1" ref="V1280" ca="1">z_score_diff(OFFSET(U1280,0,0,$J$5*-1,1),OFFSET(E1280,0,0,$J$5*-1,1))</f>
        <v>-1.0764842613966596E-2</v>
      </c>
      <c r="W1280" s="9">
        <f t="shared" ca="1" si="1336"/>
        <v>0.10353872156802647</v>
      </c>
      <c r="X1280" s="17">
        <f t="shared" ca="1" si="1331"/>
        <v>4.9540087164041367E-3</v>
      </c>
      <c r="Y1280" s="13">
        <f t="shared" ref="Y1280:Z1280" ca="1" si="1394">+Y1279</f>
        <v>0</v>
      </c>
      <c r="Z1280" s="13">
        <f t="shared" ca="1" si="1394"/>
        <v>0</v>
      </c>
      <c r="AA1280">
        <f t="shared" ca="1" si="1338"/>
        <v>0</v>
      </c>
      <c r="AB1280">
        <f t="shared" ca="1" si="1339"/>
        <v>1</v>
      </c>
      <c r="AC1280" s="24">
        <f t="shared" ca="1" si="1340"/>
        <v>0</v>
      </c>
      <c r="AD1280" s="24">
        <f t="shared" ca="1" si="1341"/>
        <v>4.9540087164041367E-3</v>
      </c>
    </row>
    <row r="1281" spans="3:30" x14ac:dyDescent="0.25">
      <c r="C1281" s="6">
        <v>1375</v>
      </c>
      <c r="D1281" s="36">
        <v>43965</v>
      </c>
      <c r="E1281" s="38">
        <v>11.537000000000001</v>
      </c>
      <c r="F1281" s="38">
        <v>33.955140283026836</v>
      </c>
      <c r="G1281" s="38">
        <v>32.24</v>
      </c>
      <c r="H1281" s="38">
        <v>2.2927524415012983</v>
      </c>
      <c r="I1281" s="38">
        <v>3.5580359274399407</v>
      </c>
      <c r="J1281" s="10">
        <v>0</v>
      </c>
      <c r="K1281" s="39">
        <v>0</v>
      </c>
      <c r="L1281" s="39">
        <v>0</v>
      </c>
      <c r="M1281" s="39">
        <v>0</v>
      </c>
      <c r="N1281" s="39">
        <v>1</v>
      </c>
      <c r="O1281" s="39">
        <v>0</v>
      </c>
      <c r="P1281" s="39">
        <v>0</v>
      </c>
      <c r="Q1281" s="39">
        <v>0</v>
      </c>
      <c r="R1281" s="39">
        <v>0</v>
      </c>
      <c r="S1281" s="39">
        <v>0</v>
      </c>
      <c r="T1281" s="39">
        <v>0</v>
      </c>
      <c r="U1281" s="29" cm="1">
        <f t="array" aca="1" ref="U1281" ca="1">+fair_value_gap(OFFSET(T1280,0,0,-1*$J$5,-1*$AA$1),OFFSET(E1280,0,0,-1*$J$5,1),F1281:T1281,0)</f>
        <v>11.604336148456557</v>
      </c>
      <c r="V1281" s="9" cm="1">
        <f t="array" aca="1" ref="V1281" ca="1">z_score_diff(OFFSET(U1281,0,0,$J$5*-1,1),OFFSET(E1281,0,0,$J$5*-1,1))</f>
        <v>-0.11812435117828102</v>
      </c>
      <c r="W1281" s="9">
        <f t="shared" ca="1" si="1336"/>
        <v>0.11036274532153757</v>
      </c>
      <c r="X1281" s="17">
        <f t="shared" ca="1" si="1331"/>
        <v>-3.1522243656963968E-2</v>
      </c>
      <c r="Y1281" s="13">
        <f t="shared" ref="Y1281:Z1281" ca="1" si="1395">+Y1280</f>
        <v>0</v>
      </c>
      <c r="Z1281" s="13">
        <f t="shared" ca="1" si="1395"/>
        <v>0</v>
      </c>
      <c r="AA1281">
        <f t="shared" ca="1" si="1338"/>
        <v>0</v>
      </c>
      <c r="AB1281">
        <f t="shared" ca="1" si="1339"/>
        <v>1</v>
      </c>
      <c r="AC1281" s="24">
        <f t="shared" ca="1" si="1340"/>
        <v>0</v>
      </c>
      <c r="AD1281" s="24">
        <f t="shared" ca="1" si="1341"/>
        <v>-3.1522243656963968E-2</v>
      </c>
    </row>
    <row r="1282" spans="3:30" x14ac:dyDescent="0.25">
      <c r="C1282" s="6">
        <v>1376</v>
      </c>
      <c r="D1282" s="36">
        <v>43966</v>
      </c>
      <c r="E1282" s="38">
        <v>11.654</v>
      </c>
      <c r="F1282" s="38">
        <v>34.435135392899845</v>
      </c>
      <c r="G1282" s="38">
        <v>32.97</v>
      </c>
      <c r="H1282" s="38">
        <v>2.2852824873264028</v>
      </c>
      <c r="I1282" s="38">
        <v>3.5673149581459498</v>
      </c>
      <c r="J1282" s="10">
        <v>0</v>
      </c>
      <c r="K1282" s="39">
        <v>0</v>
      </c>
      <c r="L1282" s="39">
        <v>0</v>
      </c>
      <c r="M1282" s="39">
        <v>0</v>
      </c>
      <c r="N1282" s="39">
        <v>1</v>
      </c>
      <c r="O1282" s="39">
        <v>0</v>
      </c>
      <c r="P1282" s="39">
        <v>0</v>
      </c>
      <c r="Q1282" s="39">
        <v>0</v>
      </c>
      <c r="R1282" s="39">
        <v>0</v>
      </c>
      <c r="S1282" s="39">
        <v>0</v>
      </c>
      <c r="T1282" s="39">
        <v>0</v>
      </c>
      <c r="U1282" s="29" cm="1">
        <f t="array" aca="1" ref="U1282" ca="1">+fair_value_gap(OFFSET(T1281,0,0,-1*$J$5,-1*$AA$1),OFFSET(E1281,0,0,-1*$J$5,1),F1282:T1282,0)</f>
        <v>11.762922302190582</v>
      </c>
      <c r="V1282" s="9" cm="1">
        <f t="array" aca="1" ref="V1282" ca="1">z_score_diff(OFFSET(U1282,0,0,$J$5*-1,1),OFFSET(E1282,0,0,$J$5*-1,1))</f>
        <v>-9.703855698894337E-2</v>
      </c>
      <c r="W1282" s="9">
        <f t="shared" ca="1" si="1336"/>
        <v>8.0892247472407641E-2</v>
      </c>
      <c r="X1282" s="17">
        <f t="shared" ca="1" si="1331"/>
        <v>-3.9021659686176588E-2</v>
      </c>
      <c r="Y1282" s="13">
        <f t="shared" ref="Y1282:Z1282" ca="1" si="1396">+Y1281</f>
        <v>0</v>
      </c>
      <c r="Z1282" s="13">
        <f t="shared" ca="1" si="1396"/>
        <v>0</v>
      </c>
      <c r="AA1282">
        <f t="shared" ca="1" si="1338"/>
        <v>0</v>
      </c>
      <c r="AB1282">
        <f t="shared" ca="1" si="1339"/>
        <v>1</v>
      </c>
      <c r="AC1282" s="24">
        <f t="shared" ca="1" si="1340"/>
        <v>0</v>
      </c>
      <c r="AD1282" s="24">
        <f t="shared" ca="1" si="1341"/>
        <v>-3.9021659686176588E-2</v>
      </c>
    </row>
    <row r="1283" spans="3:30" x14ac:dyDescent="0.25">
      <c r="C1283" s="6">
        <v>1377</v>
      </c>
      <c r="D1283" s="36">
        <v>43969</v>
      </c>
      <c r="E1283" s="38">
        <v>11.759</v>
      </c>
      <c r="F1283" s="38">
        <v>35.812149246655153</v>
      </c>
      <c r="G1283" s="38">
        <v>33.36</v>
      </c>
      <c r="H1283" s="38">
        <v>2.279698062619945</v>
      </c>
      <c r="I1283" s="38">
        <v>3.4967480243373661</v>
      </c>
      <c r="J1283" s="10">
        <v>0</v>
      </c>
      <c r="K1283" s="39">
        <v>0</v>
      </c>
      <c r="L1283" s="39">
        <v>0</v>
      </c>
      <c r="M1283" s="39">
        <v>0</v>
      </c>
      <c r="N1283" s="39">
        <v>1</v>
      </c>
      <c r="O1283" s="39">
        <v>0</v>
      </c>
      <c r="P1283" s="39">
        <v>0</v>
      </c>
      <c r="Q1283" s="39">
        <v>0</v>
      </c>
      <c r="R1283" s="39">
        <v>0</v>
      </c>
      <c r="S1283" s="39">
        <v>0</v>
      </c>
      <c r="T1283" s="39">
        <v>0</v>
      </c>
      <c r="U1283" s="29" cm="1">
        <f t="array" aca="1" ref="U1283" ca="1">+fair_value_gap(OFFSET(T1282,0,0,-1*$J$5,-1*$AA$1),OFFSET(E1282,0,0,-1*$J$5,1),F1283:T1283,0)</f>
        <v>11.794746369674073</v>
      </c>
      <c r="V1283" s="9" cm="1">
        <f t="array" aca="1" ref="V1283" ca="1">z_score_diff(OFFSET(U1283,0,0,$J$5*-1,1),OFFSET(E1283,0,0,$J$5*-1,1))</f>
        <v>-0.12743720358502686</v>
      </c>
      <c r="W1283" s="9">
        <f t="shared" ca="1" si="1336"/>
        <v>6.3088344348761413E-2</v>
      </c>
      <c r="X1283" s="17">
        <f t="shared" ca="1" si="1331"/>
        <v>-2.3402943678011615E-2</v>
      </c>
      <c r="Y1283" s="13">
        <f t="shared" ref="Y1283:Z1283" ca="1" si="1397">+Y1282</f>
        <v>0</v>
      </c>
      <c r="Z1283" s="13">
        <f t="shared" ca="1" si="1397"/>
        <v>0</v>
      </c>
      <c r="AA1283">
        <f t="shared" ca="1" si="1338"/>
        <v>0</v>
      </c>
      <c r="AB1283">
        <f t="shared" ca="1" si="1339"/>
        <v>1</v>
      </c>
      <c r="AC1283" s="24">
        <f t="shared" ca="1" si="1340"/>
        <v>0</v>
      </c>
      <c r="AD1283" s="24">
        <f t="shared" ca="1" si="1341"/>
        <v>-2.3402943678011615E-2</v>
      </c>
    </row>
    <row r="1284" spans="3:30" x14ac:dyDescent="0.25">
      <c r="C1284" s="6">
        <v>1378</v>
      </c>
      <c r="D1284" s="36">
        <v>43970</v>
      </c>
      <c r="E1284" s="38">
        <v>11.670999999999999</v>
      </c>
      <c r="F1284" s="38">
        <v>35.703616398602001</v>
      </c>
      <c r="G1284" s="38">
        <v>32.69</v>
      </c>
      <c r="H1284" s="38">
        <v>2.2718832204807273</v>
      </c>
      <c r="I1284" s="38">
        <v>3.4959034367908881</v>
      </c>
      <c r="J1284" s="10">
        <v>0</v>
      </c>
      <c r="K1284" s="39">
        <v>0</v>
      </c>
      <c r="L1284" s="39">
        <v>0</v>
      </c>
      <c r="M1284" s="39">
        <v>0</v>
      </c>
      <c r="N1284" s="39">
        <v>1</v>
      </c>
      <c r="O1284" s="39">
        <v>0</v>
      </c>
      <c r="P1284" s="39">
        <v>0</v>
      </c>
      <c r="Q1284" s="39">
        <v>0</v>
      </c>
      <c r="R1284" s="39">
        <v>0</v>
      </c>
      <c r="S1284" s="39">
        <v>0</v>
      </c>
      <c r="T1284" s="39">
        <v>0</v>
      </c>
      <c r="U1284" s="29" cm="1">
        <f t="array" aca="1" ref="U1284" ca="1">+fair_value_gap(OFFSET(T1283,0,0,-1*$J$5,-1*$AA$1),OFFSET(E1283,0,0,-1*$J$5,1),F1284:T1284,0)</f>
        <v>11.66331380903636</v>
      </c>
      <c r="V1284" s="9" cm="1">
        <f t="array" aca="1" ref="V1284" ca="1">z_score_diff(OFFSET(U1284,0,0,$J$5*-1,1),OFFSET(E1284,0,0,$J$5*-1,1))</f>
        <v>-0.14114478422458543</v>
      </c>
      <c r="W1284" s="9">
        <f t="shared" ca="1" si="1336"/>
        <v>5.0884944405767421E-2</v>
      </c>
      <c r="X1284" s="17">
        <f t="shared" ca="1" si="1331"/>
        <v>-1.9554179025686555E-2</v>
      </c>
      <c r="Y1284" s="13">
        <f t="shared" ref="Y1284:Z1284" ca="1" si="1398">+Y1283</f>
        <v>0</v>
      </c>
      <c r="Z1284" s="13">
        <f t="shared" ca="1" si="1398"/>
        <v>0</v>
      </c>
      <c r="AA1284">
        <f t="shared" ca="1" si="1338"/>
        <v>0</v>
      </c>
      <c r="AB1284">
        <f t="shared" ca="1" si="1339"/>
        <v>1</v>
      </c>
      <c r="AC1284" s="24">
        <f t="shared" ca="1" si="1340"/>
        <v>0</v>
      </c>
      <c r="AD1284" s="24">
        <f t="shared" ca="1" si="1341"/>
        <v>-1.9554179025686555E-2</v>
      </c>
    </row>
    <row r="1285" spans="3:30" x14ac:dyDescent="0.25">
      <c r="C1285" s="6">
        <v>1379</v>
      </c>
      <c r="D1285" s="36">
        <v>43971</v>
      </c>
      <c r="E1285" s="38">
        <v>11.775</v>
      </c>
      <c r="F1285" s="38">
        <v>36.09358130542217</v>
      </c>
      <c r="G1285" s="38">
        <v>33.130000000000003</v>
      </c>
      <c r="H1285" s="38">
        <v>2.2451201387728181</v>
      </c>
      <c r="I1285" s="38">
        <v>3.5235285880136784</v>
      </c>
      <c r="J1285" s="10">
        <v>0</v>
      </c>
      <c r="K1285" s="39">
        <v>0</v>
      </c>
      <c r="L1285" s="39">
        <v>0</v>
      </c>
      <c r="M1285" s="39">
        <v>0</v>
      </c>
      <c r="N1285" s="39">
        <v>1</v>
      </c>
      <c r="O1285" s="39">
        <v>0</v>
      </c>
      <c r="P1285" s="39">
        <v>0</v>
      </c>
      <c r="Q1285" s="39">
        <v>0</v>
      </c>
      <c r="R1285" s="39">
        <v>0</v>
      </c>
      <c r="S1285" s="39">
        <v>0</v>
      </c>
      <c r="T1285" s="39">
        <v>0</v>
      </c>
      <c r="U1285" s="29" cm="1">
        <f t="array" aca="1" ref="U1285" ca="1">+fair_value_gap(OFFSET(T1284,0,0,-1*$J$5,-1*$AA$1),OFFSET(E1284,0,0,-1*$J$5,1),F1285:T1285,0)</f>
        <v>11.772553646722768</v>
      </c>
      <c r="V1285" s="9" cm="1">
        <f t="array" aca="1" ref="V1285" ca="1">z_score_diff(OFFSET(U1285,0,0,$J$5*-1,1),OFFSET(E1285,0,0,$J$5*-1,1))</f>
        <v>-0.13571526386848709</v>
      </c>
      <c r="W1285" s="9">
        <f t="shared" ca="1" si="1336"/>
        <v>3.9144723971858419E-2</v>
      </c>
      <c r="X1285" s="17">
        <f t="shared" ca="1" si="1331"/>
        <v>-3.7377826325576034E-2</v>
      </c>
      <c r="Y1285" s="13">
        <f t="shared" ref="Y1285:Z1285" ca="1" si="1399">+Y1284</f>
        <v>0</v>
      </c>
      <c r="Z1285" s="13">
        <f t="shared" ca="1" si="1399"/>
        <v>0</v>
      </c>
      <c r="AA1285">
        <f t="shared" ca="1" si="1338"/>
        <v>0</v>
      </c>
      <c r="AB1285">
        <f t="shared" ca="1" si="1339"/>
        <v>1</v>
      </c>
      <c r="AC1285" s="24">
        <f t="shared" ca="1" si="1340"/>
        <v>0</v>
      </c>
      <c r="AD1285" s="24">
        <f t="shared" ca="1" si="1341"/>
        <v>-3.7377826325576034E-2</v>
      </c>
    </row>
    <row r="1286" spans="3:30" x14ac:dyDescent="0.25">
      <c r="C1286" s="6">
        <v>1380</v>
      </c>
      <c r="D1286" s="36">
        <v>43972</v>
      </c>
      <c r="E1286" s="38">
        <v>11.436</v>
      </c>
      <c r="F1286" s="38">
        <v>36.333521796488789</v>
      </c>
      <c r="G1286" s="38">
        <v>32.97</v>
      </c>
      <c r="H1286" s="38">
        <v>2.2452485539077114</v>
      </c>
      <c r="I1286" s="38">
        <v>3.4883805216080259</v>
      </c>
      <c r="J1286" s="10">
        <v>0</v>
      </c>
      <c r="K1286" s="39">
        <v>0</v>
      </c>
      <c r="L1286" s="39">
        <v>0</v>
      </c>
      <c r="M1286" s="39">
        <v>0</v>
      </c>
      <c r="N1286" s="39">
        <v>1</v>
      </c>
      <c r="O1286" s="39">
        <v>0</v>
      </c>
      <c r="P1286" s="39">
        <v>0</v>
      </c>
      <c r="Q1286" s="39">
        <v>0</v>
      </c>
      <c r="R1286" s="39">
        <v>0</v>
      </c>
      <c r="S1286" s="39">
        <v>0</v>
      </c>
      <c r="T1286" s="39">
        <v>0</v>
      </c>
      <c r="U1286" s="29" cm="1">
        <f t="array" aca="1" ref="U1286" ca="1">+fair_value_gap(OFFSET(T1285,0,0,-1*$J$5,-1*$AA$1),OFFSET(E1285,0,0,-1*$J$5,1),F1286:T1286,0)</f>
        <v>11.67417581501719</v>
      </c>
      <c r="V1286" s="9" cm="1">
        <f t="array" aca="1" ref="V1286" ca="1">z_score_diff(OFFSET(U1286,0,0,$J$5*-1,1),OFFSET(E1286,0,0,$J$5*-1,1))</f>
        <v>-2.402422595201914E-2</v>
      </c>
      <c r="W1286" s="9">
        <f t="shared" ca="1" si="1336"/>
        <v>2.6589348767231756E-2</v>
      </c>
      <c r="X1286" s="17">
        <f t="shared" ca="1" si="1331"/>
        <v>1.0784588784166058E-2</v>
      </c>
      <c r="Y1286" s="13">
        <f t="shared" ref="Y1286:Z1286" ca="1" si="1400">+Y1285</f>
        <v>0</v>
      </c>
      <c r="Z1286" s="13">
        <f t="shared" ca="1" si="1400"/>
        <v>0</v>
      </c>
      <c r="AA1286">
        <f t="shared" ca="1" si="1338"/>
        <v>0</v>
      </c>
      <c r="AB1286">
        <f t="shared" ca="1" si="1339"/>
        <v>1</v>
      </c>
      <c r="AC1286" s="24">
        <f t="shared" ca="1" si="1340"/>
        <v>0</v>
      </c>
      <c r="AD1286" s="24">
        <f t="shared" ca="1" si="1341"/>
        <v>1.0784588784166058E-2</v>
      </c>
    </row>
    <row r="1287" spans="3:30" x14ac:dyDescent="0.25">
      <c r="C1287" s="6">
        <v>1381</v>
      </c>
      <c r="D1287" s="36">
        <v>43973</v>
      </c>
      <c r="E1287" s="38">
        <v>11.228999999999999</v>
      </c>
      <c r="F1287" s="38">
        <v>36.121908255812265</v>
      </c>
      <c r="G1287" s="38">
        <v>32.64</v>
      </c>
      <c r="H1287" s="38">
        <v>2.2610312850300618</v>
      </c>
      <c r="I1287" s="38">
        <v>3.457512629019813</v>
      </c>
      <c r="J1287" s="10">
        <v>0</v>
      </c>
      <c r="K1287" s="39">
        <v>0</v>
      </c>
      <c r="L1287" s="39">
        <v>0</v>
      </c>
      <c r="M1287" s="39">
        <v>0</v>
      </c>
      <c r="N1287" s="39">
        <v>1</v>
      </c>
      <c r="O1287" s="39">
        <v>0</v>
      </c>
      <c r="P1287" s="39">
        <v>0</v>
      </c>
      <c r="Q1287" s="39">
        <v>0</v>
      </c>
      <c r="R1287" s="39">
        <v>0</v>
      </c>
      <c r="S1287" s="39">
        <v>0</v>
      </c>
      <c r="T1287" s="39">
        <v>0</v>
      </c>
      <c r="U1287" s="29" cm="1">
        <f t="array" aca="1" ref="U1287" ca="1">+fair_value_gap(OFFSET(T1286,0,0,-1*$J$5,-1*$AA$1),OFFSET(E1286,0,0,-1*$J$5,1),F1287:T1287,0)</f>
        <v>11.498307038040561</v>
      </c>
      <c r="V1287" s="9" cm="1">
        <f t="array" aca="1" ref="V1287" ca="1">z_score_diff(OFFSET(U1287,0,0,$J$5*-1,1),OFFSET(E1287,0,0,$J$5*-1,1))</f>
        <v>-8.2018120428899444E-3</v>
      </c>
      <c r="W1287" s="9">
        <f t="shared" ca="1" si="1336"/>
        <v>1.8513310722724389E-2</v>
      </c>
      <c r="X1287" s="17">
        <f t="shared" ref="X1287:X1350" ca="1" si="1401">+LN(OFFSET(E1287,$X$3,0,1,1)/E1287)</f>
        <v>3.7492922032956413E-2</v>
      </c>
      <c r="Y1287" s="13">
        <f t="shared" ref="Y1287:Z1287" ca="1" si="1402">+Y1286</f>
        <v>0</v>
      </c>
      <c r="Z1287" s="13">
        <f t="shared" ca="1" si="1402"/>
        <v>0</v>
      </c>
      <c r="AA1287">
        <f t="shared" ca="1" si="1338"/>
        <v>0</v>
      </c>
      <c r="AB1287">
        <f t="shared" ca="1" si="1339"/>
        <v>1</v>
      </c>
      <c r="AC1287" s="24">
        <f t="shared" ca="1" si="1340"/>
        <v>0</v>
      </c>
      <c r="AD1287" s="24">
        <f t="shared" ca="1" si="1341"/>
        <v>3.7492922032956413E-2</v>
      </c>
    </row>
    <row r="1288" spans="3:30" x14ac:dyDescent="0.25">
      <c r="C1288" s="6">
        <v>1382</v>
      </c>
      <c r="D1288" s="36">
        <v>43976</v>
      </c>
      <c r="E1288" s="38">
        <v>11.598000000000001</v>
      </c>
      <c r="F1288" s="38">
        <v>36.653080324506305</v>
      </c>
      <c r="G1288" s="38">
        <v>33.380000000000003</v>
      </c>
      <c r="H1288" s="38">
        <v>2.2623672281768052</v>
      </c>
      <c r="I1288" s="38">
        <v>3.4595555199484345</v>
      </c>
      <c r="J1288" s="10">
        <v>0</v>
      </c>
      <c r="K1288" s="39">
        <v>0</v>
      </c>
      <c r="L1288" s="39">
        <v>0</v>
      </c>
      <c r="M1288" s="39">
        <v>0</v>
      </c>
      <c r="N1288" s="39">
        <v>1</v>
      </c>
      <c r="O1288" s="39">
        <v>0</v>
      </c>
      <c r="P1288" s="39">
        <v>0</v>
      </c>
      <c r="Q1288" s="39">
        <v>0</v>
      </c>
      <c r="R1288" s="39">
        <v>0</v>
      </c>
      <c r="S1288" s="39">
        <v>0</v>
      </c>
      <c r="T1288" s="39">
        <v>0</v>
      </c>
      <c r="U1288" s="29" cm="1">
        <f t="array" aca="1" ref="U1288" ca="1">+fair_value_gap(OFFSET(T1287,0,0,-1*$J$5,-1*$AA$1),OFFSET(E1287,0,0,-1*$J$5,1),F1288:T1288,0)</f>
        <v>11.536166862641249</v>
      </c>
      <c r="V1288" s="9" cm="1">
        <f t="array" aca="1" ref="V1288" ca="1">z_score_diff(OFFSET(U1288,0,0,$J$5*-1,1),OFFSET(E1288,0,0,$J$5*-1,1))</f>
        <v>-0.15238713953660876</v>
      </c>
      <c r="W1288" s="9">
        <f t="shared" ca="1" si="1336"/>
        <v>1.0469081531731931E-2</v>
      </c>
      <c r="X1288" s="17">
        <f t="shared" ca="1" si="1401"/>
        <v>3.3573855292069125E-2</v>
      </c>
      <c r="Y1288" s="13">
        <f t="shared" ref="Y1288:Z1288" ca="1" si="1403">+Y1287</f>
        <v>0</v>
      </c>
      <c r="Z1288" s="13">
        <f t="shared" ca="1" si="1403"/>
        <v>0</v>
      </c>
      <c r="AA1288">
        <f t="shared" ca="1" si="1338"/>
        <v>0</v>
      </c>
      <c r="AB1288">
        <f t="shared" ca="1" si="1339"/>
        <v>1</v>
      </c>
      <c r="AC1288" s="24">
        <f t="shared" ca="1" si="1340"/>
        <v>0</v>
      </c>
      <c r="AD1288" s="24">
        <f t="shared" ca="1" si="1341"/>
        <v>3.3573855292069125E-2</v>
      </c>
    </row>
    <row r="1289" spans="3:30" x14ac:dyDescent="0.25">
      <c r="C1289" s="6">
        <v>1383</v>
      </c>
      <c r="D1289" s="36">
        <v>43977</v>
      </c>
      <c r="E1289" s="38">
        <v>11.512</v>
      </c>
      <c r="F1289" s="38">
        <v>36.885534691193186</v>
      </c>
      <c r="G1289" s="38">
        <v>33.82</v>
      </c>
      <c r="H1289" s="38">
        <v>2.2548688363756599</v>
      </c>
      <c r="I1289" s="38">
        <v>3.4645120142230188</v>
      </c>
      <c r="J1289" s="10">
        <v>0</v>
      </c>
      <c r="K1289" s="39">
        <v>0</v>
      </c>
      <c r="L1289" s="39">
        <v>0</v>
      </c>
      <c r="M1289" s="39">
        <v>0</v>
      </c>
      <c r="N1289" s="39">
        <v>1</v>
      </c>
      <c r="O1289" s="39">
        <v>0</v>
      </c>
      <c r="P1289" s="39">
        <v>0</v>
      </c>
      <c r="Q1289" s="39">
        <v>0</v>
      </c>
      <c r="R1289" s="39">
        <v>0</v>
      </c>
      <c r="S1289" s="39">
        <v>0</v>
      </c>
      <c r="T1289" s="39">
        <v>0</v>
      </c>
      <c r="U1289" s="29" cm="1">
        <f t="array" aca="1" ref="U1289" ca="1">+fair_value_gap(OFFSET(T1288,0,0,-1*$J$5,-1*$AA$1),OFFSET(E1288,0,0,-1*$J$5,1),F1289:T1289,0)</f>
        <v>11.624684021064006</v>
      </c>
      <c r="V1289" s="9" cm="1">
        <f t="array" aca="1" ref="V1289" ca="1">z_score_diff(OFFSET(U1289,0,0,$J$5*-1,1),OFFSET(E1289,0,0,$J$5*-1,1))</f>
        <v>-7.4019496564391662E-2</v>
      </c>
      <c r="W1289" s="9">
        <f t="shared" ca="1" si="1336"/>
        <v>4.7644289881014915E-3</v>
      </c>
      <c r="X1289" s="17">
        <f t="shared" ca="1" si="1401"/>
        <v>3.9097088684166094E-2</v>
      </c>
      <c r="Y1289" s="13">
        <f t="shared" ref="Y1289:Z1289" ca="1" si="1404">+Y1288</f>
        <v>0</v>
      </c>
      <c r="Z1289" s="13">
        <f t="shared" ca="1" si="1404"/>
        <v>0</v>
      </c>
      <c r="AA1289">
        <f t="shared" ca="1" si="1338"/>
        <v>0</v>
      </c>
      <c r="AB1289">
        <f t="shared" ca="1" si="1339"/>
        <v>1</v>
      </c>
      <c r="AC1289" s="24">
        <f t="shared" ca="1" si="1340"/>
        <v>0</v>
      </c>
      <c r="AD1289" s="24">
        <f t="shared" ca="1" si="1341"/>
        <v>3.9097088684166094E-2</v>
      </c>
    </row>
    <row r="1290" spans="3:30" x14ac:dyDescent="0.25">
      <c r="C1290" s="6">
        <v>1384</v>
      </c>
      <c r="D1290" s="36">
        <v>43978</v>
      </c>
      <c r="E1290" s="38">
        <v>11.281000000000001</v>
      </c>
      <c r="F1290" s="38">
        <v>36.1694627680818</v>
      </c>
      <c r="G1290" s="38">
        <v>33.340000000000003</v>
      </c>
      <c r="H1290" s="38">
        <v>2.2439130814993917</v>
      </c>
      <c r="I1290" s="38">
        <v>3.4258214984723536</v>
      </c>
      <c r="J1290" s="10">
        <v>0</v>
      </c>
      <c r="K1290" s="39">
        <v>0</v>
      </c>
      <c r="L1290" s="39">
        <v>0</v>
      </c>
      <c r="M1290" s="39">
        <v>0</v>
      </c>
      <c r="N1290" s="39">
        <v>1</v>
      </c>
      <c r="O1290" s="39">
        <v>0</v>
      </c>
      <c r="P1290" s="39">
        <v>0</v>
      </c>
      <c r="Q1290" s="39">
        <v>0</v>
      </c>
      <c r="R1290" s="39">
        <v>0</v>
      </c>
      <c r="S1290" s="39">
        <v>0</v>
      </c>
      <c r="T1290" s="39">
        <v>0</v>
      </c>
      <c r="U1290" s="29" cm="1">
        <f t="array" aca="1" ref="U1290" ca="1">+fair_value_gap(OFFSET(T1289,0,0,-1*$J$5,-1*$AA$1),OFFSET(E1289,0,0,-1*$J$5,1),F1290:T1290,0)</f>
        <v>11.470186859859348</v>
      </c>
      <c r="V1290" s="9" cm="1">
        <f t="array" aca="1" ref="V1290" ca="1">z_score_diff(OFFSET(U1290,0,0,$J$5*-1,1),OFFSET(E1290,0,0,$J$5*-1,1))</f>
        <v>-3.7170377180578695E-2</v>
      </c>
      <c r="W1290" s="9">
        <f t="shared" ca="1" si="1336"/>
        <v>-2.427578280254224E-3</v>
      </c>
      <c r="X1290" s="17">
        <f t="shared" ca="1" si="1401"/>
        <v>6.3119200398995517E-2</v>
      </c>
      <c r="Y1290" s="13">
        <f t="shared" ref="Y1290:Z1290" ca="1" si="1405">+Y1289</f>
        <v>0</v>
      </c>
      <c r="Z1290" s="13">
        <f t="shared" ca="1" si="1405"/>
        <v>0</v>
      </c>
      <c r="AA1290">
        <f t="shared" ca="1" si="1338"/>
        <v>1</v>
      </c>
      <c r="AB1290">
        <f t="shared" ca="1" si="1339"/>
        <v>0</v>
      </c>
      <c r="AC1290" s="24">
        <f t="shared" ca="1" si="1340"/>
        <v>6.3119200398995517E-2</v>
      </c>
      <c r="AD1290" s="24">
        <f t="shared" ca="1" si="1341"/>
        <v>0</v>
      </c>
    </row>
    <row r="1291" spans="3:30" x14ac:dyDescent="0.25">
      <c r="C1291" s="6">
        <v>1385</v>
      </c>
      <c r="D1291" s="36">
        <v>43979</v>
      </c>
      <c r="E1291" s="38">
        <v>11.106999999999999</v>
      </c>
      <c r="F1291" s="38">
        <v>36.36741479634248</v>
      </c>
      <c r="G1291" s="38">
        <v>32.840000000000003</v>
      </c>
      <c r="H1291" s="38">
        <v>2.2617665606099693</v>
      </c>
      <c r="I1291" s="38">
        <v>3.3590592484306474</v>
      </c>
      <c r="J1291" s="10">
        <v>0</v>
      </c>
      <c r="K1291" s="39">
        <v>0</v>
      </c>
      <c r="L1291" s="39">
        <v>0</v>
      </c>
      <c r="M1291" s="39">
        <v>0</v>
      </c>
      <c r="N1291" s="39">
        <v>1</v>
      </c>
      <c r="O1291" s="39">
        <v>0</v>
      </c>
      <c r="P1291" s="39">
        <v>0</v>
      </c>
      <c r="Q1291" s="39">
        <v>0</v>
      </c>
      <c r="R1291" s="39">
        <v>0</v>
      </c>
      <c r="S1291" s="39">
        <v>0</v>
      </c>
      <c r="T1291" s="39">
        <v>0</v>
      </c>
      <c r="U1291" s="29" cm="1">
        <f t="array" aca="1" ref="U1291" ca="1">+fair_value_gap(OFFSET(T1290,0,0,-1*$J$5,-1*$AA$1),OFFSET(E1290,0,0,-1*$J$5,1),F1291:T1291,0)</f>
        <v>11.310356554619631</v>
      </c>
      <c r="V1291" s="9" cm="1">
        <f t="array" aca="1" ref="V1291" ca="1">z_score_diff(OFFSET(U1291,0,0,$J$5*-1,1),OFFSET(E1291,0,0,$J$5*-1,1))</f>
        <v>-2.7988347028275129E-2</v>
      </c>
      <c r="W1291" s="9">
        <f t="shared" ref="W1291:W1354" ca="1" si="1406">+IF(ISERROR(AVERAGE(OFFSET(V1291,0,0,$W$5*-1,1))),"",AVERAGE(OFFSET(V1291,0,0,$W$5*-1,1)))</f>
        <v>-9.0926217646248274E-3</v>
      </c>
      <c r="X1291" s="17">
        <f t="shared" ca="1" si="1401"/>
        <v>7.4577321406396307E-2</v>
      </c>
      <c r="Y1291" s="13">
        <f t="shared" ref="Y1291:Z1291" ca="1" si="1407">+Y1290</f>
        <v>0</v>
      </c>
      <c r="Z1291" s="13">
        <f t="shared" ca="1" si="1407"/>
        <v>0</v>
      </c>
      <c r="AA1291">
        <f t="shared" ref="AA1291:AA1354" ca="1" si="1408">+IF(W1291="","",IF(W1291&lt;Y1291,1,0))</f>
        <v>1</v>
      </c>
      <c r="AB1291">
        <f t="shared" ref="AB1291:AB1354" ca="1" si="1409">+IF(W1291="","",IF(W1291&gt;Z1291,1,0))</f>
        <v>0</v>
      </c>
      <c r="AC1291" s="24">
        <f t="shared" ref="AC1291:AC1354" ca="1" si="1410">+IF(ISERROR(AA1291*X1291),"",AA1291*X1291)</f>
        <v>7.4577321406396307E-2</v>
      </c>
      <c r="AD1291" s="24">
        <f t="shared" ref="AD1291:AD1354" ca="1" si="1411">+IF(ISERROR(AB1291*X1291),"",AB1291*X1291)</f>
        <v>0</v>
      </c>
    </row>
    <row r="1292" spans="3:30" x14ac:dyDescent="0.25">
      <c r="C1292" s="6">
        <v>1386</v>
      </c>
      <c r="D1292" s="36">
        <v>43980</v>
      </c>
      <c r="E1292" s="38">
        <v>10.919</v>
      </c>
      <c r="F1292" s="38">
        <v>37.316367015762943</v>
      </c>
      <c r="G1292" s="38">
        <v>32.51</v>
      </c>
      <c r="H1292" s="38">
        <v>2.2572112806948561</v>
      </c>
      <c r="I1292" s="38">
        <v>3.3956464238481607</v>
      </c>
      <c r="J1292" s="10">
        <v>0</v>
      </c>
      <c r="K1292" s="39">
        <v>0</v>
      </c>
      <c r="L1292" s="39">
        <v>0</v>
      </c>
      <c r="M1292" s="39">
        <v>0</v>
      </c>
      <c r="N1292" s="39">
        <v>1</v>
      </c>
      <c r="O1292" s="39">
        <v>0</v>
      </c>
      <c r="P1292" s="39">
        <v>0</v>
      </c>
      <c r="Q1292" s="39">
        <v>0</v>
      </c>
      <c r="R1292" s="39">
        <v>0</v>
      </c>
      <c r="S1292" s="39">
        <v>0</v>
      </c>
      <c r="T1292" s="39">
        <v>0</v>
      </c>
      <c r="U1292" s="29" cm="1">
        <f t="array" aca="1" ref="U1292" ca="1">+fair_value_gap(OFFSET(T1291,0,0,-1*$J$5,-1*$AA$1),OFFSET(E1291,0,0,-1*$J$5,1),F1292:T1292,0)</f>
        <v>11.283224452394421</v>
      </c>
      <c r="V1292" s="9" cm="1">
        <f t="array" aca="1" ref="V1292" ca="1">z_score_diff(OFFSET(U1292,0,0,$J$5*-1,1),OFFSET(E1292,0,0,$J$5*-1,1))</f>
        <v>4.0968605519777768E-2</v>
      </c>
      <c r="W1292" s="9">
        <f t="shared" ca="1" si="1406"/>
        <v>-7.9696632567786297E-3</v>
      </c>
      <c r="X1292" s="17">
        <f t="shared" ca="1" si="1401"/>
        <v>8.2751316015209547E-2</v>
      </c>
      <c r="Y1292" s="13">
        <f t="shared" ref="Y1292:Z1292" ca="1" si="1412">+Y1291</f>
        <v>0</v>
      </c>
      <c r="Z1292" s="13">
        <f t="shared" ca="1" si="1412"/>
        <v>0</v>
      </c>
      <c r="AA1292">
        <f t="shared" ca="1" si="1408"/>
        <v>1</v>
      </c>
      <c r="AB1292">
        <f t="shared" ca="1" si="1409"/>
        <v>0</v>
      </c>
      <c r="AC1292" s="24">
        <f t="shared" ca="1" si="1410"/>
        <v>8.2751316015209547E-2</v>
      </c>
      <c r="AD1292" s="24">
        <f t="shared" ca="1" si="1411"/>
        <v>0</v>
      </c>
    </row>
    <row r="1293" spans="3:30" x14ac:dyDescent="0.25">
      <c r="C1293" s="6">
        <v>1387</v>
      </c>
      <c r="D1293" s="36">
        <v>43983</v>
      </c>
      <c r="E1293" s="38">
        <v>10.773999999999999</v>
      </c>
      <c r="F1293" s="38">
        <v>37.323302083639454</v>
      </c>
      <c r="G1293" s="38">
        <v>32.51</v>
      </c>
      <c r="H1293" s="38">
        <v>2.2335204396508654</v>
      </c>
      <c r="I1293" s="38">
        <v>3.3618579185334996</v>
      </c>
      <c r="J1293" s="10">
        <v>0</v>
      </c>
      <c r="K1293" s="39">
        <v>0</v>
      </c>
      <c r="L1293" s="39">
        <v>0</v>
      </c>
      <c r="M1293" s="39">
        <v>0</v>
      </c>
      <c r="N1293" s="39">
        <v>0</v>
      </c>
      <c r="O1293" s="39">
        <v>1</v>
      </c>
      <c r="P1293" s="39">
        <v>0</v>
      </c>
      <c r="Q1293" s="39">
        <v>0</v>
      </c>
      <c r="R1293" s="39">
        <v>0</v>
      </c>
      <c r="S1293" s="39">
        <v>0</v>
      </c>
      <c r="T1293" s="39">
        <v>0</v>
      </c>
      <c r="U1293" s="29" cm="1">
        <f t="array" aca="1" ref="U1293" ca="1">+fair_value_gap(OFFSET(T1292,0,0,-1*$J$5,-1*$AA$1),OFFSET(E1292,0,0,-1*$J$5,1),F1293:T1293,0)</f>
        <v>12.57747257281425</v>
      </c>
      <c r="V1293" s="9" cm="1">
        <f t="array" aca="1" ref="V1293" ca="1">z_score_diff(OFFSET(U1293,0,0,$J$5*-1,1),OFFSET(E1293,0,0,$J$5*-1,1))</f>
        <v>0.62837335426962371</v>
      </c>
      <c r="W1293" s="9">
        <f t="shared" ca="1" si="1406"/>
        <v>1.6869802055551473E-2</v>
      </c>
      <c r="X1293" s="17">
        <f t="shared" ca="1" si="1401"/>
        <v>0.10057835494815379</v>
      </c>
      <c r="Y1293" s="13">
        <f t="shared" ref="Y1293:Z1293" ca="1" si="1413">+Y1292</f>
        <v>0</v>
      </c>
      <c r="Z1293" s="13">
        <f t="shared" ca="1" si="1413"/>
        <v>0</v>
      </c>
      <c r="AA1293">
        <f t="shared" ca="1" si="1408"/>
        <v>0</v>
      </c>
      <c r="AB1293">
        <f t="shared" ca="1" si="1409"/>
        <v>1</v>
      </c>
      <c r="AC1293" s="24">
        <f t="shared" ca="1" si="1410"/>
        <v>0</v>
      </c>
      <c r="AD1293" s="24">
        <f t="shared" ca="1" si="1411"/>
        <v>0.10057835494815379</v>
      </c>
    </row>
    <row r="1294" spans="3:30" x14ac:dyDescent="0.25">
      <c r="C1294" s="6">
        <v>1388</v>
      </c>
      <c r="D1294" s="36">
        <v>43984</v>
      </c>
      <c r="E1294" s="38">
        <v>11.095000000000001</v>
      </c>
      <c r="F1294" s="38">
        <v>37.928381977001365</v>
      </c>
      <c r="G1294" s="38">
        <v>32.799999999999997</v>
      </c>
      <c r="H1294" s="38">
        <v>2.2437258284286989</v>
      </c>
      <c r="I1294" s="38">
        <v>3.4597435082065648</v>
      </c>
      <c r="J1294" s="10">
        <v>0</v>
      </c>
      <c r="K1294" s="39">
        <v>0</v>
      </c>
      <c r="L1294" s="39">
        <v>0</v>
      </c>
      <c r="M1294" s="39">
        <v>0</v>
      </c>
      <c r="N1294" s="39">
        <v>0</v>
      </c>
      <c r="O1294" s="39">
        <v>1</v>
      </c>
      <c r="P1294" s="39">
        <v>0</v>
      </c>
      <c r="Q1294" s="39">
        <v>0</v>
      </c>
      <c r="R1294" s="39">
        <v>0</v>
      </c>
      <c r="S1294" s="39">
        <v>0</v>
      </c>
      <c r="T1294" s="39">
        <v>0</v>
      </c>
      <c r="U1294" s="29" cm="1">
        <f t="array" aca="1" ref="U1294" ca="1">+fair_value_gap(OFFSET(T1293,0,0,-1*$J$5,-1*$AA$1),OFFSET(E1293,0,0,-1*$J$5,1),F1294:T1294,0)</f>
        <v>12.238100545693783</v>
      </c>
      <c r="V1294" s="9" cm="1">
        <f t="array" aca="1" ref="V1294" ca="1">z_score_diff(OFFSET(U1294,0,0,$J$5*-1,1),OFFSET(E1294,0,0,$J$5*-1,1))</f>
        <v>0.3423914233796741</v>
      </c>
      <c r="W1294" s="9">
        <f t="shared" ca="1" si="1406"/>
        <v>3.3820176200837847E-2</v>
      </c>
      <c r="X1294" s="17">
        <f t="shared" ca="1" si="1401"/>
        <v>5.4034014675442991E-2</v>
      </c>
      <c r="Y1294" s="13">
        <f t="shared" ref="Y1294:Z1294" ca="1" si="1414">+Y1293</f>
        <v>0</v>
      </c>
      <c r="Z1294" s="13">
        <f t="shared" ca="1" si="1414"/>
        <v>0</v>
      </c>
      <c r="AA1294">
        <f t="shared" ca="1" si="1408"/>
        <v>0</v>
      </c>
      <c r="AB1294">
        <f t="shared" ca="1" si="1409"/>
        <v>1</v>
      </c>
      <c r="AC1294" s="24">
        <f t="shared" ca="1" si="1410"/>
        <v>0</v>
      </c>
      <c r="AD1294" s="24">
        <f t="shared" ca="1" si="1411"/>
        <v>5.4034014675442991E-2</v>
      </c>
    </row>
    <row r="1295" spans="3:30" x14ac:dyDescent="0.25">
      <c r="C1295" s="6">
        <v>1389</v>
      </c>
      <c r="D1295" s="36">
        <v>43985</v>
      </c>
      <c r="E1295" s="38">
        <v>11.143000000000001</v>
      </c>
      <c r="F1295" s="38">
        <v>38.07124522013001</v>
      </c>
      <c r="G1295" s="38">
        <v>33.35</v>
      </c>
      <c r="H1295" s="38">
        <v>2.225309742637323</v>
      </c>
      <c r="I1295" s="38">
        <v>3.4646333755856773</v>
      </c>
      <c r="J1295" s="10">
        <v>0</v>
      </c>
      <c r="K1295" s="39">
        <v>0</v>
      </c>
      <c r="L1295" s="39">
        <v>0</v>
      </c>
      <c r="M1295" s="39">
        <v>0</v>
      </c>
      <c r="N1295" s="39">
        <v>0</v>
      </c>
      <c r="O1295" s="39">
        <v>1</v>
      </c>
      <c r="P1295" s="39">
        <v>0</v>
      </c>
      <c r="Q1295" s="39">
        <v>0</v>
      </c>
      <c r="R1295" s="39">
        <v>0</v>
      </c>
      <c r="S1295" s="39">
        <v>0</v>
      </c>
      <c r="T1295" s="39">
        <v>0</v>
      </c>
      <c r="U1295" s="29" cm="1">
        <f t="array" aca="1" ref="U1295" ca="1">+fair_value_gap(OFFSET(T1294,0,0,-1*$J$5,-1*$AA$1),OFFSET(E1294,0,0,-1*$J$5,1),F1295:T1295,0)</f>
        <v>12.105721311589258</v>
      </c>
      <c r="V1295" s="9" cm="1">
        <f t="array" aca="1" ref="V1295" ca="1">z_score_diff(OFFSET(U1295,0,0,$J$5*-1,1),OFFSET(E1295,0,0,$J$5*-1,1))</f>
        <v>0.26111861368471323</v>
      </c>
      <c r="W1295" s="9">
        <f t="shared" ca="1" si="1406"/>
        <v>4.0502367988667576E-2</v>
      </c>
      <c r="X1295" s="17">
        <f t="shared" ca="1" si="1401"/>
        <v>5.6100888350804685E-2</v>
      </c>
      <c r="Y1295" s="13">
        <f t="shared" ref="Y1295:Z1295" ca="1" si="1415">+Y1294</f>
        <v>0</v>
      </c>
      <c r="Z1295" s="13">
        <f t="shared" ca="1" si="1415"/>
        <v>0</v>
      </c>
      <c r="AA1295">
        <f t="shared" ca="1" si="1408"/>
        <v>0</v>
      </c>
      <c r="AB1295">
        <f t="shared" ca="1" si="1409"/>
        <v>1</v>
      </c>
      <c r="AC1295" s="24">
        <f t="shared" ca="1" si="1410"/>
        <v>0</v>
      </c>
      <c r="AD1295" s="24">
        <f t="shared" ca="1" si="1411"/>
        <v>5.6100888350804685E-2</v>
      </c>
    </row>
    <row r="1296" spans="3:30" x14ac:dyDescent="0.25">
      <c r="C1296" s="6">
        <v>1390</v>
      </c>
      <c r="D1296" s="36">
        <v>43986</v>
      </c>
      <c r="E1296" s="38">
        <v>11.234999999999999</v>
      </c>
      <c r="F1296" s="38">
        <v>38.040240959429291</v>
      </c>
      <c r="G1296" s="38">
        <v>33.15</v>
      </c>
      <c r="H1296" s="38">
        <v>2.1884728185902982</v>
      </c>
      <c r="I1296" s="38">
        <v>3.4550230349447157</v>
      </c>
      <c r="J1296" s="10">
        <v>0</v>
      </c>
      <c r="K1296" s="39">
        <v>0</v>
      </c>
      <c r="L1296" s="39">
        <v>0</v>
      </c>
      <c r="M1296" s="39">
        <v>0</v>
      </c>
      <c r="N1296" s="39">
        <v>0</v>
      </c>
      <c r="O1296" s="39">
        <v>1</v>
      </c>
      <c r="P1296" s="39">
        <v>0</v>
      </c>
      <c r="Q1296" s="39">
        <v>0</v>
      </c>
      <c r="R1296" s="39">
        <v>0</v>
      </c>
      <c r="S1296" s="39">
        <v>0</v>
      </c>
      <c r="T1296" s="39">
        <v>0</v>
      </c>
      <c r="U1296" s="29" cm="1">
        <f t="array" aca="1" ref="U1296" ca="1">+fair_value_gap(OFFSET(T1295,0,0,-1*$J$5,-1*$AA$1),OFFSET(E1295,0,0,-1*$J$5,1),F1296:T1296,0)</f>
        <v>11.879248584054903</v>
      </c>
      <c r="V1296" s="9" cm="1">
        <f t="array" aca="1" ref="V1296" ca="1">z_score_diff(OFFSET(U1296,0,0,$J$5*-1,1),OFFSET(E1296,0,0,$J$5*-1,1))</f>
        <v>0.12632263258546672</v>
      </c>
      <c r="W1296" s="9">
        <f t="shared" ca="1" si="1406"/>
        <v>4.6071484724501517E-2</v>
      </c>
      <c r="X1296" s="17">
        <f t="shared" ca="1" si="1401"/>
        <v>4.3541923665694288E-2</v>
      </c>
      <c r="Y1296" s="13">
        <f t="shared" ref="Y1296:Z1296" ca="1" si="1416">+Y1295</f>
        <v>0</v>
      </c>
      <c r="Z1296" s="13">
        <f t="shared" ca="1" si="1416"/>
        <v>0</v>
      </c>
      <c r="AA1296">
        <f t="shared" ca="1" si="1408"/>
        <v>0</v>
      </c>
      <c r="AB1296">
        <f t="shared" ca="1" si="1409"/>
        <v>1</v>
      </c>
      <c r="AC1296" s="24">
        <f t="shared" ca="1" si="1410"/>
        <v>0</v>
      </c>
      <c r="AD1296" s="24">
        <f t="shared" ca="1" si="1411"/>
        <v>4.3541923665694288E-2</v>
      </c>
    </row>
    <row r="1297" spans="3:30" x14ac:dyDescent="0.25">
      <c r="C1297" s="6">
        <v>1391</v>
      </c>
      <c r="D1297" s="36">
        <v>43987</v>
      </c>
      <c r="E1297" s="38">
        <v>11.63</v>
      </c>
      <c r="F1297" s="38">
        <v>39.407784904665675</v>
      </c>
      <c r="G1297" s="38">
        <v>34.21</v>
      </c>
      <c r="H1297" s="38">
        <v>2.1860996397504615</v>
      </c>
      <c r="I1297" s="38">
        <v>3.5761356647043323</v>
      </c>
      <c r="J1297" s="10">
        <v>0</v>
      </c>
      <c r="K1297" s="39">
        <v>0</v>
      </c>
      <c r="L1297" s="39">
        <v>0</v>
      </c>
      <c r="M1297" s="39">
        <v>0</v>
      </c>
      <c r="N1297" s="39">
        <v>0</v>
      </c>
      <c r="O1297" s="39">
        <v>1</v>
      </c>
      <c r="P1297" s="39">
        <v>0</v>
      </c>
      <c r="Q1297" s="39">
        <v>0</v>
      </c>
      <c r="R1297" s="39">
        <v>0</v>
      </c>
      <c r="S1297" s="39">
        <v>0</v>
      </c>
      <c r="T1297" s="39">
        <v>0</v>
      </c>
      <c r="U1297" s="29" cm="1">
        <f t="array" aca="1" ref="U1297" ca="1">+fair_value_gap(OFFSET(T1296,0,0,-1*$J$5,-1*$AA$1),OFFSET(E1296,0,0,-1*$J$5,1),F1297:T1297,0)</f>
        <v>12.166176730914696</v>
      </c>
      <c r="V1297" s="9" cm="1">
        <f t="array" aca="1" ref="V1297" ca="1">z_score_diff(OFFSET(U1297,0,0,$J$5*-1,1),OFFSET(E1297,0,0,$J$5*-1,1))</f>
        <v>7.7081286325911158E-2</v>
      </c>
      <c r="W1297" s="9">
        <f t="shared" ca="1" si="1406"/>
        <v>4.9688479152597373E-2</v>
      </c>
      <c r="X1297" s="17">
        <f t="shared" ca="1" si="1401"/>
        <v>9.0730743101074315E-3</v>
      </c>
      <c r="Y1297" s="13">
        <f t="shared" ref="Y1297:Z1297" ca="1" si="1417">+Y1296</f>
        <v>0</v>
      </c>
      <c r="Z1297" s="13">
        <f t="shared" ca="1" si="1417"/>
        <v>0</v>
      </c>
      <c r="AA1297">
        <f t="shared" ca="1" si="1408"/>
        <v>0</v>
      </c>
      <c r="AB1297">
        <f t="shared" ca="1" si="1409"/>
        <v>1</v>
      </c>
      <c r="AC1297" s="24">
        <f t="shared" ca="1" si="1410"/>
        <v>0</v>
      </c>
      <c r="AD1297" s="24">
        <f t="shared" ca="1" si="1411"/>
        <v>9.0730743101074315E-3</v>
      </c>
    </row>
    <row r="1298" spans="3:30" x14ac:dyDescent="0.25">
      <c r="C1298" s="6">
        <v>1392</v>
      </c>
      <c r="D1298" s="36">
        <v>43990</v>
      </c>
      <c r="E1298" s="38">
        <v>11.352</v>
      </c>
      <c r="F1298" s="38">
        <v>38.295843733291655</v>
      </c>
      <c r="G1298" s="38">
        <v>34.479999999999997</v>
      </c>
      <c r="H1298" s="38">
        <v>2.1878322462944251</v>
      </c>
      <c r="I1298" s="38">
        <v>3.4898206978412278</v>
      </c>
      <c r="J1298" s="10">
        <v>0</v>
      </c>
      <c r="K1298" s="39">
        <v>0</v>
      </c>
      <c r="L1298" s="39">
        <v>0</v>
      </c>
      <c r="M1298" s="39">
        <v>0</v>
      </c>
      <c r="N1298" s="39">
        <v>0</v>
      </c>
      <c r="O1298" s="39">
        <v>1</v>
      </c>
      <c r="P1298" s="39">
        <v>0</v>
      </c>
      <c r="Q1298" s="39">
        <v>0</v>
      </c>
      <c r="R1298" s="39">
        <v>0</v>
      </c>
      <c r="S1298" s="39">
        <v>0</v>
      </c>
      <c r="T1298" s="39">
        <v>0</v>
      </c>
      <c r="U1298" s="29" cm="1">
        <f t="array" aca="1" ref="U1298" ca="1">+fair_value_gap(OFFSET(T1297,0,0,-1*$J$5,-1*$AA$1),OFFSET(E1297,0,0,-1*$J$5,1),F1298:T1298,0)</f>
        <v>12.011222265160576</v>
      </c>
      <c r="V1298" s="9" cm="1">
        <f t="array" aca="1" ref="V1298" ca="1">z_score_diff(OFFSET(U1298,0,0,$J$5*-1,1),OFFSET(E1298,0,0,$J$5*-1,1))</f>
        <v>0.12668310999636123</v>
      </c>
      <c r="W1298" s="9">
        <f t="shared" ca="1" si="1406"/>
        <v>5.5114876532663302E-2</v>
      </c>
      <c r="X1298" s="17">
        <f t="shared" ca="1" si="1401"/>
        <v>-6.185404539957232E-3</v>
      </c>
      <c r="Y1298" s="13">
        <f t="shared" ref="Y1298:Z1298" ca="1" si="1418">+Y1297</f>
        <v>0</v>
      </c>
      <c r="Z1298" s="13">
        <f t="shared" ca="1" si="1418"/>
        <v>0</v>
      </c>
      <c r="AA1298">
        <f t="shared" ca="1" si="1408"/>
        <v>0</v>
      </c>
      <c r="AB1298">
        <f t="shared" ca="1" si="1409"/>
        <v>1</v>
      </c>
      <c r="AC1298" s="24">
        <f t="shared" ca="1" si="1410"/>
        <v>0</v>
      </c>
      <c r="AD1298" s="24">
        <f t="shared" ca="1" si="1411"/>
        <v>-6.185404539957232E-3</v>
      </c>
    </row>
    <row r="1299" spans="3:30" x14ac:dyDescent="0.25">
      <c r="C1299" s="6">
        <v>1393</v>
      </c>
      <c r="D1299" s="36">
        <v>43991</v>
      </c>
      <c r="E1299" s="38">
        <v>11.161</v>
      </c>
      <c r="F1299" s="38">
        <v>38.691332354610218</v>
      </c>
      <c r="G1299" s="38">
        <v>33.450000000000003</v>
      </c>
      <c r="H1299" s="38">
        <v>2.185950980486453</v>
      </c>
      <c r="I1299" s="38">
        <v>3.4538025491685955</v>
      </c>
      <c r="J1299" s="10">
        <v>0</v>
      </c>
      <c r="K1299" s="39">
        <v>0</v>
      </c>
      <c r="L1299" s="39">
        <v>0</v>
      </c>
      <c r="M1299" s="39">
        <v>0</v>
      </c>
      <c r="N1299" s="39">
        <v>0</v>
      </c>
      <c r="O1299" s="39">
        <v>1</v>
      </c>
      <c r="P1299" s="39">
        <v>0</v>
      </c>
      <c r="Q1299" s="39">
        <v>0</v>
      </c>
      <c r="R1299" s="39">
        <v>0</v>
      </c>
      <c r="S1299" s="39">
        <v>0</v>
      </c>
      <c r="T1299" s="39">
        <v>0</v>
      </c>
      <c r="U1299" s="29" cm="1">
        <f t="array" aca="1" ref="U1299" ca="1">+fair_value_gap(OFFSET(T1298,0,0,-1*$J$5,-1*$AA$1),OFFSET(E1298,0,0,-1*$J$5,1),F1299:T1299,0)</f>
        <v>11.664822865714603</v>
      </c>
      <c r="V1299" s="9" cm="1">
        <f t="array" aca="1" ref="V1299" ca="1">z_score_diff(OFFSET(U1299,0,0,$J$5*-1,1),OFFSET(E1299,0,0,$J$5*-1,1))</f>
        <v>6.3841424910908273E-2</v>
      </c>
      <c r="W1299" s="9">
        <f t="shared" ca="1" si="1406"/>
        <v>5.7082213056370477E-2</v>
      </c>
      <c r="X1299" s="17">
        <f t="shared" ca="1" si="1401"/>
        <v>1.3968820046754175E-2</v>
      </c>
      <c r="Y1299" s="13">
        <f t="shared" ref="Y1299:Z1299" ca="1" si="1419">+Y1298</f>
        <v>0</v>
      </c>
      <c r="Z1299" s="13">
        <f t="shared" ca="1" si="1419"/>
        <v>0</v>
      </c>
      <c r="AA1299">
        <f t="shared" ca="1" si="1408"/>
        <v>0</v>
      </c>
      <c r="AB1299">
        <f t="shared" ca="1" si="1409"/>
        <v>1</v>
      </c>
      <c r="AC1299" s="24">
        <f t="shared" ca="1" si="1410"/>
        <v>0</v>
      </c>
      <c r="AD1299" s="24">
        <f t="shared" ca="1" si="1411"/>
        <v>1.3968820046754175E-2</v>
      </c>
    </row>
    <row r="1300" spans="3:30" x14ac:dyDescent="0.25">
      <c r="C1300" s="6">
        <v>1394</v>
      </c>
      <c r="D1300" s="36">
        <v>43992</v>
      </c>
      <c r="E1300" s="38">
        <v>11.244999999999999</v>
      </c>
      <c r="F1300" s="38">
        <v>38.624820349672795</v>
      </c>
      <c r="G1300" s="38">
        <v>33.590000000000003</v>
      </c>
      <c r="H1300" s="38">
        <v>2.2020246417458522</v>
      </c>
      <c r="I1300" s="38">
        <v>3.4665536439365403</v>
      </c>
      <c r="J1300" s="10">
        <v>0</v>
      </c>
      <c r="K1300" s="39">
        <v>0</v>
      </c>
      <c r="L1300" s="39">
        <v>0</v>
      </c>
      <c r="M1300" s="39">
        <v>0</v>
      </c>
      <c r="N1300" s="39">
        <v>0</v>
      </c>
      <c r="O1300" s="39">
        <v>1</v>
      </c>
      <c r="P1300" s="39">
        <v>0</v>
      </c>
      <c r="Q1300" s="39">
        <v>0</v>
      </c>
      <c r="R1300" s="39">
        <v>0</v>
      </c>
      <c r="S1300" s="39">
        <v>0</v>
      </c>
      <c r="T1300" s="39">
        <v>0</v>
      </c>
      <c r="U1300" s="29" cm="1">
        <f t="array" aca="1" ref="U1300" ca="1">+fair_value_gap(OFFSET(T1299,0,0,-1*$J$5,-1*$AA$1),OFFSET(E1299,0,0,-1*$J$5,1),F1300:T1300,0)</f>
        <v>11.636920139598418</v>
      </c>
      <c r="V1300" s="9" cm="1">
        <f t="array" aca="1" ref="V1300" ca="1">z_score_diff(OFFSET(U1300,0,0,$J$5*-1,1),OFFSET(E1300,0,0,$J$5*-1,1))</f>
        <v>1.7700601839159669E-2</v>
      </c>
      <c r="W1300" s="9">
        <f t="shared" ca="1" si="1406"/>
        <v>5.8590997301255963E-2</v>
      </c>
      <c r="X1300" s="17">
        <f t="shared" ca="1" si="1401"/>
        <v>-3.2957763765730091E-3</v>
      </c>
      <c r="Y1300" s="13">
        <f t="shared" ref="Y1300:Z1300" ca="1" si="1420">+Y1299</f>
        <v>0</v>
      </c>
      <c r="Z1300" s="13">
        <f t="shared" ca="1" si="1420"/>
        <v>0</v>
      </c>
      <c r="AA1300">
        <f t="shared" ca="1" si="1408"/>
        <v>0</v>
      </c>
      <c r="AB1300">
        <f t="shared" ca="1" si="1409"/>
        <v>1</v>
      </c>
      <c r="AC1300" s="24">
        <f t="shared" ca="1" si="1410"/>
        <v>0</v>
      </c>
      <c r="AD1300" s="24">
        <f t="shared" ca="1" si="1411"/>
        <v>-3.2957763765730091E-3</v>
      </c>
    </row>
    <row r="1301" spans="3:30" x14ac:dyDescent="0.25">
      <c r="C1301" s="6">
        <v>1395</v>
      </c>
      <c r="D1301" s="36">
        <v>43993</v>
      </c>
      <c r="E1301" s="38">
        <v>11.145</v>
      </c>
      <c r="F1301" s="38">
        <v>36.704333516182118</v>
      </c>
      <c r="G1301" s="38">
        <v>33.36</v>
      </c>
      <c r="H1301" s="38">
        <v>2.2345584201865054</v>
      </c>
      <c r="I1301" s="38">
        <v>3.4887547997805815</v>
      </c>
      <c r="J1301" s="10">
        <v>0</v>
      </c>
      <c r="K1301" s="39">
        <v>0</v>
      </c>
      <c r="L1301" s="39">
        <v>0</v>
      </c>
      <c r="M1301" s="39">
        <v>0</v>
      </c>
      <c r="N1301" s="39">
        <v>0</v>
      </c>
      <c r="O1301" s="39">
        <v>1</v>
      </c>
      <c r="P1301" s="39">
        <v>0</v>
      </c>
      <c r="Q1301" s="39">
        <v>0</v>
      </c>
      <c r="R1301" s="39">
        <v>0</v>
      </c>
      <c r="S1301" s="39">
        <v>0</v>
      </c>
      <c r="T1301" s="39">
        <v>0</v>
      </c>
      <c r="U1301" s="29" cm="1">
        <f t="array" aca="1" ref="U1301" ca="1">+fair_value_gap(OFFSET(T1300,0,0,-1*$J$5,-1*$AA$1),OFFSET(E1300,0,0,-1*$J$5,1),F1301:T1301,0)</f>
        <v>11.502584664110755</v>
      </c>
      <c r="V1301" s="9" cm="1">
        <f t="array" aca="1" ref="V1301" ca="1">z_score_diff(OFFSET(U1301,0,0,$J$5*-1,1),OFFSET(E1301,0,0,$J$5*-1,1))</f>
        <v>4.579082220839803E-3</v>
      </c>
      <c r="W1301" s="9">
        <f t="shared" ca="1" si="1406"/>
        <v>5.8831003996918443E-2</v>
      </c>
      <c r="X1301" s="17">
        <f t="shared" ca="1" si="1401"/>
        <v>3.9401859877520465E-3</v>
      </c>
      <c r="Y1301" s="13">
        <f t="shared" ref="Y1301:Z1301" ca="1" si="1421">+Y1300</f>
        <v>0</v>
      </c>
      <c r="Z1301" s="13">
        <f t="shared" ca="1" si="1421"/>
        <v>0</v>
      </c>
      <c r="AA1301">
        <f t="shared" ca="1" si="1408"/>
        <v>0</v>
      </c>
      <c r="AB1301">
        <f t="shared" ca="1" si="1409"/>
        <v>1</v>
      </c>
      <c r="AC1301" s="24">
        <f t="shared" ca="1" si="1410"/>
        <v>0</v>
      </c>
      <c r="AD1301" s="24">
        <f t="shared" ca="1" si="1411"/>
        <v>3.9401859877520465E-3</v>
      </c>
    </row>
    <row r="1302" spans="3:30" x14ac:dyDescent="0.25">
      <c r="C1302" s="6">
        <v>1396</v>
      </c>
      <c r="D1302" s="36">
        <v>43994</v>
      </c>
      <c r="E1302" s="38">
        <v>11.055</v>
      </c>
      <c r="F1302" s="38">
        <v>36.929990747675902</v>
      </c>
      <c r="G1302" s="38">
        <v>33.14</v>
      </c>
      <c r="H1302" s="38">
        <v>2.223201304137111</v>
      </c>
      <c r="I1302" s="38">
        <v>3.480636207428295</v>
      </c>
      <c r="J1302" s="10">
        <v>0</v>
      </c>
      <c r="K1302" s="39">
        <v>0</v>
      </c>
      <c r="L1302" s="39">
        <v>0</v>
      </c>
      <c r="M1302" s="39">
        <v>0</v>
      </c>
      <c r="N1302" s="39">
        <v>0</v>
      </c>
      <c r="O1302" s="39">
        <v>1</v>
      </c>
      <c r="P1302" s="39">
        <v>0</v>
      </c>
      <c r="Q1302" s="39">
        <v>0</v>
      </c>
      <c r="R1302" s="39">
        <v>0</v>
      </c>
      <c r="S1302" s="39">
        <v>0</v>
      </c>
      <c r="T1302" s="39">
        <v>0</v>
      </c>
      <c r="U1302" s="29" cm="1">
        <f t="array" aca="1" ref="U1302" ca="1">+fair_value_gap(OFFSET(T1301,0,0,-1*$J$5,-1*$AA$1),OFFSET(E1301,0,0,-1*$J$5,1),F1302:T1302,0)</f>
        <v>11.406461455350859</v>
      </c>
      <c r="V1302" s="9" cm="1">
        <f t="array" aca="1" ref="V1302" ca="1">z_score_diff(OFFSET(U1302,0,0,$J$5*-1,1),OFFSET(E1302,0,0,$J$5*-1,1))</f>
        <v>2.7319854258864851E-3</v>
      </c>
      <c r="W1302" s="9">
        <f t="shared" ca="1" si="1406"/>
        <v>3.910906297953283E-2</v>
      </c>
      <c r="X1302" s="17">
        <f t="shared" ca="1" si="1401"/>
        <v>1.9880722253861152E-3</v>
      </c>
      <c r="Y1302" s="13">
        <f t="shared" ref="Y1302:Z1302" ca="1" si="1422">+Y1301</f>
        <v>0</v>
      </c>
      <c r="Z1302" s="13">
        <f t="shared" ca="1" si="1422"/>
        <v>0</v>
      </c>
      <c r="AA1302">
        <f t="shared" ca="1" si="1408"/>
        <v>0</v>
      </c>
      <c r="AB1302">
        <f t="shared" ca="1" si="1409"/>
        <v>1</v>
      </c>
      <c r="AC1302" s="24">
        <f t="shared" ca="1" si="1410"/>
        <v>0</v>
      </c>
      <c r="AD1302" s="24">
        <f t="shared" ca="1" si="1411"/>
        <v>1.9880722253861152E-3</v>
      </c>
    </row>
    <row r="1303" spans="3:30" x14ac:dyDescent="0.25">
      <c r="C1303" s="6">
        <v>1397</v>
      </c>
      <c r="D1303" s="36">
        <v>43997</v>
      </c>
      <c r="E1303" s="38">
        <v>10.939</v>
      </c>
      <c r="F1303" s="38">
        <v>37.529647107458288</v>
      </c>
      <c r="G1303" s="38">
        <v>32.57</v>
      </c>
      <c r="H1303" s="38">
        <v>2.1913460224704928</v>
      </c>
      <c r="I1303" s="38">
        <v>3.4376631247788509</v>
      </c>
      <c r="J1303" s="10">
        <v>0</v>
      </c>
      <c r="K1303" s="39">
        <v>0</v>
      </c>
      <c r="L1303" s="39">
        <v>0</v>
      </c>
      <c r="M1303" s="39">
        <v>0</v>
      </c>
      <c r="N1303" s="39">
        <v>0</v>
      </c>
      <c r="O1303" s="39">
        <v>1</v>
      </c>
      <c r="P1303" s="39">
        <v>0</v>
      </c>
      <c r="Q1303" s="39">
        <v>0</v>
      </c>
      <c r="R1303" s="39">
        <v>0</v>
      </c>
      <c r="S1303" s="39">
        <v>0</v>
      </c>
      <c r="T1303" s="39">
        <v>0</v>
      </c>
      <c r="U1303" s="29" cm="1">
        <f t="array" aca="1" ref="U1303" ca="1">+fair_value_gap(OFFSET(T1302,0,0,-1*$J$5,-1*$AA$1),OFFSET(E1302,0,0,-1*$J$5,1),F1303:T1303,0)</f>
        <v>11.202466314972648</v>
      </c>
      <c r="V1303" s="9" cm="1">
        <f t="array" aca="1" ref="V1303" ca="1">z_score_diff(OFFSET(U1303,0,0,$J$5*-1,1),OFFSET(E1303,0,0,$J$5*-1,1))</f>
        <v>-3.0295368156409763E-2</v>
      </c>
      <c r="W1303" s="9">
        <f t="shared" ca="1" si="1406"/>
        <v>2.8652376407159712E-2</v>
      </c>
      <c r="X1303" s="17">
        <f t="shared" ca="1" si="1401"/>
        <v>-1.8452410261574227E-2</v>
      </c>
      <c r="Y1303" s="13">
        <f t="shared" ref="Y1303:Z1303" ca="1" si="1423">+Y1302</f>
        <v>0</v>
      </c>
      <c r="Z1303" s="13">
        <f t="shared" ca="1" si="1423"/>
        <v>0</v>
      </c>
      <c r="AA1303">
        <f t="shared" ca="1" si="1408"/>
        <v>0</v>
      </c>
      <c r="AB1303">
        <f t="shared" ca="1" si="1409"/>
        <v>1</v>
      </c>
      <c r="AC1303" s="24">
        <f t="shared" ca="1" si="1410"/>
        <v>0</v>
      </c>
      <c r="AD1303" s="24">
        <f t="shared" ca="1" si="1411"/>
        <v>-1.8452410261574227E-2</v>
      </c>
    </row>
    <row r="1304" spans="3:30" x14ac:dyDescent="0.25">
      <c r="C1304" s="6">
        <v>1398</v>
      </c>
      <c r="D1304" s="36">
        <v>43998</v>
      </c>
      <c r="E1304" s="38">
        <v>11.117000000000001</v>
      </c>
      <c r="F1304" s="38">
        <v>38.524857160464478</v>
      </c>
      <c r="G1304" s="38">
        <v>34</v>
      </c>
      <c r="H1304" s="38">
        <v>2.2009173423482906</v>
      </c>
      <c r="I1304" s="38">
        <v>3.5434769211807482</v>
      </c>
      <c r="J1304" s="10">
        <v>0</v>
      </c>
      <c r="K1304" s="39">
        <v>0</v>
      </c>
      <c r="L1304" s="39">
        <v>0</v>
      </c>
      <c r="M1304" s="39">
        <v>0</v>
      </c>
      <c r="N1304" s="39">
        <v>0</v>
      </c>
      <c r="O1304" s="39">
        <v>1</v>
      </c>
      <c r="P1304" s="39">
        <v>0</v>
      </c>
      <c r="Q1304" s="39">
        <v>0</v>
      </c>
      <c r="R1304" s="39">
        <v>0</v>
      </c>
      <c r="S1304" s="39">
        <v>0</v>
      </c>
      <c r="T1304" s="39">
        <v>0</v>
      </c>
      <c r="U1304" s="29" cm="1">
        <f t="array" aca="1" ref="U1304" ca="1">+fair_value_gap(OFFSET(T1303,0,0,-1*$J$5,-1*$AA$1),OFFSET(E1303,0,0,-1*$J$5,1),F1304:T1304,0)</f>
        <v>11.596344327794331</v>
      </c>
      <c r="V1304" s="9" cm="1">
        <f t="array" aca="1" ref="V1304" ca="1">z_score_diff(OFFSET(U1304,0,0,$J$5*-1,1),OFFSET(E1304,0,0,$J$5*-1,1))</f>
        <v>5.189179323905968E-2</v>
      </c>
      <c r="W1304" s="9">
        <f t="shared" ca="1" si="1406"/>
        <v>2.4904317886187646E-2</v>
      </c>
      <c r="X1304" s="17">
        <f t="shared" ca="1" si="1401"/>
        <v>-1.4314431770222917E-2</v>
      </c>
      <c r="Y1304" s="13">
        <f t="shared" ref="Y1304:Z1304" ca="1" si="1424">+Y1303</f>
        <v>0</v>
      </c>
      <c r="Z1304" s="13">
        <f t="shared" ca="1" si="1424"/>
        <v>0</v>
      </c>
      <c r="AA1304">
        <f t="shared" ca="1" si="1408"/>
        <v>0</v>
      </c>
      <c r="AB1304">
        <f t="shared" ca="1" si="1409"/>
        <v>1</v>
      </c>
      <c r="AC1304" s="24">
        <f t="shared" ca="1" si="1410"/>
        <v>0</v>
      </c>
      <c r="AD1304" s="24">
        <f t="shared" ca="1" si="1411"/>
        <v>-1.4314431770222917E-2</v>
      </c>
    </row>
    <row r="1305" spans="3:30" x14ac:dyDescent="0.25">
      <c r="C1305" s="6">
        <v>1399</v>
      </c>
      <c r="D1305" s="36">
        <v>43999</v>
      </c>
      <c r="E1305" s="38">
        <v>11.146000000000001</v>
      </c>
      <c r="F1305" s="38">
        <v>37.919988999501108</v>
      </c>
      <c r="G1305" s="38">
        <v>33.99</v>
      </c>
      <c r="H1305" s="38">
        <v>2.2115586331880115</v>
      </c>
      <c r="I1305" s="38">
        <v>3.5478371855646667</v>
      </c>
      <c r="J1305" s="10">
        <v>0</v>
      </c>
      <c r="K1305" s="39">
        <v>0</v>
      </c>
      <c r="L1305" s="39">
        <v>0</v>
      </c>
      <c r="M1305" s="39">
        <v>0</v>
      </c>
      <c r="N1305" s="39">
        <v>0</v>
      </c>
      <c r="O1305" s="39">
        <v>1</v>
      </c>
      <c r="P1305" s="39">
        <v>0</v>
      </c>
      <c r="Q1305" s="39">
        <v>0</v>
      </c>
      <c r="R1305" s="39">
        <v>0</v>
      </c>
      <c r="S1305" s="39">
        <v>0</v>
      </c>
      <c r="T1305" s="39">
        <v>0</v>
      </c>
      <c r="U1305" s="29" cm="1">
        <f t="array" aca="1" ref="U1305" ca="1">+fair_value_gap(OFFSET(T1304,0,0,-1*$J$5,-1*$AA$1),OFFSET(E1304,0,0,-1*$J$5,1),F1305:T1305,0)</f>
        <v>11.520948588998763</v>
      </c>
      <c r="V1305" s="9" cm="1">
        <f t="array" aca="1" ref="V1305" ca="1">z_score_diff(OFFSET(U1305,0,0,$J$5*-1,1),OFFSET(E1305,0,0,$J$5*-1,1))</f>
        <v>1.0694794807716068E-2</v>
      </c>
      <c r="W1305" s="9">
        <f t="shared" ca="1" si="1406"/>
        <v>2.2573846951556915E-2</v>
      </c>
      <c r="X1305" s="17">
        <f t="shared" ca="1" si="1401"/>
        <v>-6.4806707465692838E-3</v>
      </c>
      <c r="Y1305" s="13">
        <f t="shared" ref="Y1305:Z1305" ca="1" si="1425">+Y1304</f>
        <v>0</v>
      </c>
      <c r="Z1305" s="13">
        <f t="shared" ca="1" si="1425"/>
        <v>0</v>
      </c>
      <c r="AA1305">
        <f t="shared" ca="1" si="1408"/>
        <v>0</v>
      </c>
      <c r="AB1305">
        <f t="shared" ca="1" si="1409"/>
        <v>1</v>
      </c>
      <c r="AC1305" s="24">
        <f t="shared" ca="1" si="1410"/>
        <v>0</v>
      </c>
      <c r="AD1305" s="24">
        <f t="shared" ca="1" si="1411"/>
        <v>-6.4806707465692838E-3</v>
      </c>
    </row>
    <row r="1306" spans="3:30" x14ac:dyDescent="0.25">
      <c r="C1306" s="6">
        <v>1400</v>
      </c>
      <c r="D1306" s="36">
        <v>44000</v>
      </c>
      <c r="E1306" s="38">
        <v>11.35</v>
      </c>
      <c r="F1306" s="38">
        <v>38.214080269038455</v>
      </c>
      <c r="G1306" s="38">
        <v>35.17</v>
      </c>
      <c r="H1306" s="38">
        <v>2.2248772069560596</v>
      </c>
      <c r="I1306" s="38">
        <v>3.5665294924554187</v>
      </c>
      <c r="J1306" s="10">
        <v>0</v>
      </c>
      <c r="K1306" s="39">
        <v>0</v>
      </c>
      <c r="L1306" s="39">
        <v>0</v>
      </c>
      <c r="M1306" s="39">
        <v>0</v>
      </c>
      <c r="N1306" s="39">
        <v>0</v>
      </c>
      <c r="O1306" s="39">
        <v>1</v>
      </c>
      <c r="P1306" s="39">
        <v>0</v>
      </c>
      <c r="Q1306" s="39">
        <v>0</v>
      </c>
      <c r="R1306" s="39">
        <v>0</v>
      </c>
      <c r="S1306" s="39">
        <v>0</v>
      </c>
      <c r="T1306" s="39">
        <v>0</v>
      </c>
      <c r="U1306" s="29" cm="1">
        <f t="array" aca="1" ref="U1306" ca="1">+fair_value_gap(OFFSET(T1305,0,0,-1*$J$5,-1*$AA$1),OFFSET(E1305,0,0,-1*$J$5,1),F1306:T1306,0)</f>
        <v>11.722910183758671</v>
      </c>
      <c r="V1306" s="9" cm="1">
        <f t="array" aca="1" ref="V1306" ca="1">z_score_diff(OFFSET(U1306,0,0,$J$5*-1,1),OFFSET(E1306,0,0,$J$5*-1,1))</f>
        <v>8.1422519443550279E-3</v>
      </c>
      <c r="W1306" s="9">
        <f t="shared" ca="1" si="1406"/>
        <v>2.4267490376473865E-2</v>
      </c>
      <c r="X1306" s="17">
        <f t="shared" ca="1" si="1401"/>
        <v>-4.5237012729371792E-2</v>
      </c>
      <c r="Y1306" s="13">
        <f t="shared" ref="Y1306:Z1306" ca="1" si="1426">+Y1305</f>
        <v>0</v>
      </c>
      <c r="Z1306" s="13">
        <f t="shared" ca="1" si="1426"/>
        <v>0</v>
      </c>
      <c r="AA1306">
        <f t="shared" ca="1" si="1408"/>
        <v>0</v>
      </c>
      <c r="AB1306">
        <f t="shared" ca="1" si="1409"/>
        <v>1</v>
      </c>
      <c r="AC1306" s="24">
        <f t="shared" ca="1" si="1410"/>
        <v>0</v>
      </c>
      <c r="AD1306" s="24">
        <f t="shared" ca="1" si="1411"/>
        <v>-4.5237012729371792E-2</v>
      </c>
    </row>
    <row r="1307" spans="3:30" x14ac:dyDescent="0.25">
      <c r="C1307" s="6">
        <v>1401</v>
      </c>
      <c r="D1307" s="36">
        <v>44001</v>
      </c>
      <c r="E1307" s="38">
        <v>11.449</v>
      </c>
      <c r="F1307" s="38">
        <v>38.670014105373355</v>
      </c>
      <c r="G1307" s="38">
        <v>35.24</v>
      </c>
      <c r="H1307" s="38">
        <v>2.2329072150315374</v>
      </c>
      <c r="I1307" s="38">
        <v>3.606185073143902</v>
      </c>
      <c r="J1307" s="10">
        <v>0</v>
      </c>
      <c r="K1307" s="39">
        <v>0</v>
      </c>
      <c r="L1307" s="39">
        <v>0</v>
      </c>
      <c r="M1307" s="39">
        <v>0</v>
      </c>
      <c r="N1307" s="39">
        <v>0</v>
      </c>
      <c r="O1307" s="39">
        <v>1</v>
      </c>
      <c r="P1307" s="39">
        <v>0</v>
      </c>
      <c r="Q1307" s="39">
        <v>0</v>
      </c>
      <c r="R1307" s="39">
        <v>0</v>
      </c>
      <c r="S1307" s="39">
        <v>0</v>
      </c>
      <c r="T1307" s="39">
        <v>0</v>
      </c>
      <c r="U1307" s="29" cm="1">
        <f t="array" aca="1" ref="U1307" ca="1">+fair_value_gap(OFFSET(T1306,0,0,-1*$J$5,-1*$AA$1),OFFSET(E1306,0,0,-1*$J$5,1),F1307:T1307,0)</f>
        <v>11.708906530810683</v>
      </c>
      <c r="V1307" s="9" cm="1">
        <f t="array" aca="1" ref="V1307" ca="1">z_score_diff(OFFSET(U1307,0,0,$J$5*-1,1),OFFSET(E1307,0,0,$J$5*-1,1))</f>
        <v>-3.5562238352095488E-2</v>
      </c>
      <c r="W1307" s="9">
        <f t="shared" ca="1" si="1406"/>
        <v>2.2508202330234671E-2</v>
      </c>
      <c r="X1307" s="17">
        <f t="shared" ca="1" si="1401"/>
        <v>-4.0098030366695632E-2</v>
      </c>
      <c r="Y1307" s="13">
        <f t="shared" ref="Y1307:Z1307" ca="1" si="1427">+Y1306</f>
        <v>0</v>
      </c>
      <c r="Z1307" s="13">
        <f t="shared" ca="1" si="1427"/>
        <v>0</v>
      </c>
      <c r="AA1307">
        <f t="shared" ca="1" si="1408"/>
        <v>0</v>
      </c>
      <c r="AB1307">
        <f t="shared" ca="1" si="1409"/>
        <v>1</v>
      </c>
      <c r="AC1307" s="24">
        <f t="shared" ca="1" si="1410"/>
        <v>0</v>
      </c>
      <c r="AD1307" s="24">
        <f t="shared" ca="1" si="1411"/>
        <v>-4.0098030366695632E-2</v>
      </c>
    </row>
    <row r="1308" spans="3:30" x14ac:dyDescent="0.25">
      <c r="C1308" s="6">
        <v>1402</v>
      </c>
      <c r="D1308" s="36">
        <v>44004</v>
      </c>
      <c r="E1308" s="38">
        <v>11.339</v>
      </c>
      <c r="F1308" s="38">
        <v>39.148213763687792</v>
      </c>
      <c r="G1308" s="38">
        <v>35.28</v>
      </c>
      <c r="H1308" s="38">
        <v>2.1977944569087882</v>
      </c>
      <c r="I1308" s="38">
        <v>3.5044959689491093</v>
      </c>
      <c r="J1308" s="10">
        <v>0</v>
      </c>
      <c r="K1308" s="39">
        <v>0</v>
      </c>
      <c r="L1308" s="39">
        <v>0</v>
      </c>
      <c r="M1308" s="39">
        <v>0</v>
      </c>
      <c r="N1308" s="39">
        <v>0</v>
      </c>
      <c r="O1308" s="39">
        <v>1</v>
      </c>
      <c r="P1308" s="39">
        <v>0</v>
      </c>
      <c r="Q1308" s="39">
        <v>0</v>
      </c>
      <c r="R1308" s="39">
        <v>0</v>
      </c>
      <c r="S1308" s="39">
        <v>0</v>
      </c>
      <c r="T1308" s="39">
        <v>0</v>
      </c>
      <c r="U1308" s="29" cm="1">
        <f t="array" aca="1" ref="U1308" ca="1">+fair_value_gap(OFFSET(T1307,0,0,-1*$J$5,-1*$AA$1),OFFSET(E1307,0,0,-1*$J$5,1),F1308:T1308,0)</f>
        <v>11.508450691479759</v>
      </c>
      <c r="V1308" s="9" cm="1">
        <f t="array" aca="1" ref="V1308" ca="1">z_score_diff(OFFSET(U1308,0,0,$J$5*-1,1),OFFSET(E1308,0,0,$J$5*-1,1))</f>
        <v>-6.8738260938627116E-2</v>
      </c>
      <c r="W1308" s="9">
        <f t="shared" ca="1" si="1406"/>
        <v>2.1773492771209945E-2</v>
      </c>
      <c r="X1308" s="17">
        <f t="shared" ca="1" si="1401"/>
        <v>-1.5822552316124915E-2</v>
      </c>
      <c r="Y1308" s="13">
        <f t="shared" ref="Y1308:Z1308" ca="1" si="1428">+Y1307</f>
        <v>0</v>
      </c>
      <c r="Z1308" s="13">
        <f t="shared" ca="1" si="1428"/>
        <v>0</v>
      </c>
      <c r="AA1308">
        <f t="shared" ca="1" si="1408"/>
        <v>0</v>
      </c>
      <c r="AB1308">
        <f t="shared" ca="1" si="1409"/>
        <v>1</v>
      </c>
      <c r="AC1308" s="24">
        <f t="shared" ca="1" si="1410"/>
        <v>0</v>
      </c>
      <c r="AD1308" s="24">
        <f t="shared" ca="1" si="1411"/>
        <v>-1.5822552316124915E-2</v>
      </c>
    </row>
    <row r="1309" spans="3:30" x14ac:dyDescent="0.25">
      <c r="C1309" s="6">
        <v>1403</v>
      </c>
      <c r="D1309" s="36">
        <v>44005</v>
      </c>
      <c r="E1309" s="38">
        <v>11.539</v>
      </c>
      <c r="F1309" s="38">
        <v>38.799715971351674</v>
      </c>
      <c r="G1309" s="38">
        <v>36.130000000000003</v>
      </c>
      <c r="H1309" s="38">
        <v>2.1696632857906781</v>
      </c>
      <c r="I1309" s="38">
        <v>3.5415917877148844</v>
      </c>
      <c r="J1309" s="10">
        <v>0</v>
      </c>
      <c r="K1309" s="39">
        <v>0</v>
      </c>
      <c r="L1309" s="39">
        <v>0</v>
      </c>
      <c r="M1309" s="39">
        <v>0</v>
      </c>
      <c r="N1309" s="39">
        <v>0</v>
      </c>
      <c r="O1309" s="39">
        <v>1</v>
      </c>
      <c r="P1309" s="39">
        <v>0</v>
      </c>
      <c r="Q1309" s="39">
        <v>0</v>
      </c>
      <c r="R1309" s="39">
        <v>0</v>
      </c>
      <c r="S1309" s="39">
        <v>0</v>
      </c>
      <c r="T1309" s="39">
        <v>0</v>
      </c>
      <c r="U1309" s="29" cm="1">
        <f t="array" aca="1" ref="U1309" ca="1">+fair_value_gap(OFFSET(T1308,0,0,-1*$J$5,-1*$AA$1),OFFSET(E1308,0,0,-1*$J$5,1),F1309:T1309,0)</f>
        <v>11.671691917502036</v>
      </c>
      <c r="V1309" s="9" cm="1">
        <f t="array" aca="1" ref="V1309" ca="1">z_score_diff(OFFSET(U1309,0,0,$J$5*-1,1),OFFSET(E1309,0,0,$J$5*-1,1))</f>
        <v>-8.2518885813589904E-2</v>
      </c>
      <c r="W1309" s="9">
        <f t="shared" ca="1" si="1406"/>
        <v>1.9712993537489232E-2</v>
      </c>
      <c r="X1309" s="17">
        <f t="shared" ca="1" si="1401"/>
        <v>-1.097954564106763E-2</v>
      </c>
      <c r="Y1309" s="13">
        <f t="shared" ref="Y1309:Z1309" ca="1" si="1429">+Y1308</f>
        <v>0</v>
      </c>
      <c r="Z1309" s="13">
        <f t="shared" ca="1" si="1429"/>
        <v>0</v>
      </c>
      <c r="AA1309">
        <f t="shared" ca="1" si="1408"/>
        <v>0</v>
      </c>
      <c r="AB1309">
        <f t="shared" ca="1" si="1409"/>
        <v>1</v>
      </c>
      <c r="AC1309" s="24">
        <f t="shared" ca="1" si="1410"/>
        <v>0</v>
      </c>
      <c r="AD1309" s="24">
        <f t="shared" ca="1" si="1411"/>
        <v>-1.097954564106763E-2</v>
      </c>
    </row>
    <row r="1310" spans="3:30" x14ac:dyDescent="0.25">
      <c r="C1310" s="6">
        <v>1404</v>
      </c>
      <c r="D1310" s="36">
        <v>44006</v>
      </c>
      <c r="E1310" s="38">
        <v>11.332000000000001</v>
      </c>
      <c r="F1310" s="38">
        <v>37.565931998967471</v>
      </c>
      <c r="G1310" s="38">
        <v>36.049999999999997</v>
      </c>
      <c r="H1310" s="38">
        <v>2.1716703184206096</v>
      </c>
      <c r="I1310" s="38">
        <v>3.4887685439941643</v>
      </c>
      <c r="J1310" s="10">
        <v>0</v>
      </c>
      <c r="K1310" s="39">
        <v>0</v>
      </c>
      <c r="L1310" s="39">
        <v>0</v>
      </c>
      <c r="M1310" s="39">
        <v>0</v>
      </c>
      <c r="N1310" s="39">
        <v>0</v>
      </c>
      <c r="O1310" s="39">
        <v>1</v>
      </c>
      <c r="P1310" s="39">
        <v>0</v>
      </c>
      <c r="Q1310" s="39">
        <v>0</v>
      </c>
      <c r="R1310" s="39">
        <v>0</v>
      </c>
      <c r="S1310" s="39">
        <v>0</v>
      </c>
      <c r="T1310" s="39">
        <v>0</v>
      </c>
      <c r="U1310" s="29" cm="1">
        <f t="array" aca="1" ref="U1310" ca="1">+fair_value_gap(OFFSET(T1309,0,0,-1*$J$5,-1*$AA$1),OFFSET(E1309,0,0,-1*$J$5,1),F1310:T1310,0)</f>
        <v>11.57556503085218</v>
      </c>
      <c r="V1310" s="9" cm="1">
        <f t="array" aca="1" ref="V1310" ca="1">z_score_diff(OFFSET(U1310,0,0,$J$5*-1,1),OFFSET(E1310,0,0,$J$5*-1,1))</f>
        <v>-3.7660390015664236E-2</v>
      </c>
      <c r="W1310" s="9">
        <f t="shared" ca="1" si="1406"/>
        <v>1.8816475290765976E-2</v>
      </c>
      <c r="X1310" s="17">
        <f t="shared" ca="1" si="1401"/>
        <v>3.5882175132057652E-2</v>
      </c>
      <c r="Y1310" s="13">
        <f t="shared" ref="Y1310:Z1310" ca="1" si="1430">+Y1309</f>
        <v>0</v>
      </c>
      <c r="Z1310" s="13">
        <f t="shared" ca="1" si="1430"/>
        <v>0</v>
      </c>
      <c r="AA1310">
        <f t="shared" ca="1" si="1408"/>
        <v>0</v>
      </c>
      <c r="AB1310">
        <f t="shared" ca="1" si="1409"/>
        <v>1</v>
      </c>
      <c r="AC1310" s="24">
        <f t="shared" ca="1" si="1410"/>
        <v>0</v>
      </c>
      <c r="AD1310" s="24">
        <f t="shared" ca="1" si="1411"/>
        <v>3.5882175132057652E-2</v>
      </c>
    </row>
    <row r="1311" spans="3:30" x14ac:dyDescent="0.25">
      <c r="C1311" s="6">
        <v>1405</v>
      </c>
      <c r="D1311" s="36">
        <v>44007</v>
      </c>
      <c r="E1311" s="38">
        <v>11.179</v>
      </c>
      <c r="F1311" s="38">
        <v>38.147726740274535</v>
      </c>
      <c r="G1311" s="38">
        <v>35.58</v>
      </c>
      <c r="H1311" s="38">
        <v>2.1668616046445632</v>
      </c>
      <c r="I1311" s="38">
        <v>3.4346215153178812</v>
      </c>
      <c r="J1311" s="10">
        <v>0</v>
      </c>
      <c r="K1311" s="39">
        <v>0</v>
      </c>
      <c r="L1311" s="39">
        <v>0</v>
      </c>
      <c r="M1311" s="39">
        <v>0</v>
      </c>
      <c r="N1311" s="39">
        <v>0</v>
      </c>
      <c r="O1311" s="39">
        <v>1</v>
      </c>
      <c r="P1311" s="39">
        <v>0</v>
      </c>
      <c r="Q1311" s="39">
        <v>0</v>
      </c>
      <c r="R1311" s="39">
        <v>0</v>
      </c>
      <c r="S1311" s="39">
        <v>0</v>
      </c>
      <c r="T1311" s="39">
        <v>0</v>
      </c>
      <c r="U1311" s="29" cm="1">
        <f t="array" aca="1" ref="U1311" ca="1">+fair_value_gap(OFFSET(T1310,0,0,-1*$J$5,-1*$AA$1),OFFSET(E1310,0,0,-1*$J$5,1),F1311:T1311,0)</f>
        <v>11.415600605652461</v>
      </c>
      <c r="V1311" s="9" cm="1">
        <f t="array" aca="1" ref="V1311" ca="1">z_score_diff(OFFSET(U1311,0,0,$J$5*-1,1),OFFSET(E1311,0,0,$J$5*-1,1))</f>
        <v>-3.8332474247753323E-2</v>
      </c>
      <c r="W1311" s="9">
        <f t="shared" ca="1" si="1406"/>
        <v>2.1476204521783566E-2</v>
      </c>
      <c r="X1311" s="17">
        <f t="shared" ca="1" si="1401"/>
        <v>6.4180643349014979E-2</v>
      </c>
      <c r="Y1311" s="13">
        <f t="shared" ref="Y1311:Z1311" ca="1" si="1431">+Y1310</f>
        <v>0</v>
      </c>
      <c r="Z1311" s="13">
        <f t="shared" ca="1" si="1431"/>
        <v>0</v>
      </c>
      <c r="AA1311">
        <f t="shared" ca="1" si="1408"/>
        <v>0</v>
      </c>
      <c r="AB1311">
        <f t="shared" ca="1" si="1409"/>
        <v>1</v>
      </c>
      <c r="AC1311" s="24">
        <f t="shared" ca="1" si="1410"/>
        <v>0</v>
      </c>
      <c r="AD1311" s="24">
        <f t="shared" ca="1" si="1411"/>
        <v>6.4180643349014979E-2</v>
      </c>
    </row>
    <row r="1312" spans="3:30" x14ac:dyDescent="0.25">
      <c r="C1312" s="6">
        <v>1406</v>
      </c>
      <c r="D1312" s="36">
        <v>44008</v>
      </c>
      <c r="E1312" s="38">
        <v>11.208</v>
      </c>
      <c r="F1312" s="38">
        <v>37.779144922002061</v>
      </c>
      <c r="G1312" s="38">
        <v>35.44</v>
      </c>
      <c r="H1312" s="38">
        <v>2.1753503896361037</v>
      </c>
      <c r="I1312" s="38">
        <v>3.4517445231730943</v>
      </c>
      <c r="J1312" s="10">
        <v>0</v>
      </c>
      <c r="K1312" s="39">
        <v>0</v>
      </c>
      <c r="L1312" s="39">
        <v>0</v>
      </c>
      <c r="M1312" s="39">
        <v>0</v>
      </c>
      <c r="N1312" s="39">
        <v>0</v>
      </c>
      <c r="O1312" s="39">
        <v>1</v>
      </c>
      <c r="P1312" s="39">
        <v>0</v>
      </c>
      <c r="Q1312" s="39">
        <v>0</v>
      </c>
      <c r="R1312" s="39">
        <v>0</v>
      </c>
      <c r="S1312" s="39">
        <v>0</v>
      </c>
      <c r="T1312" s="39">
        <v>0</v>
      </c>
      <c r="U1312" s="29" cm="1">
        <f t="array" aca="1" ref="U1312" ca="1">+fair_value_gap(OFFSET(T1311,0,0,-1*$J$5,-1*$AA$1),OFFSET(E1311,0,0,-1*$J$5,1),F1312:T1312,0)</f>
        <v>11.394938511812978</v>
      </c>
      <c r="V1312" s="9" cm="1">
        <f t="array" aca="1" ref="V1312" ca="1">z_score_diff(OFFSET(U1312,0,0,$J$5*-1,1),OFFSET(E1312,0,0,$J$5*-1,1))</f>
        <v>-5.6192411094479144E-2</v>
      </c>
      <c r="W1312" s="9">
        <f t="shared" ca="1" si="1406"/>
        <v>2.2837742718265708E-2</v>
      </c>
      <c r="X1312" s="17">
        <f t="shared" ca="1" si="1401"/>
        <v>4.8331202943598384E-2</v>
      </c>
      <c r="Y1312" s="13">
        <f t="shared" ref="Y1312:Z1312" ca="1" si="1432">+Y1311</f>
        <v>0</v>
      </c>
      <c r="Z1312" s="13">
        <f t="shared" ca="1" si="1432"/>
        <v>0</v>
      </c>
      <c r="AA1312">
        <f t="shared" ca="1" si="1408"/>
        <v>0</v>
      </c>
      <c r="AB1312">
        <f t="shared" ca="1" si="1409"/>
        <v>1</v>
      </c>
      <c r="AC1312" s="24">
        <f t="shared" ca="1" si="1410"/>
        <v>0</v>
      </c>
      <c r="AD1312" s="24">
        <f t="shared" ca="1" si="1411"/>
        <v>4.8331202943598384E-2</v>
      </c>
    </row>
    <row r="1313" spans="3:30" x14ac:dyDescent="0.25">
      <c r="C1313" s="6">
        <v>1407</v>
      </c>
      <c r="D1313" s="36">
        <v>44011</v>
      </c>
      <c r="E1313" s="38">
        <v>11.487</v>
      </c>
      <c r="F1313" s="38">
        <v>38.675296088428922</v>
      </c>
      <c r="G1313" s="38">
        <v>35.81</v>
      </c>
      <c r="H1313" s="38">
        <v>2.227668811665783</v>
      </c>
      <c r="I1313" s="38">
        <v>3.4994876538252093</v>
      </c>
      <c r="J1313" s="10">
        <v>0</v>
      </c>
      <c r="K1313" s="39">
        <v>0</v>
      </c>
      <c r="L1313" s="39">
        <v>0</v>
      </c>
      <c r="M1313" s="39">
        <v>0</v>
      </c>
      <c r="N1313" s="39">
        <v>0</v>
      </c>
      <c r="O1313" s="39">
        <v>1</v>
      </c>
      <c r="P1313" s="39">
        <v>0</v>
      </c>
      <c r="Q1313" s="39">
        <v>0</v>
      </c>
      <c r="R1313" s="39">
        <v>0</v>
      </c>
      <c r="S1313" s="39">
        <v>0</v>
      </c>
      <c r="T1313" s="39">
        <v>0</v>
      </c>
      <c r="U1313" s="29" cm="1">
        <f t="array" aca="1" ref="U1313" ca="1">+fair_value_gap(OFFSET(T1312,0,0,-1*$J$5,-1*$AA$1),OFFSET(E1312,0,0,-1*$J$5,1),F1313:T1313,0)</f>
        <v>11.555568713239236</v>
      </c>
      <c r="V1313" s="9" cm="1">
        <f t="array" aca="1" ref="V1313" ca="1">z_score_diff(OFFSET(U1313,0,0,$J$5*-1,1),OFFSET(E1313,0,0,$J$5*-1,1))</f>
        <v>-0.10094040458126896</v>
      </c>
      <c r="W1313" s="9">
        <f t="shared" ca="1" si="1406"/>
        <v>2.3720969351724304E-2</v>
      </c>
      <c r="X1313" s="17">
        <f t="shared" ca="1" si="1401"/>
        <v>2.0848446376100734E-2</v>
      </c>
      <c r="Y1313" s="13">
        <f t="shared" ref="Y1313:Z1313" ca="1" si="1433">+Y1312</f>
        <v>0</v>
      </c>
      <c r="Z1313" s="13">
        <f t="shared" ca="1" si="1433"/>
        <v>0</v>
      </c>
      <c r="AA1313">
        <f t="shared" ca="1" si="1408"/>
        <v>0</v>
      </c>
      <c r="AB1313">
        <f t="shared" ca="1" si="1409"/>
        <v>1</v>
      </c>
      <c r="AC1313" s="24">
        <f t="shared" ca="1" si="1410"/>
        <v>0</v>
      </c>
      <c r="AD1313" s="24">
        <f t="shared" ca="1" si="1411"/>
        <v>2.0848446376100734E-2</v>
      </c>
    </row>
    <row r="1314" spans="3:30" x14ac:dyDescent="0.25">
      <c r="C1314" s="6">
        <v>1408</v>
      </c>
      <c r="D1314" s="36">
        <v>44012</v>
      </c>
      <c r="E1314" s="38">
        <v>11.445</v>
      </c>
      <c r="F1314" s="38">
        <v>38.176361550004415</v>
      </c>
      <c r="G1314" s="38">
        <v>36.909999999999997</v>
      </c>
      <c r="H1314" s="38">
        <v>2.2314414334892754</v>
      </c>
      <c r="I1314" s="38">
        <v>3.5351752140524315</v>
      </c>
      <c r="J1314" s="10">
        <v>0</v>
      </c>
      <c r="K1314" s="39">
        <v>0</v>
      </c>
      <c r="L1314" s="39">
        <v>0</v>
      </c>
      <c r="M1314" s="39">
        <v>0</v>
      </c>
      <c r="N1314" s="39">
        <v>0</v>
      </c>
      <c r="O1314" s="39">
        <v>1</v>
      </c>
      <c r="P1314" s="39">
        <v>0</v>
      </c>
      <c r="Q1314" s="39">
        <v>0</v>
      </c>
      <c r="R1314" s="39">
        <v>0</v>
      </c>
      <c r="S1314" s="39">
        <v>0</v>
      </c>
      <c r="T1314" s="39">
        <v>0</v>
      </c>
      <c r="U1314" s="29" cm="1">
        <f t="array" aca="1" ref="U1314" ca="1">+fair_value_gap(OFFSET(T1313,0,0,-1*$J$5,-1*$AA$1),OFFSET(E1313,0,0,-1*$J$5,1),F1314:T1314,0)</f>
        <v>11.79164069268746</v>
      </c>
      <c r="V1314" s="9" cm="1">
        <f t="array" aca="1" ref="V1314" ca="1">z_score_diff(OFFSET(U1314,0,0,$J$5*-1,1),OFFSET(E1314,0,0,$J$5*-1,1))</f>
        <v>3.5579144193238488E-3</v>
      </c>
      <c r="W1314" s="9">
        <f t="shared" ca="1" si="1406"/>
        <v>2.8544392639854612E-2</v>
      </c>
      <c r="X1314" s="17">
        <f t="shared" ca="1" si="1401"/>
        <v>3.2493833476446417E-2</v>
      </c>
      <c r="Y1314" s="13">
        <f t="shared" ref="Y1314:Z1314" ca="1" si="1434">+Y1313</f>
        <v>0</v>
      </c>
      <c r="Z1314" s="13">
        <f t="shared" ca="1" si="1434"/>
        <v>0</v>
      </c>
      <c r="AA1314">
        <f t="shared" ca="1" si="1408"/>
        <v>0</v>
      </c>
      <c r="AB1314">
        <f t="shared" ca="1" si="1409"/>
        <v>1</v>
      </c>
      <c r="AC1314" s="24">
        <f t="shared" ca="1" si="1410"/>
        <v>0</v>
      </c>
      <c r="AD1314" s="24">
        <f t="shared" ca="1" si="1411"/>
        <v>3.2493833476446417E-2</v>
      </c>
    </row>
    <row r="1315" spans="3:30" x14ac:dyDescent="0.25">
      <c r="C1315" s="6">
        <v>1409</v>
      </c>
      <c r="D1315" s="36">
        <v>44013</v>
      </c>
      <c r="E1315" s="38">
        <v>11.343</v>
      </c>
      <c r="F1315" s="38">
        <v>38.764849793921229</v>
      </c>
      <c r="G1315" s="38">
        <v>36.99</v>
      </c>
      <c r="H1315" s="38">
        <v>2.2393158625553768</v>
      </c>
      <c r="I1315" s="38">
        <v>3.4912168565823984</v>
      </c>
      <c r="J1315" s="10">
        <v>0</v>
      </c>
      <c r="K1315" s="39">
        <v>0</v>
      </c>
      <c r="L1315" s="39">
        <v>0</v>
      </c>
      <c r="M1315" s="39">
        <v>0</v>
      </c>
      <c r="N1315" s="39">
        <v>0</v>
      </c>
      <c r="O1315" s="39">
        <v>0</v>
      </c>
      <c r="P1315" s="39">
        <v>1</v>
      </c>
      <c r="Q1315" s="39">
        <v>0</v>
      </c>
      <c r="R1315" s="39">
        <v>0</v>
      </c>
      <c r="S1315" s="39">
        <v>0</v>
      </c>
      <c r="T1315" s="39">
        <v>0</v>
      </c>
      <c r="U1315" s="29" cm="1">
        <f t="array" aca="1" ref="U1315" ca="1">+fair_value_gap(OFFSET(T1314,0,0,-1*$J$5,-1*$AA$1),OFFSET(E1314,0,0,-1*$J$5,1),F1315:T1315,0)</f>
        <v>12.794953727921349</v>
      </c>
      <c r="V1315" s="9" cm="1">
        <f t="array" aca="1" ref="V1315" ca="1">z_score_diff(OFFSET(U1315,0,0,$J$5*-1,1),OFFSET(E1315,0,0,$J$5*-1,1))</f>
        <v>0.41185625798702419</v>
      </c>
      <c r="W1315" s="9">
        <f t="shared" ca="1" si="1406"/>
        <v>4.6796776701704991E-2</v>
      </c>
      <c r="X1315" s="17">
        <f t="shared" ca="1" si="1401"/>
        <v>2.9876299374114457E-2</v>
      </c>
      <c r="Y1315" s="13">
        <f t="shared" ref="Y1315:Z1315" ca="1" si="1435">+Y1314</f>
        <v>0</v>
      </c>
      <c r="Z1315" s="13">
        <f t="shared" ca="1" si="1435"/>
        <v>0</v>
      </c>
      <c r="AA1315">
        <f t="shared" ca="1" si="1408"/>
        <v>0</v>
      </c>
      <c r="AB1315">
        <f t="shared" ca="1" si="1409"/>
        <v>1</v>
      </c>
      <c r="AC1315" s="24">
        <f t="shared" ca="1" si="1410"/>
        <v>0</v>
      </c>
      <c r="AD1315" s="24">
        <f t="shared" ca="1" si="1411"/>
        <v>2.9876299374114457E-2</v>
      </c>
    </row>
    <row r="1316" spans="3:30" x14ac:dyDescent="0.25">
      <c r="C1316" s="6">
        <v>1410</v>
      </c>
      <c r="D1316" s="36">
        <v>44014</v>
      </c>
      <c r="E1316" s="38">
        <v>11.56</v>
      </c>
      <c r="F1316" s="38">
        <v>39.491856735016256</v>
      </c>
      <c r="G1316" s="38">
        <v>37.229999999999997</v>
      </c>
      <c r="H1316" s="38">
        <v>2.2415489632836043</v>
      </c>
      <c r="I1316" s="38">
        <v>3.5299983673757547</v>
      </c>
      <c r="J1316" s="10">
        <v>0</v>
      </c>
      <c r="K1316" s="39">
        <v>0</v>
      </c>
      <c r="L1316" s="39">
        <v>0</v>
      </c>
      <c r="M1316" s="39">
        <v>0</v>
      </c>
      <c r="N1316" s="39">
        <v>0</v>
      </c>
      <c r="O1316" s="39">
        <v>0</v>
      </c>
      <c r="P1316" s="39">
        <v>1</v>
      </c>
      <c r="Q1316" s="39">
        <v>0</v>
      </c>
      <c r="R1316" s="39">
        <v>0</v>
      </c>
      <c r="S1316" s="39">
        <v>0</v>
      </c>
      <c r="T1316" s="39">
        <v>0</v>
      </c>
      <c r="U1316" s="29" cm="1">
        <f t="array" aca="1" ref="U1316" ca="1">+fair_value_gap(OFFSET(T1315,0,0,-1*$J$5,-1*$AA$1),OFFSET(E1315,0,0,-1*$J$5,1),F1316:T1316,0)</f>
        <v>12.435081053523456</v>
      </c>
      <c r="V1316" s="9" cm="1">
        <f t="array" aca="1" ref="V1316" ca="1">z_score_diff(OFFSET(U1316,0,0,$J$5*-1,1),OFFSET(E1316,0,0,$J$5*-1,1))</f>
        <v>0.19309023748229093</v>
      </c>
      <c r="W1316" s="9">
        <f t="shared" ca="1" si="1406"/>
        <v>5.403392548284866E-2</v>
      </c>
      <c r="X1316" s="17">
        <f t="shared" ca="1" si="1401"/>
        <v>1.919181591609781E-2</v>
      </c>
      <c r="Y1316" s="13">
        <f t="shared" ref="Y1316:Z1316" ca="1" si="1436">+Y1315</f>
        <v>0</v>
      </c>
      <c r="Z1316" s="13">
        <f t="shared" ca="1" si="1436"/>
        <v>0</v>
      </c>
      <c r="AA1316">
        <f t="shared" ca="1" si="1408"/>
        <v>0</v>
      </c>
      <c r="AB1316">
        <f t="shared" ca="1" si="1409"/>
        <v>1</v>
      </c>
      <c r="AC1316" s="24">
        <f t="shared" ca="1" si="1410"/>
        <v>0</v>
      </c>
      <c r="AD1316" s="24">
        <f t="shared" ca="1" si="1411"/>
        <v>1.919181591609781E-2</v>
      </c>
    </row>
    <row r="1317" spans="3:30" x14ac:dyDescent="0.25">
      <c r="C1317" s="6">
        <v>1411</v>
      </c>
      <c r="D1317" s="36">
        <v>44015</v>
      </c>
      <c r="E1317" s="38">
        <v>11.657999999999999</v>
      </c>
      <c r="F1317" s="38">
        <v>39.411932709700395</v>
      </c>
      <c r="G1317" s="38">
        <v>37.200000000000003</v>
      </c>
      <c r="H1317" s="38">
        <v>2.2390138466257885</v>
      </c>
      <c r="I1317" s="38">
        <v>3.5260060576784071</v>
      </c>
      <c r="J1317" s="10">
        <v>0</v>
      </c>
      <c r="K1317" s="39">
        <v>0</v>
      </c>
      <c r="L1317" s="39">
        <v>0</v>
      </c>
      <c r="M1317" s="39">
        <v>0</v>
      </c>
      <c r="N1317" s="39">
        <v>0</v>
      </c>
      <c r="O1317" s="39">
        <v>0</v>
      </c>
      <c r="P1317" s="39">
        <v>1</v>
      </c>
      <c r="Q1317" s="39">
        <v>0</v>
      </c>
      <c r="R1317" s="39">
        <v>0</v>
      </c>
      <c r="S1317" s="39">
        <v>0</v>
      </c>
      <c r="T1317" s="39">
        <v>0</v>
      </c>
      <c r="U1317" s="29" cm="1">
        <f t="array" aca="1" ref="U1317" ca="1">+fair_value_gap(OFFSET(T1316,0,0,-1*$J$5,-1*$AA$1),OFFSET(E1316,0,0,-1*$J$5,1),F1317:T1317,0)</f>
        <v>12.187175675319748</v>
      </c>
      <c r="V1317" s="9" cm="1">
        <f t="array" aca="1" ref="V1317" ca="1">z_score_diff(OFFSET(U1317,0,0,$J$5*-1,1),OFFSET(E1317,0,0,$J$5*-1,1))</f>
        <v>6.3290394716753795E-2</v>
      </c>
      <c r="W1317" s="9">
        <f t="shared" ca="1" si="1406"/>
        <v>5.6416999041503449E-2</v>
      </c>
      <c r="X1317" s="17">
        <f t="shared" ca="1" si="1401"/>
        <v>2.7078994218912637E-2</v>
      </c>
      <c r="Y1317" s="13">
        <f t="shared" ref="Y1317:Z1317" ca="1" si="1437">+Y1316</f>
        <v>0</v>
      </c>
      <c r="Z1317" s="13">
        <f t="shared" ca="1" si="1437"/>
        <v>0</v>
      </c>
      <c r="AA1317">
        <f t="shared" ca="1" si="1408"/>
        <v>0</v>
      </c>
      <c r="AB1317">
        <f t="shared" ca="1" si="1409"/>
        <v>1</v>
      </c>
      <c r="AC1317" s="24">
        <f t="shared" ca="1" si="1410"/>
        <v>0</v>
      </c>
      <c r="AD1317" s="24">
        <f t="shared" ca="1" si="1411"/>
        <v>2.7078994218912637E-2</v>
      </c>
    </row>
    <row r="1318" spans="3:30" x14ac:dyDescent="0.25">
      <c r="C1318" s="6">
        <v>1412</v>
      </c>
      <c r="D1318" s="36">
        <v>44018</v>
      </c>
      <c r="E1318" s="38">
        <v>11.994</v>
      </c>
      <c r="F1318" s="38">
        <v>39.442455413448499</v>
      </c>
      <c r="G1318" s="38">
        <v>38.58</v>
      </c>
      <c r="H1318" s="38">
        <v>2.2190218411390861</v>
      </c>
      <c r="I1318" s="38">
        <v>3.6574391610869523</v>
      </c>
      <c r="J1318" s="10">
        <v>0</v>
      </c>
      <c r="K1318" s="39">
        <v>0</v>
      </c>
      <c r="L1318" s="39">
        <v>0</v>
      </c>
      <c r="M1318" s="39">
        <v>0</v>
      </c>
      <c r="N1318" s="39">
        <v>0</v>
      </c>
      <c r="O1318" s="39">
        <v>0</v>
      </c>
      <c r="P1318" s="39">
        <v>1</v>
      </c>
      <c r="Q1318" s="39">
        <v>0</v>
      </c>
      <c r="R1318" s="39">
        <v>0</v>
      </c>
      <c r="S1318" s="39">
        <v>0</v>
      </c>
      <c r="T1318" s="39">
        <v>0</v>
      </c>
      <c r="U1318" s="29" cm="1">
        <f t="array" aca="1" ref="U1318" ca="1">+fair_value_gap(OFFSET(T1317,0,0,-1*$J$5,-1*$AA$1),OFFSET(E1317,0,0,-1*$J$5,1),F1318:T1318,0)</f>
        <v>12.504768493269545</v>
      </c>
      <c r="V1318" s="9" cm="1">
        <f t="array" aca="1" ref="V1318" ca="1">z_score_diff(OFFSET(U1318,0,0,$J$5*-1,1),OFFSET(E1318,0,0,$J$5*-1,1))</f>
        <v>5.3744409488676093E-2</v>
      </c>
      <c r="W1318" s="9">
        <f t="shared" ca="1" si="1406"/>
        <v>6.3288050675679608E-2</v>
      </c>
      <c r="X1318" s="17">
        <f t="shared" ca="1" si="1401"/>
        <v>9.1670492689866899E-4</v>
      </c>
      <c r="Y1318" s="13">
        <f t="shared" ref="Y1318:Z1318" ca="1" si="1438">+Y1317</f>
        <v>0</v>
      </c>
      <c r="Z1318" s="13">
        <f t="shared" ca="1" si="1438"/>
        <v>0</v>
      </c>
      <c r="AA1318">
        <f t="shared" ca="1" si="1408"/>
        <v>0</v>
      </c>
      <c r="AB1318">
        <f t="shared" ca="1" si="1409"/>
        <v>1</v>
      </c>
      <c r="AC1318" s="24">
        <f t="shared" ca="1" si="1410"/>
        <v>0</v>
      </c>
      <c r="AD1318" s="24">
        <f t="shared" ca="1" si="1411"/>
        <v>9.1670492689866899E-4</v>
      </c>
    </row>
    <row r="1319" spans="3:30" x14ac:dyDescent="0.25">
      <c r="C1319" s="6">
        <v>1413</v>
      </c>
      <c r="D1319" s="36">
        <v>44019</v>
      </c>
      <c r="E1319" s="38">
        <v>11.971</v>
      </c>
      <c r="F1319" s="38">
        <v>39.687287750871874</v>
      </c>
      <c r="G1319" s="38">
        <v>39.130000000000003</v>
      </c>
      <c r="H1319" s="38">
        <v>2.2469814434876247</v>
      </c>
      <c r="I1319" s="38">
        <v>3.7435027572591402</v>
      </c>
      <c r="J1319" s="10">
        <v>0</v>
      </c>
      <c r="K1319" s="39">
        <v>0</v>
      </c>
      <c r="L1319" s="39">
        <v>0</v>
      </c>
      <c r="M1319" s="39">
        <v>0</v>
      </c>
      <c r="N1319" s="39">
        <v>0</v>
      </c>
      <c r="O1319" s="39">
        <v>0</v>
      </c>
      <c r="P1319" s="39">
        <v>1</v>
      </c>
      <c r="Q1319" s="39">
        <v>0</v>
      </c>
      <c r="R1319" s="39">
        <v>0</v>
      </c>
      <c r="S1319" s="39">
        <v>0</v>
      </c>
      <c r="T1319" s="39">
        <v>0</v>
      </c>
      <c r="U1319" s="29" cm="1">
        <f t="array" aca="1" ref="U1319" ca="1">+fair_value_gap(OFFSET(T1318,0,0,-1*$J$5,-1*$AA$1),OFFSET(E1318,0,0,-1*$J$5,1),F1319:T1319,0)</f>
        <v>12.632454084569737</v>
      </c>
      <c r="V1319" s="9" cm="1">
        <f t="array" aca="1" ref="V1319" ca="1">z_score_diff(OFFSET(U1319,0,0,$J$5*-1,1),OFFSET(E1319,0,0,$J$5*-1,1))</f>
        <v>0.10871518198413455</v>
      </c>
      <c r="W1319" s="9">
        <f t="shared" ca="1" si="1406"/>
        <v>6.9379206627297157E-2</v>
      </c>
      <c r="X1319" s="17">
        <f t="shared" ca="1" si="1401"/>
        <v>1.525354949885372E-2</v>
      </c>
      <c r="Y1319" s="13">
        <f t="shared" ref="Y1319:Z1319" ca="1" si="1439">+Y1318</f>
        <v>0</v>
      </c>
      <c r="Z1319" s="13">
        <f t="shared" ca="1" si="1439"/>
        <v>0</v>
      </c>
      <c r="AA1319">
        <f t="shared" ca="1" si="1408"/>
        <v>0</v>
      </c>
      <c r="AB1319">
        <f t="shared" ca="1" si="1409"/>
        <v>1</v>
      </c>
      <c r="AC1319" s="24">
        <f t="shared" ca="1" si="1410"/>
        <v>0</v>
      </c>
      <c r="AD1319" s="24">
        <f t="shared" ca="1" si="1411"/>
        <v>1.525354949885372E-2</v>
      </c>
    </row>
    <row r="1320" spans="3:30" x14ac:dyDescent="0.25">
      <c r="C1320" s="6">
        <v>1414</v>
      </c>
      <c r="D1320" s="36">
        <v>44020</v>
      </c>
      <c r="E1320" s="38">
        <v>12.016</v>
      </c>
      <c r="F1320" s="38">
        <v>39.763171878980586</v>
      </c>
      <c r="G1320" s="38">
        <v>38.33</v>
      </c>
      <c r="H1320" s="38">
        <v>2.2402896705924995</v>
      </c>
      <c r="I1320" s="38">
        <v>3.7163070151094799</v>
      </c>
      <c r="J1320" s="10">
        <v>0</v>
      </c>
      <c r="K1320" s="39">
        <v>0</v>
      </c>
      <c r="L1320" s="39">
        <v>0</v>
      </c>
      <c r="M1320" s="39">
        <v>0</v>
      </c>
      <c r="N1320" s="39">
        <v>0</v>
      </c>
      <c r="O1320" s="39">
        <v>0</v>
      </c>
      <c r="P1320" s="39">
        <v>1</v>
      </c>
      <c r="Q1320" s="39">
        <v>0</v>
      </c>
      <c r="R1320" s="39">
        <v>0</v>
      </c>
      <c r="S1320" s="39">
        <v>0</v>
      </c>
      <c r="T1320" s="39">
        <v>0</v>
      </c>
      <c r="U1320" s="29" cm="1">
        <f t="array" aca="1" ref="U1320" ca="1">+fair_value_gap(OFFSET(T1319,0,0,-1*$J$5,-1*$AA$1),OFFSET(E1319,0,0,-1*$J$5,1),F1320:T1320,0)</f>
        <v>12.332619417361808</v>
      </c>
      <c r="V1320" s="9" cm="1">
        <f t="array" aca="1" ref="V1320" ca="1">z_score_diff(OFFSET(U1320,0,0,$J$5*-1,1),OFFSET(E1320,0,0,$J$5*-1,1))</f>
        <v>-1.9407585414219497E-2</v>
      </c>
      <c r="W1320" s="9">
        <f t="shared" ca="1" si="1406"/>
        <v>6.9971299686175797E-2</v>
      </c>
      <c r="X1320" s="17">
        <f t="shared" ca="1" si="1401"/>
        <v>1.5032908852485592E-2</v>
      </c>
      <c r="Y1320" s="13">
        <f t="shared" ref="Y1320:Z1320" ca="1" si="1440">+Y1319</f>
        <v>0</v>
      </c>
      <c r="Z1320" s="13">
        <f t="shared" ca="1" si="1440"/>
        <v>0</v>
      </c>
      <c r="AA1320">
        <f t="shared" ca="1" si="1408"/>
        <v>0</v>
      </c>
      <c r="AB1320">
        <f t="shared" ca="1" si="1409"/>
        <v>1</v>
      </c>
      <c r="AC1320" s="24">
        <f t="shared" ca="1" si="1410"/>
        <v>0</v>
      </c>
      <c r="AD1320" s="24">
        <f t="shared" ca="1" si="1411"/>
        <v>1.5032908852485592E-2</v>
      </c>
    </row>
    <row r="1321" spans="3:30" x14ac:dyDescent="0.25">
      <c r="C1321" s="6">
        <v>1415</v>
      </c>
      <c r="D1321" s="36">
        <v>44021</v>
      </c>
      <c r="E1321" s="38">
        <v>11.967000000000001</v>
      </c>
      <c r="F1321" s="38">
        <v>39.332248487677688</v>
      </c>
      <c r="G1321" s="38">
        <v>38.479999999999997</v>
      </c>
      <c r="H1321" s="38">
        <v>2.2241973328972851</v>
      </c>
      <c r="I1321" s="38">
        <v>3.7275085737092843</v>
      </c>
      <c r="J1321" s="10">
        <v>0</v>
      </c>
      <c r="K1321" s="39">
        <v>0</v>
      </c>
      <c r="L1321" s="39">
        <v>0</v>
      </c>
      <c r="M1321" s="39">
        <v>0</v>
      </c>
      <c r="N1321" s="39">
        <v>0</v>
      </c>
      <c r="O1321" s="39">
        <v>0</v>
      </c>
      <c r="P1321" s="39">
        <v>1</v>
      </c>
      <c r="Q1321" s="39">
        <v>0</v>
      </c>
      <c r="R1321" s="39">
        <v>0</v>
      </c>
      <c r="S1321" s="39">
        <v>0</v>
      </c>
      <c r="T1321" s="39">
        <v>0</v>
      </c>
      <c r="U1321" s="29" cm="1">
        <f t="array" aca="1" ref="U1321" ca="1">+fair_value_gap(OFFSET(T1320,0,0,-1*$J$5,-1*$AA$1),OFFSET(E1320,0,0,-1*$J$5,1),F1321:T1321,0)</f>
        <v>12.322046628275981</v>
      </c>
      <c r="V1321" s="9" cm="1">
        <f t="array" aca="1" ref="V1321" ca="1">z_score_diff(OFFSET(U1321,0,0,$J$5*-1,1),OFFSET(E1321,0,0,$J$5*-1,1))</f>
        <v>-4.8113117041572728E-3</v>
      </c>
      <c r="W1321" s="9">
        <f t="shared" ca="1" si="1406"/>
        <v>7.0743867530313059E-2</v>
      </c>
      <c r="X1321" s="17">
        <f t="shared" ca="1" si="1401"/>
        <v>2.3617943375930206E-2</v>
      </c>
      <c r="Y1321" s="13">
        <f t="shared" ref="Y1321:Z1321" ca="1" si="1441">+Y1320</f>
        <v>0</v>
      </c>
      <c r="Z1321" s="13">
        <f t="shared" ca="1" si="1441"/>
        <v>0</v>
      </c>
      <c r="AA1321">
        <f t="shared" ca="1" si="1408"/>
        <v>0</v>
      </c>
      <c r="AB1321">
        <f t="shared" ca="1" si="1409"/>
        <v>1</v>
      </c>
      <c r="AC1321" s="24">
        <f t="shared" ca="1" si="1410"/>
        <v>0</v>
      </c>
      <c r="AD1321" s="24">
        <f t="shared" ca="1" si="1411"/>
        <v>2.3617943375930206E-2</v>
      </c>
    </row>
    <row r="1322" spans="3:30" x14ac:dyDescent="0.25">
      <c r="C1322" s="6">
        <v>1416</v>
      </c>
      <c r="D1322" s="36">
        <v>44022</v>
      </c>
      <c r="E1322" s="38">
        <v>11.861000000000001</v>
      </c>
      <c r="F1322" s="38">
        <v>39.973737061640662</v>
      </c>
      <c r="G1322" s="38">
        <v>37.92</v>
      </c>
      <c r="H1322" s="38">
        <v>2.213740994059239</v>
      </c>
      <c r="I1322" s="38">
        <v>3.6998089968119316</v>
      </c>
      <c r="J1322" s="10">
        <v>0</v>
      </c>
      <c r="K1322" s="39">
        <v>0</v>
      </c>
      <c r="L1322" s="39">
        <v>0</v>
      </c>
      <c r="M1322" s="39">
        <v>0</v>
      </c>
      <c r="N1322" s="39">
        <v>0</v>
      </c>
      <c r="O1322" s="39">
        <v>0</v>
      </c>
      <c r="P1322" s="39">
        <v>1</v>
      </c>
      <c r="Q1322" s="39">
        <v>0</v>
      </c>
      <c r="R1322" s="39">
        <v>0</v>
      </c>
      <c r="S1322" s="39">
        <v>0</v>
      </c>
      <c r="T1322" s="39">
        <v>0</v>
      </c>
      <c r="U1322" s="29" cm="1">
        <f t="array" aca="1" ref="U1322" ca="1">+fair_value_gap(OFFSET(T1321,0,0,-1*$J$5,-1*$AA$1),OFFSET(E1321,0,0,-1*$J$5,1),F1322:T1322,0)</f>
        <v>12.125316734800249</v>
      </c>
      <c r="V1322" s="9" cm="1">
        <f t="array" aca="1" ref="V1322" ca="1">z_score_diff(OFFSET(U1322,0,0,$J$5*-1,1),OFFSET(E1322,0,0,$J$5*-1,1))</f>
        <v>-3.7223446596761578E-2</v>
      </c>
      <c r="W1322" s="9">
        <f t="shared" ca="1" si="1406"/>
        <v>6.8137465793095084E-2</v>
      </c>
      <c r="X1322" s="17">
        <f t="shared" ca="1" si="1401"/>
        <v>7.0570737306340919E-3</v>
      </c>
      <c r="Y1322" s="13">
        <f t="shared" ref="Y1322:Z1322" ca="1" si="1442">+Y1321</f>
        <v>0</v>
      </c>
      <c r="Z1322" s="13">
        <f t="shared" ca="1" si="1442"/>
        <v>0</v>
      </c>
      <c r="AA1322">
        <f t="shared" ca="1" si="1408"/>
        <v>0</v>
      </c>
      <c r="AB1322">
        <f t="shared" ca="1" si="1409"/>
        <v>1</v>
      </c>
      <c r="AC1322" s="24">
        <f t="shared" ca="1" si="1410"/>
        <v>0</v>
      </c>
      <c r="AD1322" s="24">
        <f t="shared" ca="1" si="1411"/>
        <v>7.0570737306340919E-3</v>
      </c>
    </row>
    <row r="1323" spans="3:30" x14ac:dyDescent="0.25">
      <c r="C1323" s="6">
        <v>1417</v>
      </c>
      <c r="D1323" s="36">
        <v>44025</v>
      </c>
      <c r="E1323" s="38">
        <v>11.914</v>
      </c>
      <c r="F1323" s="38">
        <v>39.453699177785609</v>
      </c>
      <c r="G1323" s="38">
        <v>39.049999999999997</v>
      </c>
      <c r="H1323" s="38">
        <v>2.1947869001826659</v>
      </c>
      <c r="I1323" s="38">
        <v>3.6769238706247451</v>
      </c>
      <c r="J1323" s="10">
        <v>0</v>
      </c>
      <c r="K1323" s="39">
        <v>0</v>
      </c>
      <c r="L1323" s="39">
        <v>0</v>
      </c>
      <c r="M1323" s="39">
        <v>0</v>
      </c>
      <c r="N1323" s="39">
        <v>0</v>
      </c>
      <c r="O1323" s="39">
        <v>0</v>
      </c>
      <c r="P1323" s="39">
        <v>1</v>
      </c>
      <c r="Q1323" s="39">
        <v>0</v>
      </c>
      <c r="R1323" s="39">
        <v>0</v>
      </c>
      <c r="S1323" s="39">
        <v>0</v>
      </c>
      <c r="T1323" s="39">
        <v>0</v>
      </c>
      <c r="U1323" s="29" cm="1">
        <f t="array" aca="1" ref="U1323" ca="1">+fair_value_gap(OFFSET(T1322,0,0,-1*$J$5,-1*$AA$1),OFFSET(E1322,0,0,-1*$J$5,1),F1323:T1323,0)</f>
        <v>12.291706710084123</v>
      </c>
      <c r="V1323" s="9" cm="1">
        <f t="array" aca="1" ref="V1323" ca="1">z_score_diff(OFFSET(U1323,0,0,$J$5*-1,1),OFFSET(E1323,0,0,$J$5*-1,1))</f>
        <v>4.2528794501550671E-3</v>
      </c>
      <c r="W1323" s="9">
        <f t="shared" ca="1" si="1406"/>
        <v>4.7333449965779456E-2</v>
      </c>
      <c r="X1323" s="17">
        <f t="shared" ca="1" si="1401"/>
        <v>3.0746223535239928E-2</v>
      </c>
      <c r="Y1323" s="13">
        <f t="shared" ref="Y1323:Z1323" ca="1" si="1443">+Y1322</f>
        <v>0</v>
      </c>
      <c r="Z1323" s="13">
        <f t="shared" ca="1" si="1443"/>
        <v>0</v>
      </c>
      <c r="AA1323">
        <f t="shared" ca="1" si="1408"/>
        <v>0</v>
      </c>
      <c r="AB1323">
        <f t="shared" ca="1" si="1409"/>
        <v>1</v>
      </c>
      <c r="AC1323" s="24">
        <f t="shared" ca="1" si="1410"/>
        <v>0</v>
      </c>
      <c r="AD1323" s="24">
        <f t="shared" ca="1" si="1411"/>
        <v>3.0746223535239928E-2</v>
      </c>
    </row>
    <row r="1324" spans="3:30" x14ac:dyDescent="0.25">
      <c r="C1324" s="6">
        <v>1418</v>
      </c>
      <c r="D1324" s="36">
        <v>44026</v>
      </c>
      <c r="E1324" s="38">
        <v>11.711</v>
      </c>
      <c r="F1324" s="38">
        <v>39.506177139533342</v>
      </c>
      <c r="G1324" s="38">
        <v>38.33</v>
      </c>
      <c r="H1324" s="38">
        <v>2.1943038658061282</v>
      </c>
      <c r="I1324" s="38">
        <v>3.5962202245155988</v>
      </c>
      <c r="J1324" s="10">
        <v>0</v>
      </c>
      <c r="K1324" s="39">
        <v>0</v>
      </c>
      <c r="L1324" s="39">
        <v>0</v>
      </c>
      <c r="M1324" s="39">
        <v>0</v>
      </c>
      <c r="N1324" s="39">
        <v>0</v>
      </c>
      <c r="O1324" s="39">
        <v>0</v>
      </c>
      <c r="P1324" s="39">
        <v>1</v>
      </c>
      <c r="Q1324" s="39">
        <v>0</v>
      </c>
      <c r="R1324" s="39">
        <v>0</v>
      </c>
      <c r="S1324" s="39">
        <v>0</v>
      </c>
      <c r="T1324" s="39">
        <v>0</v>
      </c>
      <c r="U1324" s="29" cm="1">
        <f t="array" aca="1" ref="U1324" ca="1">+fair_value_gap(OFFSET(T1323,0,0,-1*$J$5,-1*$AA$1),OFFSET(E1323,0,0,-1*$J$5,1),F1324:T1324,0)</f>
        <v>12.004121435760528</v>
      </c>
      <c r="V1324" s="9" cm="1">
        <f t="array" aca="1" ref="V1324" ca="1">z_score_diff(OFFSET(U1324,0,0,$J$5*-1,1),OFFSET(E1324,0,0,$J$5*-1,1))</f>
        <v>-2.5283139461975024E-2</v>
      </c>
      <c r="W1324" s="9">
        <f t="shared" ca="1" si="1406"/>
        <v>3.5077631204391148E-2</v>
      </c>
      <c r="X1324" s="17">
        <f t="shared" ca="1" si="1401"/>
        <v>7.4120170622814105E-2</v>
      </c>
      <c r="Y1324" s="13">
        <f t="shared" ref="Y1324:Z1324" ca="1" si="1444">+Y1323</f>
        <v>0</v>
      </c>
      <c r="Z1324" s="13">
        <f t="shared" ca="1" si="1444"/>
        <v>0</v>
      </c>
      <c r="AA1324">
        <f t="shared" ca="1" si="1408"/>
        <v>0</v>
      </c>
      <c r="AB1324">
        <f t="shared" ca="1" si="1409"/>
        <v>1</v>
      </c>
      <c r="AC1324" s="24">
        <f t="shared" ca="1" si="1410"/>
        <v>0</v>
      </c>
      <c r="AD1324" s="24">
        <f t="shared" ca="1" si="1411"/>
        <v>7.4120170622814105E-2</v>
      </c>
    </row>
    <row r="1325" spans="3:30" x14ac:dyDescent="0.25">
      <c r="C1325" s="6">
        <v>1419</v>
      </c>
      <c r="D1325" s="36">
        <v>44027</v>
      </c>
      <c r="E1325" s="38">
        <v>11.786</v>
      </c>
      <c r="F1325" s="38">
        <v>39.727695767566033</v>
      </c>
      <c r="G1325" s="38">
        <v>38.85</v>
      </c>
      <c r="H1325" s="38">
        <v>2.1941510747776074</v>
      </c>
      <c r="I1325" s="38">
        <v>3.5989641242390231</v>
      </c>
      <c r="J1325" s="10">
        <v>0</v>
      </c>
      <c r="K1325" s="39">
        <v>0</v>
      </c>
      <c r="L1325" s="39">
        <v>0</v>
      </c>
      <c r="M1325" s="39">
        <v>0</v>
      </c>
      <c r="N1325" s="39">
        <v>0</v>
      </c>
      <c r="O1325" s="39">
        <v>0</v>
      </c>
      <c r="P1325" s="39">
        <v>1</v>
      </c>
      <c r="Q1325" s="39">
        <v>0</v>
      </c>
      <c r="R1325" s="39">
        <v>0</v>
      </c>
      <c r="S1325" s="39">
        <v>0</v>
      </c>
      <c r="T1325" s="39">
        <v>0</v>
      </c>
      <c r="U1325" s="29" cm="1">
        <f t="array" aca="1" ref="U1325" ca="1">+fair_value_gap(OFFSET(T1324,0,0,-1*$J$5,-1*$AA$1),OFFSET(E1324,0,0,-1*$J$5,1),F1325:T1325,0)</f>
        <v>12.076688522949272</v>
      </c>
      <c r="V1325" s="9" cm="1">
        <f t="array" aca="1" ref="V1325" ca="1">z_score_diff(OFFSET(U1325,0,0,$J$5*-1,1),OFFSET(E1325,0,0,$J$5*-1,1))</f>
        <v>-2.6347737895100254E-2</v>
      </c>
      <c r="W1325" s="9">
        <f t="shared" ca="1" si="1406"/>
        <v>2.5495419485064032E-2</v>
      </c>
      <c r="X1325" s="17">
        <f t="shared" ca="1" si="1401"/>
        <v>8.3235662433277402E-2</v>
      </c>
      <c r="Y1325" s="13">
        <f t="shared" ref="Y1325:Z1325" ca="1" si="1445">+Y1324</f>
        <v>0</v>
      </c>
      <c r="Z1325" s="13">
        <f t="shared" ca="1" si="1445"/>
        <v>0</v>
      </c>
      <c r="AA1325">
        <f t="shared" ca="1" si="1408"/>
        <v>0</v>
      </c>
      <c r="AB1325">
        <f t="shared" ca="1" si="1409"/>
        <v>1</v>
      </c>
      <c r="AC1325" s="24">
        <f t="shared" ca="1" si="1410"/>
        <v>0</v>
      </c>
      <c r="AD1325" s="24">
        <f t="shared" ca="1" si="1411"/>
        <v>8.3235662433277402E-2</v>
      </c>
    </row>
    <row r="1326" spans="3:30" x14ac:dyDescent="0.25">
      <c r="C1326" s="6">
        <v>1420</v>
      </c>
      <c r="D1326" s="36">
        <v>44028</v>
      </c>
      <c r="E1326" s="38">
        <v>11.734999999999999</v>
      </c>
      <c r="F1326" s="38">
        <v>39.601457487055214</v>
      </c>
      <c r="G1326" s="38">
        <v>38.29</v>
      </c>
      <c r="H1326" s="38">
        <v>2.2097665579943864</v>
      </c>
      <c r="I1326" s="38">
        <v>3.7134538607716308</v>
      </c>
      <c r="J1326" s="10">
        <v>0</v>
      </c>
      <c r="K1326" s="39">
        <v>0</v>
      </c>
      <c r="L1326" s="39">
        <v>0</v>
      </c>
      <c r="M1326" s="39">
        <v>0</v>
      </c>
      <c r="N1326" s="39">
        <v>0</v>
      </c>
      <c r="O1326" s="39">
        <v>0</v>
      </c>
      <c r="P1326" s="39">
        <v>1</v>
      </c>
      <c r="Q1326" s="39">
        <v>0</v>
      </c>
      <c r="R1326" s="39">
        <v>0</v>
      </c>
      <c r="S1326" s="39">
        <v>0</v>
      </c>
      <c r="T1326" s="39">
        <v>0</v>
      </c>
      <c r="U1326" s="29" cm="1">
        <f t="array" aca="1" ref="U1326" ca="1">+fair_value_gap(OFFSET(T1325,0,0,-1*$J$5,-1*$AA$1),OFFSET(E1325,0,0,-1*$J$5,1),F1326:T1326,0)</f>
        <v>12.063575576238458</v>
      </c>
      <c r="V1326" s="9" cm="1">
        <f t="array" aca="1" ref="V1326" ca="1">z_score_diff(OFFSET(U1326,0,0,$J$5*-1,1),OFFSET(E1326,0,0,$J$5*-1,1))</f>
        <v>-1.1956566480167519E-2</v>
      </c>
      <c r="W1326" s="9">
        <f t="shared" ca="1" si="1406"/>
        <v>2.0886112849542893E-2</v>
      </c>
      <c r="X1326" s="17">
        <f t="shared" ca="1" si="1401"/>
        <v>7.1993619670750617E-2</v>
      </c>
      <c r="Y1326" s="13">
        <f t="shared" ref="Y1326:Z1326" ca="1" si="1446">+Y1325</f>
        <v>0</v>
      </c>
      <c r="Z1326" s="13">
        <f t="shared" ca="1" si="1446"/>
        <v>0</v>
      </c>
      <c r="AA1326">
        <f t="shared" ca="1" si="1408"/>
        <v>0</v>
      </c>
      <c r="AB1326">
        <f t="shared" ca="1" si="1409"/>
        <v>1</v>
      </c>
      <c r="AC1326" s="24">
        <f t="shared" ca="1" si="1410"/>
        <v>0</v>
      </c>
      <c r="AD1326" s="24">
        <f t="shared" ca="1" si="1411"/>
        <v>7.1993619670750617E-2</v>
      </c>
    </row>
    <row r="1327" spans="3:30" x14ac:dyDescent="0.25">
      <c r="C1327" s="6">
        <v>1421</v>
      </c>
      <c r="D1327" s="36">
        <v>44029</v>
      </c>
      <c r="E1327" s="38">
        <v>11.736000000000001</v>
      </c>
      <c r="F1327" s="38">
        <v>39.462271203482061</v>
      </c>
      <c r="G1327" s="38">
        <v>37.619999999999997</v>
      </c>
      <c r="H1327" s="38">
        <v>2.2010309681150062</v>
      </c>
      <c r="I1327" s="38">
        <v>3.7335042062700299</v>
      </c>
      <c r="J1327" s="10">
        <v>0</v>
      </c>
      <c r="K1327" s="39">
        <v>0</v>
      </c>
      <c r="L1327" s="39">
        <v>0</v>
      </c>
      <c r="M1327" s="39">
        <v>0</v>
      </c>
      <c r="N1327" s="39">
        <v>0</v>
      </c>
      <c r="O1327" s="39">
        <v>0</v>
      </c>
      <c r="P1327" s="39">
        <v>1</v>
      </c>
      <c r="Q1327" s="39">
        <v>0</v>
      </c>
      <c r="R1327" s="39">
        <v>0</v>
      </c>
      <c r="S1327" s="39">
        <v>0</v>
      </c>
      <c r="T1327" s="39">
        <v>0</v>
      </c>
      <c r="U1327" s="29" cm="1">
        <f t="array" aca="1" ref="U1327" ca="1">+fair_value_gap(OFFSET(T1326,0,0,-1*$J$5,-1*$AA$1),OFFSET(E1326,0,0,-1*$J$5,1),F1327:T1327,0)</f>
        <v>11.906686334280277</v>
      </c>
      <c r="V1327" s="9" cm="1">
        <f t="array" aca="1" ref="V1327" ca="1">z_score_diff(OFFSET(U1327,0,0,$J$5*-1,1),OFFSET(E1327,0,0,$J$5*-1,1))</f>
        <v>-6.8748763762130016E-2</v>
      </c>
      <c r="W1327" s="9">
        <f t="shared" ca="1" si="1406"/>
        <v>1.6025111179941522E-2</v>
      </c>
      <c r="X1327" s="17">
        <f t="shared" ca="1" si="1401"/>
        <v>0.14975892924627915</v>
      </c>
      <c r="Y1327" s="13">
        <f t="shared" ref="Y1327:Z1327" ca="1" si="1447">+Y1326</f>
        <v>0</v>
      </c>
      <c r="Z1327" s="13">
        <f t="shared" ca="1" si="1447"/>
        <v>0</v>
      </c>
      <c r="AA1327">
        <f t="shared" ca="1" si="1408"/>
        <v>0</v>
      </c>
      <c r="AB1327">
        <f t="shared" ca="1" si="1409"/>
        <v>1</v>
      </c>
      <c r="AC1327" s="24">
        <f t="shared" ca="1" si="1410"/>
        <v>0</v>
      </c>
      <c r="AD1327" s="24">
        <f t="shared" ca="1" si="1411"/>
        <v>0.14975892924627915</v>
      </c>
    </row>
    <row r="1328" spans="3:30" x14ac:dyDescent="0.25">
      <c r="C1328" s="6">
        <v>1422</v>
      </c>
      <c r="D1328" s="36">
        <v>44032</v>
      </c>
      <c r="E1328" s="38">
        <v>11.282</v>
      </c>
      <c r="F1328" s="38">
        <v>39.596354742415613</v>
      </c>
      <c r="G1328" s="38">
        <v>36.25</v>
      </c>
      <c r="H1328" s="38">
        <v>2.1848656437680609</v>
      </c>
      <c r="I1328" s="38">
        <v>3.637107688732943</v>
      </c>
      <c r="J1328" s="10">
        <v>0</v>
      </c>
      <c r="K1328" s="39">
        <v>0</v>
      </c>
      <c r="L1328" s="39">
        <v>0</v>
      </c>
      <c r="M1328" s="39">
        <v>0</v>
      </c>
      <c r="N1328" s="39">
        <v>0</v>
      </c>
      <c r="O1328" s="39">
        <v>0</v>
      </c>
      <c r="P1328" s="39">
        <v>1</v>
      </c>
      <c r="Q1328" s="39">
        <v>0</v>
      </c>
      <c r="R1328" s="39">
        <v>0</v>
      </c>
      <c r="S1328" s="39">
        <v>0</v>
      </c>
      <c r="T1328" s="39">
        <v>0</v>
      </c>
      <c r="U1328" s="29" cm="1">
        <f t="array" aca="1" ref="U1328" ca="1">+fair_value_gap(OFFSET(T1327,0,0,-1*$J$5,-1*$AA$1),OFFSET(E1327,0,0,-1*$J$5,1),F1328:T1328,0)</f>
        <v>11.508387539681285</v>
      </c>
      <c r="V1328" s="9" cm="1">
        <f t="array" aca="1" ref="V1328" ca="1">z_score_diff(OFFSET(U1328,0,0,$J$5*-1,1),OFFSET(E1328,0,0,$J$5*-1,1))</f>
        <v>-4.4464515981706088E-2</v>
      </c>
      <c r="W1328" s="9">
        <f t="shared" ca="1" si="1406"/>
        <v>1.0320190314005943E-2</v>
      </c>
      <c r="X1328" s="17">
        <f t="shared" ca="1" si="1401"/>
        <v>0.17992549583486589</v>
      </c>
      <c r="Y1328" s="13">
        <f t="shared" ref="Y1328:Z1328" ca="1" si="1448">+Y1327</f>
        <v>0</v>
      </c>
      <c r="Z1328" s="13">
        <f t="shared" ca="1" si="1448"/>
        <v>0</v>
      </c>
      <c r="AA1328">
        <f t="shared" ca="1" si="1408"/>
        <v>0</v>
      </c>
      <c r="AB1328">
        <f t="shared" ca="1" si="1409"/>
        <v>1</v>
      </c>
      <c r="AC1328" s="24">
        <f t="shared" ca="1" si="1410"/>
        <v>0</v>
      </c>
      <c r="AD1328" s="24">
        <f t="shared" ca="1" si="1411"/>
        <v>0.17992549583486589</v>
      </c>
    </row>
    <row r="1329" spans="3:30" x14ac:dyDescent="0.25">
      <c r="C1329" s="6">
        <v>1423</v>
      </c>
      <c r="D1329" s="36">
        <v>44033</v>
      </c>
      <c r="E1329" s="38">
        <v>11.318</v>
      </c>
      <c r="F1329" s="38">
        <v>39.943918428683183</v>
      </c>
      <c r="G1329" s="38">
        <v>36.11</v>
      </c>
      <c r="H1329" s="38">
        <v>2.1680398733430932</v>
      </c>
      <c r="I1329" s="38">
        <v>3.6406544915606531</v>
      </c>
      <c r="J1329" s="10">
        <v>0</v>
      </c>
      <c r="K1329" s="39">
        <v>0</v>
      </c>
      <c r="L1329" s="39">
        <v>0</v>
      </c>
      <c r="M1329" s="39">
        <v>0</v>
      </c>
      <c r="N1329" s="39">
        <v>0</v>
      </c>
      <c r="O1329" s="39">
        <v>0</v>
      </c>
      <c r="P1329" s="39">
        <v>1</v>
      </c>
      <c r="Q1329" s="39">
        <v>0</v>
      </c>
      <c r="R1329" s="39">
        <v>0</v>
      </c>
      <c r="S1329" s="39">
        <v>0</v>
      </c>
      <c r="T1329" s="39">
        <v>0</v>
      </c>
      <c r="U1329" s="29" cm="1">
        <f t="array" aca="1" ref="U1329" ca="1">+fair_value_gap(OFFSET(T1328,0,0,-1*$J$5,-1*$AA$1),OFFSET(E1328,0,0,-1*$J$5,1),F1329:T1329,0)</f>
        <v>11.472572219336259</v>
      </c>
      <c r="V1329" s="9" cm="1">
        <f t="array" aca="1" ref="V1329" ca="1">z_score_diff(OFFSET(U1329,0,0,$J$5*-1,1),OFFSET(E1329,0,0,$J$5*-1,1))</f>
        <v>-6.960736588906169E-2</v>
      </c>
      <c r="W1329" s="9">
        <f t="shared" ca="1" si="1406"/>
        <v>5.8718972873402775E-3</v>
      </c>
      <c r="X1329" s="17">
        <f t="shared" ca="1" si="1401"/>
        <v>0.19005209850879715</v>
      </c>
      <c r="Y1329" s="13">
        <f t="shared" ref="Y1329:Z1329" ca="1" si="1449">+Y1328</f>
        <v>0</v>
      </c>
      <c r="Z1329" s="13">
        <f t="shared" ca="1" si="1449"/>
        <v>0</v>
      </c>
      <c r="AA1329">
        <f t="shared" ca="1" si="1408"/>
        <v>0</v>
      </c>
      <c r="AB1329">
        <f t="shared" ca="1" si="1409"/>
        <v>1</v>
      </c>
      <c r="AC1329" s="24">
        <f t="shared" ca="1" si="1410"/>
        <v>0</v>
      </c>
      <c r="AD1329" s="24">
        <f t="shared" ca="1" si="1411"/>
        <v>0.19005209850879715</v>
      </c>
    </row>
    <row r="1330" spans="3:30" x14ac:dyDescent="0.25">
      <c r="C1330" s="6">
        <v>1424</v>
      </c>
      <c r="D1330" s="36">
        <v>44034</v>
      </c>
      <c r="E1330" s="38">
        <v>11.208</v>
      </c>
      <c r="F1330" s="38">
        <v>39.856796792934162</v>
      </c>
      <c r="G1330" s="38">
        <v>36.64</v>
      </c>
      <c r="H1330" s="38">
        <v>2.1677707033678479</v>
      </c>
      <c r="I1330" s="38">
        <v>3.6100928248333228</v>
      </c>
      <c r="J1330" s="10">
        <v>0</v>
      </c>
      <c r="K1330" s="39">
        <v>0</v>
      </c>
      <c r="L1330" s="39">
        <v>0</v>
      </c>
      <c r="M1330" s="39">
        <v>0</v>
      </c>
      <c r="N1330" s="39">
        <v>0</v>
      </c>
      <c r="O1330" s="39">
        <v>0</v>
      </c>
      <c r="P1330" s="39">
        <v>1</v>
      </c>
      <c r="Q1330" s="39">
        <v>0</v>
      </c>
      <c r="R1330" s="39">
        <v>0</v>
      </c>
      <c r="S1330" s="39">
        <v>0</v>
      </c>
      <c r="T1330" s="39">
        <v>0</v>
      </c>
      <c r="U1330" s="29" cm="1">
        <f t="array" aca="1" ref="U1330" ca="1">+fair_value_gap(OFFSET(T1329,0,0,-1*$J$5,-1*$AA$1),OFFSET(E1329,0,0,-1*$J$5,1),F1330:T1330,0)</f>
        <v>11.516868158427208</v>
      </c>
      <c r="V1330" s="9" cm="1">
        <f t="array" aca="1" ref="V1330" ca="1">z_score_diff(OFFSET(U1330,0,0,$J$5*-1,1),OFFSET(E1330,0,0,$J$5*-1,1))</f>
        <v>-1.2596020622662518E-2</v>
      </c>
      <c r="W1330" s="9">
        <f t="shared" ca="1" si="1406"/>
        <v>4.8620098719462049E-3</v>
      </c>
      <c r="X1330" s="17">
        <f t="shared" ca="1" si="1401"/>
        <v>0.18019283538096301</v>
      </c>
      <c r="Y1330" s="13">
        <f t="shared" ref="Y1330:Z1330" ca="1" si="1450">+Y1329</f>
        <v>0</v>
      </c>
      <c r="Z1330" s="13">
        <f t="shared" ca="1" si="1450"/>
        <v>0</v>
      </c>
      <c r="AA1330">
        <f t="shared" ca="1" si="1408"/>
        <v>0</v>
      </c>
      <c r="AB1330">
        <f t="shared" ca="1" si="1409"/>
        <v>1</v>
      </c>
      <c r="AC1330" s="24">
        <f t="shared" ca="1" si="1410"/>
        <v>0</v>
      </c>
      <c r="AD1330" s="24">
        <f t="shared" ca="1" si="1411"/>
        <v>0.18019283538096301</v>
      </c>
    </row>
    <row r="1331" spans="3:30" x14ac:dyDescent="0.25">
      <c r="C1331" s="6">
        <v>1425</v>
      </c>
      <c r="D1331" s="36">
        <v>44035</v>
      </c>
      <c r="E1331" s="38">
        <v>11.189</v>
      </c>
      <c r="F1331" s="38">
        <v>39.263812081409938</v>
      </c>
      <c r="G1331" s="38">
        <v>37.020000000000003</v>
      </c>
      <c r="H1331" s="38">
        <v>2.1728600452201356</v>
      </c>
      <c r="I1331" s="38">
        <v>3.6157281177845895</v>
      </c>
      <c r="J1331" s="10">
        <v>0</v>
      </c>
      <c r="K1331" s="39">
        <v>0</v>
      </c>
      <c r="L1331" s="39">
        <v>0</v>
      </c>
      <c r="M1331" s="39">
        <v>0</v>
      </c>
      <c r="N1331" s="39">
        <v>0</v>
      </c>
      <c r="O1331" s="39">
        <v>0</v>
      </c>
      <c r="P1331" s="39">
        <v>1</v>
      </c>
      <c r="Q1331" s="39">
        <v>0</v>
      </c>
      <c r="R1331" s="39">
        <v>0</v>
      </c>
      <c r="S1331" s="39">
        <v>0</v>
      </c>
      <c r="T1331" s="39">
        <v>0</v>
      </c>
      <c r="U1331" s="29" cm="1">
        <f t="array" aca="1" ref="U1331" ca="1">+fair_value_gap(OFFSET(T1330,0,0,-1*$J$5,-1*$AA$1),OFFSET(E1330,0,0,-1*$J$5,1),F1331:T1331,0)</f>
        <v>11.479575969014405</v>
      </c>
      <c r="V1331" s="9" cm="1">
        <f t="array" aca="1" ref="V1331" ca="1">z_score_diff(OFFSET(U1331,0,0,$J$5*-1,1),OFFSET(E1331,0,0,$J$5*-1,1))</f>
        <v>-2.0045641050470575E-2</v>
      </c>
      <c r="W1331" s="9">
        <f t="shared" ca="1" si="1406"/>
        <v>4.0411857629025251E-3</v>
      </c>
      <c r="X1331" s="17">
        <f t="shared" ca="1" si="1401"/>
        <v>0.18768445580110582</v>
      </c>
      <c r="Y1331" s="13">
        <f t="shared" ref="Y1331:Z1331" ca="1" si="1451">+Y1330</f>
        <v>0</v>
      </c>
      <c r="Z1331" s="13">
        <f t="shared" ca="1" si="1451"/>
        <v>0</v>
      </c>
      <c r="AA1331">
        <f t="shared" ca="1" si="1408"/>
        <v>0</v>
      </c>
      <c r="AB1331">
        <f t="shared" ca="1" si="1409"/>
        <v>1</v>
      </c>
      <c r="AC1331" s="24">
        <f t="shared" ca="1" si="1410"/>
        <v>0</v>
      </c>
      <c r="AD1331" s="24">
        <f t="shared" ca="1" si="1411"/>
        <v>0.18768445580110582</v>
      </c>
    </row>
    <row r="1332" spans="3:30" x14ac:dyDescent="0.25">
      <c r="C1332" s="6">
        <v>1426</v>
      </c>
      <c r="D1332" s="36">
        <v>44036</v>
      </c>
      <c r="E1332" s="38">
        <v>11.077</v>
      </c>
      <c r="F1332" s="38">
        <v>39.485446233217836</v>
      </c>
      <c r="G1332" s="38">
        <v>36.119999999999997</v>
      </c>
      <c r="H1332" s="38">
        <v>2.1768927558934457</v>
      </c>
      <c r="I1332" s="38">
        <v>3.5884250942866145</v>
      </c>
      <c r="J1332" s="10">
        <v>0</v>
      </c>
      <c r="K1332" s="39">
        <v>0</v>
      </c>
      <c r="L1332" s="39">
        <v>0</v>
      </c>
      <c r="M1332" s="39">
        <v>0</v>
      </c>
      <c r="N1332" s="39">
        <v>0</v>
      </c>
      <c r="O1332" s="39">
        <v>0</v>
      </c>
      <c r="P1332" s="39">
        <v>1</v>
      </c>
      <c r="Q1332" s="39">
        <v>0</v>
      </c>
      <c r="R1332" s="39">
        <v>0</v>
      </c>
      <c r="S1332" s="39">
        <v>0</v>
      </c>
      <c r="T1332" s="39">
        <v>0</v>
      </c>
      <c r="U1332" s="29" cm="1">
        <f t="array" aca="1" ref="U1332" ca="1">+fair_value_gap(OFFSET(T1331,0,0,-1*$J$5,-1*$AA$1),OFFSET(E1331,0,0,-1*$J$5,1),F1332:T1332,0)</f>
        <v>11.259915208941852</v>
      </c>
      <c r="V1332" s="9" cm="1">
        <f t="array" aca="1" ref="V1332" ca="1">z_score_diff(OFFSET(U1332,0,0,$J$5*-1,1),OFFSET(E1332,0,0,$J$5*-1,1))</f>
        <v>-5.8241457188359824E-2</v>
      </c>
      <c r="W1332" s="9">
        <f t="shared" ca="1" si="1406"/>
        <v>2.0087376757609815E-3</v>
      </c>
      <c r="X1332" s="17">
        <f t="shared" ca="1" si="1401"/>
        <v>0.18168941697970437</v>
      </c>
      <c r="Y1332" s="13">
        <f t="shared" ref="Y1332:Z1332" ca="1" si="1452">+Y1331</f>
        <v>0</v>
      </c>
      <c r="Z1332" s="13">
        <f t="shared" ca="1" si="1452"/>
        <v>0</v>
      </c>
      <c r="AA1332">
        <f t="shared" ca="1" si="1408"/>
        <v>0</v>
      </c>
      <c r="AB1332">
        <f t="shared" ca="1" si="1409"/>
        <v>1</v>
      </c>
      <c r="AC1332" s="24">
        <f t="shared" ca="1" si="1410"/>
        <v>0</v>
      </c>
      <c r="AD1332" s="24">
        <f t="shared" ca="1" si="1411"/>
        <v>0.18168941697970437</v>
      </c>
    </row>
    <row r="1333" spans="3:30" x14ac:dyDescent="0.25">
      <c r="C1333" s="6">
        <v>1427</v>
      </c>
      <c r="D1333" s="36">
        <v>44039</v>
      </c>
      <c r="E1333" s="38">
        <v>10.739000000000001</v>
      </c>
      <c r="F1333" s="38">
        <v>39.467384521590958</v>
      </c>
      <c r="G1333" s="38">
        <v>34.96</v>
      </c>
      <c r="H1333" s="38">
        <v>2.1701150667627034</v>
      </c>
      <c r="I1333" s="38">
        <v>3.504271411309424</v>
      </c>
      <c r="J1333" s="10">
        <v>0</v>
      </c>
      <c r="K1333" s="39">
        <v>0</v>
      </c>
      <c r="L1333" s="39">
        <v>0</v>
      </c>
      <c r="M1333" s="39">
        <v>0</v>
      </c>
      <c r="N1333" s="39">
        <v>0</v>
      </c>
      <c r="O1333" s="39">
        <v>0</v>
      </c>
      <c r="P1333" s="39">
        <v>1</v>
      </c>
      <c r="Q1333" s="39">
        <v>0</v>
      </c>
      <c r="R1333" s="39">
        <v>0</v>
      </c>
      <c r="S1333" s="39">
        <v>0</v>
      </c>
      <c r="T1333" s="39">
        <v>0</v>
      </c>
      <c r="U1333" s="29" cm="1">
        <f t="array" aca="1" ref="U1333" ca="1">+fair_value_gap(OFFSET(T1332,0,0,-1*$J$5,-1*$AA$1),OFFSET(E1332,0,0,-1*$J$5,1),F1333:T1333,0)</f>
        <v>10.924692836859329</v>
      </c>
      <c r="V1333" s="9" cm="1">
        <f t="array" aca="1" ref="V1333" ca="1">z_score_diff(OFFSET(U1333,0,0,$J$5*-1,1),OFFSET(E1333,0,0,$J$5*-1,1))</f>
        <v>-5.4634400025935781E-2</v>
      </c>
      <c r="W1333" s="9">
        <f t="shared" ca="1" si="1406"/>
        <v>1.1974366134434478E-3</v>
      </c>
      <c r="X1333" s="17">
        <f t="shared" ca="1" si="1401"/>
        <v>0.18814002512944464</v>
      </c>
      <c r="Y1333" s="13">
        <f t="shared" ref="Y1333:Z1333" ca="1" si="1453">+Y1332</f>
        <v>0</v>
      </c>
      <c r="Z1333" s="13">
        <f t="shared" ca="1" si="1453"/>
        <v>0</v>
      </c>
      <c r="AA1333">
        <f t="shared" ca="1" si="1408"/>
        <v>0</v>
      </c>
      <c r="AB1333">
        <f t="shared" ca="1" si="1409"/>
        <v>1</v>
      </c>
      <c r="AC1333" s="24">
        <f t="shared" ca="1" si="1410"/>
        <v>0</v>
      </c>
      <c r="AD1333" s="24">
        <f t="shared" ca="1" si="1411"/>
        <v>0.18814002512944464</v>
      </c>
    </row>
    <row r="1334" spans="3:30" x14ac:dyDescent="0.25">
      <c r="C1334" s="6">
        <v>1428</v>
      </c>
      <c r="D1334" s="36">
        <v>44040</v>
      </c>
      <c r="E1334" s="38">
        <v>10.959</v>
      </c>
      <c r="F1334" s="38">
        <v>39.382480003928933</v>
      </c>
      <c r="G1334" s="38">
        <v>34.92</v>
      </c>
      <c r="H1334" s="38">
        <v>2.2218797576931739</v>
      </c>
      <c r="I1334" s="38">
        <v>3.547894887475</v>
      </c>
      <c r="J1334" s="10">
        <v>0</v>
      </c>
      <c r="K1334" s="39">
        <v>0</v>
      </c>
      <c r="L1334" s="39">
        <v>0</v>
      </c>
      <c r="M1334" s="39">
        <v>0</v>
      </c>
      <c r="N1334" s="39">
        <v>0</v>
      </c>
      <c r="O1334" s="39">
        <v>0</v>
      </c>
      <c r="P1334" s="39">
        <v>1</v>
      </c>
      <c r="Q1334" s="39">
        <v>0</v>
      </c>
      <c r="R1334" s="39">
        <v>0</v>
      </c>
      <c r="S1334" s="39">
        <v>0</v>
      </c>
      <c r="T1334" s="39">
        <v>0</v>
      </c>
      <c r="U1334" s="29" cm="1">
        <f t="array" aca="1" ref="U1334" ca="1">+fair_value_gap(OFFSET(T1333,0,0,-1*$J$5,-1*$AA$1),OFFSET(E1333,0,0,-1*$J$5,1),F1334:T1334,0)</f>
        <v>10.98330276021025</v>
      </c>
      <c r="V1334" s="9" cm="1">
        <f t="array" aca="1" ref="V1334" ca="1">z_score_diff(OFFSET(U1334,0,0,$J$5*-1,1),OFFSET(E1334,0,0,$J$5*-1,1))</f>
        <v>-0.11228199772584313</v>
      </c>
      <c r="W1334" s="9">
        <f t="shared" ca="1" si="1406"/>
        <v>-4.2750230853866459E-3</v>
      </c>
      <c r="X1334" s="17">
        <f t="shared" ca="1" si="1401"/>
        <v>0.14024980820983429</v>
      </c>
      <c r="Y1334" s="13">
        <f t="shared" ref="Y1334:Z1334" ca="1" si="1454">+Y1333</f>
        <v>0</v>
      </c>
      <c r="Z1334" s="13">
        <f t="shared" ca="1" si="1454"/>
        <v>0</v>
      </c>
      <c r="AA1334">
        <f t="shared" ca="1" si="1408"/>
        <v>1</v>
      </c>
      <c r="AB1334">
        <f t="shared" ca="1" si="1409"/>
        <v>0</v>
      </c>
      <c r="AC1334" s="24">
        <f t="shared" ca="1" si="1410"/>
        <v>0.14024980820983429</v>
      </c>
      <c r="AD1334" s="24">
        <f t="shared" ca="1" si="1411"/>
        <v>0</v>
      </c>
    </row>
    <row r="1335" spans="3:30" x14ac:dyDescent="0.25">
      <c r="C1335" s="6">
        <v>1429</v>
      </c>
      <c r="D1335" s="36">
        <v>44041</v>
      </c>
      <c r="E1335" s="38">
        <v>11.074</v>
      </c>
      <c r="F1335" s="38">
        <v>39.402105263157893</v>
      </c>
      <c r="G1335" s="38">
        <v>36.51</v>
      </c>
      <c r="H1335" s="38">
        <v>2.2416842105263157</v>
      </c>
      <c r="I1335" s="38">
        <v>3.6</v>
      </c>
      <c r="J1335" s="10">
        <v>0</v>
      </c>
      <c r="K1335" s="39">
        <v>0</v>
      </c>
      <c r="L1335" s="39">
        <v>0</v>
      </c>
      <c r="M1335" s="39">
        <v>0</v>
      </c>
      <c r="N1335" s="39">
        <v>0</v>
      </c>
      <c r="O1335" s="39">
        <v>0</v>
      </c>
      <c r="P1335" s="39">
        <v>1</v>
      </c>
      <c r="Q1335" s="39">
        <v>0</v>
      </c>
      <c r="R1335" s="39">
        <v>0</v>
      </c>
      <c r="S1335" s="39">
        <v>0</v>
      </c>
      <c r="T1335" s="39">
        <v>0</v>
      </c>
      <c r="U1335" s="29" cm="1">
        <f t="array" aca="1" ref="U1335" ca="1">+fair_value_gap(OFFSET(T1334,0,0,-1*$J$5,-1*$AA$1),OFFSET(E1334,0,0,-1*$J$5,1),F1335:T1335,0)</f>
        <v>11.366864180406422</v>
      </c>
      <c r="V1335" s="9" cm="1">
        <f t="array" aca="1" ref="V1335" ca="1">z_score_diff(OFFSET(U1335,0,0,$J$5*-1,1),OFFSET(E1335,0,0,$J$5*-1,1))</f>
        <v>-1.6223598291182917E-2</v>
      </c>
      <c r="W1335" s="9">
        <f t="shared" ca="1" si="1406"/>
        <v>-5.1723028553499455E-3</v>
      </c>
      <c r="X1335" s="17">
        <f t="shared" ca="1" si="1401"/>
        <v>0.1267130042013806</v>
      </c>
      <c r="Y1335" s="13">
        <f t="shared" ref="Y1335:Z1335" ca="1" si="1455">+Y1334</f>
        <v>0</v>
      </c>
      <c r="Z1335" s="13">
        <f t="shared" ca="1" si="1455"/>
        <v>0</v>
      </c>
      <c r="AA1335">
        <f t="shared" ca="1" si="1408"/>
        <v>1</v>
      </c>
      <c r="AB1335">
        <f t="shared" ca="1" si="1409"/>
        <v>0</v>
      </c>
      <c r="AC1335" s="24">
        <f t="shared" ca="1" si="1410"/>
        <v>0.1267130042013806</v>
      </c>
      <c r="AD1335" s="24">
        <f t="shared" ca="1" si="1411"/>
        <v>0</v>
      </c>
    </row>
    <row r="1336" spans="3:30" x14ac:dyDescent="0.25">
      <c r="C1336" s="6">
        <v>1430</v>
      </c>
      <c r="D1336" s="36">
        <v>44042</v>
      </c>
      <c r="E1336" s="38">
        <v>10.848000000000001</v>
      </c>
      <c r="F1336" s="38">
        <v>38.521324154805946</v>
      </c>
      <c r="G1336" s="38">
        <v>35.47</v>
      </c>
      <c r="H1336" s="38">
        <v>2.2097178985473849</v>
      </c>
      <c r="I1336" s="38">
        <v>3.5194596791425927</v>
      </c>
      <c r="J1336" s="10">
        <v>0</v>
      </c>
      <c r="K1336" s="39">
        <v>0</v>
      </c>
      <c r="L1336" s="39">
        <v>0</v>
      </c>
      <c r="M1336" s="39">
        <v>0</v>
      </c>
      <c r="N1336" s="39">
        <v>0</v>
      </c>
      <c r="O1336" s="39">
        <v>0</v>
      </c>
      <c r="P1336" s="39">
        <v>1</v>
      </c>
      <c r="Q1336" s="39">
        <v>0</v>
      </c>
      <c r="R1336" s="39">
        <v>0</v>
      </c>
      <c r="S1336" s="39">
        <v>0</v>
      </c>
      <c r="T1336" s="39">
        <v>0</v>
      </c>
      <c r="U1336" s="29" cm="1">
        <f t="array" aca="1" ref="U1336" ca="1">+fair_value_gap(OFFSET(T1335,0,0,-1*$J$5,-1*$AA$1),OFFSET(E1335,0,0,-1*$J$5,1),F1336:T1336,0)</f>
        <v>11.035964082634417</v>
      </c>
      <c r="V1336" s="9" cm="1">
        <f t="array" aca="1" ref="V1336" ca="1">z_score_diff(OFFSET(U1336,0,0,$J$5*-1,1),OFFSET(E1336,0,0,$J$5*-1,1))</f>
        <v>-5.1682667994387366E-2</v>
      </c>
      <c r="W1336" s="9">
        <f t="shared" ca="1" si="1406"/>
        <v>-7.1664668533080256E-3</v>
      </c>
      <c r="X1336" s="17">
        <f t="shared" ca="1" si="1401"/>
        <v>0.14470354093584836</v>
      </c>
      <c r="Y1336" s="13">
        <f t="shared" ref="Y1336:Z1336" ca="1" si="1456">+Y1335</f>
        <v>0</v>
      </c>
      <c r="Z1336" s="13">
        <f t="shared" ca="1" si="1456"/>
        <v>0</v>
      </c>
      <c r="AA1336">
        <f t="shared" ca="1" si="1408"/>
        <v>1</v>
      </c>
      <c r="AB1336">
        <f t="shared" ca="1" si="1409"/>
        <v>0</v>
      </c>
      <c r="AC1336" s="24">
        <f t="shared" ca="1" si="1410"/>
        <v>0.14470354093584836</v>
      </c>
      <c r="AD1336" s="24">
        <f t="shared" ca="1" si="1411"/>
        <v>0</v>
      </c>
    </row>
    <row r="1337" spans="3:30" x14ac:dyDescent="0.25">
      <c r="C1337" s="6">
        <v>1431</v>
      </c>
      <c r="D1337" s="36">
        <v>44043</v>
      </c>
      <c r="E1337" s="38">
        <v>10.999000000000001</v>
      </c>
      <c r="F1337" s="38">
        <v>38.955861542338582</v>
      </c>
      <c r="G1337" s="38">
        <v>35.39</v>
      </c>
      <c r="H1337" s="38">
        <v>2.2200289766880097</v>
      </c>
      <c r="I1337" s="38">
        <v>3.5609804200861204</v>
      </c>
      <c r="J1337" s="10">
        <v>0</v>
      </c>
      <c r="K1337" s="39">
        <v>0</v>
      </c>
      <c r="L1337" s="39">
        <v>0</v>
      </c>
      <c r="M1337" s="39">
        <v>0</v>
      </c>
      <c r="N1337" s="39">
        <v>0</v>
      </c>
      <c r="O1337" s="39">
        <v>0</v>
      </c>
      <c r="P1337" s="39">
        <v>1</v>
      </c>
      <c r="Q1337" s="39">
        <v>0</v>
      </c>
      <c r="R1337" s="39">
        <v>0</v>
      </c>
      <c r="S1337" s="39">
        <v>0</v>
      </c>
      <c r="T1337" s="39">
        <v>0</v>
      </c>
      <c r="U1337" s="29" cm="1">
        <f t="array" aca="1" ref="U1337" ca="1">+fair_value_gap(OFFSET(T1336,0,0,-1*$J$5,-1*$AA$1),OFFSET(E1336,0,0,-1*$J$5,1),F1337:T1337,0)</f>
        <v>11.06527580970549</v>
      </c>
      <c r="V1337" s="9" cm="1">
        <f t="array" aca="1" ref="V1337" ca="1">z_score_diff(OFFSET(U1337,0,0,$J$5*-1,1),OFFSET(E1337,0,0,$J$5*-1,1))</f>
        <v>-9.4553245280465159E-2</v>
      </c>
      <c r="W1337" s="9">
        <f t="shared" ca="1" si="1406"/>
        <v>-9.1328337509203484E-3</v>
      </c>
      <c r="X1337" s="17">
        <f t="shared" ca="1" si="1401"/>
        <v>0.13898291209000943</v>
      </c>
      <c r="Y1337" s="13">
        <f t="shared" ref="Y1337:Z1337" ca="1" si="1457">+Y1336</f>
        <v>0</v>
      </c>
      <c r="Z1337" s="13">
        <f t="shared" ca="1" si="1457"/>
        <v>0</v>
      </c>
      <c r="AA1337">
        <f t="shared" ca="1" si="1408"/>
        <v>1</v>
      </c>
      <c r="AB1337">
        <f t="shared" ca="1" si="1409"/>
        <v>0</v>
      </c>
      <c r="AC1337" s="24">
        <f t="shared" ca="1" si="1410"/>
        <v>0.13898291209000943</v>
      </c>
      <c r="AD1337" s="24">
        <f t="shared" ca="1" si="1411"/>
        <v>0</v>
      </c>
    </row>
    <row r="1338" spans="3:30" x14ac:dyDescent="0.25">
      <c r="C1338" s="6">
        <v>1432</v>
      </c>
      <c r="D1338" s="36">
        <v>44046</v>
      </c>
      <c r="E1338" s="38">
        <v>11.161</v>
      </c>
      <c r="F1338" s="38">
        <v>39.976196605906118</v>
      </c>
      <c r="G1338" s="38">
        <v>35.07</v>
      </c>
      <c r="H1338" s="38">
        <v>2.2579460709628134</v>
      </c>
      <c r="I1338" s="38">
        <v>3.5873909538661528</v>
      </c>
      <c r="J1338" s="10">
        <v>0</v>
      </c>
      <c r="K1338" s="39">
        <v>0</v>
      </c>
      <c r="L1338" s="39">
        <v>0</v>
      </c>
      <c r="M1338" s="39">
        <v>0</v>
      </c>
      <c r="N1338" s="39">
        <v>0</v>
      </c>
      <c r="O1338" s="39">
        <v>0</v>
      </c>
      <c r="P1338" s="39">
        <v>0</v>
      </c>
      <c r="Q1338" s="39">
        <v>1</v>
      </c>
      <c r="R1338" s="39">
        <v>0</v>
      </c>
      <c r="S1338" s="39">
        <v>0</v>
      </c>
      <c r="T1338" s="39">
        <v>0</v>
      </c>
      <c r="U1338" s="29" cm="1">
        <f t="array" aca="1" ref="U1338" ca="1">+fair_value_gap(OFFSET(T1337,0,0,-1*$J$5,-1*$AA$1),OFFSET(E1337,0,0,-1*$J$5,1),F1338:T1338,0)</f>
        <v>12.495129154286323</v>
      </c>
      <c r="V1338" s="9" cm="1">
        <f t="array" aca="1" ref="V1338" ca="1">z_score_diff(OFFSET(U1338,0,0,$J$5*-1,1),OFFSET(E1338,0,0,$J$5*-1,1))</f>
        <v>0.35168135981558768</v>
      </c>
      <c r="W1338" s="9">
        <f t="shared" ca="1" si="1406"/>
        <v>4.8811536075534789E-3</v>
      </c>
      <c r="X1338" s="17">
        <f t="shared" ca="1" si="1401"/>
        <v>0.13842487440845733</v>
      </c>
      <c r="Y1338" s="13">
        <f t="shared" ref="Y1338:Z1338" ca="1" si="1458">+Y1337</f>
        <v>0</v>
      </c>
      <c r="Z1338" s="13">
        <f t="shared" ca="1" si="1458"/>
        <v>0</v>
      </c>
      <c r="AA1338">
        <f t="shared" ca="1" si="1408"/>
        <v>0</v>
      </c>
      <c r="AB1338">
        <f t="shared" ca="1" si="1409"/>
        <v>1</v>
      </c>
      <c r="AC1338" s="24">
        <f t="shared" ca="1" si="1410"/>
        <v>0</v>
      </c>
      <c r="AD1338" s="24">
        <f t="shared" ca="1" si="1411"/>
        <v>0.13842487440845733</v>
      </c>
    </row>
    <row r="1339" spans="3:30" x14ac:dyDescent="0.25">
      <c r="C1339" s="6">
        <v>1433</v>
      </c>
      <c r="D1339" s="36">
        <v>44047</v>
      </c>
      <c r="E1339" s="38">
        <v>11.413</v>
      </c>
      <c r="F1339" s="38">
        <v>40.043711580961066</v>
      </c>
      <c r="G1339" s="38">
        <v>35.49</v>
      </c>
      <c r="H1339" s="38">
        <v>2.257926930321418</v>
      </c>
      <c r="I1339" s="38">
        <v>3.6173941134061467</v>
      </c>
      <c r="J1339" s="10">
        <v>0</v>
      </c>
      <c r="K1339" s="39">
        <v>0</v>
      </c>
      <c r="L1339" s="39">
        <v>0</v>
      </c>
      <c r="M1339" s="39">
        <v>0</v>
      </c>
      <c r="N1339" s="39">
        <v>0</v>
      </c>
      <c r="O1339" s="39">
        <v>0</v>
      </c>
      <c r="P1339" s="39">
        <v>0</v>
      </c>
      <c r="Q1339" s="39">
        <v>1</v>
      </c>
      <c r="R1339" s="39">
        <v>0</v>
      </c>
      <c r="S1339" s="39">
        <v>0</v>
      </c>
      <c r="T1339" s="39">
        <v>0</v>
      </c>
      <c r="U1339" s="29" cm="1">
        <f t="array" aca="1" ref="U1339" ca="1">+fair_value_gap(OFFSET(T1338,0,0,-1*$J$5,-1*$AA$1),OFFSET(E1338,0,0,-1*$J$5,1),F1339:T1339,0)</f>
        <v>12.202873418152512</v>
      </c>
      <c r="V1339" s="9" cm="1">
        <f t="array" aca="1" ref="V1339" ca="1">z_score_diff(OFFSET(U1339,0,0,$J$5*-1,1),OFFSET(E1339,0,0,$J$5*-1,1))</f>
        <v>0.15510747820063742</v>
      </c>
      <c r="W1339" s="9">
        <f t="shared" ca="1" si="1406"/>
        <v>1.2802032408027722E-2</v>
      </c>
      <c r="X1339" s="17">
        <f t="shared" ca="1" si="1401"/>
        <v>0.11983511641734555</v>
      </c>
      <c r="Y1339" s="13">
        <f t="shared" ref="Y1339:Z1339" ca="1" si="1459">+Y1338</f>
        <v>0</v>
      </c>
      <c r="Z1339" s="13">
        <f t="shared" ca="1" si="1459"/>
        <v>0</v>
      </c>
      <c r="AA1339">
        <f t="shared" ca="1" si="1408"/>
        <v>0</v>
      </c>
      <c r="AB1339">
        <f t="shared" ca="1" si="1409"/>
        <v>1</v>
      </c>
      <c r="AC1339" s="24">
        <f t="shared" ca="1" si="1410"/>
        <v>0</v>
      </c>
      <c r="AD1339" s="24">
        <f t="shared" ca="1" si="1411"/>
        <v>0.11983511641734555</v>
      </c>
    </row>
    <row r="1340" spans="3:30" x14ac:dyDescent="0.25">
      <c r="C1340" s="6">
        <v>1434</v>
      </c>
      <c r="D1340" s="36">
        <v>44048</v>
      </c>
      <c r="E1340" s="38">
        <v>11.746</v>
      </c>
      <c r="F1340" s="38">
        <v>40.269646826914148</v>
      </c>
      <c r="G1340" s="38">
        <v>36.11</v>
      </c>
      <c r="H1340" s="38">
        <v>2.251519210704882</v>
      </c>
      <c r="I1340" s="38">
        <v>3.7399817435343077</v>
      </c>
      <c r="J1340" s="10">
        <v>0</v>
      </c>
      <c r="K1340" s="39">
        <v>0</v>
      </c>
      <c r="L1340" s="39">
        <v>0</v>
      </c>
      <c r="M1340" s="39">
        <v>0</v>
      </c>
      <c r="N1340" s="39">
        <v>0</v>
      </c>
      <c r="O1340" s="39">
        <v>0</v>
      </c>
      <c r="P1340" s="39">
        <v>0</v>
      </c>
      <c r="Q1340" s="39">
        <v>1</v>
      </c>
      <c r="R1340" s="39">
        <v>0</v>
      </c>
      <c r="S1340" s="39">
        <v>0</v>
      </c>
      <c r="T1340" s="39">
        <v>0</v>
      </c>
      <c r="U1340" s="29" cm="1">
        <f t="array" aca="1" ref="U1340" ca="1">+fair_value_gap(OFFSET(T1339,0,0,-1*$J$5,-1*$AA$1),OFFSET(E1339,0,0,-1*$J$5,1),F1340:T1340,0)</f>
        <v>12.278313716347968</v>
      </c>
      <c r="V1340" s="9" cm="1">
        <f t="array" aca="1" ref="V1340" ca="1">z_score_diff(OFFSET(U1340,0,0,$J$5*-1,1),OFFSET(E1340,0,0,$J$5*-1,1))</f>
        <v>6.114667766422488E-2</v>
      </c>
      <c r="W1340" s="9">
        <f t="shared" ca="1" si="1406"/>
        <v>1.6095601330690695E-2</v>
      </c>
      <c r="X1340" s="17">
        <f t="shared" ca="1" si="1401"/>
        <v>0.10496881627357638</v>
      </c>
      <c r="Y1340" s="13">
        <f t="shared" ref="Y1340:Z1340" ca="1" si="1460">+Y1339</f>
        <v>0</v>
      </c>
      <c r="Z1340" s="13">
        <f t="shared" ca="1" si="1460"/>
        <v>0</v>
      </c>
      <c r="AA1340">
        <f t="shared" ca="1" si="1408"/>
        <v>0</v>
      </c>
      <c r="AB1340">
        <f t="shared" ca="1" si="1409"/>
        <v>1</v>
      </c>
      <c r="AC1340" s="24">
        <f t="shared" ca="1" si="1410"/>
        <v>0</v>
      </c>
      <c r="AD1340" s="24">
        <f t="shared" ca="1" si="1411"/>
        <v>0.10496881627357638</v>
      </c>
    </row>
    <row r="1341" spans="3:30" x14ac:dyDescent="0.25">
      <c r="C1341" s="6">
        <v>1435</v>
      </c>
      <c r="D1341" s="36">
        <v>44049</v>
      </c>
      <c r="E1341" s="38">
        <v>11.92</v>
      </c>
      <c r="F1341" s="38">
        <v>40.187676280992633</v>
      </c>
      <c r="G1341" s="38">
        <v>36.85</v>
      </c>
      <c r="H1341" s="38">
        <v>2.2552260285026455</v>
      </c>
      <c r="I1341" s="38">
        <v>3.8047009379633057</v>
      </c>
      <c r="J1341" s="10">
        <v>0</v>
      </c>
      <c r="K1341" s="39">
        <v>0</v>
      </c>
      <c r="L1341" s="39">
        <v>0</v>
      </c>
      <c r="M1341" s="39">
        <v>0</v>
      </c>
      <c r="N1341" s="39">
        <v>0</v>
      </c>
      <c r="O1341" s="39">
        <v>0</v>
      </c>
      <c r="P1341" s="39">
        <v>0</v>
      </c>
      <c r="Q1341" s="39">
        <v>1</v>
      </c>
      <c r="R1341" s="39">
        <v>0</v>
      </c>
      <c r="S1341" s="39">
        <v>0</v>
      </c>
      <c r="T1341" s="39">
        <v>0</v>
      </c>
      <c r="U1341" s="29" cm="1">
        <f t="array" aca="1" ref="U1341" ca="1">+fair_value_gap(OFFSET(T1340,0,0,-1*$J$5,-1*$AA$1),OFFSET(E1340,0,0,-1*$J$5,1),F1341:T1341,0)</f>
        <v>12.399057361667248</v>
      </c>
      <c r="V1341" s="9" cm="1">
        <f t="array" aca="1" ref="V1341" ca="1">z_score_diff(OFFSET(U1341,0,0,$J$5*-1,1),OFFSET(E1341,0,0,$J$5*-1,1))</f>
        <v>4.0813173027612559E-2</v>
      </c>
      <c r="W1341" s="9">
        <f t="shared" ca="1" si="1406"/>
        <v>1.8733789573202889E-2</v>
      </c>
      <c r="X1341" s="17">
        <f t="shared" ca="1" si="1401"/>
        <v>9.0263911736700495E-2</v>
      </c>
      <c r="Y1341" s="13">
        <f t="shared" ref="Y1341:Z1341" ca="1" si="1461">+Y1340</f>
        <v>0</v>
      </c>
      <c r="Z1341" s="13">
        <f t="shared" ca="1" si="1461"/>
        <v>0</v>
      </c>
      <c r="AA1341">
        <f t="shared" ca="1" si="1408"/>
        <v>0</v>
      </c>
      <c r="AB1341">
        <f t="shared" ca="1" si="1409"/>
        <v>1</v>
      </c>
      <c r="AC1341" s="24">
        <f t="shared" ca="1" si="1410"/>
        <v>0</v>
      </c>
      <c r="AD1341" s="24">
        <f t="shared" ca="1" si="1411"/>
        <v>9.0263911736700495E-2</v>
      </c>
    </row>
    <row r="1342" spans="3:30" x14ac:dyDescent="0.25">
      <c r="C1342" s="6">
        <v>1436</v>
      </c>
      <c r="D1342" s="36">
        <v>44050</v>
      </c>
      <c r="E1342" s="38">
        <v>11.763</v>
      </c>
      <c r="F1342" s="38">
        <v>39.834800510249195</v>
      </c>
      <c r="G1342" s="38">
        <v>36.880000000000003</v>
      </c>
      <c r="H1342" s="38">
        <v>2.2834914179622872</v>
      </c>
      <c r="I1342" s="38">
        <v>3.8184489603462288</v>
      </c>
      <c r="J1342" s="10">
        <v>0</v>
      </c>
      <c r="K1342" s="39">
        <v>0</v>
      </c>
      <c r="L1342" s="39">
        <v>0</v>
      </c>
      <c r="M1342" s="39">
        <v>0</v>
      </c>
      <c r="N1342" s="39">
        <v>0</v>
      </c>
      <c r="O1342" s="39">
        <v>0</v>
      </c>
      <c r="P1342" s="39">
        <v>0</v>
      </c>
      <c r="Q1342" s="39">
        <v>1</v>
      </c>
      <c r="R1342" s="39">
        <v>0</v>
      </c>
      <c r="S1342" s="39">
        <v>0</v>
      </c>
      <c r="T1342" s="39">
        <v>0</v>
      </c>
      <c r="U1342" s="29" cm="1">
        <f t="array" aca="1" ref="U1342" ca="1">+fair_value_gap(OFFSET(T1341,0,0,-1*$J$5,-1*$AA$1),OFFSET(E1341,0,0,-1*$J$5,1),F1342:T1342,0)</f>
        <v>12.329079491907846</v>
      </c>
      <c r="V1342" s="9" cm="1">
        <f t="array" aca="1" ref="V1342" ca="1">z_score_diff(OFFSET(U1342,0,0,$J$5*-1,1),OFFSET(E1342,0,0,$J$5*-1,1))</f>
        <v>7.1781647318722164E-2</v>
      </c>
      <c r="W1342" s="9">
        <f t="shared" ca="1" si="1406"/>
        <v>2.2999591520309601E-2</v>
      </c>
      <c r="X1342" s="17">
        <f t="shared" ca="1" si="1401"/>
        <v>0.11229889887388235</v>
      </c>
      <c r="Y1342" s="13">
        <f t="shared" ref="Y1342:Z1342" ca="1" si="1462">+Y1341</f>
        <v>0</v>
      </c>
      <c r="Z1342" s="13">
        <f t="shared" ca="1" si="1462"/>
        <v>0</v>
      </c>
      <c r="AA1342">
        <f t="shared" ca="1" si="1408"/>
        <v>0</v>
      </c>
      <c r="AB1342">
        <f t="shared" ca="1" si="1409"/>
        <v>1</v>
      </c>
      <c r="AC1342" s="24">
        <f t="shared" ca="1" si="1410"/>
        <v>0</v>
      </c>
      <c r="AD1342" s="24">
        <f t="shared" ca="1" si="1411"/>
        <v>0.11229889887388235</v>
      </c>
    </row>
    <row r="1343" spans="3:30" x14ac:dyDescent="0.25">
      <c r="C1343" s="6">
        <v>1437</v>
      </c>
      <c r="D1343" s="36">
        <v>44053</v>
      </c>
      <c r="E1343" s="38">
        <v>11.728999999999999</v>
      </c>
      <c r="F1343" s="38">
        <v>40.448841849761209</v>
      </c>
      <c r="G1343" s="38">
        <v>36.840000000000003</v>
      </c>
      <c r="H1343" s="38">
        <v>2.2785223072911873</v>
      </c>
      <c r="I1343" s="38">
        <v>3.8031715069771299</v>
      </c>
      <c r="J1343" s="10">
        <v>0</v>
      </c>
      <c r="K1343" s="39">
        <v>0</v>
      </c>
      <c r="L1343" s="39">
        <v>0</v>
      </c>
      <c r="M1343" s="39">
        <v>0</v>
      </c>
      <c r="N1343" s="39">
        <v>0</v>
      </c>
      <c r="O1343" s="39">
        <v>0</v>
      </c>
      <c r="P1343" s="39">
        <v>0</v>
      </c>
      <c r="Q1343" s="39">
        <v>1</v>
      </c>
      <c r="R1343" s="39">
        <v>0</v>
      </c>
      <c r="S1343" s="39">
        <v>0</v>
      </c>
      <c r="T1343" s="39">
        <v>0</v>
      </c>
      <c r="U1343" s="29" cm="1">
        <f t="array" aca="1" ref="U1343" ca="1">+fair_value_gap(OFFSET(T1342,0,0,-1*$J$5,-1*$AA$1),OFFSET(E1342,0,0,-1*$J$5,1),F1343:T1343,0)</f>
        <v>12.214653606094412</v>
      </c>
      <c r="V1343" s="9" cm="1">
        <f t="array" aca="1" ref="V1343" ca="1">z_score_diff(OFFSET(U1343,0,0,$J$5*-1,1),OFFSET(E1343,0,0,$J$5*-1,1))</f>
        <v>4.3186113512902358E-2</v>
      </c>
      <c r="W1343" s="9">
        <f t="shared" ca="1" si="1406"/>
        <v>2.7803808790115309E-2</v>
      </c>
      <c r="X1343" s="17">
        <f t="shared" ca="1" si="1401"/>
        <v>9.17462208958435E-2</v>
      </c>
      <c r="Y1343" s="13">
        <f t="shared" ref="Y1343:Z1343" ca="1" si="1463">+Y1342</f>
        <v>0</v>
      </c>
      <c r="Z1343" s="13">
        <f t="shared" ca="1" si="1463"/>
        <v>0</v>
      </c>
      <c r="AA1343">
        <f t="shared" ca="1" si="1408"/>
        <v>0</v>
      </c>
      <c r="AB1343">
        <f t="shared" ca="1" si="1409"/>
        <v>1</v>
      </c>
      <c r="AC1343" s="24">
        <f t="shared" ca="1" si="1410"/>
        <v>0</v>
      </c>
      <c r="AD1343" s="24">
        <f t="shared" ca="1" si="1411"/>
        <v>9.17462208958435E-2</v>
      </c>
    </row>
    <row r="1344" spans="3:30" x14ac:dyDescent="0.25">
      <c r="C1344" s="6">
        <v>1438</v>
      </c>
      <c r="D1344" s="36">
        <v>44054</v>
      </c>
      <c r="E1344" s="38">
        <v>11.823</v>
      </c>
      <c r="F1344" s="38">
        <v>40.223507128072022</v>
      </c>
      <c r="G1344" s="38">
        <v>37.1</v>
      </c>
      <c r="H1344" s="38">
        <v>2.2955882613961678</v>
      </c>
      <c r="I1344" s="38">
        <v>3.8034415229317942</v>
      </c>
      <c r="J1344" s="10">
        <v>0</v>
      </c>
      <c r="K1344" s="39">
        <v>0</v>
      </c>
      <c r="L1344" s="39">
        <v>0</v>
      </c>
      <c r="M1344" s="39">
        <v>0</v>
      </c>
      <c r="N1344" s="39">
        <v>0</v>
      </c>
      <c r="O1344" s="39">
        <v>0</v>
      </c>
      <c r="P1344" s="39">
        <v>0</v>
      </c>
      <c r="Q1344" s="39">
        <v>1</v>
      </c>
      <c r="R1344" s="39">
        <v>0</v>
      </c>
      <c r="S1344" s="39">
        <v>0</v>
      </c>
      <c r="T1344" s="39">
        <v>0</v>
      </c>
      <c r="U1344" s="29" cm="1">
        <f t="array" aca="1" ref="U1344" ca="1">+fair_value_gap(OFFSET(T1343,0,0,-1*$J$5,-1*$AA$1),OFFSET(E1343,0,0,-1*$J$5,1),F1344:T1344,0)</f>
        <v>12.202540905290645</v>
      </c>
      <c r="V1344" s="9" cm="1">
        <f t="array" aca="1" ref="V1344" ca="1">z_score_diff(OFFSET(U1344,0,0,$J$5*-1,1),OFFSET(E1344,0,0,$J$5*-1,1))</f>
        <v>5.269072214905357E-3</v>
      </c>
      <c r="W1344" s="9">
        <f t="shared" ca="1" si="1406"/>
        <v>2.786084738330136E-2</v>
      </c>
      <c r="X1344" s="17">
        <f t="shared" ca="1" si="1401"/>
        <v>8.6405030070119779E-2</v>
      </c>
      <c r="Y1344" s="13">
        <f t="shared" ref="Y1344:Z1344" ca="1" si="1464">+Y1343</f>
        <v>0</v>
      </c>
      <c r="Z1344" s="13">
        <f t="shared" ca="1" si="1464"/>
        <v>0</v>
      </c>
      <c r="AA1344">
        <f t="shared" ca="1" si="1408"/>
        <v>0</v>
      </c>
      <c r="AB1344">
        <f t="shared" ca="1" si="1409"/>
        <v>1</v>
      </c>
      <c r="AC1344" s="24">
        <f t="shared" ca="1" si="1410"/>
        <v>0</v>
      </c>
      <c r="AD1344" s="24">
        <f t="shared" ca="1" si="1411"/>
        <v>8.6405030070119779E-2</v>
      </c>
    </row>
    <row r="1345" spans="3:30" x14ac:dyDescent="0.25">
      <c r="C1345" s="6">
        <v>1439</v>
      </c>
      <c r="D1345" s="36">
        <v>44055</v>
      </c>
      <c r="E1345" s="38">
        <v>11.686999999999999</v>
      </c>
      <c r="F1345" s="38">
        <v>40.74132709946678</v>
      </c>
      <c r="G1345" s="38">
        <v>36.369999999999997</v>
      </c>
      <c r="H1345" s="38">
        <v>2.2821206374442942</v>
      </c>
      <c r="I1345" s="38">
        <v>3.7979203228316485</v>
      </c>
      <c r="J1345" s="10">
        <v>0</v>
      </c>
      <c r="K1345" s="39">
        <v>0</v>
      </c>
      <c r="L1345" s="39">
        <v>0</v>
      </c>
      <c r="M1345" s="39">
        <v>0</v>
      </c>
      <c r="N1345" s="39">
        <v>0</v>
      </c>
      <c r="O1345" s="39">
        <v>0</v>
      </c>
      <c r="P1345" s="39">
        <v>0</v>
      </c>
      <c r="Q1345" s="39">
        <v>1</v>
      </c>
      <c r="R1345" s="39">
        <v>0</v>
      </c>
      <c r="S1345" s="39">
        <v>0</v>
      </c>
      <c r="T1345" s="39">
        <v>0</v>
      </c>
      <c r="U1345" s="29" cm="1">
        <f t="array" aca="1" ref="U1345" ca="1">+fair_value_gap(OFFSET(T1344,0,0,-1*$J$5,-1*$AA$1),OFFSET(E1344,0,0,-1*$J$5,1),F1345:T1345,0)</f>
        <v>11.996395992420847</v>
      </c>
      <c r="V1345" s="9" cm="1">
        <f t="array" aca="1" ref="V1345" ca="1">z_score_diff(OFFSET(U1345,0,0,$J$5*-1,1),OFFSET(E1345,0,0,$J$5*-1,1))</f>
        <v>-1.8597363826112101E-2</v>
      </c>
      <c r="W1345" s="9">
        <f t="shared" ca="1" si="1406"/>
        <v>1.3512393322863485E-2</v>
      </c>
      <c r="X1345" s="17">
        <f t="shared" ca="1" si="1401"/>
        <v>0.10954444354748692</v>
      </c>
      <c r="Y1345" s="13">
        <f t="shared" ref="Y1345:Z1345" ca="1" si="1465">+Y1344</f>
        <v>0</v>
      </c>
      <c r="Z1345" s="13">
        <f t="shared" ca="1" si="1465"/>
        <v>0</v>
      </c>
      <c r="AA1345">
        <f t="shared" ca="1" si="1408"/>
        <v>0</v>
      </c>
      <c r="AB1345">
        <f t="shared" ca="1" si="1409"/>
        <v>1</v>
      </c>
      <c r="AC1345" s="24">
        <f t="shared" ca="1" si="1410"/>
        <v>0</v>
      </c>
      <c r="AD1345" s="24">
        <f t="shared" ca="1" si="1411"/>
        <v>0.10954444354748692</v>
      </c>
    </row>
    <row r="1346" spans="3:30" x14ac:dyDescent="0.25">
      <c r="C1346" s="6">
        <v>1440</v>
      </c>
      <c r="D1346" s="36">
        <v>44056</v>
      </c>
      <c r="E1346" s="38">
        <v>11.784000000000001</v>
      </c>
      <c r="F1346" s="38">
        <v>40.325323412956678</v>
      </c>
      <c r="G1346" s="38">
        <v>36.22</v>
      </c>
      <c r="H1346" s="38">
        <v>2.2833101699256391</v>
      </c>
      <c r="I1346" s="38">
        <v>3.7873221281223364</v>
      </c>
      <c r="J1346" s="10">
        <v>0</v>
      </c>
      <c r="K1346" s="39">
        <v>0</v>
      </c>
      <c r="L1346" s="39">
        <v>0</v>
      </c>
      <c r="M1346" s="39">
        <v>0</v>
      </c>
      <c r="N1346" s="39">
        <v>0</v>
      </c>
      <c r="O1346" s="39">
        <v>0</v>
      </c>
      <c r="P1346" s="39">
        <v>0</v>
      </c>
      <c r="Q1346" s="39">
        <v>1</v>
      </c>
      <c r="R1346" s="39">
        <v>0</v>
      </c>
      <c r="S1346" s="39">
        <v>0</v>
      </c>
      <c r="T1346" s="39">
        <v>0</v>
      </c>
      <c r="U1346" s="29" cm="1">
        <f t="array" aca="1" ref="U1346" ca="1">+fair_value_gap(OFFSET(T1345,0,0,-1*$J$5,-1*$AA$1),OFFSET(E1345,0,0,-1*$J$5,1),F1346:T1346,0)</f>
        <v>11.910080033775317</v>
      </c>
      <c r="V1346" s="9" cm="1">
        <f t="array" aca="1" ref="V1346" ca="1">z_score_diff(OFFSET(U1346,0,0,$J$5*-1,1),OFFSET(E1346,0,0,$J$5*-1,1))</f>
        <v>-8.2945599625608102E-2</v>
      </c>
      <c r="W1346" s="9">
        <f t="shared" ca="1" si="1406"/>
        <v>4.3111987526001832E-3</v>
      </c>
      <c r="X1346" s="17">
        <f t="shared" ca="1" si="1401"/>
        <v>9.543360611897185E-2</v>
      </c>
      <c r="Y1346" s="13">
        <f t="shared" ref="Y1346:Z1346" ca="1" si="1466">+Y1345</f>
        <v>0</v>
      </c>
      <c r="Z1346" s="13">
        <f t="shared" ca="1" si="1466"/>
        <v>0</v>
      </c>
      <c r="AA1346">
        <f t="shared" ca="1" si="1408"/>
        <v>0</v>
      </c>
      <c r="AB1346">
        <f t="shared" ca="1" si="1409"/>
        <v>1</v>
      </c>
      <c r="AC1346" s="24">
        <f t="shared" ca="1" si="1410"/>
        <v>0</v>
      </c>
      <c r="AD1346" s="24">
        <f t="shared" ca="1" si="1411"/>
        <v>9.543360611897185E-2</v>
      </c>
    </row>
    <row r="1347" spans="3:30" x14ac:dyDescent="0.25">
      <c r="C1347" s="6">
        <v>1441</v>
      </c>
      <c r="D1347" s="36">
        <v>44057</v>
      </c>
      <c r="E1347" s="38">
        <v>11.978</v>
      </c>
      <c r="F1347" s="38">
        <v>40.213073145225422</v>
      </c>
      <c r="G1347" s="38">
        <v>35.92</v>
      </c>
      <c r="H1347" s="38">
        <v>2.3060299498991532</v>
      </c>
      <c r="I1347" s="38">
        <v>3.8629353448528696</v>
      </c>
      <c r="J1347" s="10">
        <v>0</v>
      </c>
      <c r="K1347" s="39">
        <v>0</v>
      </c>
      <c r="L1347" s="39">
        <v>0</v>
      </c>
      <c r="M1347" s="39">
        <v>0</v>
      </c>
      <c r="N1347" s="39">
        <v>0</v>
      </c>
      <c r="O1347" s="39">
        <v>0</v>
      </c>
      <c r="P1347" s="39">
        <v>0</v>
      </c>
      <c r="Q1347" s="39">
        <v>1</v>
      </c>
      <c r="R1347" s="39">
        <v>0</v>
      </c>
      <c r="S1347" s="39">
        <v>0</v>
      </c>
      <c r="T1347" s="39">
        <v>0</v>
      </c>
      <c r="U1347" s="29" cm="1">
        <f t="array" aca="1" ref="U1347" ca="1">+fair_value_gap(OFFSET(T1346,0,0,-1*$J$5,-1*$AA$1),OFFSET(E1346,0,0,-1*$J$5,1),F1347:T1347,0)</f>
        <v>11.911118353888511</v>
      </c>
      <c r="V1347" s="9" cm="1">
        <f t="array" aca="1" ref="V1347" ca="1">z_score_diff(OFFSET(U1347,0,0,$J$5*-1,1),OFFSET(E1347,0,0,$J$5*-1,1))</f>
        <v>-0.15063105326457393</v>
      </c>
      <c r="W1347" s="9">
        <f t="shared" ca="1" si="1406"/>
        <v>-2.8195161801107408E-3</v>
      </c>
      <c r="X1347" s="17">
        <f t="shared" ca="1" si="1401"/>
        <v>8.4182757294483004E-2</v>
      </c>
      <c r="Y1347" s="13">
        <f t="shared" ref="Y1347:Z1347" ca="1" si="1467">+Y1346</f>
        <v>0</v>
      </c>
      <c r="Z1347" s="13">
        <f t="shared" ca="1" si="1467"/>
        <v>0</v>
      </c>
      <c r="AA1347">
        <f t="shared" ca="1" si="1408"/>
        <v>1</v>
      </c>
      <c r="AB1347">
        <f t="shared" ca="1" si="1409"/>
        <v>0</v>
      </c>
      <c r="AC1347" s="24">
        <f t="shared" ca="1" si="1410"/>
        <v>8.4182757294483004E-2</v>
      </c>
      <c r="AD1347" s="24">
        <f t="shared" ca="1" si="1411"/>
        <v>0</v>
      </c>
    </row>
    <row r="1348" spans="3:30" x14ac:dyDescent="0.25">
      <c r="C1348" s="6">
        <v>1442</v>
      </c>
      <c r="D1348" s="36">
        <v>44060</v>
      </c>
      <c r="E1348" s="38">
        <v>12.005000000000001</v>
      </c>
      <c r="F1348" s="38">
        <v>40.619584508213784</v>
      </c>
      <c r="G1348" s="38">
        <v>36.200000000000003</v>
      </c>
      <c r="H1348" s="38">
        <v>2.3047580672802099</v>
      </c>
      <c r="I1348" s="38">
        <v>4.0126364609883955</v>
      </c>
      <c r="J1348" s="10">
        <v>0</v>
      </c>
      <c r="K1348" s="39">
        <v>0</v>
      </c>
      <c r="L1348" s="39">
        <v>0</v>
      </c>
      <c r="M1348" s="39">
        <v>0</v>
      </c>
      <c r="N1348" s="39">
        <v>0</v>
      </c>
      <c r="O1348" s="39">
        <v>0</v>
      </c>
      <c r="P1348" s="39">
        <v>0</v>
      </c>
      <c r="Q1348" s="39">
        <v>1</v>
      </c>
      <c r="R1348" s="39">
        <v>0</v>
      </c>
      <c r="S1348" s="39">
        <v>0</v>
      </c>
      <c r="T1348" s="39">
        <v>0</v>
      </c>
      <c r="U1348" s="29" cm="1">
        <f t="array" aca="1" ref="U1348" ca="1">+fair_value_gap(OFFSET(T1347,0,0,-1*$J$5,-1*$AA$1),OFFSET(E1347,0,0,-1*$J$5,1),F1348:T1348,0)</f>
        <v>12.13920137664331</v>
      </c>
      <c r="V1348" s="9" cm="1">
        <f t="array" aca="1" ref="V1348" ca="1">z_score_diff(OFFSET(U1348,0,0,$J$5*-1,1),OFFSET(E1348,0,0,$J$5*-1,1))</f>
        <v>-7.9538148246026896E-2</v>
      </c>
      <c r="W1348" s="9">
        <f t="shared" ca="1" si="1406"/>
        <v>-7.2622681046008407E-3</v>
      </c>
      <c r="X1348" s="17">
        <f t="shared" ca="1" si="1401"/>
        <v>0.10731611991766582</v>
      </c>
      <c r="Y1348" s="13">
        <f t="shared" ref="Y1348:Z1348" ca="1" si="1468">+Y1347</f>
        <v>0</v>
      </c>
      <c r="Z1348" s="13">
        <f t="shared" ca="1" si="1468"/>
        <v>0</v>
      </c>
      <c r="AA1348">
        <f t="shared" ca="1" si="1408"/>
        <v>1</v>
      </c>
      <c r="AB1348">
        <f t="shared" ca="1" si="1409"/>
        <v>0</v>
      </c>
      <c r="AC1348" s="24">
        <f t="shared" ca="1" si="1410"/>
        <v>0.10731611991766582</v>
      </c>
      <c r="AD1348" s="24">
        <f t="shared" ca="1" si="1411"/>
        <v>0</v>
      </c>
    </row>
    <row r="1349" spans="3:30" x14ac:dyDescent="0.25">
      <c r="C1349" s="6">
        <v>1443</v>
      </c>
      <c r="D1349" s="36">
        <v>44061</v>
      </c>
      <c r="E1349" s="38">
        <v>12.154999999999999</v>
      </c>
      <c r="F1349" s="38">
        <v>40.460745176314042</v>
      </c>
      <c r="G1349" s="38">
        <v>36.549999999999997</v>
      </c>
      <c r="H1349" s="38">
        <v>2.3153692614770458</v>
      </c>
      <c r="I1349" s="38">
        <v>4.087658017298736</v>
      </c>
      <c r="J1349" s="10">
        <v>0</v>
      </c>
      <c r="K1349" s="39">
        <v>0</v>
      </c>
      <c r="L1349" s="39">
        <v>0</v>
      </c>
      <c r="M1349" s="39">
        <v>0</v>
      </c>
      <c r="N1349" s="39">
        <v>0</v>
      </c>
      <c r="O1349" s="39">
        <v>0</v>
      </c>
      <c r="P1349" s="39">
        <v>0</v>
      </c>
      <c r="Q1349" s="39">
        <v>1</v>
      </c>
      <c r="R1349" s="39">
        <v>0</v>
      </c>
      <c r="S1349" s="39">
        <v>0</v>
      </c>
      <c r="T1349" s="39">
        <v>0</v>
      </c>
      <c r="U1349" s="29" cm="1">
        <f t="array" aca="1" ref="U1349" ca="1">+fair_value_gap(OFFSET(T1348,0,0,-1*$J$5,-1*$AA$1),OFFSET(E1348,0,0,-1*$J$5,1),F1349:T1349,0)</f>
        <v>12.280516324686381</v>
      </c>
      <c r="V1349" s="9" cm="1">
        <f t="array" aca="1" ref="V1349" ca="1">z_score_diff(OFFSET(U1349,0,0,$J$5*-1,1),OFFSET(E1349,0,0,$J$5*-1,1))</f>
        <v>-8.2754136265937306E-2</v>
      </c>
      <c r="W1349" s="9">
        <f t="shared" ca="1" si="1406"/>
        <v>-1.3644578712936568E-2</v>
      </c>
      <c r="X1349" s="17">
        <f t="shared" ca="1" si="1401"/>
        <v>8.7011376989629893E-2</v>
      </c>
      <c r="Y1349" s="13">
        <f t="shared" ref="Y1349:Z1349" ca="1" si="1469">+Y1348</f>
        <v>0</v>
      </c>
      <c r="Z1349" s="13">
        <f t="shared" ca="1" si="1469"/>
        <v>0</v>
      </c>
      <c r="AA1349">
        <f t="shared" ca="1" si="1408"/>
        <v>1</v>
      </c>
      <c r="AB1349">
        <f t="shared" ca="1" si="1409"/>
        <v>0</v>
      </c>
      <c r="AC1349" s="24">
        <f t="shared" ca="1" si="1410"/>
        <v>8.7011376989629893E-2</v>
      </c>
      <c r="AD1349" s="24">
        <f t="shared" ca="1" si="1411"/>
        <v>0</v>
      </c>
    </row>
    <row r="1350" spans="3:30" x14ac:dyDescent="0.25">
      <c r="C1350" s="6">
        <v>1444</v>
      </c>
      <c r="D1350" s="36">
        <v>44062</v>
      </c>
      <c r="E1350" s="38">
        <v>12.198</v>
      </c>
      <c r="F1350" s="38">
        <v>40.805482969640181</v>
      </c>
      <c r="G1350" s="38">
        <v>36.6</v>
      </c>
      <c r="H1350" s="38">
        <v>2.3457495755190569</v>
      </c>
      <c r="I1350" s="38">
        <v>4.1274800498147028</v>
      </c>
      <c r="J1350" s="10">
        <v>0</v>
      </c>
      <c r="K1350" s="39">
        <v>0</v>
      </c>
      <c r="L1350" s="39">
        <v>0</v>
      </c>
      <c r="M1350" s="39">
        <v>0</v>
      </c>
      <c r="N1350" s="39">
        <v>0</v>
      </c>
      <c r="O1350" s="39">
        <v>0</v>
      </c>
      <c r="P1350" s="39">
        <v>0</v>
      </c>
      <c r="Q1350" s="39">
        <v>1</v>
      </c>
      <c r="R1350" s="39">
        <v>0</v>
      </c>
      <c r="S1350" s="39">
        <v>0</v>
      </c>
      <c r="T1350" s="39">
        <v>0</v>
      </c>
      <c r="U1350" s="29" cm="1">
        <f t="array" aca="1" ref="U1350" ca="1">+fair_value_gap(OFFSET(T1349,0,0,-1*$J$5,-1*$AA$1),OFFSET(E1349,0,0,-1*$J$5,1),F1350:T1350,0)</f>
        <v>12.317347439584303</v>
      </c>
      <c r="V1350" s="9" cm="1">
        <f t="array" aca="1" ref="V1350" ca="1">z_score_diff(OFFSET(U1350,0,0,$J$5*-1,1),OFFSET(E1350,0,0,$J$5*-1,1))</f>
        <v>-8.4453932648506314E-2</v>
      </c>
      <c r="W1350" s="9">
        <f t="shared" ca="1" si="1406"/>
        <v>-1.5812790287412795E-2</v>
      </c>
      <c r="X1350" s="17">
        <f t="shared" ca="1" si="1401"/>
        <v>0.11334625243539298</v>
      </c>
      <c r="Y1350" s="13">
        <f t="shared" ref="Y1350:Z1350" ca="1" si="1470">+Y1349</f>
        <v>0</v>
      </c>
      <c r="Z1350" s="13">
        <f t="shared" ca="1" si="1470"/>
        <v>0</v>
      </c>
      <c r="AA1350">
        <f t="shared" ca="1" si="1408"/>
        <v>1</v>
      </c>
      <c r="AB1350">
        <f t="shared" ca="1" si="1409"/>
        <v>0</v>
      </c>
      <c r="AC1350" s="24">
        <f t="shared" ca="1" si="1410"/>
        <v>0.11334625243539298</v>
      </c>
      <c r="AD1350" s="24">
        <f t="shared" ca="1" si="1411"/>
        <v>0</v>
      </c>
    </row>
    <row r="1351" spans="3:30" x14ac:dyDescent="0.25">
      <c r="C1351" s="6">
        <v>1445</v>
      </c>
      <c r="D1351" s="36">
        <v>44063</v>
      </c>
      <c r="E1351" s="38">
        <v>12.253</v>
      </c>
      <c r="F1351" s="38">
        <v>40.500801064181346</v>
      </c>
      <c r="G1351" s="38">
        <v>36.799999999999997</v>
      </c>
      <c r="H1351" s="38">
        <v>2.3442107949150204</v>
      </c>
      <c r="I1351" s="38">
        <v>4.0785252052857688</v>
      </c>
      <c r="J1351" s="10">
        <v>0</v>
      </c>
      <c r="K1351" s="39">
        <v>0</v>
      </c>
      <c r="L1351" s="39">
        <v>0</v>
      </c>
      <c r="M1351" s="39">
        <v>0</v>
      </c>
      <c r="N1351" s="39">
        <v>0</v>
      </c>
      <c r="O1351" s="39">
        <v>0</v>
      </c>
      <c r="P1351" s="39">
        <v>0</v>
      </c>
      <c r="Q1351" s="39">
        <v>1</v>
      </c>
      <c r="R1351" s="39">
        <v>0</v>
      </c>
      <c r="S1351" s="39">
        <v>0</v>
      </c>
      <c r="T1351" s="39">
        <v>0</v>
      </c>
      <c r="U1351" s="29" cm="1">
        <f t="array" aca="1" ref="U1351" ca="1">+fair_value_gap(OFFSET(T1350,0,0,-1*$J$5,-1*$AA$1),OFFSET(E1350,0,0,-1*$J$5,1),F1351:T1351,0)</f>
        <v>12.273737693726025</v>
      </c>
      <c r="V1351" s="9" cm="1">
        <f t="array" aca="1" ref="V1351" ca="1">z_score_diff(OFFSET(U1351,0,0,$J$5*-1,1),OFFSET(E1351,0,0,$J$5*-1,1))</f>
        <v>-0.11851910189931902</v>
      </c>
      <c r="W1351" s="9">
        <f t="shared" ca="1" si="1406"/>
        <v>-1.9603049960584856E-2</v>
      </c>
      <c r="X1351" s="17">
        <f t="shared" ref="X1351:X1414" ca="1" si="1471">+LN(OFFSET(E1351,$X$3,0,1,1)/E1351)</f>
        <v>9.1645742631728699E-2</v>
      </c>
      <c r="Y1351" s="13">
        <f t="shared" ref="Y1351:Z1351" ca="1" si="1472">+Y1350</f>
        <v>0</v>
      </c>
      <c r="Z1351" s="13">
        <f t="shared" ca="1" si="1472"/>
        <v>0</v>
      </c>
      <c r="AA1351">
        <f t="shared" ca="1" si="1408"/>
        <v>1</v>
      </c>
      <c r="AB1351">
        <f t="shared" ca="1" si="1409"/>
        <v>0</v>
      </c>
      <c r="AC1351" s="24">
        <f t="shared" ca="1" si="1410"/>
        <v>9.1645742631728699E-2</v>
      </c>
      <c r="AD1351" s="24">
        <f t="shared" ca="1" si="1411"/>
        <v>0</v>
      </c>
    </row>
    <row r="1352" spans="3:30" x14ac:dyDescent="0.25">
      <c r="C1352" s="6">
        <v>1446</v>
      </c>
      <c r="D1352" s="36">
        <v>44064</v>
      </c>
      <c r="E1352" s="38">
        <v>11.945</v>
      </c>
      <c r="F1352" s="38">
        <v>40.227839987078639</v>
      </c>
      <c r="G1352" s="38">
        <v>36.479999999999997</v>
      </c>
      <c r="H1352" s="38">
        <v>2.3638693091528853</v>
      </c>
      <c r="I1352" s="38">
        <v>4.0126891831527622</v>
      </c>
      <c r="J1352" s="10">
        <v>0</v>
      </c>
      <c r="K1352" s="39">
        <v>0</v>
      </c>
      <c r="L1352" s="39">
        <v>0</v>
      </c>
      <c r="M1352" s="39">
        <v>0</v>
      </c>
      <c r="N1352" s="39">
        <v>0</v>
      </c>
      <c r="O1352" s="39">
        <v>0</v>
      </c>
      <c r="P1352" s="39">
        <v>0</v>
      </c>
      <c r="Q1352" s="39">
        <v>1</v>
      </c>
      <c r="R1352" s="39">
        <v>0</v>
      </c>
      <c r="S1352" s="39">
        <v>0</v>
      </c>
      <c r="T1352" s="39">
        <v>0</v>
      </c>
      <c r="U1352" s="29" cm="1">
        <f t="array" aca="1" ref="U1352" ca="1">+fair_value_gap(OFFSET(T1351,0,0,-1*$J$5,-1*$AA$1),OFFSET(E1351,0,0,-1*$J$5,1),F1352:T1352,0)</f>
        <v>12.099120822380316</v>
      </c>
      <c r="V1352" s="9" cm="1">
        <f t="array" aca="1" ref="V1352" ca="1">z_score_diff(OFFSET(U1352,0,0,$J$5*-1,1),OFFSET(E1352,0,0,$J$5*-1,1))</f>
        <v>-6.9440159603296303E-2</v>
      </c>
      <c r="W1352" s="9">
        <f t="shared" ca="1" si="1406"/>
        <v>-2.0676940394136013E-2</v>
      </c>
      <c r="X1352" s="17">
        <f t="shared" ca="1" si="1471"/>
        <v>9.8008313649653137E-2</v>
      </c>
      <c r="Y1352" s="13">
        <f t="shared" ref="Y1352:Z1352" ca="1" si="1473">+Y1351</f>
        <v>0</v>
      </c>
      <c r="Z1352" s="13">
        <f t="shared" ca="1" si="1473"/>
        <v>0</v>
      </c>
      <c r="AA1352">
        <f t="shared" ca="1" si="1408"/>
        <v>1</v>
      </c>
      <c r="AB1352">
        <f t="shared" ca="1" si="1409"/>
        <v>0</v>
      </c>
      <c r="AC1352" s="24">
        <f t="shared" ca="1" si="1410"/>
        <v>9.8008313649653137E-2</v>
      </c>
      <c r="AD1352" s="24">
        <f t="shared" ca="1" si="1411"/>
        <v>0</v>
      </c>
    </row>
    <row r="1353" spans="3:30" x14ac:dyDescent="0.25">
      <c r="C1353" s="6">
        <v>1447</v>
      </c>
      <c r="D1353" s="36">
        <v>44067</v>
      </c>
      <c r="E1353" s="38">
        <v>12.286</v>
      </c>
      <c r="F1353" s="38">
        <v>40.736523070422841</v>
      </c>
      <c r="G1353" s="38">
        <v>37.18</v>
      </c>
      <c r="H1353" s="38">
        <v>2.3591833505453557</v>
      </c>
      <c r="I1353" s="38">
        <v>4.0946938995373374</v>
      </c>
      <c r="J1353" s="10">
        <v>0</v>
      </c>
      <c r="K1353" s="39">
        <v>0</v>
      </c>
      <c r="L1353" s="39">
        <v>0</v>
      </c>
      <c r="M1353" s="39">
        <v>0</v>
      </c>
      <c r="N1353" s="39">
        <v>0</v>
      </c>
      <c r="O1353" s="39">
        <v>0</v>
      </c>
      <c r="P1353" s="39">
        <v>0</v>
      </c>
      <c r="Q1353" s="39">
        <v>1</v>
      </c>
      <c r="R1353" s="39">
        <v>0</v>
      </c>
      <c r="S1353" s="39">
        <v>0</v>
      </c>
      <c r="T1353" s="39">
        <v>0</v>
      </c>
      <c r="U1353" s="29" cm="1">
        <f t="array" aca="1" ref="U1353" ca="1">+fair_value_gap(OFFSET(T1352,0,0,-1*$J$5,-1*$AA$1),OFFSET(E1352,0,0,-1*$J$5,1),F1353:T1353,0)</f>
        <v>12.294650892260709</v>
      </c>
      <c r="V1353" s="9" cm="1">
        <f t="array" aca="1" ref="V1353" ca="1">z_score_diff(OFFSET(U1353,0,0,$J$5*-1,1),OFFSET(E1353,0,0,$J$5*-1,1))</f>
        <v>-0.12097868915128185</v>
      </c>
      <c r="W1353" s="9">
        <f t="shared" ca="1" si="1406"/>
        <v>-2.4851326014183907E-2</v>
      </c>
      <c r="X1353" s="17">
        <f t="shared" ca="1" si="1471"/>
        <v>8.6570398553113187E-2</v>
      </c>
      <c r="Y1353" s="13">
        <f t="shared" ref="Y1353:Z1353" ca="1" si="1474">+Y1352</f>
        <v>0</v>
      </c>
      <c r="Z1353" s="13">
        <f t="shared" ca="1" si="1474"/>
        <v>0</v>
      </c>
      <c r="AA1353">
        <f t="shared" ca="1" si="1408"/>
        <v>1</v>
      </c>
      <c r="AB1353">
        <f t="shared" ca="1" si="1409"/>
        <v>0</v>
      </c>
      <c r="AC1353" s="24">
        <f t="shared" ca="1" si="1410"/>
        <v>8.6570398553113187E-2</v>
      </c>
      <c r="AD1353" s="24">
        <f t="shared" ca="1" si="1411"/>
        <v>0</v>
      </c>
    </row>
    <row r="1354" spans="3:30" x14ac:dyDescent="0.25">
      <c r="C1354" s="6">
        <v>1448</v>
      </c>
      <c r="D1354" s="36">
        <v>44068</v>
      </c>
      <c r="E1354" s="38">
        <v>12.612</v>
      </c>
      <c r="F1354" s="38">
        <v>40.938001819653095</v>
      </c>
      <c r="G1354" s="38">
        <v>38.54</v>
      </c>
      <c r="H1354" s="38">
        <v>2.3504551229104389</v>
      </c>
      <c r="I1354" s="38">
        <v>4.1759780635369204</v>
      </c>
      <c r="J1354" s="10">
        <v>0</v>
      </c>
      <c r="K1354" s="39">
        <v>0</v>
      </c>
      <c r="L1354" s="39">
        <v>0</v>
      </c>
      <c r="M1354" s="39">
        <v>0</v>
      </c>
      <c r="N1354" s="39">
        <v>0</v>
      </c>
      <c r="O1354" s="39">
        <v>0</v>
      </c>
      <c r="P1354" s="39">
        <v>0</v>
      </c>
      <c r="Q1354" s="39">
        <v>1</v>
      </c>
      <c r="R1354" s="39">
        <v>0</v>
      </c>
      <c r="S1354" s="39">
        <v>0</v>
      </c>
      <c r="T1354" s="39">
        <v>0</v>
      </c>
      <c r="U1354" s="29" cm="1">
        <f t="array" aca="1" ref="U1354" ca="1">+fair_value_gap(OFFSET(T1353,0,0,-1*$J$5,-1*$AA$1),OFFSET(E1353,0,0,-1*$J$5,1),F1354:T1354,0)</f>
        <v>12.641291893528505</v>
      </c>
      <c r="V1354" s="9" cm="1">
        <f t="array" aca="1" ref="V1354" ca="1">z_score_diff(OFFSET(U1354,0,0,$J$5*-1,1),OFFSET(E1354,0,0,$J$5*-1,1))</f>
        <v>-0.11408025002776101</v>
      </c>
      <c r="W1354" s="9">
        <f t="shared" ca="1" si="1406"/>
        <v>-2.7811229699710109E-2</v>
      </c>
      <c r="X1354" s="17">
        <f t="shared" ca="1" si="1471"/>
        <v>6.4627717920599792E-2</v>
      </c>
      <c r="Y1354" s="13">
        <f t="shared" ref="Y1354:Z1354" ca="1" si="1475">+Y1353</f>
        <v>0</v>
      </c>
      <c r="Z1354" s="13">
        <f t="shared" ca="1" si="1475"/>
        <v>0</v>
      </c>
      <c r="AA1354">
        <f t="shared" ca="1" si="1408"/>
        <v>1</v>
      </c>
      <c r="AB1354">
        <f t="shared" ca="1" si="1409"/>
        <v>0</v>
      </c>
      <c r="AC1354" s="24">
        <f t="shared" ca="1" si="1410"/>
        <v>6.4627717920599792E-2</v>
      </c>
      <c r="AD1354" s="24">
        <f t="shared" ca="1" si="1411"/>
        <v>0</v>
      </c>
    </row>
    <row r="1355" spans="3:30" x14ac:dyDescent="0.25">
      <c r="C1355" s="6">
        <v>1449</v>
      </c>
      <c r="D1355" s="36">
        <v>44069</v>
      </c>
      <c r="E1355" s="38">
        <v>12.808999999999999</v>
      </c>
      <c r="F1355" s="38">
        <v>40.929147861684818</v>
      </c>
      <c r="G1355" s="38">
        <v>38.83</v>
      </c>
      <c r="H1355" s="38">
        <v>2.3396473331879273</v>
      </c>
      <c r="I1355" s="38">
        <v>4.2405583611563173</v>
      </c>
      <c r="J1355" s="10">
        <v>0</v>
      </c>
      <c r="K1355" s="39">
        <v>0</v>
      </c>
      <c r="L1355" s="39">
        <v>0</v>
      </c>
      <c r="M1355" s="39">
        <v>0</v>
      </c>
      <c r="N1355" s="39">
        <v>0</v>
      </c>
      <c r="O1355" s="39">
        <v>0</v>
      </c>
      <c r="P1355" s="39">
        <v>0</v>
      </c>
      <c r="Q1355" s="39">
        <v>1</v>
      </c>
      <c r="R1355" s="39">
        <v>0</v>
      </c>
      <c r="S1355" s="39">
        <v>0</v>
      </c>
      <c r="T1355" s="39">
        <v>0</v>
      </c>
      <c r="U1355" s="29" cm="1">
        <f t="array" aca="1" ref="U1355" ca="1">+fair_value_gap(OFFSET(T1354,0,0,-1*$J$5,-1*$AA$1),OFFSET(E1354,0,0,-1*$J$5,1),F1355:T1355,0)</f>
        <v>12.755385994070529</v>
      </c>
      <c r="V1355" s="9" cm="1">
        <f t="array" aca="1" ref="V1355" ca="1">z_score_diff(OFFSET(U1355,0,0,$J$5*-1,1),OFFSET(E1355,0,0,$J$5*-1,1))</f>
        <v>-0.14269167320797693</v>
      </c>
      <c r="W1355" s="9">
        <f t="shared" ref="W1355:W1418" ca="1" si="1476">+IF(ISERROR(AVERAGE(OFFSET(V1355,0,0,$W$5*-1,1))),"",AVERAGE(OFFSET(V1355,0,0,$W$5*-1,1)))</f>
        <v>-3.1689360876805996E-2</v>
      </c>
      <c r="X1355" s="17">
        <f t="shared" ca="1" si="1471"/>
        <v>5.9039001449338414E-2</v>
      </c>
      <c r="Y1355" s="13">
        <f t="shared" ref="Y1355:Z1355" ca="1" si="1477">+Y1354</f>
        <v>0</v>
      </c>
      <c r="Z1355" s="13">
        <f t="shared" ca="1" si="1477"/>
        <v>0</v>
      </c>
      <c r="AA1355">
        <f t="shared" ref="AA1355:AA1418" ca="1" si="1478">+IF(W1355="","",IF(W1355&lt;Y1355,1,0))</f>
        <v>1</v>
      </c>
      <c r="AB1355">
        <f t="shared" ref="AB1355:AB1418" ca="1" si="1479">+IF(W1355="","",IF(W1355&gt;Z1355,1,0))</f>
        <v>0</v>
      </c>
      <c r="AC1355" s="24">
        <f t="shared" ref="AC1355:AC1418" ca="1" si="1480">+IF(ISERROR(AA1355*X1355),"",AA1355*X1355)</f>
        <v>5.9039001449338414E-2</v>
      </c>
      <c r="AD1355" s="24">
        <f t="shared" ref="AD1355:AD1418" ca="1" si="1481">+IF(ISERROR(AB1355*X1355),"",AB1355*X1355)</f>
        <v>0</v>
      </c>
    </row>
    <row r="1356" spans="3:30" x14ac:dyDescent="0.25">
      <c r="C1356" s="6">
        <v>1450</v>
      </c>
      <c r="D1356" s="36">
        <v>44070</v>
      </c>
      <c r="E1356" s="38">
        <v>12.611000000000001</v>
      </c>
      <c r="F1356" s="38">
        <v>40.510644014289973</v>
      </c>
      <c r="G1356" s="38">
        <v>38.950000000000003</v>
      </c>
      <c r="H1356" s="38">
        <v>2.3668291290421437</v>
      </c>
      <c r="I1356" s="38">
        <v>4.1979941983720179</v>
      </c>
      <c r="J1356" s="10">
        <v>0</v>
      </c>
      <c r="K1356" s="39">
        <v>0</v>
      </c>
      <c r="L1356" s="39">
        <v>0</v>
      </c>
      <c r="M1356" s="39">
        <v>0</v>
      </c>
      <c r="N1356" s="39">
        <v>0</v>
      </c>
      <c r="O1356" s="39">
        <v>0</v>
      </c>
      <c r="P1356" s="39">
        <v>0</v>
      </c>
      <c r="Q1356" s="39">
        <v>1</v>
      </c>
      <c r="R1356" s="39">
        <v>0</v>
      </c>
      <c r="S1356" s="39">
        <v>0</v>
      </c>
      <c r="T1356" s="39">
        <v>0</v>
      </c>
      <c r="U1356" s="29" cm="1">
        <f t="array" aca="1" ref="U1356" ca="1">+fair_value_gap(OFFSET(T1355,0,0,-1*$J$5,-1*$AA$1),OFFSET(E1355,0,0,-1*$J$5,1),F1356:T1356,0)</f>
        <v>12.746017061940249</v>
      </c>
      <c r="V1356" s="9" cm="1">
        <f t="array" aca="1" ref="V1356" ca="1">z_score_diff(OFFSET(U1356,0,0,$J$5*-1,1),OFFSET(E1356,0,0,$J$5*-1,1))</f>
        <v>-7.5164311349240398E-2</v>
      </c>
      <c r="W1356" s="9">
        <f t="shared" ca="1" si="1476"/>
        <v>-3.3796285705775093E-2</v>
      </c>
      <c r="X1356" s="17">
        <f t="shared" ca="1" si="1471"/>
        <v>9.8182328078244493E-2</v>
      </c>
      <c r="Y1356" s="13">
        <f t="shared" ref="Y1356:Z1356" ca="1" si="1482">+Y1355</f>
        <v>0</v>
      </c>
      <c r="Z1356" s="13">
        <f t="shared" ca="1" si="1482"/>
        <v>0</v>
      </c>
      <c r="AA1356">
        <f t="shared" ca="1" si="1478"/>
        <v>1</v>
      </c>
      <c r="AB1356">
        <f t="shared" ca="1" si="1479"/>
        <v>0</v>
      </c>
      <c r="AC1356" s="24">
        <f t="shared" ca="1" si="1480"/>
        <v>9.8182328078244493E-2</v>
      </c>
      <c r="AD1356" s="24">
        <f t="shared" ca="1" si="1481"/>
        <v>0</v>
      </c>
    </row>
    <row r="1357" spans="3:30" x14ac:dyDescent="0.25">
      <c r="C1357" s="6">
        <v>1451</v>
      </c>
      <c r="D1357" s="36">
        <v>44071</v>
      </c>
      <c r="E1357" s="38">
        <v>13.632</v>
      </c>
      <c r="F1357" s="38">
        <v>40.533241759157697</v>
      </c>
      <c r="G1357" s="38">
        <v>39.869999999999997</v>
      </c>
      <c r="H1357" s="38">
        <v>2.3446434108268681</v>
      </c>
      <c r="I1357" s="38">
        <v>4.3008745111506004</v>
      </c>
      <c r="J1357" s="10">
        <v>0</v>
      </c>
      <c r="K1357" s="39">
        <v>0</v>
      </c>
      <c r="L1357" s="39">
        <v>0</v>
      </c>
      <c r="M1357" s="39">
        <v>0</v>
      </c>
      <c r="N1357" s="39">
        <v>0</v>
      </c>
      <c r="O1357" s="39">
        <v>0</v>
      </c>
      <c r="P1357" s="39">
        <v>0</v>
      </c>
      <c r="Q1357" s="39">
        <v>1</v>
      </c>
      <c r="R1357" s="39">
        <v>0</v>
      </c>
      <c r="S1357" s="39">
        <v>0</v>
      </c>
      <c r="T1357" s="39">
        <v>0</v>
      </c>
      <c r="U1357" s="29" cm="1">
        <f t="array" aca="1" ref="U1357" ca="1">+fair_value_gap(OFFSET(T1356,0,0,-1*$J$5,-1*$AA$1),OFFSET(E1356,0,0,-1*$J$5,1),F1357:T1357,0)</f>
        <v>13.00483247918292</v>
      </c>
      <c r="V1357" s="9" cm="1">
        <f t="array" aca="1" ref="V1357" ca="1">z_score_diff(OFFSET(U1357,0,0,$J$5*-1,1),OFFSET(E1357,0,0,$J$5*-1,1))</f>
        <v>-0.34530311967503052</v>
      </c>
      <c r="W1357" s="9">
        <f t="shared" ca="1" si="1476"/>
        <v>-4.3014764236205108E-2</v>
      </c>
      <c r="X1357" s="17">
        <f t="shared" ca="1" si="1471"/>
        <v>1.1886237582289582E-2</v>
      </c>
      <c r="Y1357" s="13">
        <f t="shared" ref="Y1357:Z1357" ca="1" si="1483">+Y1356</f>
        <v>0</v>
      </c>
      <c r="Z1357" s="13">
        <f t="shared" ca="1" si="1483"/>
        <v>0</v>
      </c>
      <c r="AA1357">
        <f t="shared" ca="1" si="1478"/>
        <v>1</v>
      </c>
      <c r="AB1357">
        <f t="shared" ca="1" si="1479"/>
        <v>0</v>
      </c>
      <c r="AC1357" s="24">
        <f t="shared" ca="1" si="1480"/>
        <v>1.1886237582289582E-2</v>
      </c>
      <c r="AD1357" s="24">
        <f t="shared" ca="1" si="1481"/>
        <v>0</v>
      </c>
    </row>
    <row r="1358" spans="3:30" x14ac:dyDescent="0.25">
      <c r="C1358" s="6">
        <v>1452</v>
      </c>
      <c r="D1358" s="36">
        <v>44074</v>
      </c>
      <c r="E1358" s="38">
        <v>13.506</v>
      </c>
      <c r="F1358" s="38">
        <v>40.016894728877851</v>
      </c>
      <c r="G1358" s="38">
        <v>40.03</v>
      </c>
      <c r="H1358" s="38">
        <v>2.3421481913826909</v>
      </c>
      <c r="I1358" s="38">
        <v>4.29019690008331</v>
      </c>
      <c r="J1358" s="10">
        <v>0</v>
      </c>
      <c r="K1358" s="39">
        <v>0</v>
      </c>
      <c r="L1358" s="39">
        <v>0</v>
      </c>
      <c r="M1358" s="39">
        <v>0</v>
      </c>
      <c r="N1358" s="39">
        <v>0</v>
      </c>
      <c r="O1358" s="39">
        <v>0</v>
      </c>
      <c r="P1358" s="39">
        <v>0</v>
      </c>
      <c r="Q1358" s="39">
        <v>1</v>
      </c>
      <c r="R1358" s="39">
        <v>0</v>
      </c>
      <c r="S1358" s="39">
        <v>0</v>
      </c>
      <c r="T1358" s="39">
        <v>0</v>
      </c>
      <c r="U1358" s="29" cm="1">
        <f t="array" aca="1" ref="U1358" ca="1">+fair_value_gap(OFFSET(T1357,0,0,-1*$J$5,-1*$AA$1),OFFSET(E1357,0,0,-1*$J$5,1),F1358:T1358,0)</f>
        <v>13.061774631316588</v>
      </c>
      <c r="V1358" s="9" cm="1">
        <f t="array" aca="1" ref="V1358" ca="1">z_score_diff(OFFSET(U1358,0,0,$J$5*-1,1),OFFSET(E1358,0,0,$J$5*-1,1))</f>
        <v>-0.2795468122522084</v>
      </c>
      <c r="W1358" s="9">
        <f t="shared" ca="1" si="1476"/>
        <v>-5.0850840778555187E-2</v>
      </c>
      <c r="X1358" s="17">
        <f t="shared" ca="1" si="1471"/>
        <v>9.5059851449017137E-3</v>
      </c>
      <c r="Y1358" s="13">
        <f t="shared" ref="Y1358:Z1358" ca="1" si="1484">+Y1357</f>
        <v>0</v>
      </c>
      <c r="Z1358" s="13">
        <f t="shared" ca="1" si="1484"/>
        <v>0</v>
      </c>
      <c r="AA1358">
        <f t="shared" ca="1" si="1478"/>
        <v>1</v>
      </c>
      <c r="AB1358">
        <f t="shared" ca="1" si="1479"/>
        <v>0</v>
      </c>
      <c r="AC1358" s="24">
        <f t="shared" ca="1" si="1480"/>
        <v>9.5059851449017137E-3</v>
      </c>
      <c r="AD1358" s="24">
        <f t="shared" ca="1" si="1481"/>
        <v>0</v>
      </c>
    </row>
    <row r="1359" spans="3:30" x14ac:dyDescent="0.25">
      <c r="C1359" s="6">
        <v>1453</v>
      </c>
      <c r="D1359" s="36">
        <v>44075</v>
      </c>
      <c r="E1359" s="38">
        <v>13.686999999999999</v>
      </c>
      <c r="F1359" s="38">
        <v>40.398455999653635</v>
      </c>
      <c r="G1359" s="38">
        <v>40.119999999999997</v>
      </c>
      <c r="H1359" s="38">
        <v>2.3529686037720769</v>
      </c>
      <c r="I1359" s="38">
        <v>4.375389247283179</v>
      </c>
      <c r="J1359" s="10">
        <v>0</v>
      </c>
      <c r="K1359" s="39">
        <v>0</v>
      </c>
      <c r="L1359" s="39">
        <v>0</v>
      </c>
      <c r="M1359" s="39">
        <v>0</v>
      </c>
      <c r="N1359" s="39">
        <v>0</v>
      </c>
      <c r="O1359" s="39">
        <v>0</v>
      </c>
      <c r="P1359" s="39">
        <v>0</v>
      </c>
      <c r="Q1359" s="39">
        <v>0</v>
      </c>
      <c r="R1359" s="39">
        <v>1</v>
      </c>
      <c r="S1359" s="39">
        <v>0</v>
      </c>
      <c r="T1359" s="39">
        <v>0</v>
      </c>
      <c r="U1359" s="29" cm="1">
        <f t="array" aca="1" ref="U1359" ca="1">+fair_value_gap(OFFSET(T1358,0,0,-1*$J$5,-1*$AA$1),OFFSET(E1358,0,0,-1*$J$5,1),F1359:T1359,0)</f>
        <v>14.387913797003218</v>
      </c>
      <c r="V1359" s="9" cm="1">
        <f t="array" aca="1" ref="V1359" ca="1">z_score_diff(OFFSET(U1359,0,0,$J$5*-1,1),OFFSET(E1359,0,0,$J$5*-1,1))</f>
        <v>0.12037233712340925</v>
      </c>
      <c r="W1359" s="9">
        <f t="shared" ca="1" si="1476"/>
        <v>-4.4518184011472818E-2</v>
      </c>
      <c r="X1359" s="17">
        <f t="shared" ca="1" si="1471"/>
        <v>-9.6909942785003457E-3</v>
      </c>
      <c r="Y1359" s="13">
        <f t="shared" ref="Y1359:Z1359" ca="1" si="1485">+Y1358</f>
        <v>0</v>
      </c>
      <c r="Z1359" s="13">
        <f t="shared" ca="1" si="1485"/>
        <v>0</v>
      </c>
      <c r="AA1359">
        <f t="shared" ca="1" si="1478"/>
        <v>1</v>
      </c>
      <c r="AB1359">
        <f t="shared" ca="1" si="1479"/>
        <v>0</v>
      </c>
      <c r="AC1359" s="24">
        <f t="shared" ca="1" si="1480"/>
        <v>-9.6909942785003457E-3</v>
      </c>
      <c r="AD1359" s="24">
        <f t="shared" ca="1" si="1481"/>
        <v>0</v>
      </c>
    </row>
    <row r="1360" spans="3:30" x14ac:dyDescent="0.25">
      <c r="C1360" s="6">
        <v>1454</v>
      </c>
      <c r="D1360" s="36">
        <v>44076</v>
      </c>
      <c r="E1360" s="38">
        <v>13.420999999999999</v>
      </c>
      <c r="F1360" s="38">
        <v>39.983096305036376</v>
      </c>
      <c r="G1360" s="38">
        <v>40.17</v>
      </c>
      <c r="H1360" s="38">
        <v>2.3782327270597192</v>
      </c>
      <c r="I1360" s="38">
        <v>4.2845009016698672</v>
      </c>
      <c r="J1360" s="10">
        <v>0</v>
      </c>
      <c r="K1360" s="39">
        <v>0</v>
      </c>
      <c r="L1360" s="39">
        <v>0</v>
      </c>
      <c r="M1360" s="39">
        <v>0</v>
      </c>
      <c r="N1360" s="39">
        <v>0</v>
      </c>
      <c r="O1360" s="39">
        <v>0</v>
      </c>
      <c r="P1360" s="39">
        <v>0</v>
      </c>
      <c r="Q1360" s="39">
        <v>0</v>
      </c>
      <c r="R1360" s="39">
        <v>1</v>
      </c>
      <c r="S1360" s="39">
        <v>0</v>
      </c>
      <c r="T1360" s="39">
        <v>0</v>
      </c>
      <c r="U1360" s="29" cm="1">
        <f t="array" aca="1" ref="U1360" ca="1">+fair_value_gap(OFFSET(T1359,0,0,-1*$J$5,-1*$AA$1),OFFSET(E1359,0,0,-1*$J$5,1),F1360:T1360,0)</f>
        <v>14.096071206112228</v>
      </c>
      <c r="V1360" s="9" cm="1">
        <f t="array" aca="1" ref="V1360" ca="1">z_score_diff(OFFSET(U1360,0,0,$J$5*-1,1),OFFSET(E1360,0,0,$J$5*-1,1))</f>
        <v>0.11189777844898816</v>
      </c>
      <c r="W1360" s="9">
        <f t="shared" ca="1" si="1476"/>
        <v>-4.0368390709084469E-2</v>
      </c>
      <c r="X1360" s="17">
        <f t="shared" ca="1" si="1471"/>
        <v>1.9918038235950168E-2</v>
      </c>
      <c r="Y1360" s="13">
        <f t="shared" ref="Y1360:Z1360" ca="1" si="1486">+Y1359</f>
        <v>0</v>
      </c>
      <c r="Z1360" s="13">
        <f t="shared" ca="1" si="1486"/>
        <v>0</v>
      </c>
      <c r="AA1360">
        <f t="shared" ca="1" si="1478"/>
        <v>1</v>
      </c>
      <c r="AB1360">
        <f t="shared" ca="1" si="1479"/>
        <v>0</v>
      </c>
      <c r="AC1360" s="24">
        <f t="shared" ca="1" si="1480"/>
        <v>1.9918038235950168E-2</v>
      </c>
      <c r="AD1360" s="24">
        <f t="shared" ca="1" si="1481"/>
        <v>0</v>
      </c>
    </row>
    <row r="1361" spans="3:30" x14ac:dyDescent="0.25">
      <c r="C1361" s="6">
        <v>1455</v>
      </c>
      <c r="D1361" s="36">
        <v>44077</v>
      </c>
      <c r="E1361" s="38">
        <v>13.499000000000001</v>
      </c>
      <c r="F1361" s="38">
        <v>39.994140665871477</v>
      </c>
      <c r="G1361" s="38">
        <v>40.68</v>
      </c>
      <c r="H1361" s="38">
        <v>2.3855860380438196</v>
      </c>
      <c r="I1361" s="38">
        <v>4.3777596417435714</v>
      </c>
      <c r="J1361" s="10">
        <v>0</v>
      </c>
      <c r="K1361" s="39">
        <v>0</v>
      </c>
      <c r="L1361" s="39">
        <v>0</v>
      </c>
      <c r="M1361" s="39">
        <v>0</v>
      </c>
      <c r="N1361" s="39">
        <v>0</v>
      </c>
      <c r="O1361" s="39">
        <v>0</v>
      </c>
      <c r="P1361" s="39">
        <v>0</v>
      </c>
      <c r="Q1361" s="39">
        <v>0</v>
      </c>
      <c r="R1361" s="39">
        <v>1</v>
      </c>
      <c r="S1361" s="39">
        <v>0</v>
      </c>
      <c r="T1361" s="39">
        <v>0</v>
      </c>
      <c r="U1361" s="29" cm="1">
        <f t="array" aca="1" ref="U1361" ca="1">+fair_value_gap(OFFSET(T1360,0,0,-1*$J$5,-1*$AA$1),OFFSET(E1360,0,0,-1*$J$5,1),F1361:T1361,0)</f>
        <v>14.120968655937792</v>
      </c>
      <c r="V1361" s="9" cm="1">
        <f t="array" aca="1" ref="V1361" ca="1">z_score_diff(OFFSET(U1361,0,0,$J$5*-1,1),OFFSET(E1361,0,0,$J$5*-1,1))</f>
        <v>9.1457066689887373E-2</v>
      </c>
      <c r="W1361" s="9">
        <f t="shared" ca="1" si="1476"/>
        <v>-3.665163378440587E-2</v>
      </c>
      <c r="X1361" s="17">
        <f t="shared" ca="1" si="1471"/>
        <v>1.3976981986685177E-2</v>
      </c>
      <c r="Y1361" s="13">
        <f t="shared" ref="Y1361:Z1361" ca="1" si="1487">+Y1360</f>
        <v>0</v>
      </c>
      <c r="Z1361" s="13">
        <f t="shared" ca="1" si="1487"/>
        <v>0</v>
      </c>
      <c r="AA1361">
        <f t="shared" ca="1" si="1478"/>
        <v>1</v>
      </c>
      <c r="AB1361">
        <f t="shared" ca="1" si="1479"/>
        <v>0</v>
      </c>
      <c r="AC1361" s="24">
        <f t="shared" ca="1" si="1480"/>
        <v>1.3976981986685177E-2</v>
      </c>
      <c r="AD1361" s="24">
        <f t="shared" ca="1" si="1481"/>
        <v>0</v>
      </c>
    </row>
    <row r="1362" spans="3:30" x14ac:dyDescent="0.25">
      <c r="C1362" s="6">
        <v>1456</v>
      </c>
      <c r="D1362" s="36">
        <v>44078</v>
      </c>
      <c r="E1362" s="38">
        <v>13.284000000000001</v>
      </c>
      <c r="F1362" s="38">
        <v>39.123958439800205</v>
      </c>
      <c r="G1362" s="38">
        <v>39.950000000000003</v>
      </c>
      <c r="H1362" s="38">
        <v>2.3918394292426037</v>
      </c>
      <c r="I1362" s="38">
        <v>4.3606039331725928</v>
      </c>
      <c r="J1362" s="10">
        <v>0</v>
      </c>
      <c r="K1362" s="39">
        <v>0</v>
      </c>
      <c r="L1362" s="39">
        <v>0</v>
      </c>
      <c r="M1362" s="39">
        <v>0</v>
      </c>
      <c r="N1362" s="39">
        <v>0</v>
      </c>
      <c r="O1362" s="39">
        <v>0</v>
      </c>
      <c r="P1362" s="39">
        <v>0</v>
      </c>
      <c r="Q1362" s="39">
        <v>0</v>
      </c>
      <c r="R1362" s="39">
        <v>1</v>
      </c>
      <c r="S1362" s="39">
        <v>0</v>
      </c>
      <c r="T1362" s="39">
        <v>0</v>
      </c>
      <c r="U1362" s="29" cm="1">
        <f t="array" aca="1" ref="U1362" ca="1">+fair_value_gap(OFFSET(T1361,0,0,-1*$J$5,-1*$AA$1),OFFSET(E1361,0,0,-1*$J$5,1),F1362:T1362,0)</f>
        <v>13.766918378846796</v>
      </c>
      <c r="V1362" s="9" cm="1">
        <f t="array" aca="1" ref="V1362" ca="1">z_score_diff(OFFSET(U1362,0,0,$J$5*-1,1),OFFSET(E1362,0,0,$J$5*-1,1))</f>
        <v>4.3380460550415501E-2</v>
      </c>
      <c r="W1362" s="9">
        <f t="shared" ca="1" si="1476"/>
        <v>-3.3264236526446694E-2</v>
      </c>
      <c r="X1362" s="17">
        <f t="shared" ca="1" si="1471"/>
        <v>4.4536856419581765E-2</v>
      </c>
      <c r="Y1362" s="13">
        <f t="shared" ref="Y1362:Z1362" ca="1" si="1488">+Y1361</f>
        <v>0</v>
      </c>
      <c r="Z1362" s="13">
        <f t="shared" ca="1" si="1488"/>
        <v>0</v>
      </c>
      <c r="AA1362">
        <f t="shared" ca="1" si="1478"/>
        <v>1</v>
      </c>
      <c r="AB1362">
        <f t="shared" ca="1" si="1479"/>
        <v>0</v>
      </c>
      <c r="AC1362" s="24">
        <f t="shared" ca="1" si="1480"/>
        <v>4.4536856419581765E-2</v>
      </c>
      <c r="AD1362" s="24">
        <f t="shared" ca="1" si="1481"/>
        <v>0</v>
      </c>
    </row>
    <row r="1363" spans="3:30" x14ac:dyDescent="0.25">
      <c r="C1363" s="6">
        <v>1457</v>
      </c>
      <c r="D1363" s="36">
        <v>44081</v>
      </c>
      <c r="E1363" s="38">
        <v>12.962</v>
      </c>
      <c r="F1363" s="38">
        <v>38.766361512064421</v>
      </c>
      <c r="G1363" s="38">
        <v>39.57</v>
      </c>
      <c r="H1363" s="38">
        <v>2.3971834983093769</v>
      </c>
      <c r="I1363" s="38">
        <v>4.3703467981437152</v>
      </c>
      <c r="J1363" s="10">
        <v>0</v>
      </c>
      <c r="K1363" s="39">
        <v>0</v>
      </c>
      <c r="L1363" s="39">
        <v>0</v>
      </c>
      <c r="M1363" s="39">
        <v>0</v>
      </c>
      <c r="N1363" s="39">
        <v>0</v>
      </c>
      <c r="O1363" s="39">
        <v>0</v>
      </c>
      <c r="P1363" s="39">
        <v>0</v>
      </c>
      <c r="Q1363" s="39">
        <v>0</v>
      </c>
      <c r="R1363" s="39">
        <v>1</v>
      </c>
      <c r="S1363" s="39">
        <v>0</v>
      </c>
      <c r="T1363" s="39">
        <v>0</v>
      </c>
      <c r="U1363" s="29" cm="1">
        <f t="array" aca="1" ref="U1363" ca="1">+fair_value_gap(OFFSET(T1362,0,0,-1*$J$5,-1*$AA$1),OFFSET(E1362,0,0,-1*$J$5,1),F1363:T1363,0)</f>
        <v>13.608830174854699</v>
      </c>
      <c r="V1363" s="9" cm="1">
        <f t="array" aca="1" ref="V1363" ca="1">z_score_diff(OFFSET(U1363,0,0,$J$5*-1,1),OFFSET(E1363,0,0,$J$5*-1,1))</f>
        <v>0.10313588509810118</v>
      </c>
      <c r="W1363" s="9">
        <f t="shared" ca="1" si="1476"/>
        <v>-2.8005227022312125E-2</v>
      </c>
      <c r="X1363" s="17">
        <f t="shared" ca="1" si="1471"/>
        <v>8.1596340937296868E-2</v>
      </c>
      <c r="Y1363" s="13">
        <f t="shared" ref="Y1363:Z1363" ca="1" si="1489">+Y1362</f>
        <v>0</v>
      </c>
      <c r="Z1363" s="13">
        <f t="shared" ca="1" si="1489"/>
        <v>0</v>
      </c>
      <c r="AA1363">
        <f t="shared" ca="1" si="1478"/>
        <v>1</v>
      </c>
      <c r="AB1363">
        <f t="shared" ca="1" si="1479"/>
        <v>0</v>
      </c>
      <c r="AC1363" s="24">
        <f t="shared" ca="1" si="1480"/>
        <v>8.1596340937296868E-2</v>
      </c>
      <c r="AD1363" s="24">
        <f t="shared" ca="1" si="1481"/>
        <v>0</v>
      </c>
    </row>
    <row r="1364" spans="3:30" x14ac:dyDescent="0.25">
      <c r="C1364" s="6">
        <v>1458</v>
      </c>
      <c r="D1364" s="36">
        <v>44082</v>
      </c>
      <c r="E1364" s="38">
        <v>12.609</v>
      </c>
      <c r="F1364" s="38">
        <v>37.227580737631428</v>
      </c>
      <c r="G1364" s="38">
        <v>39.01</v>
      </c>
      <c r="H1364" s="38">
        <v>2.4144889542181573</v>
      </c>
      <c r="I1364" s="38">
        <v>4.1209635393646726</v>
      </c>
      <c r="J1364" s="10">
        <v>0</v>
      </c>
      <c r="K1364" s="39">
        <v>0</v>
      </c>
      <c r="L1364" s="39">
        <v>0</v>
      </c>
      <c r="M1364" s="39">
        <v>0</v>
      </c>
      <c r="N1364" s="39">
        <v>0</v>
      </c>
      <c r="O1364" s="39">
        <v>0</v>
      </c>
      <c r="P1364" s="39">
        <v>0</v>
      </c>
      <c r="Q1364" s="39">
        <v>0</v>
      </c>
      <c r="R1364" s="39">
        <v>1</v>
      </c>
      <c r="S1364" s="39">
        <v>0</v>
      </c>
      <c r="T1364" s="39">
        <v>0</v>
      </c>
      <c r="U1364" s="29" cm="1">
        <f t="array" aca="1" ref="U1364" ca="1">+fair_value_gap(OFFSET(T1363,0,0,-1*$J$5,-1*$AA$1),OFFSET(E1363,0,0,-1*$J$5,1),F1364:T1364,0)</f>
        <v>13.063221675114724</v>
      </c>
      <c r="V1364" s="9" cm="1">
        <f t="array" aca="1" ref="V1364" ca="1">z_score_diff(OFFSET(U1364,0,0,$J$5*-1,1),OFFSET(E1364,0,0,$J$5*-1,1))</f>
        <v>3.698030291075316E-2</v>
      </c>
      <c r="W1364" s="9">
        <f t="shared" ca="1" si="1476"/>
        <v>-2.3029817001092242E-2</v>
      </c>
      <c r="X1364" s="17">
        <f t="shared" ca="1" si="1471"/>
        <v>0.11013141515473893</v>
      </c>
      <c r="Y1364" s="13">
        <f t="shared" ref="Y1364:Z1364" ca="1" si="1490">+Y1363</f>
        <v>0</v>
      </c>
      <c r="Z1364" s="13">
        <f t="shared" ca="1" si="1490"/>
        <v>0</v>
      </c>
      <c r="AA1364">
        <f t="shared" ca="1" si="1478"/>
        <v>1</v>
      </c>
      <c r="AB1364">
        <f t="shared" ca="1" si="1479"/>
        <v>0</v>
      </c>
      <c r="AC1364" s="24">
        <f t="shared" ca="1" si="1480"/>
        <v>0.11013141515473893</v>
      </c>
      <c r="AD1364" s="24">
        <f t="shared" ca="1" si="1481"/>
        <v>0</v>
      </c>
    </row>
    <row r="1365" spans="3:30" x14ac:dyDescent="0.25">
      <c r="C1365" s="6">
        <v>1459</v>
      </c>
      <c r="D1365" s="36">
        <v>44083</v>
      </c>
      <c r="E1365" s="38">
        <v>12.57</v>
      </c>
      <c r="F1365" s="38">
        <v>37.857561136264536</v>
      </c>
      <c r="G1365" s="38">
        <v>39.25</v>
      </c>
      <c r="H1365" s="38">
        <v>2.4154569078286849</v>
      </c>
      <c r="I1365" s="38">
        <v>4.0957747567529879</v>
      </c>
      <c r="J1365" s="10">
        <v>0</v>
      </c>
      <c r="K1365" s="39">
        <v>0</v>
      </c>
      <c r="L1365" s="39">
        <v>0</v>
      </c>
      <c r="M1365" s="39">
        <v>0</v>
      </c>
      <c r="N1365" s="39">
        <v>0</v>
      </c>
      <c r="O1365" s="39">
        <v>0</v>
      </c>
      <c r="P1365" s="39">
        <v>0</v>
      </c>
      <c r="Q1365" s="39">
        <v>0</v>
      </c>
      <c r="R1365" s="39">
        <v>1</v>
      </c>
      <c r="S1365" s="39">
        <v>0</v>
      </c>
      <c r="T1365" s="39">
        <v>0</v>
      </c>
      <c r="U1365" s="29" cm="1">
        <f t="array" aca="1" ref="U1365" ca="1">+fair_value_gap(OFFSET(T1364,0,0,-1*$J$5,-1*$AA$1),OFFSET(E1364,0,0,-1*$J$5,1),F1365:T1365,0)</f>
        <v>13.007959369987557</v>
      </c>
      <c r="V1365" s="9" cm="1">
        <f t="array" aca="1" ref="V1365" ca="1">z_score_diff(OFFSET(U1365,0,0,$J$5*-1,1),OFFSET(E1365,0,0,$J$5*-1,1))</f>
        <v>3.1236302215536527E-2</v>
      </c>
      <c r="W1365" s="9">
        <f t="shared" ca="1" si="1476"/>
        <v>-2.1447820317534928E-2</v>
      </c>
      <c r="X1365" s="17">
        <f t="shared" ca="1" si="1471"/>
        <v>0.10895785607876447</v>
      </c>
      <c r="Y1365" s="13">
        <f t="shared" ref="Y1365:Z1365" ca="1" si="1491">+Y1364</f>
        <v>0</v>
      </c>
      <c r="Z1365" s="13">
        <f t="shared" ca="1" si="1491"/>
        <v>0</v>
      </c>
      <c r="AA1365">
        <f t="shared" ca="1" si="1478"/>
        <v>1</v>
      </c>
      <c r="AB1365">
        <f t="shared" ca="1" si="1479"/>
        <v>0</v>
      </c>
      <c r="AC1365" s="24">
        <f t="shared" ca="1" si="1480"/>
        <v>0.10895785607876447</v>
      </c>
      <c r="AD1365" s="24">
        <f t="shared" ca="1" si="1481"/>
        <v>0</v>
      </c>
    </row>
    <row r="1366" spans="3:30" x14ac:dyDescent="0.25">
      <c r="C1366" s="6">
        <v>1460</v>
      </c>
      <c r="D1366" s="36">
        <v>44084</v>
      </c>
      <c r="E1366" s="38">
        <v>12.537000000000001</v>
      </c>
      <c r="F1366" s="38">
        <v>37.349299480266325</v>
      </c>
      <c r="G1366" s="38">
        <v>39.19</v>
      </c>
      <c r="H1366" s="38">
        <v>2.4026454284675705</v>
      </c>
      <c r="I1366" s="38">
        <v>4.071568947612759</v>
      </c>
      <c r="J1366" s="10">
        <v>0</v>
      </c>
      <c r="K1366" s="39">
        <v>0</v>
      </c>
      <c r="L1366" s="39">
        <v>0</v>
      </c>
      <c r="M1366" s="39">
        <v>0</v>
      </c>
      <c r="N1366" s="39">
        <v>0</v>
      </c>
      <c r="O1366" s="39">
        <v>0</v>
      </c>
      <c r="P1366" s="39">
        <v>0</v>
      </c>
      <c r="Q1366" s="39">
        <v>0</v>
      </c>
      <c r="R1366" s="39">
        <v>1</v>
      </c>
      <c r="S1366" s="39">
        <v>0</v>
      </c>
      <c r="T1366" s="39">
        <v>0</v>
      </c>
      <c r="U1366" s="29" cm="1">
        <f t="array" aca="1" ref="U1366" ca="1">+fair_value_gap(OFFSET(T1365,0,0,-1*$J$5,-1*$AA$1),OFFSET(E1365,0,0,-1*$J$5,1),F1366:T1366,0)</f>
        <v>12.898917341243802</v>
      </c>
      <c r="V1366" s="9" cm="1">
        <f t="array" aca="1" ref="V1366" ca="1">z_score_diff(OFFSET(U1366,0,0,$J$5*-1,1),OFFSET(E1366,0,0,$J$5*-1,1))</f>
        <v>4.2589573130692449E-3</v>
      </c>
      <c r="W1366" s="9">
        <f t="shared" ca="1" si="1476"/>
        <v>-1.958309947395304E-2</v>
      </c>
      <c r="X1366" s="17">
        <f t="shared" ca="1" si="1471"/>
        <v>0.12723017454779331</v>
      </c>
      <c r="Y1366" s="13">
        <f t="shared" ref="Y1366:Z1366" ca="1" si="1492">+Y1365</f>
        <v>0</v>
      </c>
      <c r="Z1366" s="13">
        <f t="shared" ca="1" si="1492"/>
        <v>0</v>
      </c>
      <c r="AA1366">
        <f t="shared" ca="1" si="1478"/>
        <v>1</v>
      </c>
      <c r="AB1366">
        <f t="shared" ca="1" si="1479"/>
        <v>0</v>
      </c>
      <c r="AC1366" s="24">
        <f t="shared" ca="1" si="1480"/>
        <v>0.12723017454779331</v>
      </c>
      <c r="AD1366" s="24">
        <f t="shared" ca="1" si="1481"/>
        <v>0</v>
      </c>
    </row>
    <row r="1367" spans="3:30" x14ac:dyDescent="0.25">
      <c r="C1367" s="6">
        <v>1461</v>
      </c>
      <c r="D1367" s="36">
        <v>44085</v>
      </c>
      <c r="E1367" s="38">
        <v>12.638999999999999</v>
      </c>
      <c r="F1367" s="38">
        <v>37.114993687185823</v>
      </c>
      <c r="G1367" s="38">
        <v>39.01</v>
      </c>
      <c r="H1367" s="38">
        <v>2.389492262197797</v>
      </c>
      <c r="I1367" s="38">
        <v>4.0815608893532795</v>
      </c>
      <c r="J1367" s="10">
        <v>0</v>
      </c>
      <c r="K1367" s="39">
        <v>0</v>
      </c>
      <c r="L1367" s="39">
        <v>0</v>
      </c>
      <c r="M1367" s="39">
        <v>0</v>
      </c>
      <c r="N1367" s="39">
        <v>0</v>
      </c>
      <c r="O1367" s="39">
        <v>0</v>
      </c>
      <c r="P1367" s="39">
        <v>0</v>
      </c>
      <c r="Q1367" s="39">
        <v>0</v>
      </c>
      <c r="R1367" s="39">
        <v>1</v>
      </c>
      <c r="S1367" s="39">
        <v>0</v>
      </c>
      <c r="T1367" s="39">
        <v>0</v>
      </c>
      <c r="U1367" s="29" cm="1">
        <f t="array" aca="1" ref="U1367" ca="1">+fair_value_gap(OFFSET(T1366,0,0,-1*$J$5,-1*$AA$1),OFFSET(E1366,0,0,-1*$J$5,1),F1367:T1367,0)</f>
        <v>12.832013442244605</v>
      </c>
      <c r="V1367" s="9" cm="1">
        <f t="array" aca="1" ref="V1367" ca="1">z_score_diff(OFFSET(U1367,0,0,$J$5*-1,1),OFFSET(E1367,0,0,$J$5*-1,1))</f>
        <v>-5.672390838903385E-2</v>
      </c>
      <c r="W1367" s="9">
        <f t="shared" ca="1" si="1476"/>
        <v>-1.8322121577572004E-2</v>
      </c>
      <c r="X1367" s="17">
        <f t="shared" ca="1" si="1471"/>
        <v>0.12765929195508896</v>
      </c>
      <c r="Y1367" s="13">
        <f t="shared" ref="Y1367:Z1367" ca="1" si="1493">+Y1366</f>
        <v>0</v>
      </c>
      <c r="Z1367" s="13">
        <f t="shared" ca="1" si="1493"/>
        <v>0</v>
      </c>
      <c r="AA1367">
        <f t="shared" ca="1" si="1478"/>
        <v>1</v>
      </c>
      <c r="AB1367">
        <f t="shared" ca="1" si="1479"/>
        <v>0</v>
      </c>
      <c r="AC1367" s="24">
        <f t="shared" ca="1" si="1480"/>
        <v>0.12765929195508896</v>
      </c>
      <c r="AD1367" s="24">
        <f t="shared" ca="1" si="1481"/>
        <v>0</v>
      </c>
    </row>
    <row r="1368" spans="3:30" x14ac:dyDescent="0.25">
      <c r="C1368" s="6">
        <v>1462</v>
      </c>
      <c r="D1368" s="36">
        <v>44088</v>
      </c>
      <c r="E1368" s="38">
        <v>12.818</v>
      </c>
      <c r="F1368" s="38">
        <v>37.12172113748575</v>
      </c>
      <c r="G1368" s="38">
        <v>40.39</v>
      </c>
      <c r="H1368" s="38">
        <v>2.3917687054363852</v>
      </c>
      <c r="I1368" s="38">
        <v>4.1408853722701915</v>
      </c>
      <c r="J1368" s="10">
        <v>0</v>
      </c>
      <c r="K1368" s="39">
        <v>0</v>
      </c>
      <c r="L1368" s="39">
        <v>0</v>
      </c>
      <c r="M1368" s="39">
        <v>0</v>
      </c>
      <c r="N1368" s="39">
        <v>0</v>
      </c>
      <c r="O1368" s="39">
        <v>0</v>
      </c>
      <c r="P1368" s="39">
        <v>0</v>
      </c>
      <c r="Q1368" s="39">
        <v>0</v>
      </c>
      <c r="R1368" s="39">
        <v>1</v>
      </c>
      <c r="S1368" s="39">
        <v>0</v>
      </c>
      <c r="T1368" s="39">
        <v>0</v>
      </c>
      <c r="U1368" s="29" cm="1">
        <f t="array" aca="1" ref="U1368" ca="1">+fair_value_gap(OFFSET(T1367,0,0,-1*$J$5,-1*$AA$1),OFFSET(E1367,0,0,-1*$J$5,1),F1368:T1368,0)</f>
        <v>13.159031184800993</v>
      </c>
      <c r="V1368" s="9" cm="1">
        <f t="array" aca="1" ref="V1368" ca="1">z_score_diff(OFFSET(U1368,0,0,$J$5*-1,1),OFFSET(E1368,0,0,$J$5*-1,1))</f>
        <v>-5.3227524467891474E-3</v>
      </c>
      <c r="W1368" s="9">
        <f t="shared" ca="1" si="1476"/>
        <v>-3.0222258652984564E-2</v>
      </c>
      <c r="X1368" s="17">
        <f t="shared" ca="1" si="1471"/>
        <v>9.1771962697719714E-2</v>
      </c>
      <c r="Y1368" s="13">
        <f t="shared" ref="Y1368:Z1368" ca="1" si="1494">+Y1367</f>
        <v>0</v>
      </c>
      <c r="Z1368" s="13">
        <f t="shared" ca="1" si="1494"/>
        <v>0</v>
      </c>
      <c r="AA1368">
        <f t="shared" ca="1" si="1478"/>
        <v>1</v>
      </c>
      <c r="AB1368">
        <f t="shared" ca="1" si="1479"/>
        <v>0</v>
      </c>
      <c r="AC1368" s="24">
        <f t="shared" ca="1" si="1480"/>
        <v>9.1771962697719714E-2</v>
      </c>
      <c r="AD1368" s="24">
        <f t="shared" ca="1" si="1481"/>
        <v>0</v>
      </c>
    </row>
    <row r="1369" spans="3:30" x14ac:dyDescent="0.25">
      <c r="C1369" s="6">
        <v>1463</v>
      </c>
      <c r="D1369" s="36">
        <v>44089</v>
      </c>
      <c r="E1369" s="38">
        <v>12.866</v>
      </c>
      <c r="F1369" s="38">
        <v>37.734806676080836</v>
      </c>
      <c r="G1369" s="38">
        <v>41.1</v>
      </c>
      <c r="H1369" s="38">
        <v>2.4023712324834077</v>
      </c>
      <c r="I1369" s="38">
        <v>4.1141653685212356</v>
      </c>
      <c r="J1369" s="10">
        <v>0</v>
      </c>
      <c r="K1369" s="39">
        <v>0</v>
      </c>
      <c r="L1369" s="39">
        <v>0</v>
      </c>
      <c r="M1369" s="39">
        <v>0</v>
      </c>
      <c r="N1369" s="39">
        <v>0</v>
      </c>
      <c r="O1369" s="39">
        <v>0</v>
      </c>
      <c r="P1369" s="39">
        <v>0</v>
      </c>
      <c r="Q1369" s="39">
        <v>0</v>
      </c>
      <c r="R1369" s="39">
        <v>1</v>
      </c>
      <c r="S1369" s="39">
        <v>0</v>
      </c>
      <c r="T1369" s="39">
        <v>0</v>
      </c>
      <c r="U1369" s="29" cm="1">
        <f t="array" aca="1" ref="U1369" ca="1">+fair_value_gap(OFFSET(T1368,0,0,-1*$J$5,-1*$AA$1),OFFSET(E1368,0,0,-1*$J$5,1),F1369:T1369,0)</f>
        <v>13.22354349813277</v>
      </c>
      <c r="V1369" s="9" cm="1">
        <f t="array" aca="1" ref="V1369" ca="1">z_score_diff(OFFSET(U1369,0,0,$J$5*-1,1),OFFSET(E1369,0,0,$J$5*-1,1))</f>
        <v>-1.3947244768958145E-4</v>
      </c>
      <c r="W1369" s="9">
        <f t="shared" ca="1" si="1476"/>
        <v>-3.5397157007928795E-2</v>
      </c>
      <c r="X1369" s="17">
        <f t="shared" ca="1" si="1471"/>
        <v>9.569166236318892E-2</v>
      </c>
      <c r="Y1369" s="13">
        <f t="shared" ref="Y1369:Z1369" ca="1" si="1495">+Y1368</f>
        <v>0</v>
      </c>
      <c r="Z1369" s="13">
        <f t="shared" ca="1" si="1495"/>
        <v>0</v>
      </c>
      <c r="AA1369">
        <f t="shared" ca="1" si="1478"/>
        <v>1</v>
      </c>
      <c r="AB1369">
        <f t="shared" ca="1" si="1479"/>
        <v>0</v>
      </c>
      <c r="AC1369" s="24">
        <f t="shared" ca="1" si="1480"/>
        <v>9.569166236318892E-2</v>
      </c>
      <c r="AD1369" s="24">
        <f t="shared" ca="1" si="1481"/>
        <v>0</v>
      </c>
    </row>
    <row r="1370" spans="3:30" x14ac:dyDescent="0.25">
      <c r="C1370" s="6">
        <v>1464</v>
      </c>
      <c r="D1370" s="36">
        <v>44090</v>
      </c>
      <c r="E1370" s="38">
        <v>13.045999999999999</v>
      </c>
      <c r="F1370" s="38">
        <v>38.769514856471375</v>
      </c>
      <c r="G1370" s="38">
        <v>40.549999999999997</v>
      </c>
      <c r="H1370" s="38">
        <v>2.3887863018297799</v>
      </c>
      <c r="I1370" s="38">
        <v>4.2345140171227129</v>
      </c>
      <c r="J1370" s="10">
        <v>0</v>
      </c>
      <c r="K1370" s="39">
        <v>0</v>
      </c>
      <c r="L1370" s="39">
        <v>0</v>
      </c>
      <c r="M1370" s="39">
        <v>0</v>
      </c>
      <c r="N1370" s="39">
        <v>0</v>
      </c>
      <c r="O1370" s="39">
        <v>0</v>
      </c>
      <c r="P1370" s="39">
        <v>0</v>
      </c>
      <c r="Q1370" s="39">
        <v>0</v>
      </c>
      <c r="R1370" s="39">
        <v>1</v>
      </c>
      <c r="S1370" s="39">
        <v>0</v>
      </c>
      <c r="T1370" s="39">
        <v>0</v>
      </c>
      <c r="U1370" s="29" cm="1">
        <f t="array" aca="1" ref="U1370" ca="1">+fair_value_gap(OFFSET(T1369,0,0,-1*$J$5,-1*$AA$1),OFFSET(E1369,0,0,-1*$J$5,1),F1370:T1370,0)</f>
        <v>13.255862760028137</v>
      </c>
      <c r="V1370" s="9" cm="1">
        <f t="array" aca="1" ref="V1370" ca="1">z_score_diff(OFFSET(U1370,0,0,$J$5*-1,1),OFFSET(E1370,0,0,$J$5*-1,1))</f>
        <v>-5.5057877748568684E-2</v>
      </c>
      <c r="W1370" s="9">
        <f t="shared" ca="1" si="1476"/>
        <v>-3.927064218835525E-2</v>
      </c>
      <c r="X1370" s="17">
        <f t="shared" ca="1" si="1471"/>
        <v>4.9425077875340014E-2</v>
      </c>
      <c r="Y1370" s="13">
        <f t="shared" ref="Y1370:Z1370" ca="1" si="1496">+Y1369</f>
        <v>0</v>
      </c>
      <c r="Z1370" s="13">
        <f t="shared" ca="1" si="1496"/>
        <v>0</v>
      </c>
      <c r="AA1370">
        <f t="shared" ca="1" si="1478"/>
        <v>1</v>
      </c>
      <c r="AB1370">
        <f t="shared" ca="1" si="1479"/>
        <v>0</v>
      </c>
      <c r="AC1370" s="24">
        <f t="shared" ca="1" si="1480"/>
        <v>4.9425077875340014E-2</v>
      </c>
      <c r="AD1370" s="24">
        <f t="shared" ca="1" si="1481"/>
        <v>0</v>
      </c>
    </row>
    <row r="1371" spans="3:30" x14ac:dyDescent="0.25">
      <c r="C1371" s="6">
        <v>1465</v>
      </c>
      <c r="D1371" s="36">
        <v>44091</v>
      </c>
      <c r="E1371" s="38">
        <v>13.045999999999999</v>
      </c>
      <c r="F1371" s="38">
        <v>39.133027169525647</v>
      </c>
      <c r="G1371" s="38">
        <v>40.630000000000003</v>
      </c>
      <c r="H1371" s="38">
        <v>2.3657351113612233</v>
      </c>
      <c r="I1371" s="38">
        <v>4.2499489168701619</v>
      </c>
      <c r="J1371" s="10">
        <v>0</v>
      </c>
      <c r="K1371" s="39">
        <v>0</v>
      </c>
      <c r="L1371" s="39">
        <v>0</v>
      </c>
      <c r="M1371" s="39">
        <v>0</v>
      </c>
      <c r="N1371" s="39">
        <v>0</v>
      </c>
      <c r="O1371" s="39">
        <v>0</v>
      </c>
      <c r="P1371" s="39">
        <v>0</v>
      </c>
      <c r="Q1371" s="39">
        <v>0</v>
      </c>
      <c r="R1371" s="39">
        <v>1</v>
      </c>
      <c r="S1371" s="39">
        <v>0</v>
      </c>
      <c r="T1371" s="39">
        <v>0</v>
      </c>
      <c r="U1371" s="29" cm="1">
        <f t="array" aca="1" ref="U1371" ca="1">+fair_value_gap(OFFSET(T1370,0,0,-1*$J$5,-1*$AA$1),OFFSET(E1370,0,0,-1*$J$5,1),F1371:T1371,0)</f>
        <v>13.268016683940289</v>
      </c>
      <c r="V1371" s="9" cm="1">
        <f t="array" aca="1" ref="V1371" ca="1">z_score_diff(OFFSET(U1371,0,0,$J$5*-1,1),OFFSET(E1371,0,0,$J$5*-1,1))</f>
        <v>-5.1125532970353049E-2</v>
      </c>
      <c r="W1371" s="9">
        <f t="shared" ca="1" si="1476"/>
        <v>-4.2335265721620767E-2</v>
      </c>
      <c r="X1371" s="17">
        <f t="shared" ca="1" si="1471"/>
        <v>3.3689459074746103E-2</v>
      </c>
      <c r="Y1371" s="13">
        <f t="shared" ref="Y1371:Z1371" ca="1" si="1497">+Y1370</f>
        <v>0</v>
      </c>
      <c r="Z1371" s="13">
        <f t="shared" ca="1" si="1497"/>
        <v>0</v>
      </c>
      <c r="AA1371">
        <f t="shared" ca="1" si="1478"/>
        <v>1</v>
      </c>
      <c r="AB1371">
        <f t="shared" ca="1" si="1479"/>
        <v>0</v>
      </c>
      <c r="AC1371" s="24">
        <f t="shared" ca="1" si="1480"/>
        <v>3.3689459074746103E-2</v>
      </c>
      <c r="AD1371" s="24">
        <f t="shared" ca="1" si="1481"/>
        <v>0</v>
      </c>
    </row>
    <row r="1372" spans="3:30" x14ac:dyDescent="0.25">
      <c r="C1372" s="6">
        <v>1466</v>
      </c>
      <c r="D1372" s="36">
        <v>44092</v>
      </c>
      <c r="E1372" s="38">
        <v>13.161</v>
      </c>
      <c r="F1372" s="38">
        <v>39.010494124547037</v>
      </c>
      <c r="G1372" s="38">
        <v>40.130000000000003</v>
      </c>
      <c r="H1372" s="38">
        <v>2.3736411051297628</v>
      </c>
      <c r="I1372" s="38">
        <v>4.2521103454054172</v>
      </c>
      <c r="J1372" s="10">
        <v>0</v>
      </c>
      <c r="K1372" s="39">
        <v>0</v>
      </c>
      <c r="L1372" s="39">
        <v>0</v>
      </c>
      <c r="M1372" s="39">
        <v>0</v>
      </c>
      <c r="N1372" s="39">
        <v>0</v>
      </c>
      <c r="O1372" s="39">
        <v>0</v>
      </c>
      <c r="P1372" s="39">
        <v>0</v>
      </c>
      <c r="Q1372" s="39">
        <v>0</v>
      </c>
      <c r="R1372" s="39">
        <v>1</v>
      </c>
      <c r="S1372" s="39">
        <v>0</v>
      </c>
      <c r="T1372" s="39">
        <v>0</v>
      </c>
      <c r="U1372" s="29" cm="1">
        <f t="array" aca="1" ref="U1372" ca="1">+fair_value_gap(OFFSET(T1371,0,0,-1*$J$5,-1*$AA$1),OFFSET(E1371,0,0,-1*$J$5,1),F1372:T1372,0)</f>
        <v>13.140816316212858</v>
      </c>
      <c r="V1372" s="9" cm="1">
        <f t="array" aca="1" ref="V1372" ca="1">z_score_diff(OFFSET(U1372,0,0,$J$5*-1,1),OFFSET(E1372,0,0,$J$5*-1,1))</f>
        <v>-0.13978365034439427</v>
      </c>
      <c r="W1372" s="9">
        <f t="shared" ca="1" si="1476"/>
        <v>-4.9387442310391307E-2</v>
      </c>
      <c r="X1372" s="17">
        <f t="shared" ca="1" si="1471"/>
        <v>0.11696378231348932</v>
      </c>
      <c r="Y1372" s="13">
        <f t="shared" ref="Y1372:Z1372" ca="1" si="1498">+Y1371</f>
        <v>0</v>
      </c>
      <c r="Z1372" s="13">
        <f t="shared" ca="1" si="1498"/>
        <v>0</v>
      </c>
      <c r="AA1372">
        <f t="shared" ca="1" si="1478"/>
        <v>1</v>
      </c>
      <c r="AB1372">
        <f t="shared" ca="1" si="1479"/>
        <v>0</v>
      </c>
      <c r="AC1372" s="24">
        <f t="shared" ca="1" si="1480"/>
        <v>0.11696378231348932</v>
      </c>
      <c r="AD1372" s="24">
        <f t="shared" ca="1" si="1481"/>
        <v>0</v>
      </c>
    </row>
    <row r="1373" spans="3:30" x14ac:dyDescent="0.25">
      <c r="C1373" s="6">
        <v>1467</v>
      </c>
      <c r="D1373" s="36">
        <v>44095</v>
      </c>
      <c r="E1373" s="38">
        <v>12.856</v>
      </c>
      <c r="F1373" s="38">
        <v>38.007404324300644</v>
      </c>
      <c r="G1373" s="38">
        <v>39.71</v>
      </c>
      <c r="H1373" s="38">
        <v>2.3827297590140151</v>
      </c>
      <c r="I1373" s="38">
        <v>4.2001088573850298</v>
      </c>
      <c r="J1373" s="10">
        <v>0</v>
      </c>
      <c r="K1373" s="39">
        <v>0</v>
      </c>
      <c r="L1373" s="39">
        <v>0</v>
      </c>
      <c r="M1373" s="39">
        <v>0</v>
      </c>
      <c r="N1373" s="39">
        <v>0</v>
      </c>
      <c r="O1373" s="39">
        <v>0</v>
      </c>
      <c r="P1373" s="39">
        <v>0</v>
      </c>
      <c r="Q1373" s="39">
        <v>0</v>
      </c>
      <c r="R1373" s="39">
        <v>1</v>
      </c>
      <c r="S1373" s="39">
        <v>0</v>
      </c>
      <c r="T1373" s="39">
        <v>0</v>
      </c>
      <c r="U1373" s="29" cm="1">
        <f t="array" aca="1" ref="U1373" ca="1">+fair_value_gap(OFFSET(T1372,0,0,-1*$J$5,-1*$AA$1),OFFSET(E1372,0,0,-1*$J$5,1),F1373:T1373,0)</f>
        <v>12.964780449923484</v>
      </c>
      <c r="V1373" s="9" cm="1">
        <f t="array" aca="1" ref="V1373" ca="1">z_score_diff(OFFSET(U1373,0,0,$J$5*-1,1),OFFSET(E1373,0,0,$J$5*-1,1))</f>
        <v>-9.0279522658432976E-2</v>
      </c>
      <c r="W1373" s="9">
        <f t="shared" ca="1" si="1476"/>
        <v>-5.3836296849435826E-2</v>
      </c>
      <c r="X1373" s="17">
        <f t="shared" ca="1" si="1471"/>
        <v>0.1287166154359127</v>
      </c>
      <c r="Y1373" s="13">
        <f t="shared" ref="Y1373:Z1373" ca="1" si="1499">+Y1372</f>
        <v>0</v>
      </c>
      <c r="Z1373" s="13">
        <f t="shared" ca="1" si="1499"/>
        <v>0</v>
      </c>
      <c r="AA1373">
        <f t="shared" ca="1" si="1478"/>
        <v>1</v>
      </c>
      <c r="AB1373">
        <f t="shared" ca="1" si="1479"/>
        <v>0</v>
      </c>
      <c r="AC1373" s="24">
        <f t="shared" ca="1" si="1480"/>
        <v>0.1287166154359127</v>
      </c>
      <c r="AD1373" s="24">
        <f t="shared" ca="1" si="1481"/>
        <v>0</v>
      </c>
    </row>
    <row r="1374" spans="3:30" x14ac:dyDescent="0.25">
      <c r="C1374" s="6">
        <v>1468</v>
      </c>
      <c r="D1374" s="36">
        <v>44096</v>
      </c>
      <c r="E1374" s="38">
        <v>12.89</v>
      </c>
      <c r="F1374" s="38">
        <v>38.3265431643797</v>
      </c>
      <c r="G1374" s="38">
        <v>39.270000000000003</v>
      </c>
      <c r="H1374" s="38">
        <v>2.3831247993236095</v>
      </c>
      <c r="I1374" s="38">
        <v>4.2570928249559685</v>
      </c>
      <c r="J1374" s="10">
        <v>0</v>
      </c>
      <c r="K1374" s="39">
        <v>0</v>
      </c>
      <c r="L1374" s="39">
        <v>0</v>
      </c>
      <c r="M1374" s="39">
        <v>0</v>
      </c>
      <c r="N1374" s="39">
        <v>0</v>
      </c>
      <c r="O1374" s="39">
        <v>0</v>
      </c>
      <c r="P1374" s="39">
        <v>0</v>
      </c>
      <c r="Q1374" s="39">
        <v>0</v>
      </c>
      <c r="R1374" s="39">
        <v>1</v>
      </c>
      <c r="S1374" s="39">
        <v>0</v>
      </c>
      <c r="T1374" s="39">
        <v>0</v>
      </c>
      <c r="U1374" s="29" cm="1">
        <f t="array" aca="1" ref="U1374" ca="1">+fair_value_gap(OFFSET(T1373,0,0,-1*$J$5,-1*$AA$1),OFFSET(E1373,0,0,-1*$J$5,1),F1374:T1374,0)</f>
        <v>12.908097456515451</v>
      </c>
      <c r="V1374" s="9" cm="1">
        <f t="array" aca="1" ref="V1374" ca="1">z_score_diff(OFFSET(U1374,0,0,$J$5*-1,1),OFFSET(E1374,0,0,$J$5*-1,1))</f>
        <v>-0.12323521023470962</v>
      </c>
      <c r="W1374" s="9">
        <f t="shared" ca="1" si="1476"/>
        <v>-5.8119772931089657E-2</v>
      </c>
      <c r="X1374" s="17">
        <f t="shared" ca="1" si="1471"/>
        <v>0.13709369794823231</v>
      </c>
      <c r="Y1374" s="13">
        <f t="shared" ref="Y1374:Z1374" ca="1" si="1500">+Y1373</f>
        <v>0</v>
      </c>
      <c r="Z1374" s="13">
        <f t="shared" ca="1" si="1500"/>
        <v>0</v>
      </c>
      <c r="AA1374">
        <f t="shared" ca="1" si="1478"/>
        <v>1</v>
      </c>
      <c r="AB1374">
        <f t="shared" ca="1" si="1479"/>
        <v>0</v>
      </c>
      <c r="AC1374" s="24">
        <f t="shared" ca="1" si="1480"/>
        <v>0.13709369794823231</v>
      </c>
      <c r="AD1374" s="24">
        <f t="shared" ca="1" si="1481"/>
        <v>0</v>
      </c>
    </row>
    <row r="1375" spans="3:30" x14ac:dyDescent="0.25">
      <c r="C1375" s="6">
        <v>1469</v>
      </c>
      <c r="D1375" s="36">
        <v>44097</v>
      </c>
      <c r="E1375" s="38">
        <v>13.04</v>
      </c>
      <c r="F1375" s="38">
        <v>38.500963374746398</v>
      </c>
      <c r="G1375" s="38">
        <v>39.659999999999997</v>
      </c>
      <c r="H1375" s="38">
        <v>2.4192828068444268</v>
      </c>
      <c r="I1375" s="38">
        <v>4.2958432400015312</v>
      </c>
      <c r="J1375" s="10">
        <v>0</v>
      </c>
      <c r="K1375" s="39">
        <v>0</v>
      </c>
      <c r="L1375" s="39">
        <v>0</v>
      </c>
      <c r="M1375" s="39">
        <v>0</v>
      </c>
      <c r="N1375" s="39">
        <v>0</v>
      </c>
      <c r="O1375" s="39">
        <v>0</v>
      </c>
      <c r="P1375" s="39">
        <v>0</v>
      </c>
      <c r="Q1375" s="39">
        <v>0</v>
      </c>
      <c r="R1375" s="39">
        <v>1</v>
      </c>
      <c r="S1375" s="39">
        <v>0</v>
      </c>
      <c r="T1375" s="39">
        <v>0</v>
      </c>
      <c r="U1375" s="29" cm="1">
        <f t="array" aca="1" ref="U1375" ca="1">+fair_value_gap(OFFSET(T1374,0,0,-1*$J$5,-1*$AA$1),OFFSET(E1374,0,0,-1*$J$5,1),F1375:T1375,0)</f>
        <v>13.044920281653555</v>
      </c>
      <c r="V1375" s="9" cm="1">
        <f t="array" aca="1" ref="V1375" ca="1">z_score_diff(OFFSET(U1375,0,0,$J$5*-1,1),OFFSET(E1375,0,0,$J$5*-1,1))</f>
        <v>-0.12899678754246996</v>
      </c>
      <c r="W1375" s="9">
        <f t="shared" ca="1" si="1476"/>
        <v>-6.1799753721634924E-2</v>
      </c>
      <c r="X1375" s="17">
        <f t="shared" ca="1" si="1471"/>
        <v>0.13447994567328653</v>
      </c>
      <c r="Y1375" s="13">
        <f t="shared" ref="Y1375:Z1375" ca="1" si="1501">+Y1374</f>
        <v>0</v>
      </c>
      <c r="Z1375" s="13">
        <f t="shared" ca="1" si="1501"/>
        <v>0</v>
      </c>
      <c r="AA1375">
        <f t="shared" ca="1" si="1478"/>
        <v>1</v>
      </c>
      <c r="AB1375">
        <f t="shared" ca="1" si="1479"/>
        <v>0</v>
      </c>
      <c r="AC1375" s="24">
        <f t="shared" ca="1" si="1480"/>
        <v>0.13447994567328653</v>
      </c>
      <c r="AD1375" s="24">
        <f t="shared" ca="1" si="1481"/>
        <v>0</v>
      </c>
    </row>
    <row r="1376" spans="3:30" x14ac:dyDescent="0.25">
      <c r="C1376" s="6">
        <v>1470</v>
      </c>
      <c r="D1376" s="36">
        <v>44098</v>
      </c>
      <c r="E1376" s="38">
        <v>12.964</v>
      </c>
      <c r="F1376" s="38">
        <v>38.694927930378029</v>
      </c>
      <c r="G1376" s="38">
        <v>39.26</v>
      </c>
      <c r="H1376" s="38">
        <v>2.4306499864019582</v>
      </c>
      <c r="I1376" s="38">
        <v>4.2876325809083493</v>
      </c>
      <c r="J1376" s="10">
        <v>0</v>
      </c>
      <c r="K1376" s="39">
        <v>0</v>
      </c>
      <c r="L1376" s="39">
        <v>0</v>
      </c>
      <c r="M1376" s="39">
        <v>0</v>
      </c>
      <c r="N1376" s="39">
        <v>0</v>
      </c>
      <c r="O1376" s="39">
        <v>0</v>
      </c>
      <c r="P1376" s="39">
        <v>0</v>
      </c>
      <c r="Q1376" s="39">
        <v>0</v>
      </c>
      <c r="R1376" s="39">
        <v>1</v>
      </c>
      <c r="S1376" s="39">
        <v>0</v>
      </c>
      <c r="T1376" s="39">
        <v>0</v>
      </c>
      <c r="U1376" s="29" cm="1">
        <f t="array" aca="1" ref="U1376" ca="1">+fair_value_gap(OFFSET(T1375,0,0,-1*$J$5,-1*$AA$1),OFFSET(E1375,0,0,-1*$J$5,1),F1376:T1376,0)</f>
        <v>12.96557572182801</v>
      </c>
      <c r="V1376" s="9" cm="1">
        <f t="array" aca="1" ref="V1376" ca="1">z_score_diff(OFFSET(U1376,0,0,$J$5*-1,1),OFFSET(E1376,0,0,$J$5*-1,1))</f>
        <v>-0.12902258608801315</v>
      </c>
      <c r="W1376" s="9">
        <f t="shared" ca="1" si="1476"/>
        <v>-6.333565327038175E-2</v>
      </c>
      <c r="X1376" s="17">
        <f t="shared" ca="1" si="1471"/>
        <v>0.15318049100534717</v>
      </c>
      <c r="Y1376" s="13">
        <f t="shared" ref="Y1376:Z1376" ca="1" si="1502">+Y1375</f>
        <v>0</v>
      </c>
      <c r="Z1376" s="13">
        <f t="shared" ca="1" si="1502"/>
        <v>0</v>
      </c>
      <c r="AA1376">
        <f t="shared" ca="1" si="1478"/>
        <v>1</v>
      </c>
      <c r="AB1376">
        <f t="shared" ca="1" si="1479"/>
        <v>0</v>
      </c>
      <c r="AC1376" s="24">
        <f t="shared" ca="1" si="1480"/>
        <v>0.15318049100534717</v>
      </c>
      <c r="AD1376" s="24">
        <f t="shared" ca="1" si="1481"/>
        <v>0</v>
      </c>
    </row>
    <row r="1377" spans="3:30" x14ac:dyDescent="0.25">
      <c r="C1377" s="6">
        <v>1471</v>
      </c>
      <c r="D1377" s="36">
        <v>44099</v>
      </c>
      <c r="E1377" s="38">
        <v>13.03</v>
      </c>
      <c r="F1377" s="38">
        <v>38.659431135809477</v>
      </c>
      <c r="G1377" s="38">
        <v>39.08</v>
      </c>
      <c r="H1377" s="38">
        <v>2.4126964633400623</v>
      </c>
      <c r="I1377" s="38">
        <v>4.3281847124251733</v>
      </c>
      <c r="J1377" s="10">
        <v>0</v>
      </c>
      <c r="K1377" s="39">
        <v>0</v>
      </c>
      <c r="L1377" s="39">
        <v>0</v>
      </c>
      <c r="M1377" s="39">
        <v>0</v>
      </c>
      <c r="N1377" s="39">
        <v>0</v>
      </c>
      <c r="O1377" s="39">
        <v>0</v>
      </c>
      <c r="P1377" s="39">
        <v>0</v>
      </c>
      <c r="Q1377" s="39">
        <v>0</v>
      </c>
      <c r="R1377" s="39">
        <v>1</v>
      </c>
      <c r="S1377" s="39">
        <v>0</v>
      </c>
      <c r="T1377" s="39">
        <v>0</v>
      </c>
      <c r="U1377" s="29" cm="1">
        <f t="array" aca="1" ref="U1377" ca="1">+fair_value_gap(OFFSET(T1376,0,0,-1*$J$5,-1*$AA$1),OFFSET(E1376,0,0,-1*$J$5,1),F1377:T1377,0)</f>
        <v>12.966984208148757</v>
      </c>
      <c r="V1377" s="9" cm="1">
        <f t="array" aca="1" ref="V1377" ca="1">z_score_diff(OFFSET(U1377,0,0,$J$5*-1,1),OFFSET(E1377,0,0,$J$5*-1,1))</f>
        <v>-0.15275026791383489</v>
      </c>
      <c r="W1377" s="9">
        <f t="shared" ca="1" si="1476"/>
        <v>-6.340629375869046E-2</v>
      </c>
      <c r="X1377" s="17">
        <f t="shared" ca="1" si="1471"/>
        <v>0.13000445888723577</v>
      </c>
      <c r="Y1377" s="13">
        <f t="shared" ref="Y1377:Z1377" ca="1" si="1503">+Y1376</f>
        <v>0</v>
      </c>
      <c r="Z1377" s="13">
        <f t="shared" ca="1" si="1503"/>
        <v>0</v>
      </c>
      <c r="AA1377">
        <f t="shared" ca="1" si="1478"/>
        <v>1</v>
      </c>
      <c r="AB1377">
        <f t="shared" ca="1" si="1479"/>
        <v>0</v>
      </c>
      <c r="AC1377" s="24">
        <f t="shared" ca="1" si="1480"/>
        <v>0.13000445888723577</v>
      </c>
      <c r="AD1377" s="24">
        <f t="shared" ca="1" si="1481"/>
        <v>0</v>
      </c>
    </row>
    <row r="1378" spans="3:30" x14ac:dyDescent="0.25">
      <c r="C1378" s="6">
        <v>1472</v>
      </c>
      <c r="D1378" s="36">
        <v>44102</v>
      </c>
      <c r="E1378" s="38">
        <v>13.365</v>
      </c>
      <c r="F1378" s="38">
        <v>38.743440359677912</v>
      </c>
      <c r="G1378" s="38">
        <v>39.46</v>
      </c>
      <c r="H1378" s="38">
        <v>2.4269925106786823</v>
      </c>
      <c r="I1378" s="38">
        <v>4.375219505060203</v>
      </c>
      <c r="J1378" s="10">
        <v>0</v>
      </c>
      <c r="K1378" s="39">
        <v>0</v>
      </c>
      <c r="L1378" s="39">
        <v>0</v>
      </c>
      <c r="M1378" s="39">
        <v>0</v>
      </c>
      <c r="N1378" s="39">
        <v>0</v>
      </c>
      <c r="O1378" s="39">
        <v>0</v>
      </c>
      <c r="P1378" s="39">
        <v>0</v>
      </c>
      <c r="Q1378" s="39">
        <v>0</v>
      </c>
      <c r="R1378" s="39">
        <v>1</v>
      </c>
      <c r="S1378" s="39">
        <v>0</v>
      </c>
      <c r="T1378" s="39">
        <v>0</v>
      </c>
      <c r="U1378" s="29" cm="1">
        <f t="array" aca="1" ref="U1378" ca="1">+fair_value_gap(OFFSET(T1377,0,0,-1*$J$5,-1*$AA$1),OFFSET(E1377,0,0,-1*$J$5,1),F1378:T1378,0)</f>
        <v>13.105738189925676</v>
      </c>
      <c r="V1378" s="9" cm="1">
        <f t="array" aca="1" ref="V1378" ca="1">z_score_diff(OFFSET(U1378,0,0,$J$5*-1,1),OFFSET(E1378,0,0,$J$5*-1,1))</f>
        <v>-0.22728286115993629</v>
      </c>
      <c r="W1378" s="9">
        <f t="shared" ca="1" si="1476"/>
        <v>-6.8331117522487439E-2</v>
      </c>
      <c r="X1378" s="17">
        <f t="shared" ca="1" si="1471"/>
        <v>0.12251886297070554</v>
      </c>
      <c r="Y1378" s="13">
        <f t="shared" ref="Y1378:Z1378" ca="1" si="1504">+Y1377</f>
        <v>0</v>
      </c>
      <c r="Z1378" s="13">
        <f t="shared" ca="1" si="1504"/>
        <v>0</v>
      </c>
      <c r="AA1378">
        <f t="shared" ca="1" si="1478"/>
        <v>1</v>
      </c>
      <c r="AB1378">
        <f t="shared" ca="1" si="1479"/>
        <v>0</v>
      </c>
      <c r="AC1378" s="24">
        <f t="shared" ca="1" si="1480"/>
        <v>0.12251886297070554</v>
      </c>
      <c r="AD1378" s="24">
        <f t="shared" ca="1" si="1481"/>
        <v>0</v>
      </c>
    </row>
    <row r="1379" spans="3:30" x14ac:dyDescent="0.25">
      <c r="C1379" s="6">
        <v>1473</v>
      </c>
      <c r="D1379" s="36">
        <v>44103</v>
      </c>
      <c r="E1379" s="38">
        <v>13.26</v>
      </c>
      <c r="F1379" s="38">
        <v>37.553765939646937</v>
      </c>
      <c r="G1379" s="38">
        <v>40.159999999999997</v>
      </c>
      <c r="H1379" s="38">
        <v>2.3957004149167207</v>
      </c>
      <c r="I1379" s="38">
        <v>4.330851720087546</v>
      </c>
      <c r="J1379" s="10">
        <v>0</v>
      </c>
      <c r="K1379" s="39">
        <v>0</v>
      </c>
      <c r="L1379" s="39">
        <v>0</v>
      </c>
      <c r="M1379" s="39">
        <v>0</v>
      </c>
      <c r="N1379" s="39">
        <v>0</v>
      </c>
      <c r="O1379" s="39">
        <v>0</v>
      </c>
      <c r="P1379" s="39">
        <v>0</v>
      </c>
      <c r="Q1379" s="39">
        <v>0</v>
      </c>
      <c r="R1379" s="39">
        <v>1</v>
      </c>
      <c r="S1379" s="39">
        <v>0</v>
      </c>
      <c r="T1379" s="39">
        <v>0</v>
      </c>
      <c r="U1379" s="29" cm="1">
        <f t="array" aca="1" ref="U1379" ca="1">+fair_value_gap(OFFSET(T1378,0,0,-1*$J$5,-1*$AA$1),OFFSET(E1378,0,0,-1*$J$5,1),F1379:T1379,0)</f>
        <v>13.178303804377796</v>
      </c>
      <c r="V1379" s="9" cm="1">
        <f t="array" aca="1" ref="V1379" ca="1">z_score_diff(OFFSET(U1379,0,0,$J$5*-1,1),OFFSET(E1379,0,0,$J$5*-1,1))</f>
        <v>-0.16028497505743994</v>
      </c>
      <c r="W1379" s="9">
        <f t="shared" ca="1" si="1476"/>
        <v>-7.0915478815537517E-2</v>
      </c>
      <c r="X1379" s="17">
        <f t="shared" ca="1" si="1471"/>
        <v>0.13410626506108569</v>
      </c>
      <c r="Y1379" s="13">
        <f t="shared" ref="Y1379:Z1379" ca="1" si="1505">+Y1378</f>
        <v>0</v>
      </c>
      <c r="Z1379" s="13">
        <f t="shared" ca="1" si="1505"/>
        <v>0</v>
      </c>
      <c r="AA1379">
        <f t="shared" ca="1" si="1478"/>
        <v>1</v>
      </c>
      <c r="AB1379">
        <f t="shared" ca="1" si="1479"/>
        <v>0</v>
      </c>
      <c r="AC1379" s="24">
        <f t="shared" ca="1" si="1480"/>
        <v>0.13410626506108569</v>
      </c>
      <c r="AD1379" s="24">
        <f t="shared" ca="1" si="1481"/>
        <v>0</v>
      </c>
    </row>
    <row r="1380" spans="3:30" x14ac:dyDescent="0.25">
      <c r="C1380" s="6">
        <v>1474</v>
      </c>
      <c r="D1380" s="36">
        <v>44104</v>
      </c>
      <c r="E1380" s="38">
        <v>13.662000000000001</v>
      </c>
      <c r="F1380" s="38">
        <v>38.290379002825446</v>
      </c>
      <c r="G1380" s="38">
        <v>42.62</v>
      </c>
      <c r="H1380" s="38">
        <v>2.3972738942542433</v>
      </c>
      <c r="I1380" s="38">
        <v>4.3367556329166943</v>
      </c>
      <c r="J1380" s="10">
        <v>0</v>
      </c>
      <c r="K1380" s="39">
        <v>0</v>
      </c>
      <c r="L1380" s="39">
        <v>0</v>
      </c>
      <c r="M1380" s="39">
        <v>0</v>
      </c>
      <c r="N1380" s="39">
        <v>0</v>
      </c>
      <c r="O1380" s="39">
        <v>0</v>
      </c>
      <c r="P1380" s="39">
        <v>0</v>
      </c>
      <c r="Q1380" s="39">
        <v>0</v>
      </c>
      <c r="R1380" s="39">
        <v>1</v>
      </c>
      <c r="S1380" s="39">
        <v>0</v>
      </c>
      <c r="T1380" s="39">
        <v>0</v>
      </c>
      <c r="U1380" s="29" cm="1">
        <f t="array" aca="1" ref="U1380" ca="1">+fair_value_gap(OFFSET(T1379,0,0,-1*$J$5,-1*$AA$1),OFFSET(E1379,0,0,-1*$J$5,1),F1380:T1380,0)</f>
        <v>13.661455964592228</v>
      </c>
      <c r="V1380" s="9" cm="1">
        <f t="array" aca="1" ref="V1380" ca="1">z_score_diff(OFFSET(U1380,0,0,$J$5*-1,1),OFFSET(E1380,0,0,$J$5*-1,1))</f>
        <v>-0.13323132588545897</v>
      </c>
      <c r="W1380" s="9">
        <f t="shared" ca="1" si="1476"/>
        <v>-7.2541391923435936E-2</v>
      </c>
      <c r="X1380" s="17">
        <f t="shared" ca="1" si="1471"/>
        <v>0.10470153705078319</v>
      </c>
      <c r="Y1380" s="13">
        <f t="shared" ref="Y1380:Z1380" ca="1" si="1506">+Y1379</f>
        <v>0</v>
      </c>
      <c r="Z1380" s="13">
        <f t="shared" ca="1" si="1506"/>
        <v>0</v>
      </c>
      <c r="AA1380">
        <f t="shared" ca="1" si="1478"/>
        <v>1</v>
      </c>
      <c r="AB1380">
        <f t="shared" ca="1" si="1479"/>
        <v>0</v>
      </c>
      <c r="AC1380" s="24">
        <f t="shared" ca="1" si="1480"/>
        <v>0.10470153705078319</v>
      </c>
      <c r="AD1380" s="24">
        <f t="shared" ca="1" si="1481"/>
        <v>0</v>
      </c>
    </row>
    <row r="1381" spans="3:30" x14ac:dyDescent="0.25">
      <c r="C1381" s="6">
        <v>1475</v>
      </c>
      <c r="D1381" s="36">
        <v>44105</v>
      </c>
      <c r="E1381" s="38">
        <v>13.429</v>
      </c>
      <c r="F1381" s="38">
        <v>37.509111225790321</v>
      </c>
      <c r="G1381" s="38">
        <v>41.99</v>
      </c>
      <c r="H1381" s="38">
        <v>2.3725082961775508</v>
      </c>
      <c r="I1381" s="38">
        <v>4.3075088325046309</v>
      </c>
      <c r="J1381" s="10">
        <v>0</v>
      </c>
      <c r="K1381" s="39">
        <v>0</v>
      </c>
      <c r="L1381" s="39">
        <v>0</v>
      </c>
      <c r="M1381" s="39">
        <v>0</v>
      </c>
      <c r="N1381" s="39">
        <v>0</v>
      </c>
      <c r="O1381" s="39">
        <v>0</v>
      </c>
      <c r="P1381" s="39">
        <v>0</v>
      </c>
      <c r="Q1381" s="39">
        <v>0</v>
      </c>
      <c r="R1381" s="39">
        <v>0</v>
      </c>
      <c r="S1381" s="39">
        <v>1</v>
      </c>
      <c r="T1381" s="39">
        <v>0</v>
      </c>
      <c r="U1381" s="29" cm="1">
        <f t="array" aca="1" ref="U1381" ca="1">+fair_value_gap(OFFSET(T1380,0,0,-1*$J$5,-1*$AA$1),OFFSET(E1380,0,0,-1*$J$5,1),F1381:T1381,0)</f>
        <v>13.869149057111617</v>
      </c>
      <c r="V1381" s="9" cm="1">
        <f t="array" aca="1" ref="V1381" ca="1">z_score_diff(OFFSET(U1381,0,0,$J$5*-1,1),OFFSET(E1381,0,0,$J$5*-1,1))</f>
        <v>3.2560771286977513E-2</v>
      </c>
      <c r="W1381" s="9">
        <f t="shared" ca="1" si="1476"/>
        <v>-6.7505396150559394E-2</v>
      </c>
      <c r="X1381" s="17">
        <f t="shared" ca="1" si="1471"/>
        <v>0.11110021131481435</v>
      </c>
      <c r="Y1381" s="13">
        <f t="shared" ref="Y1381:Z1381" ca="1" si="1507">+Y1380</f>
        <v>0</v>
      </c>
      <c r="Z1381" s="13">
        <f t="shared" ca="1" si="1507"/>
        <v>0</v>
      </c>
      <c r="AA1381">
        <f t="shared" ca="1" si="1478"/>
        <v>1</v>
      </c>
      <c r="AB1381">
        <f t="shared" ca="1" si="1479"/>
        <v>0</v>
      </c>
      <c r="AC1381" s="24">
        <f t="shared" ca="1" si="1480"/>
        <v>0.11110021131481435</v>
      </c>
      <c r="AD1381" s="24">
        <f t="shared" ca="1" si="1481"/>
        <v>0</v>
      </c>
    </row>
    <row r="1382" spans="3:30" x14ac:dyDescent="0.25">
      <c r="C1382" s="6">
        <v>1476</v>
      </c>
      <c r="D1382" s="36">
        <v>44106</v>
      </c>
      <c r="E1382" s="38">
        <v>13.175000000000001</v>
      </c>
      <c r="F1382" s="38">
        <v>36.400654500367565</v>
      </c>
      <c r="G1382" s="38">
        <v>41.24</v>
      </c>
      <c r="H1382" s="38">
        <v>2.3561335695677657</v>
      </c>
      <c r="I1382" s="38">
        <v>4.2219000159221114</v>
      </c>
      <c r="J1382" s="10">
        <v>0</v>
      </c>
      <c r="K1382" s="39">
        <v>0</v>
      </c>
      <c r="L1382" s="39">
        <v>0</v>
      </c>
      <c r="M1382" s="39">
        <v>0</v>
      </c>
      <c r="N1382" s="39">
        <v>0</v>
      </c>
      <c r="O1382" s="39">
        <v>0</v>
      </c>
      <c r="P1382" s="39">
        <v>0</v>
      </c>
      <c r="Q1382" s="39">
        <v>0</v>
      </c>
      <c r="R1382" s="39">
        <v>0</v>
      </c>
      <c r="S1382" s="39">
        <v>1</v>
      </c>
      <c r="T1382" s="39">
        <v>0</v>
      </c>
      <c r="U1382" s="29" cm="1">
        <f t="array" aca="1" ref="U1382" ca="1">+fair_value_gap(OFFSET(T1381,0,0,-1*$J$5,-1*$AA$1),OFFSET(E1381,0,0,-1*$J$5,1),F1382:T1382,0)</f>
        <v>13.452038376460916</v>
      </c>
      <c r="V1382" s="9" cm="1">
        <f t="array" aca="1" ref="V1382" ca="1">z_score_diff(OFFSET(U1382,0,0,$J$5*-1,1),OFFSET(E1382,0,0,$J$5*-1,1))</f>
        <v>-2.634642591499381E-2</v>
      </c>
      <c r="W1382" s="9">
        <f t="shared" ca="1" si="1476"/>
        <v>-6.606893836094932E-2</v>
      </c>
      <c r="X1382" s="17">
        <f t="shared" ca="1" si="1471"/>
        <v>0.13338906750627103</v>
      </c>
      <c r="Y1382" s="13">
        <f t="shared" ref="Y1382:Z1382" ca="1" si="1508">+Y1381</f>
        <v>0</v>
      </c>
      <c r="Z1382" s="13">
        <f t="shared" ca="1" si="1508"/>
        <v>0</v>
      </c>
      <c r="AA1382">
        <f t="shared" ca="1" si="1478"/>
        <v>1</v>
      </c>
      <c r="AB1382">
        <f t="shared" ca="1" si="1479"/>
        <v>0</v>
      </c>
      <c r="AC1382" s="24">
        <f t="shared" ca="1" si="1480"/>
        <v>0.13338906750627103</v>
      </c>
      <c r="AD1382" s="24">
        <f t="shared" ca="1" si="1481"/>
        <v>0</v>
      </c>
    </row>
    <row r="1383" spans="3:30" x14ac:dyDescent="0.25">
      <c r="C1383" s="6">
        <v>1477</v>
      </c>
      <c r="D1383" s="36">
        <v>44109</v>
      </c>
      <c r="E1383" s="38">
        <v>13.397</v>
      </c>
      <c r="F1383" s="38">
        <v>37.695560983536716</v>
      </c>
      <c r="G1383" s="38">
        <v>42.53</v>
      </c>
      <c r="H1383" s="38">
        <v>2.392072565428363</v>
      </c>
      <c r="I1383" s="38">
        <v>4.2688517799091166</v>
      </c>
      <c r="J1383" s="10">
        <v>0</v>
      </c>
      <c r="K1383" s="39">
        <v>0</v>
      </c>
      <c r="L1383" s="39">
        <v>0</v>
      </c>
      <c r="M1383" s="39">
        <v>0</v>
      </c>
      <c r="N1383" s="39">
        <v>0</v>
      </c>
      <c r="O1383" s="39">
        <v>0</v>
      </c>
      <c r="P1383" s="39">
        <v>0</v>
      </c>
      <c r="Q1383" s="39">
        <v>0</v>
      </c>
      <c r="R1383" s="39">
        <v>0</v>
      </c>
      <c r="S1383" s="39">
        <v>1</v>
      </c>
      <c r="T1383" s="39">
        <v>0</v>
      </c>
      <c r="U1383" s="29" cm="1">
        <f t="array" aca="1" ref="U1383" ca="1">+fair_value_gap(OFFSET(T1382,0,0,-1*$J$5,-1*$AA$1),OFFSET(E1382,0,0,-1*$J$5,1),F1383:T1383,0)</f>
        <v>13.697289705953487</v>
      </c>
      <c r="V1383" s="9" cm="1">
        <f t="array" aca="1" ref="V1383" ca="1">z_score_diff(OFFSET(U1383,0,0,$J$5*-1,1),OFFSET(E1383,0,0,$J$5*-1,1))</f>
        <v>-1.9562711320306708E-2</v>
      </c>
      <c r="W1383" s="9">
        <f t="shared" ca="1" si="1476"/>
        <v>-6.268840576658348E-2</v>
      </c>
      <c r="X1383" s="17">
        <f t="shared" ca="1" si="1471"/>
        <v>0.12025979146285519</v>
      </c>
      <c r="Y1383" s="13">
        <f t="shared" ref="Y1383:Z1383" ca="1" si="1509">+Y1382</f>
        <v>0</v>
      </c>
      <c r="Z1383" s="13">
        <f t="shared" ca="1" si="1509"/>
        <v>0</v>
      </c>
      <c r="AA1383">
        <f t="shared" ca="1" si="1478"/>
        <v>1</v>
      </c>
      <c r="AB1383">
        <f t="shared" ca="1" si="1479"/>
        <v>0</v>
      </c>
      <c r="AC1383" s="24">
        <f t="shared" ca="1" si="1480"/>
        <v>0.12025979146285519</v>
      </c>
      <c r="AD1383" s="24">
        <f t="shared" ca="1" si="1481"/>
        <v>0</v>
      </c>
    </row>
    <row r="1384" spans="3:30" x14ac:dyDescent="0.25">
      <c r="C1384" s="6">
        <v>1478</v>
      </c>
      <c r="D1384" s="36">
        <v>44110</v>
      </c>
      <c r="E1384" s="38">
        <v>13.454000000000001</v>
      </c>
      <c r="F1384" s="38">
        <v>38.721906538168554</v>
      </c>
      <c r="G1384" s="38">
        <v>42.25</v>
      </c>
      <c r="H1384" s="38">
        <v>2.3816508890397561</v>
      </c>
      <c r="I1384" s="38">
        <v>4.2906916087599436</v>
      </c>
      <c r="J1384" s="10">
        <v>0</v>
      </c>
      <c r="K1384" s="39">
        <v>0</v>
      </c>
      <c r="L1384" s="39">
        <v>0</v>
      </c>
      <c r="M1384" s="39">
        <v>0</v>
      </c>
      <c r="N1384" s="39">
        <v>0</v>
      </c>
      <c r="O1384" s="39">
        <v>0</v>
      </c>
      <c r="P1384" s="39">
        <v>0</v>
      </c>
      <c r="Q1384" s="39">
        <v>0</v>
      </c>
      <c r="R1384" s="39">
        <v>0</v>
      </c>
      <c r="S1384" s="39">
        <v>1</v>
      </c>
      <c r="T1384" s="39">
        <v>0</v>
      </c>
      <c r="U1384" s="29" cm="1">
        <f t="array" aca="1" ref="U1384" ca="1">+fair_value_gap(OFFSET(T1383,0,0,-1*$J$5,-1*$AA$1),OFFSET(E1383,0,0,-1*$J$5,1),F1384:T1384,0)</f>
        <v>13.605695811093694</v>
      </c>
      <c r="V1384" s="9" cm="1">
        <f t="array" aca="1" ref="V1384" ca="1">z_score_diff(OFFSET(U1384,0,0,$J$5*-1,1),OFFSET(E1384,0,0,$J$5*-1,1))</f>
        <v>-7.6060975102982015E-2</v>
      </c>
      <c r="W1384" s="9">
        <f t="shared" ca="1" si="1476"/>
        <v>-6.1421096602424168E-2</v>
      </c>
      <c r="X1384" s="17">
        <f t="shared" ca="1" si="1471"/>
        <v>0.10067436324214619</v>
      </c>
      <c r="Y1384" s="13">
        <f t="shared" ref="Y1384:Z1384" ca="1" si="1510">+Y1383</f>
        <v>0</v>
      </c>
      <c r="Z1384" s="13">
        <f t="shared" ca="1" si="1510"/>
        <v>0</v>
      </c>
      <c r="AA1384">
        <f t="shared" ca="1" si="1478"/>
        <v>1</v>
      </c>
      <c r="AB1384">
        <f t="shared" ca="1" si="1479"/>
        <v>0</v>
      </c>
      <c r="AC1384" s="24">
        <f t="shared" ca="1" si="1480"/>
        <v>0.10067436324214619</v>
      </c>
      <c r="AD1384" s="24">
        <f t="shared" ca="1" si="1481"/>
        <v>0</v>
      </c>
    </row>
    <row r="1385" spans="3:30" x14ac:dyDescent="0.25">
      <c r="C1385" s="6">
        <v>1479</v>
      </c>
      <c r="D1385" s="36">
        <v>44111</v>
      </c>
      <c r="E1385" s="38">
        <v>13.587999999999999</v>
      </c>
      <c r="F1385" s="38">
        <v>38.074340677225727</v>
      </c>
      <c r="G1385" s="38">
        <v>42.34</v>
      </c>
      <c r="H1385" s="38">
        <v>2.3864979870774929</v>
      </c>
      <c r="I1385" s="38">
        <v>4.3176217999423194</v>
      </c>
      <c r="J1385" s="10">
        <v>0</v>
      </c>
      <c r="K1385" s="39">
        <v>0</v>
      </c>
      <c r="L1385" s="39">
        <v>0</v>
      </c>
      <c r="M1385" s="39">
        <v>0</v>
      </c>
      <c r="N1385" s="39">
        <v>0</v>
      </c>
      <c r="O1385" s="39">
        <v>0</v>
      </c>
      <c r="P1385" s="39">
        <v>0</v>
      </c>
      <c r="Q1385" s="39">
        <v>0</v>
      </c>
      <c r="R1385" s="39">
        <v>0</v>
      </c>
      <c r="S1385" s="39">
        <v>1</v>
      </c>
      <c r="T1385" s="39">
        <v>0</v>
      </c>
      <c r="U1385" s="29" cm="1">
        <f t="array" aca="1" ref="U1385" ca="1">+fair_value_gap(OFFSET(T1384,0,0,-1*$J$5,-1*$AA$1),OFFSET(E1384,0,0,-1*$J$5,1),F1385:T1385,0)</f>
        <v>13.621547150882993</v>
      </c>
      <c r="V1385" s="9" cm="1">
        <f t="array" aca="1" ref="V1385" ca="1">z_score_diff(OFFSET(U1385,0,0,$J$5*-1,1),OFFSET(E1385,0,0,$J$5*-1,1))</f>
        <v>-0.12175219770590162</v>
      </c>
      <c r="W1385" s="9">
        <f t="shared" ca="1" si="1476"/>
        <v>-6.0723114085688326E-2</v>
      </c>
      <c r="X1385" s="17">
        <f t="shared" ca="1" si="1471"/>
        <v>8.3614140041133517E-2</v>
      </c>
      <c r="Y1385" s="13">
        <f t="shared" ref="Y1385:Z1385" ca="1" si="1511">+Y1384</f>
        <v>0</v>
      </c>
      <c r="Z1385" s="13">
        <f t="shared" ca="1" si="1511"/>
        <v>0</v>
      </c>
      <c r="AA1385">
        <f t="shared" ca="1" si="1478"/>
        <v>1</v>
      </c>
      <c r="AB1385">
        <f t="shared" ca="1" si="1479"/>
        <v>0</v>
      </c>
      <c r="AC1385" s="24">
        <f t="shared" ca="1" si="1480"/>
        <v>8.3614140041133517E-2</v>
      </c>
      <c r="AD1385" s="24">
        <f t="shared" ca="1" si="1481"/>
        <v>0</v>
      </c>
    </row>
    <row r="1386" spans="3:30" x14ac:dyDescent="0.25">
      <c r="C1386" s="6">
        <v>1480</v>
      </c>
      <c r="D1386" s="36">
        <v>44112</v>
      </c>
      <c r="E1386" s="38">
        <v>13.912000000000001</v>
      </c>
      <c r="F1386" s="38">
        <v>38.856082335076771</v>
      </c>
      <c r="G1386" s="38">
        <v>42.86</v>
      </c>
      <c r="H1386" s="38">
        <v>2.4135312974523369</v>
      </c>
      <c r="I1386" s="38">
        <v>4.3824869242449811</v>
      </c>
      <c r="J1386" s="10">
        <v>0</v>
      </c>
      <c r="K1386" s="39">
        <v>0</v>
      </c>
      <c r="L1386" s="39">
        <v>0</v>
      </c>
      <c r="M1386" s="39">
        <v>0</v>
      </c>
      <c r="N1386" s="39">
        <v>0</v>
      </c>
      <c r="O1386" s="39">
        <v>0</v>
      </c>
      <c r="P1386" s="39">
        <v>0</v>
      </c>
      <c r="Q1386" s="39">
        <v>0</v>
      </c>
      <c r="R1386" s="39">
        <v>0</v>
      </c>
      <c r="S1386" s="39">
        <v>1</v>
      </c>
      <c r="T1386" s="39">
        <v>0</v>
      </c>
      <c r="U1386" s="29" cm="1">
        <f t="array" aca="1" ref="U1386" ca="1">+fair_value_gap(OFFSET(T1385,0,0,-1*$J$5,-1*$AA$1),OFFSET(E1385,0,0,-1*$J$5,1),F1386:T1386,0)</f>
        <v>13.809088803035891</v>
      </c>
      <c r="V1386" s="9" cm="1">
        <f t="array" aca="1" ref="V1386" ca="1">z_score_diff(OFFSET(U1386,0,0,$J$5*-1,1),OFFSET(E1386,0,0,$J$5*-1,1))</f>
        <v>-0.17625369652895032</v>
      </c>
      <c r="W1386" s="9">
        <f t="shared" ca="1" si="1476"/>
        <v>-6.409276025834533E-2</v>
      </c>
      <c r="X1386" s="17">
        <f t="shared" ca="1" si="1471"/>
        <v>3.155550110230939E-2</v>
      </c>
      <c r="Y1386" s="13">
        <f t="shared" ref="Y1386:Z1386" ca="1" si="1512">+Y1385</f>
        <v>0</v>
      </c>
      <c r="Z1386" s="13">
        <f t="shared" ca="1" si="1512"/>
        <v>0</v>
      </c>
      <c r="AA1386">
        <f t="shared" ca="1" si="1478"/>
        <v>1</v>
      </c>
      <c r="AB1386">
        <f t="shared" ca="1" si="1479"/>
        <v>0</v>
      </c>
      <c r="AC1386" s="24">
        <f t="shared" ca="1" si="1480"/>
        <v>3.155550110230939E-2</v>
      </c>
      <c r="AD1386" s="24">
        <f t="shared" ca="1" si="1481"/>
        <v>0</v>
      </c>
    </row>
    <row r="1387" spans="3:30" x14ac:dyDescent="0.25">
      <c r="C1387" s="6">
        <v>1481</v>
      </c>
      <c r="D1387" s="36">
        <v>44113</v>
      </c>
      <c r="E1387" s="38">
        <v>13.795</v>
      </c>
      <c r="F1387" s="38">
        <v>38.271523117694578</v>
      </c>
      <c r="G1387" s="38">
        <v>42.01</v>
      </c>
      <c r="H1387" s="38">
        <v>2.4269950981913722</v>
      </c>
      <c r="I1387" s="38">
        <v>4.3623831699257298</v>
      </c>
      <c r="J1387" s="10">
        <v>0</v>
      </c>
      <c r="K1387" s="39">
        <v>0</v>
      </c>
      <c r="L1387" s="39">
        <v>0</v>
      </c>
      <c r="M1387" s="39">
        <v>0</v>
      </c>
      <c r="N1387" s="39">
        <v>0</v>
      </c>
      <c r="O1387" s="39">
        <v>0</v>
      </c>
      <c r="P1387" s="39">
        <v>0</v>
      </c>
      <c r="Q1387" s="39">
        <v>0</v>
      </c>
      <c r="R1387" s="39">
        <v>0</v>
      </c>
      <c r="S1387" s="39">
        <v>1</v>
      </c>
      <c r="T1387" s="39">
        <v>0</v>
      </c>
      <c r="U1387" s="29" cm="1">
        <f t="array" aca="1" ref="U1387" ca="1">+fair_value_gap(OFFSET(T1386,0,0,-1*$J$5,-1*$AA$1),OFFSET(E1386,0,0,-1*$J$5,1),F1387:T1387,0)</f>
        <v>13.634027032847893</v>
      </c>
      <c r="V1387" s="9" cm="1">
        <f t="array" aca="1" ref="V1387" ca="1">z_score_diff(OFFSET(U1387,0,0,$J$5*-1,1),OFFSET(E1387,0,0,$J$5*-1,1))</f>
        <v>-0.19722566284928594</v>
      </c>
      <c r="W1387" s="9">
        <f t="shared" ca="1" si="1476"/>
        <v>-5.9156845030820505E-2</v>
      </c>
      <c r="X1387" s="17">
        <f t="shared" ca="1" si="1471"/>
        <v>4.3685596186975088E-2</v>
      </c>
      <c r="Y1387" s="13">
        <f t="shared" ref="Y1387:Z1387" ca="1" si="1513">+Y1386</f>
        <v>0</v>
      </c>
      <c r="Z1387" s="13">
        <f t="shared" ca="1" si="1513"/>
        <v>0</v>
      </c>
      <c r="AA1387">
        <f t="shared" ca="1" si="1478"/>
        <v>1</v>
      </c>
      <c r="AB1387">
        <f t="shared" ca="1" si="1479"/>
        <v>0</v>
      </c>
      <c r="AC1387" s="24">
        <f t="shared" ca="1" si="1480"/>
        <v>4.3685596186975088E-2</v>
      </c>
      <c r="AD1387" s="24">
        <f t="shared" ca="1" si="1481"/>
        <v>0</v>
      </c>
    </row>
    <row r="1388" spans="3:30" x14ac:dyDescent="0.25">
      <c r="C1388" s="6">
        <v>1482</v>
      </c>
      <c r="D1388" s="36">
        <v>44116</v>
      </c>
      <c r="E1388" s="38">
        <v>13.635</v>
      </c>
      <c r="F1388" s="38">
        <v>37.543897059872947</v>
      </c>
      <c r="G1388" s="38">
        <v>41.38</v>
      </c>
      <c r="H1388" s="38">
        <v>2.4589909322085837</v>
      </c>
      <c r="I1388" s="38">
        <v>4.3445811110206281</v>
      </c>
      <c r="J1388" s="10">
        <v>0</v>
      </c>
      <c r="K1388" s="39">
        <v>0</v>
      </c>
      <c r="L1388" s="39">
        <v>0</v>
      </c>
      <c r="M1388" s="39">
        <v>0</v>
      </c>
      <c r="N1388" s="39">
        <v>0</v>
      </c>
      <c r="O1388" s="39">
        <v>0</v>
      </c>
      <c r="P1388" s="39">
        <v>0</v>
      </c>
      <c r="Q1388" s="39">
        <v>0</v>
      </c>
      <c r="R1388" s="39">
        <v>0</v>
      </c>
      <c r="S1388" s="39">
        <v>1</v>
      </c>
      <c r="T1388" s="39">
        <v>0</v>
      </c>
      <c r="U1388" s="29" cm="1">
        <f t="array" aca="1" ref="U1388" ca="1">+fair_value_gap(OFFSET(T1387,0,0,-1*$J$5,-1*$AA$1),OFFSET(E1387,0,0,-1*$J$5,1),F1388:T1388,0)</f>
        <v>13.516980608976866</v>
      </c>
      <c r="V1388" s="9" cm="1">
        <f t="array" aca="1" ref="V1388" ca="1">z_score_diff(OFFSET(U1388,0,0,$J$5*-1,1),OFFSET(E1388,0,0,$J$5*-1,1))</f>
        <v>-0.17888166838988806</v>
      </c>
      <c r="W1388" s="9">
        <f t="shared" ca="1" si="1476"/>
        <v>-5.5801340235409821E-2</v>
      </c>
      <c r="X1388" s="17">
        <f t="shared" ca="1" si="1471"/>
        <v>7.0707572164286442E-2</v>
      </c>
      <c r="Y1388" s="13">
        <f t="shared" ref="Y1388:Z1388" ca="1" si="1514">+Y1387</f>
        <v>0</v>
      </c>
      <c r="Z1388" s="13">
        <f t="shared" ca="1" si="1514"/>
        <v>0</v>
      </c>
      <c r="AA1388">
        <f t="shared" ca="1" si="1478"/>
        <v>1</v>
      </c>
      <c r="AB1388">
        <f t="shared" ca="1" si="1479"/>
        <v>0</v>
      </c>
      <c r="AC1388" s="24">
        <f t="shared" ca="1" si="1480"/>
        <v>7.0707572164286442E-2</v>
      </c>
      <c r="AD1388" s="24">
        <f t="shared" ca="1" si="1481"/>
        <v>0</v>
      </c>
    </row>
    <row r="1389" spans="3:30" x14ac:dyDescent="0.25">
      <c r="C1389" s="6">
        <v>1483</v>
      </c>
      <c r="D1389" s="36">
        <v>44117</v>
      </c>
      <c r="E1389" s="38">
        <v>13.555</v>
      </c>
      <c r="F1389" s="38">
        <v>38.189922657383519</v>
      </c>
      <c r="G1389" s="38">
        <v>41.37</v>
      </c>
      <c r="H1389" s="38">
        <v>2.4880033646318416</v>
      </c>
      <c r="I1389" s="38">
        <v>4.3493609395295261</v>
      </c>
      <c r="J1389" s="10">
        <v>0</v>
      </c>
      <c r="K1389" s="39">
        <v>0</v>
      </c>
      <c r="L1389" s="39">
        <v>0</v>
      </c>
      <c r="M1389" s="39">
        <v>0</v>
      </c>
      <c r="N1389" s="39">
        <v>0</v>
      </c>
      <c r="O1389" s="39">
        <v>0</v>
      </c>
      <c r="P1389" s="39">
        <v>0</v>
      </c>
      <c r="Q1389" s="39">
        <v>0</v>
      </c>
      <c r="R1389" s="39">
        <v>0</v>
      </c>
      <c r="S1389" s="39">
        <v>1</v>
      </c>
      <c r="T1389" s="39">
        <v>0</v>
      </c>
      <c r="U1389" s="29" cm="1">
        <f t="array" aca="1" ref="U1389" ca="1">+fair_value_gap(OFFSET(T1388,0,0,-1*$J$5,-1*$AA$1),OFFSET(E1388,0,0,-1*$J$5,1),F1389:T1389,0)</f>
        <v>13.549594890430795</v>
      </c>
      <c r="V1389" s="9" cm="1">
        <f t="array" aca="1" ref="V1389" ca="1">z_score_diff(OFFSET(U1389,0,0,$J$5*-1,1),OFFSET(E1389,0,0,$J$5*-1,1))</f>
        <v>-0.13477730756381257</v>
      </c>
      <c r="W1389" s="9">
        <f t="shared" ca="1" si="1476"/>
        <v>-6.4306328391650555E-2</v>
      </c>
      <c r="X1389" s="17">
        <f t="shared" ca="1" si="1471"/>
        <v>9.1513706296475747E-2</v>
      </c>
      <c r="Y1389" s="13">
        <f t="shared" ref="Y1389:Z1389" ca="1" si="1515">+Y1388</f>
        <v>0</v>
      </c>
      <c r="Z1389" s="13">
        <f t="shared" ca="1" si="1515"/>
        <v>0</v>
      </c>
      <c r="AA1389">
        <f t="shared" ca="1" si="1478"/>
        <v>1</v>
      </c>
      <c r="AB1389">
        <f t="shared" ca="1" si="1479"/>
        <v>0</v>
      </c>
      <c r="AC1389" s="24">
        <f t="shared" ca="1" si="1480"/>
        <v>9.1513706296475747E-2</v>
      </c>
      <c r="AD1389" s="24">
        <f t="shared" ca="1" si="1481"/>
        <v>0</v>
      </c>
    </row>
    <row r="1390" spans="3:30" x14ac:dyDescent="0.25">
      <c r="C1390" s="6">
        <v>1484</v>
      </c>
      <c r="D1390" s="36">
        <v>44118</v>
      </c>
      <c r="E1390" s="38">
        <v>13.691000000000001</v>
      </c>
      <c r="F1390" s="38">
        <v>38.576168725356929</v>
      </c>
      <c r="G1390" s="38">
        <v>41.37</v>
      </c>
      <c r="H1390" s="38">
        <v>2.4915358701800896</v>
      </c>
      <c r="I1390" s="38">
        <v>4.3101628658994775</v>
      </c>
      <c r="J1390" s="10">
        <v>0</v>
      </c>
      <c r="K1390" s="39">
        <v>0</v>
      </c>
      <c r="L1390" s="39">
        <v>0</v>
      </c>
      <c r="M1390" s="39">
        <v>0</v>
      </c>
      <c r="N1390" s="39">
        <v>0</v>
      </c>
      <c r="O1390" s="39">
        <v>0</v>
      </c>
      <c r="P1390" s="39">
        <v>0</v>
      </c>
      <c r="Q1390" s="39">
        <v>0</v>
      </c>
      <c r="R1390" s="39">
        <v>0</v>
      </c>
      <c r="S1390" s="39">
        <v>1</v>
      </c>
      <c r="T1390" s="39">
        <v>0</v>
      </c>
      <c r="U1390" s="29" cm="1">
        <f t="array" aca="1" ref="U1390" ca="1">+fair_value_gap(OFFSET(T1389,0,0,-1*$J$5,-1*$AA$1),OFFSET(E1389,0,0,-1*$J$5,1),F1390:T1390,0)</f>
        <v>13.505648657233078</v>
      </c>
      <c r="V1390" s="9" cm="1">
        <f t="array" aca="1" ref="V1390" ca="1">z_score_diff(OFFSET(U1390,0,0,$J$5*-1,1),OFFSET(E1390,0,0,$J$5*-1,1))</f>
        <v>-0.20505471946215503</v>
      </c>
      <c r="W1390" s="9">
        <f t="shared" ca="1" si="1476"/>
        <v>-7.4871411655355338E-2</v>
      </c>
      <c r="X1390" s="17">
        <f t="shared" ca="1" si="1471"/>
        <v>8.7102673676536305E-2</v>
      </c>
      <c r="Y1390" s="13">
        <f t="shared" ref="Y1390:Z1390" ca="1" si="1516">+Y1389</f>
        <v>0</v>
      </c>
      <c r="Z1390" s="13">
        <f t="shared" ca="1" si="1516"/>
        <v>0</v>
      </c>
      <c r="AA1390">
        <f t="shared" ca="1" si="1478"/>
        <v>1</v>
      </c>
      <c r="AB1390">
        <f t="shared" ca="1" si="1479"/>
        <v>0</v>
      </c>
      <c r="AC1390" s="24">
        <f t="shared" ca="1" si="1480"/>
        <v>8.7102673676536305E-2</v>
      </c>
      <c r="AD1390" s="24">
        <f t="shared" ca="1" si="1481"/>
        <v>0</v>
      </c>
    </row>
    <row r="1391" spans="3:30" x14ac:dyDescent="0.25">
      <c r="C1391" s="6">
        <v>1485</v>
      </c>
      <c r="D1391" s="36">
        <v>44119</v>
      </c>
      <c r="E1391" s="38">
        <v>13.689</v>
      </c>
      <c r="F1391" s="38">
        <v>38.585601317705908</v>
      </c>
      <c r="G1391" s="38">
        <v>41.1</v>
      </c>
      <c r="H1391" s="38">
        <v>2.5266197437285687</v>
      </c>
      <c r="I1391" s="38">
        <v>4.3042348417642957</v>
      </c>
      <c r="J1391" s="10">
        <v>0</v>
      </c>
      <c r="K1391" s="39">
        <v>0</v>
      </c>
      <c r="L1391" s="39">
        <v>0</v>
      </c>
      <c r="M1391" s="39">
        <v>0</v>
      </c>
      <c r="N1391" s="39">
        <v>0</v>
      </c>
      <c r="O1391" s="39">
        <v>0</v>
      </c>
      <c r="P1391" s="39">
        <v>0</v>
      </c>
      <c r="Q1391" s="39">
        <v>0</v>
      </c>
      <c r="R1391" s="39">
        <v>0</v>
      </c>
      <c r="S1391" s="39">
        <v>1</v>
      </c>
      <c r="T1391" s="39">
        <v>0</v>
      </c>
      <c r="U1391" s="29" cm="1">
        <f t="array" aca="1" ref="U1391" ca="1">+fair_value_gap(OFFSET(T1390,0,0,-1*$J$5,-1*$AA$1),OFFSET(E1390,0,0,-1*$J$5,1),F1391:T1391,0)</f>
        <v>13.477650123965546</v>
      </c>
      <c r="V1391" s="9" cm="1">
        <f t="array" aca="1" ref="V1391" ca="1">z_score_diff(OFFSET(U1391,0,0,$J$5*-1,1),OFFSET(E1391,0,0,$J$5*-1,1))</f>
        <v>-0.21510306388937461</v>
      </c>
      <c r="W1391" s="9">
        <f t="shared" ca="1" si="1476"/>
        <v>-8.5090082674664058E-2</v>
      </c>
      <c r="X1391" s="17">
        <f t="shared" ca="1" si="1471"/>
        <v>8.1137878081979933E-2</v>
      </c>
      <c r="Y1391" s="13">
        <f t="shared" ref="Y1391:Z1391" ca="1" si="1517">+Y1390</f>
        <v>0</v>
      </c>
      <c r="Z1391" s="13">
        <f t="shared" ca="1" si="1517"/>
        <v>0</v>
      </c>
      <c r="AA1391">
        <f t="shared" ca="1" si="1478"/>
        <v>1</v>
      </c>
      <c r="AB1391">
        <f t="shared" ca="1" si="1479"/>
        <v>0</v>
      </c>
      <c r="AC1391" s="24">
        <f t="shared" ca="1" si="1480"/>
        <v>8.1137878081979933E-2</v>
      </c>
      <c r="AD1391" s="24">
        <f t="shared" ca="1" si="1481"/>
        <v>0</v>
      </c>
    </row>
    <row r="1392" spans="3:30" x14ac:dyDescent="0.25">
      <c r="C1392" s="6">
        <v>1486</v>
      </c>
      <c r="D1392" s="36">
        <v>44120</v>
      </c>
      <c r="E1392" s="38">
        <v>13.888999999999999</v>
      </c>
      <c r="F1392" s="38">
        <v>38.395059429389825</v>
      </c>
      <c r="G1392" s="38">
        <v>41.08</v>
      </c>
      <c r="H1392" s="38">
        <v>2.5402022342945076</v>
      </c>
      <c r="I1392" s="38">
        <v>4.7612920919382224</v>
      </c>
      <c r="J1392" s="10">
        <v>0</v>
      </c>
      <c r="K1392" s="39">
        <v>0</v>
      </c>
      <c r="L1392" s="39">
        <v>0</v>
      </c>
      <c r="M1392" s="39">
        <v>0</v>
      </c>
      <c r="N1392" s="39">
        <v>0</v>
      </c>
      <c r="O1392" s="39">
        <v>0</v>
      </c>
      <c r="P1392" s="39">
        <v>0</v>
      </c>
      <c r="Q1392" s="39">
        <v>0</v>
      </c>
      <c r="R1392" s="39">
        <v>0</v>
      </c>
      <c r="S1392" s="39">
        <v>1</v>
      </c>
      <c r="T1392" s="39">
        <v>0</v>
      </c>
      <c r="U1392" s="29" cm="1">
        <f t="array" aca="1" ref="U1392" ca="1">+fair_value_gap(OFFSET(T1391,0,0,-1*$J$5,-1*$AA$1),OFFSET(E1391,0,0,-1*$J$5,1),F1392:T1392,0)</f>
        <v>14.058361757194842</v>
      </c>
      <c r="V1392" s="9" cm="1">
        <f t="array" aca="1" ref="V1392" ca="1">z_score_diff(OFFSET(U1392,0,0,$J$5*-1,1),OFFSET(E1392,0,0,$J$5*-1,1))</f>
        <v>-6.9253991243070634E-2</v>
      </c>
      <c r="W1392" s="9">
        <f t="shared" ca="1" si="1476"/>
        <v>-8.8844564401113588E-2</v>
      </c>
      <c r="X1392" s="17">
        <f t="shared" ca="1" si="1471"/>
        <v>8.1608852704322277E-2</v>
      </c>
      <c r="Y1392" s="13">
        <f t="shared" ref="Y1392:Z1392" ca="1" si="1518">+Y1391</f>
        <v>0</v>
      </c>
      <c r="Z1392" s="13">
        <f t="shared" ca="1" si="1518"/>
        <v>0</v>
      </c>
      <c r="AA1392">
        <f t="shared" ca="1" si="1478"/>
        <v>1</v>
      </c>
      <c r="AB1392">
        <f t="shared" ca="1" si="1479"/>
        <v>0</v>
      </c>
      <c r="AC1392" s="24">
        <f t="shared" ca="1" si="1480"/>
        <v>8.1608852704322277E-2</v>
      </c>
      <c r="AD1392" s="24">
        <f t="shared" ca="1" si="1481"/>
        <v>0</v>
      </c>
    </row>
    <row r="1393" spans="3:30" x14ac:dyDescent="0.25">
      <c r="C1393" s="6">
        <v>1487</v>
      </c>
      <c r="D1393" s="36">
        <v>44123</v>
      </c>
      <c r="E1393" s="38">
        <v>14.064</v>
      </c>
      <c r="F1393" s="38">
        <v>38.194997643897196</v>
      </c>
      <c r="G1393" s="38">
        <v>41.13</v>
      </c>
      <c r="H1393" s="38">
        <v>2.5415563428900914</v>
      </c>
      <c r="I1393" s="38">
        <v>4.8260066544098743</v>
      </c>
      <c r="J1393" s="10">
        <v>0</v>
      </c>
      <c r="K1393" s="39">
        <v>0</v>
      </c>
      <c r="L1393" s="39">
        <v>0</v>
      </c>
      <c r="M1393" s="39">
        <v>0</v>
      </c>
      <c r="N1393" s="39">
        <v>0</v>
      </c>
      <c r="O1393" s="39">
        <v>0</v>
      </c>
      <c r="P1393" s="39">
        <v>0</v>
      </c>
      <c r="Q1393" s="39">
        <v>0</v>
      </c>
      <c r="R1393" s="39">
        <v>0</v>
      </c>
      <c r="S1393" s="39">
        <v>1</v>
      </c>
      <c r="T1393" s="39">
        <v>0</v>
      </c>
      <c r="U1393" s="29" cm="1">
        <f t="array" aca="1" ref="U1393" ca="1">+fair_value_gap(OFFSET(T1392,0,0,-1*$J$5,-1*$AA$1),OFFSET(E1392,0,0,-1*$J$5,1),F1393:T1393,0)</f>
        <v>14.130939622794333</v>
      </c>
      <c r="V1393" s="9" cm="1">
        <f t="array" aca="1" ref="V1393" ca="1">z_score_diff(OFFSET(U1393,0,0,$J$5*-1,1),OFFSET(E1393,0,0,$J$5*-1,1))</f>
        <v>-0.11050683702318488</v>
      </c>
      <c r="W1393" s="9">
        <f t="shared" ca="1" si="1476"/>
        <v>-9.5965988471823138E-2</v>
      </c>
      <c r="X1393" s="17">
        <f t="shared" ca="1" si="1471"/>
        <v>0.1073636275429013</v>
      </c>
      <c r="Y1393" s="13">
        <f t="shared" ref="Y1393:Z1393" ca="1" si="1519">+Y1392</f>
        <v>0</v>
      </c>
      <c r="Z1393" s="13">
        <f t="shared" ca="1" si="1519"/>
        <v>0</v>
      </c>
      <c r="AA1393">
        <f t="shared" ca="1" si="1478"/>
        <v>1</v>
      </c>
      <c r="AB1393">
        <f t="shared" ca="1" si="1479"/>
        <v>0</v>
      </c>
      <c r="AC1393" s="24">
        <f t="shared" ca="1" si="1480"/>
        <v>0.1073636275429013</v>
      </c>
      <c r="AD1393" s="24">
        <f t="shared" ca="1" si="1481"/>
        <v>0</v>
      </c>
    </row>
    <row r="1394" spans="3:30" x14ac:dyDescent="0.25">
      <c r="C1394" s="6">
        <v>1488</v>
      </c>
      <c r="D1394" s="36">
        <v>44124</v>
      </c>
      <c r="E1394" s="38">
        <v>14.077</v>
      </c>
      <c r="F1394" s="38">
        <v>38.421133889135014</v>
      </c>
      <c r="G1394" s="38">
        <v>41.49</v>
      </c>
      <c r="H1394" s="38">
        <v>2.5390336568797238</v>
      </c>
      <c r="I1394" s="38">
        <v>4.8036905768791867</v>
      </c>
      <c r="J1394" s="10">
        <v>0</v>
      </c>
      <c r="K1394" s="39">
        <v>0</v>
      </c>
      <c r="L1394" s="39">
        <v>0</v>
      </c>
      <c r="M1394" s="39">
        <v>0</v>
      </c>
      <c r="N1394" s="39">
        <v>0</v>
      </c>
      <c r="O1394" s="39">
        <v>0</v>
      </c>
      <c r="P1394" s="39">
        <v>0</v>
      </c>
      <c r="Q1394" s="39">
        <v>0</v>
      </c>
      <c r="R1394" s="39">
        <v>0</v>
      </c>
      <c r="S1394" s="39">
        <v>1</v>
      </c>
      <c r="T1394" s="39">
        <v>0</v>
      </c>
      <c r="U1394" s="29" cm="1">
        <f t="array" aca="1" ref="U1394" ca="1">+fair_value_gap(OFFSET(T1393,0,0,-1*$J$5,-1*$AA$1),OFFSET(E1393,0,0,-1*$J$5,1),F1394:T1394,0)</f>
        <v>14.175289780924821</v>
      </c>
      <c r="V1394" s="9" cm="1">
        <f t="array" aca="1" ref="V1394" ca="1">z_score_diff(OFFSET(U1394,0,0,$J$5*-1,1),OFFSET(E1394,0,0,$J$5*-1,1))</f>
        <v>-9.8403109358761912E-2</v>
      </c>
      <c r="W1394" s="9">
        <f t="shared" ca="1" si="1476"/>
        <v>-0.10047876888080697</v>
      </c>
      <c r="X1394" s="17">
        <f t="shared" ca="1" si="1471"/>
        <v>9.8746376682400758E-2</v>
      </c>
      <c r="Y1394" s="13">
        <f t="shared" ref="Y1394:Z1394" ca="1" si="1520">+Y1393</f>
        <v>0</v>
      </c>
      <c r="Z1394" s="13">
        <f t="shared" ca="1" si="1520"/>
        <v>0</v>
      </c>
      <c r="AA1394">
        <f t="shared" ca="1" si="1478"/>
        <v>1</v>
      </c>
      <c r="AB1394">
        <f t="shared" ca="1" si="1479"/>
        <v>0</v>
      </c>
      <c r="AC1394" s="24">
        <f t="shared" ca="1" si="1480"/>
        <v>9.8746376682400758E-2</v>
      </c>
      <c r="AD1394" s="24">
        <f t="shared" ca="1" si="1481"/>
        <v>0</v>
      </c>
    </row>
    <row r="1395" spans="3:30" x14ac:dyDescent="0.25">
      <c r="C1395" s="6">
        <v>1489</v>
      </c>
      <c r="D1395" s="36">
        <v>44125</v>
      </c>
      <c r="E1395" s="38">
        <v>14.016999999999999</v>
      </c>
      <c r="F1395" s="38">
        <v>37.139590837284096</v>
      </c>
      <c r="G1395" s="38">
        <v>41.24</v>
      </c>
      <c r="H1395" s="38">
        <v>2.5473360434669527</v>
      </c>
      <c r="I1395" s="38">
        <v>4.8002983878858529</v>
      </c>
      <c r="J1395" s="10">
        <v>0</v>
      </c>
      <c r="K1395" s="39">
        <v>0</v>
      </c>
      <c r="L1395" s="39">
        <v>0</v>
      </c>
      <c r="M1395" s="39">
        <v>0</v>
      </c>
      <c r="N1395" s="39">
        <v>0</v>
      </c>
      <c r="O1395" s="39">
        <v>0</v>
      </c>
      <c r="P1395" s="39">
        <v>0</v>
      </c>
      <c r="Q1395" s="39">
        <v>0</v>
      </c>
      <c r="R1395" s="39">
        <v>0</v>
      </c>
      <c r="S1395" s="39">
        <v>1</v>
      </c>
      <c r="T1395" s="39">
        <v>0</v>
      </c>
      <c r="U1395" s="29" cm="1">
        <f t="array" aca="1" ref="U1395" ca="1">+fair_value_gap(OFFSET(T1394,0,0,-1*$J$5,-1*$AA$1),OFFSET(E1394,0,0,-1*$J$5,1),F1395:T1395,0)</f>
        <v>14.110385295158004</v>
      </c>
      <c r="V1395" s="9" cm="1">
        <f t="array" aca="1" ref="V1395" ca="1">z_score_diff(OFFSET(U1395,0,0,$J$5*-1,1),OFFSET(E1395,0,0,$J$5*-1,1))</f>
        <v>-9.9542748138088277E-2</v>
      </c>
      <c r="W1395" s="9">
        <f t="shared" ca="1" si="1476"/>
        <v>-0.10483807055926114</v>
      </c>
      <c r="X1395" s="17">
        <f t="shared" ca="1" si="1471"/>
        <v>9.5913161665060767E-2</v>
      </c>
      <c r="Y1395" s="13">
        <f t="shared" ref="Y1395:Z1395" ca="1" si="1521">+Y1394</f>
        <v>0</v>
      </c>
      <c r="Z1395" s="13">
        <f t="shared" ca="1" si="1521"/>
        <v>0</v>
      </c>
      <c r="AA1395">
        <f t="shared" ca="1" si="1478"/>
        <v>1</v>
      </c>
      <c r="AB1395">
        <f t="shared" ca="1" si="1479"/>
        <v>0</v>
      </c>
      <c r="AC1395" s="24">
        <f t="shared" ca="1" si="1480"/>
        <v>9.5913161665060767E-2</v>
      </c>
      <c r="AD1395" s="24">
        <f t="shared" ca="1" si="1481"/>
        <v>0</v>
      </c>
    </row>
    <row r="1396" spans="3:30" x14ac:dyDescent="0.25">
      <c r="C1396" s="6">
        <v>1490</v>
      </c>
      <c r="D1396" s="36">
        <v>44126</v>
      </c>
      <c r="E1396" s="38">
        <v>14.238</v>
      </c>
      <c r="F1396" s="38">
        <v>37.723020359854445</v>
      </c>
      <c r="G1396" s="38">
        <v>40.68</v>
      </c>
      <c r="H1396" s="38">
        <v>2.5341744207031729</v>
      </c>
      <c r="I1396" s="38">
        <v>4.8895548196740579</v>
      </c>
      <c r="J1396" s="10">
        <v>0</v>
      </c>
      <c r="K1396" s="39">
        <v>0</v>
      </c>
      <c r="L1396" s="39">
        <v>0</v>
      </c>
      <c r="M1396" s="39">
        <v>0</v>
      </c>
      <c r="N1396" s="39">
        <v>0</v>
      </c>
      <c r="O1396" s="39">
        <v>0</v>
      </c>
      <c r="P1396" s="39">
        <v>0</v>
      </c>
      <c r="Q1396" s="39">
        <v>0</v>
      </c>
      <c r="R1396" s="39">
        <v>0</v>
      </c>
      <c r="S1396" s="39">
        <v>1</v>
      </c>
      <c r="T1396" s="39">
        <v>0</v>
      </c>
      <c r="U1396" s="29" cm="1">
        <f t="array" aca="1" ref="U1396" ca="1">+fair_value_gap(OFFSET(T1395,0,0,-1*$J$5,-1*$AA$1),OFFSET(E1395,0,0,-1*$J$5,1),F1396:T1396,0)</f>
        <v>14.126199126925437</v>
      </c>
      <c r="V1396" s="9" cm="1">
        <f t="array" aca="1" ref="V1396" ca="1">z_score_diff(OFFSET(U1396,0,0,$J$5*-1,1),OFFSET(E1396,0,0,$J$5*-1,1))</f>
        <v>-0.18466787654227707</v>
      </c>
      <c r="W1396" s="9">
        <f t="shared" ca="1" si="1476"/>
        <v>-0.11113563168777268</v>
      </c>
      <c r="X1396" s="17">
        <f t="shared" ca="1" si="1471"/>
        <v>5.2069085531540875E-2</v>
      </c>
      <c r="Y1396" s="13">
        <f t="shared" ref="Y1396:Z1396" ca="1" si="1522">+Y1395</f>
        <v>0</v>
      </c>
      <c r="Z1396" s="13">
        <f t="shared" ca="1" si="1522"/>
        <v>0</v>
      </c>
      <c r="AA1396">
        <f t="shared" ca="1" si="1478"/>
        <v>1</v>
      </c>
      <c r="AB1396">
        <f t="shared" ca="1" si="1479"/>
        <v>0</v>
      </c>
      <c r="AC1396" s="24">
        <f t="shared" ca="1" si="1480"/>
        <v>5.2069085531540875E-2</v>
      </c>
      <c r="AD1396" s="24">
        <f t="shared" ca="1" si="1481"/>
        <v>0</v>
      </c>
    </row>
    <row r="1397" spans="3:30" x14ac:dyDescent="0.25">
      <c r="C1397" s="6">
        <v>1491</v>
      </c>
      <c r="D1397" s="36">
        <v>44127</v>
      </c>
      <c r="E1397" s="38">
        <v>14.36</v>
      </c>
      <c r="F1397" s="38">
        <v>36.964897564581939</v>
      </c>
      <c r="G1397" s="38">
        <v>41.86</v>
      </c>
      <c r="H1397" s="38">
        <v>2.5122749385521299</v>
      </c>
      <c r="I1397" s="38">
        <v>4.8924129129593741</v>
      </c>
      <c r="J1397" s="10">
        <v>0</v>
      </c>
      <c r="K1397" s="39">
        <v>0</v>
      </c>
      <c r="L1397" s="39">
        <v>0</v>
      </c>
      <c r="M1397" s="39">
        <v>0</v>
      </c>
      <c r="N1397" s="39">
        <v>0</v>
      </c>
      <c r="O1397" s="39">
        <v>0</v>
      </c>
      <c r="P1397" s="39">
        <v>0</v>
      </c>
      <c r="Q1397" s="39">
        <v>0</v>
      </c>
      <c r="R1397" s="39">
        <v>0</v>
      </c>
      <c r="S1397" s="39">
        <v>1</v>
      </c>
      <c r="T1397" s="39">
        <v>0</v>
      </c>
      <c r="U1397" s="29" cm="1">
        <f t="array" aca="1" ref="U1397" ca="1">+fair_value_gap(OFFSET(T1396,0,0,-1*$J$5,-1*$AA$1),OFFSET(E1396,0,0,-1*$J$5,1),F1397:T1397,0)</f>
        <v>14.291726122285636</v>
      </c>
      <c r="V1397" s="9" cm="1">
        <f t="array" aca="1" ref="V1397" ca="1">z_score_diff(OFFSET(U1397,0,0,$J$5*-1,1),OFFSET(E1397,0,0,$J$5*-1,1))</f>
        <v>-0.16778394785436629</v>
      </c>
      <c r="W1397" s="9">
        <f t="shared" ca="1" si="1476"/>
        <v>-0.11483763300328374</v>
      </c>
      <c r="X1397" s="17">
        <f t="shared" ca="1" si="1471"/>
        <v>6.5038918202196955E-2</v>
      </c>
      <c r="Y1397" s="13">
        <f t="shared" ref="Y1397:Z1397" ca="1" si="1523">+Y1396</f>
        <v>0</v>
      </c>
      <c r="Z1397" s="13">
        <f t="shared" ca="1" si="1523"/>
        <v>0</v>
      </c>
      <c r="AA1397">
        <f t="shared" ca="1" si="1478"/>
        <v>1</v>
      </c>
      <c r="AB1397">
        <f t="shared" ca="1" si="1479"/>
        <v>0</v>
      </c>
      <c r="AC1397" s="24">
        <f t="shared" ca="1" si="1480"/>
        <v>6.5038918202196955E-2</v>
      </c>
      <c r="AD1397" s="24">
        <f t="shared" ca="1" si="1481"/>
        <v>0</v>
      </c>
    </row>
    <row r="1398" spans="3:30" x14ac:dyDescent="0.25">
      <c r="C1398" s="6">
        <v>1492</v>
      </c>
      <c r="D1398" s="36">
        <v>44130</v>
      </c>
      <c r="E1398" s="38">
        <v>14.05</v>
      </c>
      <c r="F1398" s="38">
        <v>36.289211832920138</v>
      </c>
      <c r="G1398" s="38">
        <v>41.7</v>
      </c>
      <c r="H1398" s="38">
        <v>2.5371374438151291</v>
      </c>
      <c r="I1398" s="38">
        <v>4.8290434630708345</v>
      </c>
      <c r="J1398" s="10">
        <v>0</v>
      </c>
      <c r="K1398" s="39">
        <v>0</v>
      </c>
      <c r="L1398" s="39">
        <v>0</v>
      </c>
      <c r="M1398" s="39">
        <v>0</v>
      </c>
      <c r="N1398" s="39">
        <v>0</v>
      </c>
      <c r="O1398" s="39">
        <v>0</v>
      </c>
      <c r="P1398" s="39">
        <v>0</v>
      </c>
      <c r="Q1398" s="39">
        <v>0</v>
      </c>
      <c r="R1398" s="39">
        <v>0</v>
      </c>
      <c r="S1398" s="39">
        <v>1</v>
      </c>
      <c r="T1398" s="39">
        <v>0</v>
      </c>
      <c r="U1398" s="29" cm="1">
        <f t="array" aca="1" ref="U1398" ca="1">+fair_value_gap(OFFSET(T1397,0,0,-1*$J$5,-1*$AA$1),OFFSET(E1397,0,0,-1*$J$5,1),F1398:T1398,0)</f>
        <v>14.200717787184674</v>
      </c>
      <c r="V1398" s="9" cm="1">
        <f t="array" aca="1" ref="V1398" ca="1">z_score_diff(OFFSET(U1398,0,0,$J$5*-1,1),OFFSET(E1398,0,0,$J$5*-1,1))</f>
        <v>-7.7510158374213517E-2</v>
      </c>
      <c r="W1398" s="9">
        <f t="shared" ca="1" si="1476"/>
        <v>-0.11724387986753124</v>
      </c>
      <c r="X1398" s="17">
        <f t="shared" ca="1" si="1471"/>
        <v>7.6829228046897693E-2</v>
      </c>
      <c r="Y1398" s="13">
        <f t="shared" ref="Y1398:Z1398" ca="1" si="1524">+Y1397</f>
        <v>0</v>
      </c>
      <c r="Z1398" s="13">
        <f t="shared" ca="1" si="1524"/>
        <v>0</v>
      </c>
      <c r="AA1398">
        <f t="shared" ca="1" si="1478"/>
        <v>1</v>
      </c>
      <c r="AB1398">
        <f t="shared" ca="1" si="1479"/>
        <v>0</v>
      </c>
      <c r="AC1398" s="24">
        <f t="shared" ca="1" si="1480"/>
        <v>7.6829228046897693E-2</v>
      </c>
      <c r="AD1398" s="24">
        <f t="shared" ca="1" si="1481"/>
        <v>0</v>
      </c>
    </row>
    <row r="1399" spans="3:30" x14ac:dyDescent="0.25">
      <c r="C1399" s="6">
        <v>1493</v>
      </c>
      <c r="D1399" s="36">
        <v>44131</v>
      </c>
      <c r="E1399" s="38">
        <v>14.157999999999999</v>
      </c>
      <c r="F1399" s="38">
        <v>36.936041752030427</v>
      </c>
      <c r="G1399" s="38">
        <v>40.57</v>
      </c>
      <c r="H1399" s="38">
        <v>2.551026847201737</v>
      </c>
      <c r="I1399" s="38">
        <v>4.900966815616794</v>
      </c>
      <c r="J1399" s="10">
        <v>0</v>
      </c>
      <c r="K1399" s="39">
        <v>0</v>
      </c>
      <c r="L1399" s="39">
        <v>0</v>
      </c>
      <c r="M1399" s="39">
        <v>0</v>
      </c>
      <c r="N1399" s="39">
        <v>0</v>
      </c>
      <c r="O1399" s="39">
        <v>0</v>
      </c>
      <c r="P1399" s="39">
        <v>0</v>
      </c>
      <c r="Q1399" s="39">
        <v>0</v>
      </c>
      <c r="R1399" s="39">
        <v>0</v>
      </c>
      <c r="S1399" s="39">
        <v>1</v>
      </c>
      <c r="T1399" s="39">
        <v>0</v>
      </c>
      <c r="U1399" s="29" cm="1">
        <f t="array" aca="1" ref="U1399" ca="1">+fair_value_gap(OFFSET(T1398,0,0,-1*$J$5,-1*$AA$1),OFFSET(E1398,0,0,-1*$J$5,1),F1399:T1399,0)</f>
        <v>14.08574142034775</v>
      </c>
      <c r="V1399" s="9" cm="1">
        <f t="array" aca="1" ref="V1399" ca="1">z_score_diff(OFFSET(U1399,0,0,$J$5*-1,1),OFFSET(E1399,0,0,$J$5*-1,1))</f>
        <v>-0.16800829194902617</v>
      </c>
      <c r="W1399" s="9">
        <f t="shared" ca="1" si="1476"/>
        <v>-0.12283950718424246</v>
      </c>
      <c r="X1399" s="17">
        <f t="shared" ca="1" si="1471"/>
        <v>7.3381213264360146E-2</v>
      </c>
      <c r="Y1399" s="13">
        <f t="shared" ref="Y1399:Z1399" ca="1" si="1525">+Y1398</f>
        <v>0</v>
      </c>
      <c r="Z1399" s="13">
        <f t="shared" ca="1" si="1525"/>
        <v>0</v>
      </c>
      <c r="AA1399">
        <f t="shared" ca="1" si="1478"/>
        <v>1</v>
      </c>
      <c r="AB1399">
        <f t="shared" ca="1" si="1479"/>
        <v>0</v>
      </c>
      <c r="AC1399" s="24">
        <f t="shared" ca="1" si="1480"/>
        <v>7.3381213264360146E-2</v>
      </c>
      <c r="AD1399" s="24">
        <f t="shared" ca="1" si="1481"/>
        <v>0</v>
      </c>
    </row>
    <row r="1400" spans="3:30" x14ac:dyDescent="0.25">
      <c r="C1400" s="6">
        <v>1494</v>
      </c>
      <c r="D1400" s="36">
        <v>44132</v>
      </c>
      <c r="E1400" s="38">
        <v>13.707000000000001</v>
      </c>
      <c r="F1400" s="38">
        <v>35.709308660014109</v>
      </c>
      <c r="G1400" s="38">
        <v>40.51</v>
      </c>
      <c r="H1400" s="38">
        <v>2.5624891786774548</v>
      </c>
      <c r="I1400" s="38">
        <v>4.7508245319909967</v>
      </c>
      <c r="J1400" s="10">
        <v>0</v>
      </c>
      <c r="K1400" s="39">
        <v>0</v>
      </c>
      <c r="L1400" s="39">
        <v>0</v>
      </c>
      <c r="M1400" s="39">
        <v>0</v>
      </c>
      <c r="N1400" s="39">
        <v>0</v>
      </c>
      <c r="O1400" s="39">
        <v>0</v>
      </c>
      <c r="P1400" s="39">
        <v>0</v>
      </c>
      <c r="Q1400" s="39">
        <v>0</v>
      </c>
      <c r="R1400" s="39">
        <v>0</v>
      </c>
      <c r="S1400" s="39">
        <v>1</v>
      </c>
      <c r="T1400" s="39">
        <v>0</v>
      </c>
      <c r="U1400" s="29" cm="1">
        <f t="array" aca="1" ref="U1400" ca="1">+fair_value_gap(OFFSET(T1399,0,0,-1*$J$5,-1*$AA$1),OFFSET(E1399,0,0,-1*$J$5,1),F1400:T1400,0)</f>
        <v>13.895114671155453</v>
      </c>
      <c r="V1400" s="9" cm="1">
        <f t="array" aca="1" ref="V1400" ca="1">z_score_diff(OFFSET(U1400,0,0,$J$5*-1,1),OFFSET(E1400,0,0,$J$5*-1,1))</f>
        <v>-5.8707185557627717E-2</v>
      </c>
      <c r="W1400" s="9">
        <f t="shared" ca="1" si="1476"/>
        <v>-0.12296115077787775</v>
      </c>
      <c r="X1400" s="17">
        <f t="shared" ca="1" si="1471"/>
        <v>0.11626603399853748</v>
      </c>
      <c r="Y1400" s="13">
        <f t="shared" ref="Y1400:Z1400" ca="1" si="1526">+Y1399</f>
        <v>0</v>
      </c>
      <c r="Z1400" s="13">
        <f t="shared" ca="1" si="1526"/>
        <v>0</v>
      </c>
      <c r="AA1400">
        <f t="shared" ca="1" si="1478"/>
        <v>1</v>
      </c>
      <c r="AB1400">
        <f t="shared" ca="1" si="1479"/>
        <v>0</v>
      </c>
      <c r="AC1400" s="24">
        <f t="shared" ca="1" si="1480"/>
        <v>0.11626603399853748</v>
      </c>
      <c r="AD1400" s="24">
        <f t="shared" ca="1" si="1481"/>
        <v>0</v>
      </c>
    </row>
    <row r="1401" spans="3:30" x14ac:dyDescent="0.25">
      <c r="C1401" s="6">
        <v>1495</v>
      </c>
      <c r="D1401" s="36">
        <v>44133</v>
      </c>
      <c r="E1401" s="38">
        <v>13.493</v>
      </c>
      <c r="F1401" s="38">
        <v>35.059425130793066</v>
      </c>
      <c r="G1401" s="38">
        <v>39.869999999999997</v>
      </c>
      <c r="H1401" s="38">
        <v>2.6230839888210906</v>
      </c>
      <c r="I1401" s="38">
        <v>4.7456832126873305</v>
      </c>
      <c r="J1401" s="10">
        <v>0</v>
      </c>
      <c r="K1401" s="39">
        <v>0</v>
      </c>
      <c r="L1401" s="39">
        <v>0</v>
      </c>
      <c r="M1401" s="39">
        <v>0</v>
      </c>
      <c r="N1401" s="39">
        <v>0</v>
      </c>
      <c r="O1401" s="39">
        <v>0</v>
      </c>
      <c r="P1401" s="39">
        <v>0</v>
      </c>
      <c r="Q1401" s="39">
        <v>0</v>
      </c>
      <c r="R1401" s="39">
        <v>0</v>
      </c>
      <c r="S1401" s="39">
        <v>1</v>
      </c>
      <c r="T1401" s="39">
        <v>0</v>
      </c>
      <c r="U1401" s="29" cm="1">
        <f t="array" aca="1" ref="U1401" ca="1">+fair_value_gap(OFFSET(T1400,0,0,-1*$J$5,-1*$AA$1),OFFSET(E1400,0,0,-1*$J$5,1),F1401:T1401,0)</f>
        <v>13.785820558791386</v>
      </c>
      <c r="V1401" s="9" cm="1">
        <f t="array" aca="1" ref="V1401" ca="1">z_score_diff(OFFSET(U1401,0,0,$J$5*-1,1),OFFSET(E1401,0,0,$J$5*-1,1))</f>
        <v>-1.4195208026084385E-2</v>
      </c>
      <c r="W1401" s="9">
        <f t="shared" ca="1" si="1476"/>
        <v>-0.12173013994640212</v>
      </c>
      <c r="X1401" s="17">
        <f t="shared" ca="1" si="1471"/>
        <v>0.15904071676779219</v>
      </c>
      <c r="Y1401" s="13">
        <f t="shared" ref="Y1401:Z1401" ca="1" si="1527">+Y1400</f>
        <v>0</v>
      </c>
      <c r="Z1401" s="13">
        <f t="shared" ca="1" si="1527"/>
        <v>0</v>
      </c>
      <c r="AA1401">
        <f t="shared" ca="1" si="1478"/>
        <v>1</v>
      </c>
      <c r="AB1401">
        <f t="shared" ca="1" si="1479"/>
        <v>0</v>
      </c>
      <c r="AC1401" s="24">
        <f t="shared" ca="1" si="1480"/>
        <v>0.15904071676779219</v>
      </c>
      <c r="AD1401" s="24">
        <f t="shared" ca="1" si="1481"/>
        <v>0</v>
      </c>
    </row>
    <row r="1402" spans="3:30" x14ac:dyDescent="0.25">
      <c r="C1402" s="6">
        <v>1496</v>
      </c>
      <c r="D1402" s="36">
        <v>44134</v>
      </c>
      <c r="E1402" s="38">
        <v>14.794</v>
      </c>
      <c r="F1402" s="38">
        <v>35.145494514476233</v>
      </c>
      <c r="G1402" s="38">
        <v>42.2</v>
      </c>
      <c r="H1402" s="38">
        <v>2.6716705859114924</v>
      </c>
      <c r="I1402" s="38">
        <v>4.6400907244160718</v>
      </c>
      <c r="J1402" s="10">
        <v>0</v>
      </c>
      <c r="K1402" s="39">
        <v>0</v>
      </c>
      <c r="L1402" s="39">
        <v>0</v>
      </c>
      <c r="M1402" s="39">
        <v>0</v>
      </c>
      <c r="N1402" s="39">
        <v>0</v>
      </c>
      <c r="O1402" s="39">
        <v>0</v>
      </c>
      <c r="P1402" s="39">
        <v>0</v>
      </c>
      <c r="Q1402" s="39">
        <v>0</v>
      </c>
      <c r="R1402" s="39">
        <v>0</v>
      </c>
      <c r="S1402" s="39">
        <v>1</v>
      </c>
      <c r="T1402" s="39">
        <v>0</v>
      </c>
      <c r="U1402" s="29" cm="1">
        <f t="array" aca="1" ref="U1402" ca="1">+fair_value_gap(OFFSET(T1401,0,0,-1*$J$5,-1*$AA$1),OFFSET(E1401,0,0,-1*$J$5,1),F1402:T1402,0)</f>
        <v>14.080894733080246</v>
      </c>
      <c r="V1402" s="9" cm="1">
        <f t="array" aca="1" ref="V1402" ca="1">z_score_diff(OFFSET(U1402,0,0,$J$5*-1,1),OFFSET(E1402,0,0,$J$5*-1,1))</f>
        <v>-0.43870207195421318</v>
      </c>
      <c r="W1402" s="9">
        <f t="shared" ca="1" si="1476"/>
        <v>-0.1316940873333961</v>
      </c>
      <c r="X1402" s="17">
        <f t="shared" ca="1" si="1471"/>
        <v>8.8626718011720479E-2</v>
      </c>
      <c r="Y1402" s="13">
        <f t="shared" ref="Y1402:Z1402" ca="1" si="1528">+Y1401</f>
        <v>0</v>
      </c>
      <c r="Z1402" s="13">
        <f t="shared" ca="1" si="1528"/>
        <v>0</v>
      </c>
      <c r="AA1402">
        <f t="shared" ca="1" si="1478"/>
        <v>1</v>
      </c>
      <c r="AB1402">
        <f t="shared" ca="1" si="1479"/>
        <v>0</v>
      </c>
      <c r="AC1402" s="24">
        <f t="shared" ca="1" si="1480"/>
        <v>8.8626718011720479E-2</v>
      </c>
      <c r="AD1402" s="24">
        <f t="shared" ca="1" si="1481"/>
        <v>0</v>
      </c>
    </row>
    <row r="1403" spans="3:30" x14ac:dyDescent="0.25">
      <c r="C1403" s="6">
        <v>1497</v>
      </c>
      <c r="D1403" s="36">
        <v>44137</v>
      </c>
      <c r="E1403" s="38">
        <v>14.622</v>
      </c>
      <c r="F1403" s="38">
        <v>36.350037142292464</v>
      </c>
      <c r="G1403" s="38">
        <v>41.64</v>
      </c>
      <c r="H1403" s="38">
        <v>2.6749265673025153</v>
      </c>
      <c r="I1403" s="38">
        <v>4.6001921858068737</v>
      </c>
      <c r="J1403" s="10">
        <v>0</v>
      </c>
      <c r="K1403" s="39">
        <v>0</v>
      </c>
      <c r="L1403" s="39">
        <v>0</v>
      </c>
      <c r="M1403" s="39">
        <v>0</v>
      </c>
      <c r="N1403" s="39">
        <v>0</v>
      </c>
      <c r="O1403" s="39">
        <v>0</v>
      </c>
      <c r="P1403" s="39">
        <v>0</v>
      </c>
      <c r="Q1403" s="39">
        <v>0</v>
      </c>
      <c r="R1403" s="39">
        <v>0</v>
      </c>
      <c r="S1403" s="39">
        <v>0</v>
      </c>
      <c r="T1403" s="39">
        <v>1</v>
      </c>
      <c r="U1403" s="29" cm="1">
        <f t="array" aca="1" ref="U1403" ca="1">+fair_value_gap(OFFSET(T1402,0,0,-1*$J$5,-1*$AA$1),OFFSET(E1402,0,0,-1*$J$5,1),F1403:T1403,0)</f>
        <v>15.07923646874978</v>
      </c>
      <c r="V1403" s="9" cm="1">
        <f t="array" aca="1" ref="V1403" ca="1">z_score_diff(OFFSET(U1403,0,0,$J$5*-1,1),OFFSET(E1403,0,0,$J$5*-1,1))</f>
        <v>4.6753810051414268E-2</v>
      </c>
      <c r="W1403" s="9">
        <f t="shared" ca="1" si="1476"/>
        <v>-0.12712630957640117</v>
      </c>
      <c r="X1403" s="17">
        <f t="shared" ca="1" si="1471"/>
        <v>0.12367757263858314</v>
      </c>
      <c r="Y1403" s="13">
        <f t="shared" ref="Y1403:Z1403" ca="1" si="1529">+Y1402</f>
        <v>0</v>
      </c>
      <c r="Z1403" s="13">
        <f t="shared" ca="1" si="1529"/>
        <v>0</v>
      </c>
      <c r="AA1403">
        <f t="shared" ca="1" si="1478"/>
        <v>1</v>
      </c>
      <c r="AB1403">
        <f t="shared" ca="1" si="1479"/>
        <v>0</v>
      </c>
      <c r="AC1403" s="24">
        <f t="shared" ca="1" si="1480"/>
        <v>0.12367757263858314</v>
      </c>
      <c r="AD1403" s="24">
        <f t="shared" ca="1" si="1481"/>
        <v>0</v>
      </c>
    </row>
    <row r="1404" spans="3:30" x14ac:dyDescent="0.25">
      <c r="C1404" s="6">
        <v>1498</v>
      </c>
      <c r="D1404" s="36">
        <v>44138</v>
      </c>
      <c r="E1404" s="38">
        <v>14.784000000000001</v>
      </c>
      <c r="F1404" s="38">
        <v>36.482167425124352</v>
      </c>
      <c r="G1404" s="38">
        <v>42.16</v>
      </c>
      <c r="H1404" s="38">
        <v>2.6042967509789396</v>
      </c>
      <c r="I1404" s="38">
        <v>4.6565774155995348</v>
      </c>
      <c r="J1404" s="10">
        <v>0</v>
      </c>
      <c r="K1404" s="39">
        <v>0</v>
      </c>
      <c r="L1404" s="39">
        <v>0</v>
      </c>
      <c r="M1404" s="39">
        <v>0</v>
      </c>
      <c r="N1404" s="39">
        <v>0</v>
      </c>
      <c r="O1404" s="39">
        <v>0</v>
      </c>
      <c r="P1404" s="39">
        <v>0</v>
      </c>
      <c r="Q1404" s="39">
        <v>0</v>
      </c>
      <c r="R1404" s="39">
        <v>0</v>
      </c>
      <c r="S1404" s="39">
        <v>0</v>
      </c>
      <c r="T1404" s="39">
        <v>1</v>
      </c>
      <c r="U1404" s="29" cm="1">
        <f t="array" aca="1" ref="U1404" ca="1">+fair_value_gap(OFFSET(T1403,0,0,-1*$J$5,-1*$AA$1),OFFSET(E1403,0,0,-1*$J$5,1),F1404:T1404,0)</f>
        <v>15.025807342816092</v>
      </c>
      <c r="V1404" s="9" cm="1">
        <f t="array" aca="1" ref="V1404" ca="1">z_score_diff(OFFSET(U1404,0,0,$J$5*-1,1),OFFSET(E1404,0,0,$J$5*-1,1))</f>
        <v>-4.417869204625241E-2</v>
      </c>
      <c r="W1404" s="9">
        <f t="shared" ca="1" si="1476"/>
        <v>-0.12449109230345259</v>
      </c>
      <c r="X1404" s="17">
        <f t="shared" ca="1" si="1471"/>
        <v>0.13210992827714507</v>
      </c>
      <c r="Y1404" s="13">
        <f t="shared" ref="Y1404:Z1404" ca="1" si="1530">+Y1403</f>
        <v>0</v>
      </c>
      <c r="Z1404" s="13">
        <f t="shared" ca="1" si="1530"/>
        <v>0</v>
      </c>
      <c r="AA1404">
        <f t="shared" ca="1" si="1478"/>
        <v>1</v>
      </c>
      <c r="AB1404">
        <f t="shared" ca="1" si="1479"/>
        <v>0</v>
      </c>
      <c r="AC1404" s="24">
        <f t="shared" ca="1" si="1480"/>
        <v>0.13210992827714507</v>
      </c>
      <c r="AD1404" s="24">
        <f t="shared" ca="1" si="1481"/>
        <v>0</v>
      </c>
    </row>
    <row r="1405" spans="3:30" x14ac:dyDescent="0.25">
      <c r="C1405" s="6">
        <v>1499</v>
      </c>
      <c r="D1405" s="36">
        <v>44139</v>
      </c>
      <c r="E1405" s="38">
        <v>14.917</v>
      </c>
      <c r="F1405" s="38">
        <v>37.403118646820992</v>
      </c>
      <c r="G1405" s="38">
        <v>42.38</v>
      </c>
      <c r="H1405" s="38">
        <v>2.5956292243484915</v>
      </c>
      <c r="I1405" s="38">
        <v>4.7166339392903653</v>
      </c>
      <c r="J1405" s="10">
        <v>0</v>
      </c>
      <c r="K1405" s="39">
        <v>0</v>
      </c>
      <c r="L1405" s="39">
        <v>0</v>
      </c>
      <c r="M1405" s="39">
        <v>0</v>
      </c>
      <c r="N1405" s="39">
        <v>0</v>
      </c>
      <c r="O1405" s="39">
        <v>0</v>
      </c>
      <c r="P1405" s="39">
        <v>0</v>
      </c>
      <c r="Q1405" s="39">
        <v>0</v>
      </c>
      <c r="R1405" s="39">
        <v>0</v>
      </c>
      <c r="S1405" s="39">
        <v>0</v>
      </c>
      <c r="T1405" s="39">
        <v>1</v>
      </c>
      <c r="U1405" s="29" cm="1">
        <f t="array" aca="1" ref="U1405" ca="1">+fair_value_gap(OFFSET(T1404,0,0,-1*$J$5,-1*$AA$1),OFFSET(E1404,0,0,-1*$J$5,1),F1405:T1405,0)</f>
        <v>15.072132530095447</v>
      </c>
      <c r="V1405" s="9" cm="1">
        <f t="array" aca="1" ref="V1405" ca="1">z_score_diff(OFFSET(U1405,0,0,$J$5*-1,1),OFFSET(E1405,0,0,$J$5*-1,1))</f>
        <v>-8.1658417670713301E-2</v>
      </c>
      <c r="W1405" s="9">
        <f t="shared" ca="1" si="1476"/>
        <v>-0.12291314664106072</v>
      </c>
      <c r="X1405" s="17">
        <f t="shared" ca="1" si="1471"/>
        <v>9.5511272408146136E-2</v>
      </c>
      <c r="Y1405" s="13">
        <f t="shared" ref="Y1405:Z1405" ca="1" si="1531">+Y1404</f>
        <v>0</v>
      </c>
      <c r="Z1405" s="13">
        <f t="shared" ca="1" si="1531"/>
        <v>0</v>
      </c>
      <c r="AA1405">
        <f t="shared" ca="1" si="1478"/>
        <v>1</v>
      </c>
      <c r="AB1405">
        <f t="shared" ca="1" si="1479"/>
        <v>0</v>
      </c>
      <c r="AC1405" s="24">
        <f t="shared" ca="1" si="1480"/>
        <v>9.5511272408146136E-2</v>
      </c>
      <c r="AD1405" s="24">
        <f t="shared" ca="1" si="1481"/>
        <v>0</v>
      </c>
    </row>
    <row r="1406" spans="3:30" x14ac:dyDescent="0.25">
      <c r="C1406" s="6">
        <v>1500</v>
      </c>
      <c r="D1406" s="36">
        <v>44140</v>
      </c>
      <c r="E1406" s="38">
        <v>15.11</v>
      </c>
      <c r="F1406" s="38">
        <v>36.763411013928838</v>
      </c>
      <c r="G1406" s="38">
        <v>43.27</v>
      </c>
      <c r="H1406" s="38">
        <v>2.5501262065090691</v>
      </c>
      <c r="I1406" s="38">
        <v>4.7589497605849944</v>
      </c>
      <c r="J1406" s="10">
        <v>0</v>
      </c>
      <c r="K1406" s="39">
        <v>0</v>
      </c>
      <c r="L1406" s="39">
        <v>0</v>
      </c>
      <c r="M1406" s="39">
        <v>0</v>
      </c>
      <c r="N1406" s="39">
        <v>0</v>
      </c>
      <c r="O1406" s="39">
        <v>0</v>
      </c>
      <c r="P1406" s="39">
        <v>0</v>
      </c>
      <c r="Q1406" s="39">
        <v>0</v>
      </c>
      <c r="R1406" s="39">
        <v>0</v>
      </c>
      <c r="S1406" s="39">
        <v>0</v>
      </c>
      <c r="T1406" s="39">
        <v>1</v>
      </c>
      <c r="U1406" s="29" cm="1">
        <f t="array" aca="1" ref="U1406" ca="1">+fair_value_gap(OFFSET(T1405,0,0,-1*$J$5,-1*$AA$1),OFFSET(E1405,0,0,-1*$J$5,1),F1406:T1406,0)</f>
        <v>15.215885613285854</v>
      </c>
      <c r="V1406" s="9" cm="1">
        <f t="array" aca="1" ref="V1406" ca="1">z_score_diff(OFFSET(U1406,0,0,$J$5*-1,1),OFFSET(E1406,0,0,$J$5*-1,1))</f>
        <v>-0.10416006282847701</v>
      </c>
      <c r="W1406" s="9">
        <f t="shared" ca="1" si="1476"/>
        <v>-0.12208439586574284</v>
      </c>
      <c r="X1406" s="17">
        <f t="shared" ca="1" si="1471"/>
        <v>6.8233704062908726E-2</v>
      </c>
      <c r="Y1406" s="13">
        <f t="shared" ref="Y1406:Z1406" ca="1" si="1532">+Y1405</f>
        <v>0</v>
      </c>
      <c r="Z1406" s="13">
        <f t="shared" ca="1" si="1532"/>
        <v>0</v>
      </c>
      <c r="AA1406">
        <f t="shared" ca="1" si="1478"/>
        <v>1</v>
      </c>
      <c r="AB1406">
        <f t="shared" ca="1" si="1479"/>
        <v>0</v>
      </c>
      <c r="AC1406" s="24">
        <f t="shared" ca="1" si="1480"/>
        <v>6.8233704062908726E-2</v>
      </c>
      <c r="AD1406" s="24">
        <f t="shared" ca="1" si="1481"/>
        <v>0</v>
      </c>
    </row>
    <row r="1407" spans="3:30" x14ac:dyDescent="0.25">
      <c r="C1407" s="6">
        <v>1501</v>
      </c>
      <c r="D1407" s="36">
        <v>44141</v>
      </c>
      <c r="E1407" s="38">
        <v>14.839</v>
      </c>
      <c r="F1407" s="38">
        <v>35.599162117281878</v>
      </c>
      <c r="G1407" s="38">
        <v>43.31</v>
      </c>
      <c r="H1407" s="38">
        <v>2.5113104983298284</v>
      </c>
      <c r="I1407" s="38">
        <v>4.654440168945742</v>
      </c>
      <c r="J1407" s="10">
        <v>0</v>
      </c>
      <c r="K1407" s="39">
        <v>0</v>
      </c>
      <c r="L1407" s="39">
        <v>0</v>
      </c>
      <c r="M1407" s="39">
        <v>0</v>
      </c>
      <c r="N1407" s="39">
        <v>0</v>
      </c>
      <c r="O1407" s="39">
        <v>0</v>
      </c>
      <c r="P1407" s="39">
        <v>0</v>
      </c>
      <c r="Q1407" s="39">
        <v>0</v>
      </c>
      <c r="R1407" s="39">
        <v>0</v>
      </c>
      <c r="S1407" s="39">
        <v>0</v>
      </c>
      <c r="T1407" s="39">
        <v>1</v>
      </c>
      <c r="U1407" s="29" cm="1">
        <f t="array" aca="1" ref="U1407" ca="1">+fair_value_gap(OFFSET(T1406,0,0,-1*$J$5,-1*$AA$1),OFFSET(E1406,0,0,-1*$J$5,1),F1407:T1407,0)</f>
        <v>15.029734970041705</v>
      </c>
      <c r="V1407" s="9" cm="1">
        <f t="array" aca="1" ref="V1407" ca="1">z_score_diff(OFFSET(U1407,0,0,$J$5*-1,1),OFFSET(E1407,0,0,$J$5*-1,1))</f>
        <v>-6.713208591496983E-2</v>
      </c>
      <c r="W1407" s="9">
        <f t="shared" ca="1" si="1476"/>
        <v>-0.11923045646578068</v>
      </c>
      <c r="X1407" s="17">
        <f t="shared" ca="1" si="1471"/>
        <v>9.537756751956987E-2</v>
      </c>
      <c r="Y1407" s="13">
        <f t="shared" ref="Y1407:Z1407" ca="1" si="1533">+Y1406</f>
        <v>0</v>
      </c>
      <c r="Z1407" s="13">
        <f t="shared" ca="1" si="1533"/>
        <v>0</v>
      </c>
      <c r="AA1407">
        <f t="shared" ca="1" si="1478"/>
        <v>1</v>
      </c>
      <c r="AB1407">
        <f t="shared" ca="1" si="1479"/>
        <v>0</v>
      </c>
      <c r="AC1407" s="24">
        <f t="shared" ca="1" si="1480"/>
        <v>9.537756751956987E-2</v>
      </c>
      <c r="AD1407" s="24">
        <f t="shared" ca="1" si="1481"/>
        <v>0</v>
      </c>
    </row>
    <row r="1408" spans="3:30" x14ac:dyDescent="0.25">
      <c r="C1408" s="6">
        <v>1502</v>
      </c>
      <c r="D1408" s="36">
        <v>44144</v>
      </c>
      <c r="E1408" s="38">
        <v>15.106999999999999</v>
      </c>
      <c r="F1408" s="38">
        <v>37.656296288836458</v>
      </c>
      <c r="G1408" s="38">
        <v>44.21</v>
      </c>
      <c r="H1408" s="38">
        <v>2.5101400089126336</v>
      </c>
      <c r="I1408" s="38">
        <v>4.7290668506261078</v>
      </c>
      <c r="J1408" s="10">
        <v>0</v>
      </c>
      <c r="K1408" s="39">
        <v>0</v>
      </c>
      <c r="L1408" s="39">
        <v>0</v>
      </c>
      <c r="M1408" s="39">
        <v>0</v>
      </c>
      <c r="N1408" s="39">
        <v>0</v>
      </c>
      <c r="O1408" s="39">
        <v>0</v>
      </c>
      <c r="P1408" s="39">
        <v>0</v>
      </c>
      <c r="Q1408" s="39">
        <v>0</v>
      </c>
      <c r="R1408" s="39">
        <v>0</v>
      </c>
      <c r="S1408" s="39">
        <v>0</v>
      </c>
      <c r="T1408" s="39">
        <v>1</v>
      </c>
      <c r="U1408" s="29" cm="1">
        <f t="array" aca="1" ref="U1408" ca="1">+fair_value_gap(OFFSET(T1407,0,0,-1*$J$5,-1*$AA$1),OFFSET(E1407,0,0,-1*$J$5,1),F1408:T1408,0)</f>
        <v>15.249333439405078</v>
      </c>
      <c r="V1408" s="9" cm="1">
        <f t="array" aca="1" ref="V1408" ca="1">z_score_diff(OFFSET(U1408,0,0,$J$5*-1,1),OFFSET(E1408,0,0,$J$5*-1,1))</f>
        <v>-8.9473351336739504E-2</v>
      </c>
      <c r="W1408" s="9">
        <f t="shared" ca="1" si="1476"/>
        <v>-0.11463680613834079</v>
      </c>
      <c r="X1408" s="17">
        <f t="shared" ca="1" si="1471"/>
        <v>0.10651824861548108</v>
      </c>
      <c r="Y1408" s="13">
        <f t="shared" ref="Y1408:Z1408" ca="1" si="1534">+Y1407</f>
        <v>0</v>
      </c>
      <c r="Z1408" s="13">
        <f t="shared" ca="1" si="1534"/>
        <v>0</v>
      </c>
      <c r="AA1408">
        <f t="shared" ca="1" si="1478"/>
        <v>1</v>
      </c>
      <c r="AB1408">
        <f t="shared" ca="1" si="1479"/>
        <v>0</v>
      </c>
      <c r="AC1408" s="24">
        <f t="shared" ca="1" si="1480"/>
        <v>0.10651824861548108</v>
      </c>
      <c r="AD1408" s="24">
        <f t="shared" ca="1" si="1481"/>
        <v>0</v>
      </c>
    </row>
    <row r="1409" spans="3:30" x14ac:dyDescent="0.25">
      <c r="C1409" s="6">
        <v>1503</v>
      </c>
      <c r="D1409" s="36">
        <v>44145</v>
      </c>
      <c r="E1409" s="38">
        <v>15.163</v>
      </c>
      <c r="F1409" s="38">
        <v>38.250103940499841</v>
      </c>
      <c r="G1409" s="38">
        <v>44.28</v>
      </c>
      <c r="H1409" s="38">
        <v>2.5357282344393721</v>
      </c>
      <c r="I1409" s="38">
        <v>4.779163184484938</v>
      </c>
      <c r="J1409" s="10">
        <v>0</v>
      </c>
      <c r="K1409" s="39">
        <v>0</v>
      </c>
      <c r="L1409" s="39">
        <v>0</v>
      </c>
      <c r="M1409" s="39">
        <v>0</v>
      </c>
      <c r="N1409" s="39">
        <v>0</v>
      </c>
      <c r="O1409" s="39">
        <v>0</v>
      </c>
      <c r="P1409" s="39">
        <v>0</v>
      </c>
      <c r="Q1409" s="39">
        <v>0</v>
      </c>
      <c r="R1409" s="39">
        <v>0</v>
      </c>
      <c r="S1409" s="39">
        <v>0</v>
      </c>
      <c r="T1409" s="39">
        <v>1</v>
      </c>
      <c r="U1409" s="29" cm="1">
        <f t="array" aca="1" ref="U1409" ca="1">+fair_value_gap(OFFSET(T1408,0,0,-1*$J$5,-1*$AA$1),OFFSET(E1408,0,0,-1*$J$5,1),F1409:T1409,0)</f>
        <v>15.325495093822452</v>
      </c>
      <c r="V1409" s="9" cm="1">
        <f t="array" aca="1" ref="V1409" ca="1">z_score_diff(OFFSET(U1409,0,0,$J$5*-1,1),OFFSET(E1409,0,0,$J$5*-1,1))</f>
        <v>-8.0720520535073725E-2</v>
      </c>
      <c r="W1409" s="9">
        <f t="shared" ca="1" si="1476"/>
        <v>-0.11198465765426188</v>
      </c>
      <c r="X1409" s="17">
        <f t="shared" ca="1" si="1471"/>
        <v>0.12610927184545173</v>
      </c>
      <c r="Y1409" s="13">
        <f t="shared" ref="Y1409:Z1409" ca="1" si="1535">+Y1408</f>
        <v>0</v>
      </c>
      <c r="Z1409" s="13">
        <f t="shared" ca="1" si="1535"/>
        <v>0</v>
      </c>
      <c r="AA1409">
        <f t="shared" ca="1" si="1478"/>
        <v>1</v>
      </c>
      <c r="AB1409">
        <f t="shared" ca="1" si="1479"/>
        <v>0</v>
      </c>
      <c r="AC1409" s="24">
        <f t="shared" ca="1" si="1480"/>
        <v>0.12610927184545173</v>
      </c>
      <c r="AD1409" s="24">
        <f t="shared" ca="1" si="1481"/>
        <v>0</v>
      </c>
    </row>
    <row r="1410" spans="3:30" x14ac:dyDescent="0.25">
      <c r="C1410" s="6">
        <v>1504</v>
      </c>
      <c r="D1410" s="36">
        <v>44146</v>
      </c>
      <c r="E1410" s="38">
        <v>15.17</v>
      </c>
      <c r="F1410" s="38">
        <v>38.491976628668603</v>
      </c>
      <c r="G1410" s="38">
        <v>44.79</v>
      </c>
      <c r="H1410" s="38">
        <v>2.5652898684941654</v>
      </c>
      <c r="I1410" s="38">
        <v>4.8114970785835753</v>
      </c>
      <c r="J1410" s="10">
        <v>0</v>
      </c>
      <c r="K1410" s="39">
        <v>0</v>
      </c>
      <c r="L1410" s="39">
        <v>0</v>
      </c>
      <c r="M1410" s="39">
        <v>0</v>
      </c>
      <c r="N1410" s="39">
        <v>0</v>
      </c>
      <c r="O1410" s="39">
        <v>0</v>
      </c>
      <c r="P1410" s="39">
        <v>0</v>
      </c>
      <c r="Q1410" s="39">
        <v>0</v>
      </c>
      <c r="R1410" s="39">
        <v>0</v>
      </c>
      <c r="S1410" s="39">
        <v>0</v>
      </c>
      <c r="T1410" s="39">
        <v>1</v>
      </c>
      <c r="U1410" s="29" cm="1">
        <f t="array" aca="1" ref="U1410" ca="1">+fair_value_gap(OFFSET(T1409,0,0,-1*$J$5,-1*$AA$1),OFFSET(E1409,0,0,-1*$J$5,1),F1410:T1410,0)</f>
        <v>15.454727686651603</v>
      </c>
      <c r="V1410" s="9" cm="1">
        <f t="array" aca="1" ref="V1410" ca="1">z_score_diff(OFFSET(U1410,0,0,$J$5*-1,1),OFFSET(E1410,0,0,$J$5*-1,1))</f>
        <v>-2.8298265830320801E-2</v>
      </c>
      <c r="W1410" s="9">
        <f t="shared" ca="1" si="1476"/>
        <v>-0.1084868889857573</v>
      </c>
      <c r="X1410" s="17">
        <f t="shared" ca="1" si="1471"/>
        <v>0.12273668758950301</v>
      </c>
      <c r="Y1410" s="13">
        <f t="shared" ref="Y1410:Z1410" ca="1" si="1536">+Y1409</f>
        <v>0</v>
      </c>
      <c r="Z1410" s="13">
        <f t="shared" ca="1" si="1536"/>
        <v>0</v>
      </c>
      <c r="AA1410">
        <f t="shared" ca="1" si="1478"/>
        <v>1</v>
      </c>
      <c r="AB1410">
        <f t="shared" ca="1" si="1479"/>
        <v>0</v>
      </c>
      <c r="AC1410" s="24">
        <f t="shared" ca="1" si="1480"/>
        <v>0.12273668758950301</v>
      </c>
      <c r="AD1410" s="24">
        <f t="shared" ca="1" si="1481"/>
        <v>0</v>
      </c>
    </row>
    <row r="1411" spans="3:30" x14ac:dyDescent="0.25">
      <c r="C1411" s="6">
        <v>1505</v>
      </c>
      <c r="D1411" s="36">
        <v>44147</v>
      </c>
      <c r="E1411" s="38">
        <v>15.007</v>
      </c>
      <c r="F1411" s="38">
        <v>38.183615650746745</v>
      </c>
      <c r="G1411" s="38">
        <v>43.94</v>
      </c>
      <c r="H1411" s="38">
        <v>2.5433345400453398</v>
      </c>
      <c r="I1411" s="38">
        <v>4.77925149698084</v>
      </c>
      <c r="J1411" s="10">
        <v>0</v>
      </c>
      <c r="K1411" s="39">
        <v>0</v>
      </c>
      <c r="L1411" s="39">
        <v>0</v>
      </c>
      <c r="M1411" s="39">
        <v>0</v>
      </c>
      <c r="N1411" s="39">
        <v>0</v>
      </c>
      <c r="O1411" s="39">
        <v>0</v>
      </c>
      <c r="P1411" s="39">
        <v>0</v>
      </c>
      <c r="Q1411" s="39">
        <v>0</v>
      </c>
      <c r="R1411" s="39">
        <v>0</v>
      </c>
      <c r="S1411" s="39">
        <v>0</v>
      </c>
      <c r="T1411" s="39">
        <v>1</v>
      </c>
      <c r="U1411" s="29" cm="1">
        <f t="array" aca="1" ref="U1411" ca="1">+fair_value_gap(OFFSET(T1410,0,0,-1*$J$5,-1*$AA$1),OFFSET(E1410,0,0,-1*$J$5,1),F1411:T1411,0)</f>
        <v>15.224612167895344</v>
      </c>
      <c r="V1411" s="9" cm="1">
        <f t="array" aca="1" ref="V1411" ca="1">z_score_diff(OFFSET(U1411,0,0,$J$5*-1,1),OFFSET(E1411,0,0,$J$5*-1,1))</f>
        <v>-5.6125172828255243E-2</v>
      </c>
      <c r="W1411" s="9">
        <f t="shared" ca="1" si="1476"/>
        <v>-0.11144308712293173</v>
      </c>
      <c r="X1411" s="17">
        <f t="shared" ca="1" si="1471"/>
        <v>0.1367414012853039</v>
      </c>
      <c r="Y1411" s="13">
        <f t="shared" ref="Y1411:Z1411" ca="1" si="1537">+Y1410</f>
        <v>0</v>
      </c>
      <c r="Z1411" s="13">
        <f t="shared" ca="1" si="1537"/>
        <v>0</v>
      </c>
      <c r="AA1411">
        <f t="shared" ca="1" si="1478"/>
        <v>1</v>
      </c>
      <c r="AB1411">
        <f t="shared" ca="1" si="1479"/>
        <v>0</v>
      </c>
      <c r="AC1411" s="24">
        <f t="shared" ca="1" si="1480"/>
        <v>0.1367414012853039</v>
      </c>
      <c r="AD1411" s="24">
        <f t="shared" ca="1" si="1481"/>
        <v>0</v>
      </c>
    </row>
    <row r="1412" spans="3:30" x14ac:dyDescent="0.25">
      <c r="C1412" s="6">
        <v>1506</v>
      </c>
      <c r="D1412" s="36">
        <v>44148</v>
      </c>
      <c r="E1412" s="38">
        <v>15.055</v>
      </c>
      <c r="F1412" s="38">
        <v>37.458143521099018</v>
      </c>
      <c r="G1412" s="38">
        <v>44.27</v>
      </c>
      <c r="H1412" s="38">
        <v>2.5488971682179931</v>
      </c>
      <c r="I1412" s="38">
        <v>4.7776106079719041</v>
      </c>
      <c r="J1412" s="10">
        <v>0</v>
      </c>
      <c r="K1412" s="39">
        <v>0</v>
      </c>
      <c r="L1412" s="39">
        <v>0</v>
      </c>
      <c r="M1412" s="39">
        <v>0</v>
      </c>
      <c r="N1412" s="39">
        <v>0</v>
      </c>
      <c r="O1412" s="39">
        <v>0</v>
      </c>
      <c r="P1412" s="39">
        <v>0</v>
      </c>
      <c r="Q1412" s="39">
        <v>0</v>
      </c>
      <c r="R1412" s="39">
        <v>0</v>
      </c>
      <c r="S1412" s="39">
        <v>0</v>
      </c>
      <c r="T1412" s="39">
        <v>1</v>
      </c>
      <c r="U1412" s="29" cm="1">
        <f t="array" aca="1" ref="U1412" ca="1">+fair_value_gap(OFFSET(T1411,0,0,-1*$J$5,-1*$AA$1),OFFSET(E1411,0,0,-1*$J$5,1),F1412:T1412,0)</f>
        <v>15.259806714518351</v>
      </c>
      <c r="V1412" s="9" cm="1">
        <f t="array" aca="1" ref="V1412" ca="1">z_score_diff(OFFSET(U1412,0,0,$J$5*-1,1),OFFSET(E1412,0,0,$J$5*-1,1))</f>
        <v>-6.3361374183654839E-2</v>
      </c>
      <c r="W1412" s="9">
        <f t="shared" ca="1" si="1476"/>
        <v>-0.11267691873188708</v>
      </c>
      <c r="X1412" s="17">
        <f t="shared" ca="1" si="1471"/>
        <v>0.17593566175523606</v>
      </c>
      <c r="Y1412" s="13">
        <f t="shared" ref="Y1412:Z1412" ca="1" si="1538">+Y1411</f>
        <v>0</v>
      </c>
      <c r="Z1412" s="13">
        <f t="shared" ca="1" si="1538"/>
        <v>0</v>
      </c>
      <c r="AA1412">
        <f t="shared" ca="1" si="1478"/>
        <v>1</v>
      </c>
      <c r="AB1412">
        <f t="shared" ca="1" si="1479"/>
        <v>0</v>
      </c>
      <c r="AC1412" s="24">
        <f t="shared" ca="1" si="1480"/>
        <v>0.17593566175523606</v>
      </c>
      <c r="AD1412" s="24">
        <f t="shared" ca="1" si="1481"/>
        <v>0</v>
      </c>
    </row>
    <row r="1413" spans="3:30" x14ac:dyDescent="0.25">
      <c r="C1413" s="6">
        <v>1507</v>
      </c>
      <c r="D1413" s="36">
        <v>44151</v>
      </c>
      <c r="E1413" s="38">
        <v>15.109</v>
      </c>
      <c r="F1413" s="38">
        <v>37.937086200792884</v>
      </c>
      <c r="G1413" s="38">
        <v>44.91</v>
      </c>
      <c r="H1413" s="38">
        <v>2.4655339939893195</v>
      </c>
      <c r="I1413" s="38">
        <v>5.021454162911037</v>
      </c>
      <c r="J1413" s="10">
        <v>0</v>
      </c>
      <c r="K1413" s="39">
        <v>0</v>
      </c>
      <c r="L1413" s="39">
        <v>0</v>
      </c>
      <c r="M1413" s="39">
        <v>0</v>
      </c>
      <c r="N1413" s="39">
        <v>0</v>
      </c>
      <c r="O1413" s="39">
        <v>0</v>
      </c>
      <c r="P1413" s="39">
        <v>0</v>
      </c>
      <c r="Q1413" s="39">
        <v>0</v>
      </c>
      <c r="R1413" s="39">
        <v>0</v>
      </c>
      <c r="S1413" s="39">
        <v>0</v>
      </c>
      <c r="T1413" s="39">
        <v>1</v>
      </c>
      <c r="U1413" s="29" cm="1">
        <f t="array" aca="1" ref="U1413" ca="1">+fair_value_gap(OFFSET(T1412,0,0,-1*$J$5,-1*$AA$1),OFFSET(E1412,0,0,-1*$J$5,1),F1413:T1413,0)</f>
        <v>15.671508789709781</v>
      </c>
      <c r="V1413" s="9" cm="1">
        <f t="array" aca="1" ref="V1413" ca="1">z_score_diff(OFFSET(U1413,0,0,$J$5*-1,1),OFFSET(E1413,0,0,$J$5*-1,1))</f>
        <v>9.3254629966605496E-2</v>
      </c>
      <c r="W1413" s="9">
        <f t="shared" ca="1" si="1476"/>
        <v>-0.10891634068899002</v>
      </c>
      <c r="X1413" s="17">
        <f t="shared" ca="1" si="1471"/>
        <v>0.15765238470366666</v>
      </c>
      <c r="Y1413" s="13">
        <f t="shared" ref="Y1413:Z1413" ca="1" si="1539">+Y1412</f>
        <v>0</v>
      </c>
      <c r="Z1413" s="13">
        <f t="shared" ca="1" si="1539"/>
        <v>0</v>
      </c>
      <c r="AA1413">
        <f t="shared" ca="1" si="1478"/>
        <v>1</v>
      </c>
      <c r="AB1413">
        <f t="shared" ca="1" si="1479"/>
        <v>0</v>
      </c>
      <c r="AC1413" s="24">
        <f t="shared" ca="1" si="1480"/>
        <v>0.15765238470366666</v>
      </c>
      <c r="AD1413" s="24">
        <f t="shared" ca="1" si="1481"/>
        <v>0</v>
      </c>
    </row>
    <row r="1414" spans="3:30" x14ac:dyDescent="0.25">
      <c r="C1414" s="6">
        <v>1508</v>
      </c>
      <c r="D1414" s="36">
        <v>44152</v>
      </c>
      <c r="E1414" s="38">
        <v>14.879</v>
      </c>
      <c r="F1414" s="38">
        <v>37.873342048687853</v>
      </c>
      <c r="G1414" s="38">
        <v>44.54</v>
      </c>
      <c r="H1414" s="38">
        <v>2.4415809341032269</v>
      </c>
      <c r="I1414" s="38">
        <v>4.9483598527528594</v>
      </c>
      <c r="J1414" s="10">
        <v>0</v>
      </c>
      <c r="K1414" s="39">
        <v>0</v>
      </c>
      <c r="L1414" s="39">
        <v>0</v>
      </c>
      <c r="M1414" s="39">
        <v>0</v>
      </c>
      <c r="N1414" s="39">
        <v>0</v>
      </c>
      <c r="O1414" s="39">
        <v>0</v>
      </c>
      <c r="P1414" s="39">
        <v>0</v>
      </c>
      <c r="Q1414" s="39">
        <v>0</v>
      </c>
      <c r="R1414" s="39">
        <v>0</v>
      </c>
      <c r="S1414" s="39">
        <v>0</v>
      </c>
      <c r="T1414" s="39">
        <v>1</v>
      </c>
      <c r="U1414" s="29" cm="1">
        <f t="array" aca="1" ref="U1414" ca="1">+fair_value_gap(OFFSET(T1413,0,0,-1*$J$5,-1*$AA$1),OFFSET(E1413,0,0,-1*$J$5,1),F1414:T1414,0)</f>
        <v>15.443576325397526</v>
      </c>
      <c r="V1414" s="9" cm="1">
        <f t="array" aca="1" ref="V1414" ca="1">z_score_diff(OFFSET(U1414,0,0,$J$5*-1,1),OFFSET(E1414,0,0,$J$5*-1,1))</f>
        <v>9.5176585748209641E-2</v>
      </c>
      <c r="W1414" s="9">
        <f t="shared" ca="1" si="1476"/>
        <v>-0.10320842199395033</v>
      </c>
      <c r="X1414" s="17">
        <f t="shared" ca="1" si="1471"/>
        <v>0.1745738077727399</v>
      </c>
      <c r="Y1414" s="13">
        <f t="shared" ref="Y1414:Z1414" ca="1" si="1540">+Y1413</f>
        <v>0</v>
      </c>
      <c r="Z1414" s="13">
        <f t="shared" ca="1" si="1540"/>
        <v>0</v>
      </c>
      <c r="AA1414">
        <f t="shared" ca="1" si="1478"/>
        <v>1</v>
      </c>
      <c r="AB1414">
        <f t="shared" ca="1" si="1479"/>
        <v>0</v>
      </c>
      <c r="AC1414" s="24">
        <f t="shared" ca="1" si="1480"/>
        <v>0.1745738077727399</v>
      </c>
      <c r="AD1414" s="24">
        <f t="shared" ca="1" si="1481"/>
        <v>0</v>
      </c>
    </row>
    <row r="1415" spans="3:30" x14ac:dyDescent="0.25">
      <c r="C1415" s="6">
        <v>1509</v>
      </c>
      <c r="D1415" s="36">
        <v>44153</v>
      </c>
      <c r="E1415" s="38">
        <v>14.773</v>
      </c>
      <c r="F1415" s="38">
        <v>38.174709965925594</v>
      </c>
      <c r="G1415" s="38">
        <v>44.75</v>
      </c>
      <c r="H1415" s="38">
        <v>2.4367548316697794</v>
      </c>
      <c r="I1415" s="38">
        <v>4.9245543215579159</v>
      </c>
      <c r="J1415" s="10">
        <v>0</v>
      </c>
      <c r="K1415" s="39">
        <v>0</v>
      </c>
      <c r="L1415" s="39">
        <v>0</v>
      </c>
      <c r="M1415" s="39">
        <v>0</v>
      </c>
      <c r="N1415" s="39">
        <v>0</v>
      </c>
      <c r="O1415" s="39">
        <v>0</v>
      </c>
      <c r="P1415" s="39">
        <v>0</v>
      </c>
      <c r="Q1415" s="39">
        <v>0</v>
      </c>
      <c r="R1415" s="39">
        <v>0</v>
      </c>
      <c r="S1415" s="39">
        <v>0</v>
      </c>
      <c r="T1415" s="39">
        <v>1</v>
      </c>
      <c r="U1415" s="29" cm="1">
        <f t="array" aca="1" ref="U1415" ca="1">+fair_value_gap(OFFSET(T1414,0,0,-1*$J$5,-1*$AA$1),OFFSET(E1414,0,0,-1*$J$5,1),F1415:T1415,0)</f>
        <v>15.394753167225504</v>
      </c>
      <c r="V1415" s="9" cm="1">
        <f t="array" aca="1" ref="V1415" ca="1">z_score_diff(OFFSET(U1415,0,0,$J$5*-1,1),OFFSET(E1415,0,0,$J$5*-1,1))</f>
        <v>0.12114472930106346</v>
      </c>
      <c r="W1415" s="9">
        <f t="shared" ca="1" si="1476"/>
        <v>-9.5111857760384819E-2</v>
      </c>
      <c r="X1415" s="17">
        <f t="shared" ref="X1415:X1478" ca="1" si="1541">+LN(OFFSET(E1415,$X$3,0,1,1)/E1415)</f>
        <v>0.19612507889671069</v>
      </c>
      <c r="Y1415" s="13">
        <f t="shared" ref="Y1415:Z1415" ca="1" si="1542">+Y1414</f>
        <v>0</v>
      </c>
      <c r="Z1415" s="13">
        <f t="shared" ca="1" si="1542"/>
        <v>0</v>
      </c>
      <c r="AA1415">
        <f t="shared" ca="1" si="1478"/>
        <v>1</v>
      </c>
      <c r="AB1415">
        <f t="shared" ca="1" si="1479"/>
        <v>0</v>
      </c>
      <c r="AC1415" s="24">
        <f t="shared" ca="1" si="1480"/>
        <v>0.19612507889671069</v>
      </c>
      <c r="AD1415" s="24">
        <f t="shared" ca="1" si="1481"/>
        <v>0</v>
      </c>
    </row>
    <row r="1416" spans="3:30" x14ac:dyDescent="0.25">
      <c r="C1416" s="6">
        <v>1510</v>
      </c>
      <c r="D1416" s="36">
        <v>44154</v>
      </c>
      <c r="E1416" s="38">
        <v>14.358000000000001</v>
      </c>
      <c r="F1416" s="38">
        <v>37.912088370815454</v>
      </c>
      <c r="G1416" s="38">
        <v>44.06</v>
      </c>
      <c r="H1416" s="38">
        <v>2.3702360467902461</v>
      </c>
      <c r="I1416" s="38">
        <v>4.8131070129432088</v>
      </c>
      <c r="J1416" s="10">
        <v>0</v>
      </c>
      <c r="K1416" s="39">
        <v>0</v>
      </c>
      <c r="L1416" s="39">
        <v>0</v>
      </c>
      <c r="M1416" s="39">
        <v>0</v>
      </c>
      <c r="N1416" s="39">
        <v>0</v>
      </c>
      <c r="O1416" s="39">
        <v>0</v>
      </c>
      <c r="P1416" s="39">
        <v>0</v>
      </c>
      <c r="Q1416" s="39">
        <v>0</v>
      </c>
      <c r="R1416" s="39">
        <v>0</v>
      </c>
      <c r="S1416" s="39">
        <v>0</v>
      </c>
      <c r="T1416" s="39">
        <v>1</v>
      </c>
      <c r="U1416" s="29" cm="1">
        <f t="array" aca="1" ref="U1416" ca="1">+fair_value_gap(OFFSET(T1415,0,0,-1*$J$5,-1*$AA$1),OFFSET(E1415,0,0,-1*$J$5,1),F1416:T1416,0)</f>
        <v>15.034913652054151</v>
      </c>
      <c r="V1416" s="9" cm="1">
        <f t="array" aca="1" ref="V1416" ca="1">z_score_diff(OFFSET(U1416,0,0,$J$5*-1,1),OFFSET(E1416,0,0,$J$5*-1,1))</f>
        <v>0.15072784350049584</v>
      </c>
      <c r="W1416" s="9">
        <f t="shared" ca="1" si="1476"/>
        <v>-8.421247309273662E-2</v>
      </c>
      <c r="X1416" s="17">
        <f t="shared" ca="1" si="1541"/>
        <v>0.24056987705561356</v>
      </c>
      <c r="Y1416" s="13">
        <f t="shared" ref="Y1416:Z1416" ca="1" si="1543">+Y1415</f>
        <v>0</v>
      </c>
      <c r="Z1416" s="13">
        <f t="shared" ca="1" si="1543"/>
        <v>0</v>
      </c>
      <c r="AA1416">
        <f t="shared" ca="1" si="1478"/>
        <v>1</v>
      </c>
      <c r="AB1416">
        <f t="shared" ca="1" si="1479"/>
        <v>0</v>
      </c>
      <c r="AC1416" s="24">
        <f t="shared" ca="1" si="1480"/>
        <v>0.24056987705561356</v>
      </c>
      <c r="AD1416" s="24">
        <f t="shared" ca="1" si="1481"/>
        <v>0</v>
      </c>
    </row>
    <row r="1417" spans="3:30" x14ac:dyDescent="0.25">
      <c r="C1417" s="6">
        <v>1511</v>
      </c>
      <c r="D1417" s="36">
        <v>44155</v>
      </c>
      <c r="E1417" s="38">
        <v>14.411</v>
      </c>
      <c r="F1417" s="38">
        <v>38.2961035659117</v>
      </c>
      <c r="G1417" s="38">
        <v>43.43</v>
      </c>
      <c r="H1417" s="38">
        <v>2.3718661217061712</v>
      </c>
      <c r="I1417" s="38">
        <v>4.7838766629616707</v>
      </c>
      <c r="J1417" s="10">
        <v>0</v>
      </c>
      <c r="K1417" s="39">
        <v>0</v>
      </c>
      <c r="L1417" s="39">
        <v>0</v>
      </c>
      <c r="M1417" s="39">
        <v>0</v>
      </c>
      <c r="N1417" s="39">
        <v>0</v>
      </c>
      <c r="O1417" s="39">
        <v>0</v>
      </c>
      <c r="P1417" s="39">
        <v>0</v>
      </c>
      <c r="Q1417" s="39">
        <v>0</v>
      </c>
      <c r="R1417" s="39">
        <v>0</v>
      </c>
      <c r="S1417" s="39">
        <v>0</v>
      </c>
      <c r="T1417" s="39">
        <v>1</v>
      </c>
      <c r="U1417" s="29" cm="1">
        <f t="array" aca="1" ref="U1417" ca="1">+fair_value_gap(OFFSET(T1416,0,0,-1*$J$5,-1*$AA$1),OFFSET(E1416,0,0,-1*$J$5,1),F1417:T1417,0)</f>
        <v>14.834141371342341</v>
      </c>
      <c r="V1417" s="9" cm="1">
        <f t="array" aca="1" ref="V1417" ca="1">z_score_diff(OFFSET(U1417,0,0,$J$5*-1,1),OFFSET(E1417,0,0,$J$5*-1,1))</f>
        <v>3.2592378320094595E-2</v>
      </c>
      <c r="W1417" s="9">
        <f t="shared" ca="1" si="1476"/>
        <v>-7.6551871720423922E-2</v>
      </c>
      <c r="X1417" s="17">
        <f t="shared" ca="1" si="1541"/>
        <v>0.20512075614985592</v>
      </c>
      <c r="Y1417" s="13">
        <f t="shared" ref="Y1417:Z1417" ca="1" si="1544">+Y1416</f>
        <v>0</v>
      </c>
      <c r="Z1417" s="13">
        <f t="shared" ca="1" si="1544"/>
        <v>0</v>
      </c>
      <c r="AA1417">
        <f t="shared" ca="1" si="1478"/>
        <v>1</v>
      </c>
      <c r="AB1417">
        <f t="shared" ca="1" si="1479"/>
        <v>0</v>
      </c>
      <c r="AC1417" s="24">
        <f t="shared" ca="1" si="1480"/>
        <v>0.20512075614985592</v>
      </c>
      <c r="AD1417" s="24">
        <f t="shared" ca="1" si="1481"/>
        <v>0</v>
      </c>
    </row>
    <row r="1418" spans="3:30" x14ac:dyDescent="0.25">
      <c r="C1418" s="6">
        <v>1512</v>
      </c>
      <c r="D1418" s="36">
        <v>44158</v>
      </c>
      <c r="E1418" s="38">
        <v>14.634</v>
      </c>
      <c r="F1418" s="38">
        <v>38.770922394500204</v>
      </c>
      <c r="G1418" s="38">
        <v>44.28</v>
      </c>
      <c r="H1418" s="38">
        <v>2.384549925624154</v>
      </c>
      <c r="I1418" s="38">
        <v>4.8578818295117987</v>
      </c>
      <c r="J1418" s="10">
        <v>0</v>
      </c>
      <c r="K1418" s="39">
        <v>0</v>
      </c>
      <c r="L1418" s="39">
        <v>0</v>
      </c>
      <c r="M1418" s="39">
        <v>0</v>
      </c>
      <c r="N1418" s="39">
        <v>0</v>
      </c>
      <c r="O1418" s="39">
        <v>0</v>
      </c>
      <c r="P1418" s="39">
        <v>0</v>
      </c>
      <c r="Q1418" s="39">
        <v>0</v>
      </c>
      <c r="R1418" s="39">
        <v>0</v>
      </c>
      <c r="S1418" s="39">
        <v>0</v>
      </c>
      <c r="T1418" s="39">
        <v>1</v>
      </c>
      <c r="U1418" s="29" cm="1">
        <f t="array" aca="1" ref="U1418" ca="1">+fair_value_gap(OFFSET(T1417,0,0,-1*$J$5,-1*$AA$1),OFFSET(E1417,0,0,-1*$J$5,1),F1418:T1418,0)</f>
        <v>14.984094229451088</v>
      </c>
      <c r="V1418" s="9" cm="1">
        <f t="array" aca="1" ref="V1418" ca="1">z_score_diff(OFFSET(U1418,0,0,$J$5*-1,1),OFFSET(E1418,0,0,$J$5*-1,1))</f>
        <v>7.2090140891378773E-4</v>
      </c>
      <c r="W1418" s="9">
        <f t="shared" ca="1" si="1476"/>
        <v>-7.0565119393797199E-2</v>
      </c>
      <c r="X1418" s="17">
        <f t="shared" ca="1" si="1541"/>
        <v>0.17639312588080427</v>
      </c>
      <c r="Y1418" s="13">
        <f t="shared" ref="Y1418:Z1418" ca="1" si="1545">+Y1417</f>
        <v>0</v>
      </c>
      <c r="Z1418" s="13">
        <f t="shared" ca="1" si="1545"/>
        <v>0</v>
      </c>
      <c r="AA1418">
        <f t="shared" ca="1" si="1478"/>
        <v>1</v>
      </c>
      <c r="AB1418">
        <f t="shared" ca="1" si="1479"/>
        <v>0</v>
      </c>
      <c r="AC1418" s="24">
        <f t="shared" ca="1" si="1480"/>
        <v>0.17639312588080427</v>
      </c>
      <c r="AD1418" s="24">
        <f t="shared" ca="1" si="1481"/>
        <v>0</v>
      </c>
    </row>
    <row r="1419" spans="3:30" x14ac:dyDescent="0.25">
      <c r="C1419" s="6">
        <v>1513</v>
      </c>
      <c r="D1419" s="36">
        <v>44159</v>
      </c>
      <c r="E1419" s="38">
        <v>14.853999999999999</v>
      </c>
      <c r="F1419" s="38">
        <v>39.792986392316642</v>
      </c>
      <c r="G1419" s="38">
        <v>44.8</v>
      </c>
      <c r="H1419" s="38">
        <v>2.4137686568720262</v>
      </c>
      <c r="I1419" s="38">
        <v>4.904270802490502</v>
      </c>
      <c r="J1419" s="10">
        <v>0</v>
      </c>
      <c r="K1419" s="39">
        <v>0</v>
      </c>
      <c r="L1419" s="39">
        <v>0</v>
      </c>
      <c r="M1419" s="39">
        <v>0</v>
      </c>
      <c r="N1419" s="39">
        <v>0</v>
      </c>
      <c r="O1419" s="39">
        <v>0</v>
      </c>
      <c r="P1419" s="39">
        <v>0</v>
      </c>
      <c r="Q1419" s="39">
        <v>0</v>
      </c>
      <c r="R1419" s="39">
        <v>0</v>
      </c>
      <c r="S1419" s="39">
        <v>0</v>
      </c>
      <c r="T1419" s="39">
        <v>1</v>
      </c>
      <c r="U1419" s="29" cm="1">
        <f t="array" aca="1" ref="U1419" ca="1">+fair_value_gap(OFFSET(T1418,0,0,-1*$J$5,-1*$AA$1),OFFSET(E1418,0,0,-1*$J$5,1),F1419:T1419,0)</f>
        <v>15.132032379891106</v>
      </c>
      <c r="V1419" s="9" cm="1">
        <f t="array" aca="1" ref="V1419" ca="1">z_score_diff(OFFSET(U1419,0,0,$J$5*-1,1),OFFSET(E1419,0,0,$J$5*-1,1))</f>
        <v>-3.3044580615721131E-2</v>
      </c>
      <c r="W1419" s="9">
        <f t="shared" ref="W1419:W1482" ca="1" si="1546">+IF(ISERROR(AVERAGE(OFFSET(V1419,0,0,$W$5*-1,1))),"",AVERAGE(OFFSET(V1419,0,0,$W$5*-1,1)))</f>
        <v>-6.7174028495527491E-2</v>
      </c>
      <c r="X1419" s="17">
        <f t="shared" ca="1" si="1541"/>
        <v>0.20403113951433391</v>
      </c>
      <c r="Y1419" s="13">
        <f t="shared" ref="Y1419:Z1419" ca="1" si="1547">+Y1418</f>
        <v>0</v>
      </c>
      <c r="Z1419" s="13">
        <f t="shared" ca="1" si="1547"/>
        <v>0</v>
      </c>
      <c r="AA1419">
        <f t="shared" ref="AA1419:AA1482" ca="1" si="1548">+IF(W1419="","",IF(W1419&lt;Y1419,1,0))</f>
        <v>1</v>
      </c>
      <c r="AB1419">
        <f t="shared" ref="AB1419:AB1482" ca="1" si="1549">+IF(W1419="","",IF(W1419&gt;Z1419,1,0))</f>
        <v>0</v>
      </c>
      <c r="AC1419" s="24">
        <f t="shared" ref="AC1419:AC1482" ca="1" si="1550">+IF(ISERROR(AA1419*X1419),"",AA1419*X1419)</f>
        <v>0.20403113951433391</v>
      </c>
      <c r="AD1419" s="24">
        <f t="shared" ref="AD1419:AD1482" ca="1" si="1551">+IF(ISERROR(AB1419*X1419),"",AB1419*X1419)</f>
        <v>0</v>
      </c>
    </row>
    <row r="1420" spans="3:30" x14ac:dyDescent="0.25">
      <c r="C1420" s="6">
        <v>1514</v>
      </c>
      <c r="D1420" s="36">
        <v>44160</v>
      </c>
      <c r="E1420" s="38">
        <v>14.936999999999999</v>
      </c>
      <c r="F1420" s="38">
        <v>40.286910041435348</v>
      </c>
      <c r="G1420" s="38">
        <v>45.12</v>
      </c>
      <c r="H1420" s="38">
        <v>2.4333593257830399</v>
      </c>
      <c r="I1420" s="38">
        <v>4.9349592345736752</v>
      </c>
      <c r="J1420" s="10">
        <v>0</v>
      </c>
      <c r="K1420" s="39">
        <v>0</v>
      </c>
      <c r="L1420" s="39">
        <v>0</v>
      </c>
      <c r="M1420" s="39">
        <v>0</v>
      </c>
      <c r="N1420" s="39">
        <v>0</v>
      </c>
      <c r="O1420" s="39">
        <v>0</v>
      </c>
      <c r="P1420" s="39">
        <v>0</v>
      </c>
      <c r="Q1420" s="39">
        <v>0</v>
      </c>
      <c r="R1420" s="39">
        <v>0</v>
      </c>
      <c r="S1420" s="39">
        <v>0</v>
      </c>
      <c r="T1420" s="39">
        <v>1</v>
      </c>
      <c r="U1420" s="29" cm="1">
        <f t="array" aca="1" ref="U1420" ca="1">+fair_value_gap(OFFSET(T1419,0,0,-1*$J$5,-1*$AA$1),OFFSET(E1419,0,0,-1*$J$5,1),F1420:T1420,0)</f>
        <v>15.224322472171965</v>
      </c>
      <c r="V1420" s="9" cm="1">
        <f t="array" aca="1" ref="V1420" ca="1">z_score_diff(OFFSET(U1420,0,0,$J$5*-1,1),OFFSET(E1420,0,0,$J$5*-1,1))</f>
        <v>-2.8698000948401914E-2</v>
      </c>
      <c r="W1420" s="9">
        <f t="shared" ca="1" si="1546"/>
        <v>-6.1295471211735716E-2</v>
      </c>
      <c r="X1420" s="17">
        <f t="shared" ca="1" si="1541"/>
        <v>0.21100618848537198</v>
      </c>
      <c r="Y1420" s="13">
        <f t="shared" ref="Y1420:Z1420" ca="1" si="1552">+Y1419</f>
        <v>0</v>
      </c>
      <c r="Z1420" s="13">
        <f t="shared" ca="1" si="1552"/>
        <v>0</v>
      </c>
      <c r="AA1420">
        <f t="shared" ca="1" si="1548"/>
        <v>1</v>
      </c>
      <c r="AB1420">
        <f t="shared" ca="1" si="1549"/>
        <v>0</v>
      </c>
      <c r="AC1420" s="24">
        <f t="shared" ca="1" si="1550"/>
        <v>0.21100618848537198</v>
      </c>
      <c r="AD1420" s="24">
        <f t="shared" ca="1" si="1551"/>
        <v>0</v>
      </c>
    </row>
    <row r="1421" spans="3:30" x14ac:dyDescent="0.25">
      <c r="C1421" s="6">
        <v>1515</v>
      </c>
      <c r="D1421" s="36">
        <v>44161</v>
      </c>
      <c r="E1421" s="38">
        <v>14.846</v>
      </c>
      <c r="F1421" s="38">
        <v>39.802386977458355</v>
      </c>
      <c r="G1421" s="38">
        <v>45.16</v>
      </c>
      <c r="H1421" s="38">
        <v>2.43477363016921</v>
      </c>
      <c r="I1421" s="38">
        <v>4.9378275057809216</v>
      </c>
      <c r="J1421" s="10">
        <v>0</v>
      </c>
      <c r="K1421" s="39">
        <v>0</v>
      </c>
      <c r="L1421" s="39">
        <v>0</v>
      </c>
      <c r="M1421" s="39">
        <v>0</v>
      </c>
      <c r="N1421" s="39">
        <v>0</v>
      </c>
      <c r="O1421" s="39">
        <v>0</v>
      </c>
      <c r="P1421" s="39">
        <v>0</v>
      </c>
      <c r="Q1421" s="39">
        <v>0</v>
      </c>
      <c r="R1421" s="39">
        <v>0</v>
      </c>
      <c r="S1421" s="39">
        <v>0</v>
      </c>
      <c r="T1421" s="39">
        <v>1</v>
      </c>
      <c r="U1421" s="29" cm="1">
        <f t="array" aca="1" ref="U1421" ca="1">+fair_value_gap(OFFSET(T1420,0,0,-1*$J$5,-1*$AA$1),OFFSET(E1420,0,0,-1*$J$5,1),F1421:T1421,0)</f>
        <v>15.214352759122669</v>
      </c>
      <c r="V1421" s="9" cm="1">
        <f t="array" aca="1" ref="V1421" ca="1">z_score_diff(OFFSET(U1421,0,0,$J$5*-1,1),OFFSET(E1421,0,0,$J$5*-1,1))</f>
        <v>1.321316154107921E-2</v>
      </c>
      <c r="W1421" s="9">
        <f t="shared" ca="1" si="1546"/>
        <v>-5.3684930364053925E-2</v>
      </c>
      <c r="X1421" s="17">
        <f t="shared" ca="1" si="1541"/>
        <v>0.23734905764668565</v>
      </c>
      <c r="Y1421" s="13">
        <f t="shared" ref="Y1421:Z1421" ca="1" si="1553">+Y1420</f>
        <v>0</v>
      </c>
      <c r="Z1421" s="13">
        <f t="shared" ca="1" si="1553"/>
        <v>0</v>
      </c>
      <c r="AA1421">
        <f t="shared" ca="1" si="1548"/>
        <v>1</v>
      </c>
      <c r="AB1421">
        <f t="shared" ca="1" si="1549"/>
        <v>0</v>
      </c>
      <c r="AC1421" s="24">
        <f t="shared" ca="1" si="1550"/>
        <v>0.23734905764668565</v>
      </c>
      <c r="AD1421" s="24">
        <f t="shared" ca="1" si="1551"/>
        <v>0</v>
      </c>
    </row>
    <row r="1422" spans="3:30" x14ac:dyDescent="0.25">
      <c r="C1422" s="6">
        <v>1516</v>
      </c>
      <c r="D1422" s="36">
        <v>44162</v>
      </c>
      <c r="E1422" s="38">
        <v>15.07</v>
      </c>
      <c r="F1422" s="38">
        <v>40.036553672035282</v>
      </c>
      <c r="G1422" s="38">
        <v>45.33</v>
      </c>
      <c r="H1422" s="38">
        <v>2.5242599291150665</v>
      </c>
      <c r="I1422" s="38">
        <v>5.0087154966672145</v>
      </c>
      <c r="J1422" s="10">
        <v>0</v>
      </c>
      <c r="K1422" s="39">
        <v>0</v>
      </c>
      <c r="L1422" s="39">
        <v>0</v>
      </c>
      <c r="M1422" s="39">
        <v>0</v>
      </c>
      <c r="N1422" s="39">
        <v>0</v>
      </c>
      <c r="O1422" s="39">
        <v>0</v>
      </c>
      <c r="P1422" s="39">
        <v>0</v>
      </c>
      <c r="Q1422" s="39">
        <v>0</v>
      </c>
      <c r="R1422" s="39">
        <v>0</v>
      </c>
      <c r="S1422" s="39">
        <v>0</v>
      </c>
      <c r="T1422" s="39">
        <v>1</v>
      </c>
      <c r="U1422" s="29" cm="1">
        <f t="array" aca="1" ref="U1422" ca="1">+fair_value_gap(OFFSET(T1421,0,0,-1*$J$5,-1*$AA$1),OFFSET(E1421,0,0,-1*$J$5,1),F1422:T1422,0)</f>
        <v>15.387288761014483</v>
      </c>
      <c r="V1422" s="9" cm="1">
        <f t="array" aca="1" ref="V1422" ca="1">z_score_diff(OFFSET(U1422,0,0,$J$5*-1,1),OFFSET(E1422,0,0,$J$5*-1,1))</f>
        <v>-1.2335037929302461E-2</v>
      </c>
      <c r="W1422" s="9">
        <f t="shared" ca="1" si="1546"/>
        <v>-5.1787631920261659E-2</v>
      </c>
      <c r="X1422" s="17">
        <f t="shared" ca="1" si="1541"/>
        <v>0.25657961090060349</v>
      </c>
      <c r="Y1422" s="13">
        <f t="shared" ref="Y1422:Z1422" ca="1" si="1554">+Y1421</f>
        <v>0</v>
      </c>
      <c r="Z1422" s="13">
        <f t="shared" ca="1" si="1554"/>
        <v>0</v>
      </c>
      <c r="AA1422">
        <f t="shared" ca="1" si="1548"/>
        <v>1</v>
      </c>
      <c r="AB1422">
        <f t="shared" ca="1" si="1549"/>
        <v>0</v>
      </c>
      <c r="AC1422" s="24">
        <f t="shared" ca="1" si="1550"/>
        <v>0.25657961090060349</v>
      </c>
      <c r="AD1422" s="24">
        <f t="shared" ca="1" si="1551"/>
        <v>0</v>
      </c>
    </row>
    <row r="1423" spans="3:30" x14ac:dyDescent="0.25">
      <c r="C1423" s="6">
        <v>1517</v>
      </c>
      <c r="D1423" s="36">
        <v>44165</v>
      </c>
      <c r="E1423" s="38">
        <v>15.657999999999999</v>
      </c>
      <c r="F1423" s="38">
        <v>39.938313429299455</v>
      </c>
      <c r="G1423" s="38">
        <v>47.57</v>
      </c>
      <c r="H1423" s="38">
        <v>2.5323085492432584</v>
      </c>
      <c r="I1423" s="38">
        <v>5.1253060427067272</v>
      </c>
      <c r="J1423" s="10">
        <v>0</v>
      </c>
      <c r="K1423" s="39">
        <v>0</v>
      </c>
      <c r="L1423" s="39">
        <v>0</v>
      </c>
      <c r="M1423" s="39">
        <v>0</v>
      </c>
      <c r="N1423" s="39">
        <v>0</v>
      </c>
      <c r="O1423" s="39">
        <v>0</v>
      </c>
      <c r="P1423" s="39">
        <v>0</v>
      </c>
      <c r="Q1423" s="39">
        <v>0</v>
      </c>
      <c r="R1423" s="39">
        <v>0</v>
      </c>
      <c r="S1423" s="39">
        <v>0</v>
      </c>
      <c r="T1423" s="39">
        <v>1</v>
      </c>
      <c r="U1423" s="29" cm="1">
        <f t="array" aca="1" ref="U1423" ca="1">+fair_value_gap(OFFSET(T1422,0,0,-1*$J$5,-1*$AA$1),OFFSET(E1422,0,0,-1*$J$5,1),F1423:T1423,0)</f>
        <v>15.882808102824182</v>
      </c>
      <c r="V1423" s="9" cm="1">
        <f t="array" aca="1" ref="V1423" ca="1">z_score_diff(OFFSET(U1423,0,0,$J$5*-1,1),OFFSET(E1423,0,0,$J$5*-1,1))</f>
        <v>-6.077459305814692E-2</v>
      </c>
      <c r="W1423" s="9">
        <f t="shared" ca="1" si="1546"/>
        <v>-5.0129890454760385E-2</v>
      </c>
      <c r="X1423" s="17">
        <f t="shared" ca="1" si="1541"/>
        <v>0.1747033067562338</v>
      </c>
      <c r="Y1423" s="13">
        <f t="shared" ref="Y1423:Z1423" ca="1" si="1555">+Y1422</f>
        <v>0</v>
      </c>
      <c r="Z1423" s="13">
        <f t="shared" ca="1" si="1555"/>
        <v>0</v>
      </c>
      <c r="AA1423">
        <f t="shared" ca="1" si="1548"/>
        <v>1</v>
      </c>
      <c r="AB1423">
        <f t="shared" ca="1" si="1549"/>
        <v>0</v>
      </c>
      <c r="AC1423" s="24">
        <f t="shared" ca="1" si="1550"/>
        <v>0.1747033067562338</v>
      </c>
      <c r="AD1423" s="24">
        <f t="shared" ca="1" si="1551"/>
        <v>0</v>
      </c>
    </row>
    <row r="1424" spans="3:30" x14ac:dyDescent="0.25">
      <c r="C1424" s="6">
        <v>1518</v>
      </c>
      <c r="D1424" s="36">
        <v>44166</v>
      </c>
      <c r="E1424" s="38">
        <v>15.538</v>
      </c>
      <c r="F1424" s="38">
        <v>38.824437127829768</v>
      </c>
      <c r="G1424" s="38">
        <v>48.06</v>
      </c>
      <c r="H1424" s="38">
        <v>2.4987325567350331</v>
      </c>
      <c r="I1424" s="38">
        <v>5.0122553752330488</v>
      </c>
      <c r="J1424" s="10">
        <v>0</v>
      </c>
      <c r="K1424" s="39">
        <v>0</v>
      </c>
      <c r="L1424" s="39">
        <v>0</v>
      </c>
      <c r="M1424" s="39">
        <v>0</v>
      </c>
      <c r="N1424" s="39">
        <v>0</v>
      </c>
      <c r="O1424" s="39">
        <v>0</v>
      </c>
      <c r="P1424" s="39">
        <v>0</v>
      </c>
      <c r="Q1424" s="39">
        <v>0</v>
      </c>
      <c r="R1424" s="39">
        <v>0</v>
      </c>
      <c r="S1424" s="39">
        <v>0</v>
      </c>
      <c r="T1424" s="39">
        <v>0</v>
      </c>
      <c r="U1424" s="29" cm="1">
        <f t="array" aca="1" ref="U1424" ca="1">+fair_value_gap(OFFSET(T1423,0,0,-1*$J$5,-1*$AA$1),OFFSET(E1423,0,0,-1*$J$5,1),F1424:T1424,0)</f>
        <v>16.476507017163836</v>
      </c>
      <c r="V1424" s="9" cm="1">
        <f t="array" aca="1" ref="V1424" ca="1">z_score_diff(OFFSET(U1424,0,0,$J$5*-1,1),OFFSET(E1424,0,0,$J$5*-1,1))</f>
        <v>0.29106209303099262</v>
      </c>
      <c r="W1424" s="9">
        <f t="shared" ca="1" si="1546"/>
        <v>-3.7147717041768571E-2</v>
      </c>
      <c r="X1424" s="17">
        <f t="shared" ca="1" si="1541"/>
        <v>0.17063687432167093</v>
      </c>
      <c r="Y1424" s="13">
        <f t="shared" ref="Y1424:Z1424" ca="1" si="1556">+Y1423</f>
        <v>0</v>
      </c>
      <c r="Z1424" s="13">
        <f t="shared" ca="1" si="1556"/>
        <v>0</v>
      </c>
      <c r="AA1424">
        <f t="shared" ca="1" si="1548"/>
        <v>1</v>
      </c>
      <c r="AB1424">
        <f t="shared" ca="1" si="1549"/>
        <v>0</v>
      </c>
      <c r="AC1424" s="24">
        <f t="shared" ca="1" si="1550"/>
        <v>0.17063687432167093</v>
      </c>
      <c r="AD1424" s="24">
        <f t="shared" ca="1" si="1551"/>
        <v>0</v>
      </c>
    </row>
    <row r="1425" spans="3:30" x14ac:dyDescent="0.25">
      <c r="C1425" s="6">
        <v>1519</v>
      </c>
      <c r="D1425" s="36">
        <v>44167</v>
      </c>
      <c r="E1425" s="38">
        <v>15.428000000000001</v>
      </c>
      <c r="F1425" s="38">
        <v>39.061988074176</v>
      </c>
      <c r="G1425" s="38">
        <v>47.88</v>
      </c>
      <c r="H1425" s="38">
        <v>2.4597011991350501</v>
      </c>
      <c r="I1425" s="38">
        <v>5.0414455147107011</v>
      </c>
      <c r="J1425" s="10">
        <v>0</v>
      </c>
      <c r="K1425" s="39">
        <v>0</v>
      </c>
      <c r="L1425" s="39">
        <v>0</v>
      </c>
      <c r="M1425" s="39">
        <v>0</v>
      </c>
      <c r="N1425" s="39">
        <v>0</v>
      </c>
      <c r="O1425" s="39">
        <v>0</v>
      </c>
      <c r="P1425" s="39">
        <v>0</v>
      </c>
      <c r="Q1425" s="39">
        <v>0</v>
      </c>
      <c r="R1425" s="39">
        <v>0</v>
      </c>
      <c r="S1425" s="39">
        <v>0</v>
      </c>
      <c r="T1425" s="39">
        <v>0</v>
      </c>
      <c r="U1425" s="29" cm="1">
        <f t="array" aca="1" ref="U1425" ca="1">+fair_value_gap(OFFSET(T1424,0,0,-1*$J$5,-1*$AA$1),OFFSET(E1424,0,0,-1*$J$5,1),F1425:T1425,0)</f>
        <v>16.164131339747602</v>
      </c>
      <c r="V1425" s="9" cm="1">
        <f t="array" aca="1" ref="V1425" ca="1">z_score_diff(OFFSET(U1425,0,0,$J$5*-1,1),OFFSET(E1425,0,0,$J$5*-1,1))</f>
        <v>0.19143382406060439</v>
      </c>
      <c r="W1425" s="9">
        <f t="shared" ca="1" si="1546"/>
        <v>-2.7448497968478813E-2</v>
      </c>
      <c r="X1425" s="17">
        <f t="shared" ca="1" si="1541"/>
        <v>0.14978916921527016</v>
      </c>
      <c r="Y1425" s="13">
        <f t="shared" ref="Y1425:Z1425" ca="1" si="1557">+Y1424</f>
        <v>0</v>
      </c>
      <c r="Z1425" s="13">
        <f t="shared" ca="1" si="1557"/>
        <v>0</v>
      </c>
      <c r="AA1425">
        <f t="shared" ca="1" si="1548"/>
        <v>1</v>
      </c>
      <c r="AB1425">
        <f t="shared" ca="1" si="1549"/>
        <v>0</v>
      </c>
      <c r="AC1425" s="24">
        <f t="shared" ca="1" si="1550"/>
        <v>0.14978916921527016</v>
      </c>
      <c r="AD1425" s="24">
        <f t="shared" ca="1" si="1551"/>
        <v>0</v>
      </c>
    </row>
    <row r="1426" spans="3:30" x14ac:dyDescent="0.25">
      <c r="C1426" s="6">
        <v>1520</v>
      </c>
      <c r="D1426" s="36">
        <v>44168</v>
      </c>
      <c r="E1426" s="38">
        <v>14.999000000000001</v>
      </c>
      <c r="F1426" s="38">
        <v>38.965598896029135</v>
      </c>
      <c r="G1426" s="38">
        <v>47.33</v>
      </c>
      <c r="H1426" s="38">
        <v>2.318992055002572</v>
      </c>
      <c r="I1426" s="38">
        <v>4.9156099194068608</v>
      </c>
      <c r="J1426" s="10">
        <v>0</v>
      </c>
      <c r="K1426" s="39">
        <v>0</v>
      </c>
      <c r="L1426" s="39">
        <v>0</v>
      </c>
      <c r="M1426" s="39">
        <v>0</v>
      </c>
      <c r="N1426" s="39">
        <v>0</v>
      </c>
      <c r="O1426" s="39">
        <v>0</v>
      </c>
      <c r="P1426" s="39">
        <v>0</v>
      </c>
      <c r="Q1426" s="39">
        <v>0</v>
      </c>
      <c r="R1426" s="39">
        <v>0</v>
      </c>
      <c r="S1426" s="39">
        <v>0</v>
      </c>
      <c r="T1426" s="39">
        <v>0</v>
      </c>
      <c r="U1426" s="29" cm="1">
        <f t="array" aca="1" ref="U1426" ca="1">+fair_value_gap(OFFSET(T1425,0,0,-1*$J$5,-1*$AA$1),OFFSET(E1425,0,0,-1*$J$5,1),F1426:T1426,0)</f>
        <v>15.659236769000277</v>
      </c>
      <c r="V1426" s="9" cm="1">
        <f t="array" aca="1" ref="V1426" ca="1">z_score_diff(OFFSET(U1426,0,0,$J$5*-1,1),OFFSET(E1426,0,0,$J$5*-1,1))</f>
        <v>0.1556950118713939</v>
      </c>
      <c r="W1426" s="9">
        <f t="shared" ca="1" si="1546"/>
        <v>-1.6103068354689779E-2</v>
      </c>
      <c r="X1426" s="17">
        <f t="shared" ca="1" si="1541"/>
        <v>0.16580707053552612</v>
      </c>
      <c r="Y1426" s="13">
        <f t="shared" ref="Y1426:Z1426" ca="1" si="1558">+Y1425</f>
        <v>0</v>
      </c>
      <c r="Z1426" s="13">
        <f t="shared" ca="1" si="1558"/>
        <v>0</v>
      </c>
      <c r="AA1426">
        <f t="shared" ca="1" si="1548"/>
        <v>1</v>
      </c>
      <c r="AB1426">
        <f t="shared" ca="1" si="1549"/>
        <v>0</v>
      </c>
      <c r="AC1426" s="24">
        <f t="shared" ca="1" si="1550"/>
        <v>0.16580707053552612</v>
      </c>
      <c r="AD1426" s="24">
        <f t="shared" ca="1" si="1551"/>
        <v>0</v>
      </c>
    </row>
    <row r="1427" spans="3:30" x14ac:dyDescent="0.25">
      <c r="C1427" s="6">
        <v>1521</v>
      </c>
      <c r="D1427" s="36">
        <v>44169</v>
      </c>
      <c r="E1427" s="38">
        <v>15.324999999999999</v>
      </c>
      <c r="F1427" s="38">
        <v>39.573260028307516</v>
      </c>
      <c r="G1427" s="38">
        <v>47.85</v>
      </c>
      <c r="H1427" s="38">
        <v>2.3488697444959867</v>
      </c>
      <c r="I1427" s="38">
        <v>5.0192671133691675</v>
      </c>
      <c r="J1427" s="10">
        <v>0</v>
      </c>
      <c r="K1427" s="39">
        <v>0</v>
      </c>
      <c r="L1427" s="39">
        <v>0</v>
      </c>
      <c r="M1427" s="39">
        <v>0</v>
      </c>
      <c r="N1427" s="39">
        <v>0</v>
      </c>
      <c r="O1427" s="39">
        <v>0</v>
      </c>
      <c r="P1427" s="39">
        <v>0</v>
      </c>
      <c r="Q1427" s="39">
        <v>0</v>
      </c>
      <c r="R1427" s="39">
        <v>0</v>
      </c>
      <c r="S1427" s="39">
        <v>0</v>
      </c>
      <c r="T1427" s="39">
        <v>0</v>
      </c>
      <c r="U1427" s="29" cm="1">
        <f t="array" aca="1" ref="U1427" ca="1">+fair_value_gap(OFFSET(T1426,0,0,-1*$J$5,-1*$AA$1),OFFSET(E1426,0,0,-1*$J$5,1),F1427:T1427,0)</f>
        <v>15.774273228986594</v>
      </c>
      <c r="V1427" s="9" cm="1">
        <f t="array" aca="1" ref="V1427" ca="1">z_score_diff(OFFSET(U1427,0,0,$J$5*-1,1),OFFSET(E1427,0,0,$J$5*-1,1))</f>
        <v>4.5015421176385795E-2</v>
      </c>
      <c r="W1427" s="9">
        <f t="shared" ca="1" si="1546"/>
        <v>-9.0097560536647088E-3</v>
      </c>
      <c r="X1427" s="17">
        <f t="shared" ca="1" si="1541"/>
        <v>0.18963568935987549</v>
      </c>
      <c r="Y1427" s="13">
        <f t="shared" ref="Y1427:Z1427" ca="1" si="1559">+Y1426</f>
        <v>0</v>
      </c>
      <c r="Z1427" s="13">
        <f t="shared" ca="1" si="1559"/>
        <v>0</v>
      </c>
      <c r="AA1427">
        <f t="shared" ca="1" si="1548"/>
        <v>1</v>
      </c>
      <c r="AB1427">
        <f t="shared" ca="1" si="1549"/>
        <v>0</v>
      </c>
      <c r="AC1427" s="24">
        <f t="shared" ca="1" si="1550"/>
        <v>0.18963568935987549</v>
      </c>
      <c r="AD1427" s="24">
        <f t="shared" ca="1" si="1551"/>
        <v>0</v>
      </c>
    </row>
    <row r="1428" spans="3:30" x14ac:dyDescent="0.25">
      <c r="C1428" s="6">
        <v>1522</v>
      </c>
      <c r="D1428" s="36">
        <v>44172</v>
      </c>
      <c r="E1428" s="38">
        <v>15.172000000000001</v>
      </c>
      <c r="F1428" s="38">
        <v>39.529573522551495</v>
      </c>
      <c r="G1428" s="38">
        <v>48.26</v>
      </c>
      <c r="H1428" s="38">
        <v>2.2956615679245749</v>
      </c>
      <c r="I1428" s="38">
        <v>4.9964398831299572</v>
      </c>
      <c r="J1428" s="10">
        <v>0</v>
      </c>
      <c r="K1428" s="39">
        <v>0</v>
      </c>
      <c r="L1428" s="39">
        <v>0</v>
      </c>
      <c r="M1428" s="39">
        <v>0</v>
      </c>
      <c r="N1428" s="39">
        <v>0</v>
      </c>
      <c r="O1428" s="39">
        <v>0</v>
      </c>
      <c r="P1428" s="39">
        <v>0</v>
      </c>
      <c r="Q1428" s="39">
        <v>0</v>
      </c>
      <c r="R1428" s="39">
        <v>0</v>
      </c>
      <c r="S1428" s="39">
        <v>0</v>
      </c>
      <c r="T1428" s="39">
        <v>0</v>
      </c>
      <c r="U1428" s="29" cm="1">
        <f t="array" aca="1" ref="U1428" ca="1">+fair_value_gap(OFFSET(T1427,0,0,-1*$J$5,-1*$AA$1),OFFSET(E1427,0,0,-1*$J$5,1),F1428:T1428,0)</f>
        <v>15.664895141355128</v>
      </c>
      <c r="V1428" s="9" cm="1">
        <f t="array" aca="1" ref="V1428" ca="1">z_score_diff(OFFSET(U1428,0,0,$J$5*-1,1),OFFSET(E1428,0,0,$J$5*-1,1))</f>
        <v>6.7940297552949946E-2</v>
      </c>
      <c r="W1428" s="9">
        <f t="shared" ca="1" si="1546"/>
        <v>-4.1614075227592601E-3</v>
      </c>
      <c r="X1428" s="17">
        <f t="shared" ca="1" si="1541"/>
        <v>0.19615460524805359</v>
      </c>
      <c r="Y1428" s="13">
        <f t="shared" ref="Y1428:Z1428" ca="1" si="1560">+Y1427</f>
        <v>0</v>
      </c>
      <c r="Z1428" s="13">
        <f t="shared" ca="1" si="1560"/>
        <v>0</v>
      </c>
      <c r="AA1428">
        <f t="shared" ca="1" si="1548"/>
        <v>1</v>
      </c>
      <c r="AB1428">
        <f t="shared" ca="1" si="1549"/>
        <v>0</v>
      </c>
      <c r="AC1428" s="24">
        <f t="shared" ca="1" si="1550"/>
        <v>0.19615460524805359</v>
      </c>
      <c r="AD1428" s="24">
        <f t="shared" ca="1" si="1551"/>
        <v>0</v>
      </c>
    </row>
    <row r="1429" spans="3:30" x14ac:dyDescent="0.25">
      <c r="C1429" s="6">
        <v>1523</v>
      </c>
      <c r="D1429" s="36">
        <v>44173</v>
      </c>
      <c r="E1429" s="38">
        <v>15.236000000000001</v>
      </c>
      <c r="F1429" s="38">
        <v>39.595983414883371</v>
      </c>
      <c r="G1429" s="38">
        <v>47.87</v>
      </c>
      <c r="H1429" s="38">
        <v>2.3163159032403859</v>
      </c>
      <c r="I1429" s="38">
        <v>5.0027183346761257</v>
      </c>
      <c r="J1429" s="10">
        <v>0</v>
      </c>
      <c r="K1429" s="39">
        <v>0</v>
      </c>
      <c r="L1429" s="39">
        <v>0</v>
      </c>
      <c r="M1429" s="39">
        <v>0</v>
      </c>
      <c r="N1429" s="39">
        <v>0</v>
      </c>
      <c r="O1429" s="39">
        <v>0</v>
      </c>
      <c r="P1429" s="39">
        <v>0</v>
      </c>
      <c r="Q1429" s="39">
        <v>0</v>
      </c>
      <c r="R1429" s="39">
        <v>0</v>
      </c>
      <c r="S1429" s="39">
        <v>0</v>
      </c>
      <c r="T1429" s="39">
        <v>0</v>
      </c>
      <c r="U1429" s="29" cm="1">
        <f t="array" aca="1" ref="U1429" ca="1">+fair_value_gap(OFFSET(T1428,0,0,-1*$J$5,-1*$AA$1),OFFSET(E1428,0,0,-1*$J$5,1),F1429:T1429,0)</f>
        <v>15.57929877700883</v>
      </c>
      <c r="V1429" s="9" cm="1">
        <f t="array" aca="1" ref="V1429" ca="1">z_score_diff(OFFSET(U1429,0,0,$J$5*-1,1),OFFSET(E1429,0,0,$J$5*-1,1))</f>
        <v>-1.1158505693805276E-2</v>
      </c>
      <c r="W1429" s="9">
        <f t="shared" ca="1" si="1546"/>
        <v>1.0669186857481046E-3</v>
      </c>
      <c r="X1429" s="17">
        <f t="shared" ca="1" si="1541"/>
        <v>0.19756317276257171</v>
      </c>
      <c r="Y1429" s="13">
        <f t="shared" ref="Y1429:Z1429" ca="1" si="1561">+Y1428</f>
        <v>0</v>
      </c>
      <c r="Z1429" s="13">
        <f t="shared" ca="1" si="1561"/>
        <v>0</v>
      </c>
      <c r="AA1429">
        <f t="shared" ca="1" si="1548"/>
        <v>0</v>
      </c>
      <c r="AB1429">
        <f t="shared" ca="1" si="1549"/>
        <v>1</v>
      </c>
      <c r="AC1429" s="24">
        <f t="shared" ca="1" si="1550"/>
        <v>0</v>
      </c>
      <c r="AD1429" s="24">
        <f t="shared" ca="1" si="1551"/>
        <v>0.19756317276257171</v>
      </c>
    </row>
    <row r="1430" spans="3:30" x14ac:dyDescent="0.25">
      <c r="C1430" s="6">
        <v>1524</v>
      </c>
      <c r="D1430" s="36">
        <v>44174</v>
      </c>
      <c r="E1430" s="38">
        <v>15.397</v>
      </c>
      <c r="F1430" s="38">
        <v>39.558065823964974</v>
      </c>
      <c r="G1430" s="38">
        <v>48.78</v>
      </c>
      <c r="H1430" s="38">
        <v>2.3390142655248995</v>
      </c>
      <c r="I1430" s="38">
        <v>5.1006925123639473</v>
      </c>
      <c r="J1430" s="10">
        <v>0</v>
      </c>
      <c r="K1430" s="39">
        <v>0</v>
      </c>
      <c r="L1430" s="39">
        <v>0</v>
      </c>
      <c r="M1430" s="39">
        <v>0</v>
      </c>
      <c r="N1430" s="39">
        <v>0</v>
      </c>
      <c r="O1430" s="39">
        <v>0</v>
      </c>
      <c r="P1430" s="39">
        <v>0</v>
      </c>
      <c r="Q1430" s="39">
        <v>0</v>
      </c>
      <c r="R1430" s="39">
        <v>0</v>
      </c>
      <c r="S1430" s="39">
        <v>0</v>
      </c>
      <c r="T1430" s="39">
        <v>0</v>
      </c>
      <c r="U1430" s="29" cm="1">
        <f t="array" aca="1" ref="U1430" ca="1">+fair_value_gap(OFFSET(T1429,0,0,-1*$J$5,-1*$AA$1),OFFSET(E1429,0,0,-1*$J$5,1),F1430:T1430,0)</f>
        <v>15.79453541515514</v>
      </c>
      <c r="V1430" s="9" cm="1">
        <f t="array" aca="1" ref="V1430" ca="1">z_score_diff(OFFSET(U1430,0,0,$J$5*-1,1),OFFSET(E1430,0,0,$J$5*-1,1))</f>
        <v>1.1715135676898969E-2</v>
      </c>
      <c r="W1430" s="9">
        <f t="shared" ca="1" si="1546"/>
        <v>3.4143293935656699E-3</v>
      </c>
      <c r="X1430" s="17">
        <f t="shared" ca="1" si="1541"/>
        <v>0.20350665685759209</v>
      </c>
      <c r="Y1430" s="13">
        <f t="shared" ref="Y1430:Z1430" ca="1" si="1562">+Y1429</f>
        <v>0</v>
      </c>
      <c r="Z1430" s="13">
        <f t="shared" ca="1" si="1562"/>
        <v>0</v>
      </c>
      <c r="AA1430">
        <f t="shared" ca="1" si="1548"/>
        <v>0</v>
      </c>
      <c r="AB1430">
        <f t="shared" ca="1" si="1549"/>
        <v>1</v>
      </c>
      <c r="AC1430" s="24">
        <f t="shared" ca="1" si="1550"/>
        <v>0</v>
      </c>
      <c r="AD1430" s="24">
        <f t="shared" ca="1" si="1551"/>
        <v>0.20350665685759209</v>
      </c>
    </row>
    <row r="1431" spans="3:30" x14ac:dyDescent="0.25">
      <c r="C1431" s="6">
        <v>1525</v>
      </c>
      <c r="D1431" s="36">
        <v>44175</v>
      </c>
      <c r="E1431" s="38">
        <v>15.819000000000001</v>
      </c>
      <c r="F1431" s="38">
        <v>40.105357239143615</v>
      </c>
      <c r="G1431" s="38">
        <v>49.39</v>
      </c>
      <c r="H1431" s="38">
        <v>2.3782174561651468</v>
      </c>
      <c r="I1431" s="38">
        <v>5.2368168650012334</v>
      </c>
      <c r="J1431" s="10">
        <v>0</v>
      </c>
      <c r="K1431" s="39">
        <v>0</v>
      </c>
      <c r="L1431" s="39">
        <v>0</v>
      </c>
      <c r="M1431" s="39">
        <v>0</v>
      </c>
      <c r="N1431" s="39">
        <v>0</v>
      </c>
      <c r="O1431" s="39">
        <v>0</v>
      </c>
      <c r="P1431" s="39">
        <v>0</v>
      </c>
      <c r="Q1431" s="39">
        <v>0</v>
      </c>
      <c r="R1431" s="39">
        <v>0</v>
      </c>
      <c r="S1431" s="39">
        <v>0</v>
      </c>
      <c r="T1431" s="39">
        <v>0</v>
      </c>
      <c r="U1431" s="29" cm="1">
        <f t="array" aca="1" ref="U1431" ca="1">+fair_value_gap(OFFSET(T1430,0,0,-1*$J$5,-1*$AA$1),OFFSET(E1430,0,0,-1*$J$5,1),F1431:T1431,0)</f>
        <v>16.056893424204734</v>
      </c>
      <c r="V1431" s="9" cm="1">
        <f t="array" aca="1" ref="V1431" ca="1">z_score_diff(OFFSET(U1431,0,0,$J$5*-1,1),OFFSET(E1431,0,0,$J$5*-1,1))</f>
        <v>-8.3244289315808295E-2</v>
      </c>
      <c r="W1431" s="9">
        <f t="shared" ca="1" si="1546"/>
        <v>1.1126933505748707E-3</v>
      </c>
      <c r="X1431" s="17">
        <f t="shared" ca="1" si="1541"/>
        <v>0.15222528161071849</v>
      </c>
      <c r="Y1431" s="13">
        <f t="shared" ref="Y1431:Z1431" ca="1" si="1563">+Y1430</f>
        <v>0</v>
      </c>
      <c r="Z1431" s="13">
        <f t="shared" ca="1" si="1563"/>
        <v>0</v>
      </c>
      <c r="AA1431">
        <f t="shared" ca="1" si="1548"/>
        <v>0</v>
      </c>
      <c r="AB1431">
        <f t="shared" ca="1" si="1549"/>
        <v>1</v>
      </c>
      <c r="AC1431" s="24">
        <f t="shared" ca="1" si="1550"/>
        <v>0</v>
      </c>
      <c r="AD1431" s="24">
        <f t="shared" ca="1" si="1551"/>
        <v>0.15222528161071849</v>
      </c>
    </row>
    <row r="1432" spans="3:30" x14ac:dyDescent="0.25">
      <c r="C1432" s="6">
        <v>1526</v>
      </c>
      <c r="D1432" s="36">
        <v>44176</v>
      </c>
      <c r="E1432" s="38">
        <v>16.164999999999999</v>
      </c>
      <c r="F1432" s="38">
        <v>40.046005427330662</v>
      </c>
      <c r="G1432" s="38">
        <v>50.04</v>
      </c>
      <c r="H1432" s="38">
        <v>2.4025966052578802</v>
      </c>
      <c r="I1432" s="38">
        <v>5.3782145473745393</v>
      </c>
      <c r="J1432" s="10">
        <v>0</v>
      </c>
      <c r="K1432" s="39">
        <v>0</v>
      </c>
      <c r="L1432" s="39">
        <v>0</v>
      </c>
      <c r="M1432" s="39">
        <v>0</v>
      </c>
      <c r="N1432" s="39">
        <v>0</v>
      </c>
      <c r="O1432" s="39">
        <v>0</v>
      </c>
      <c r="P1432" s="39">
        <v>0</v>
      </c>
      <c r="Q1432" s="39">
        <v>0</v>
      </c>
      <c r="R1432" s="39">
        <v>0</v>
      </c>
      <c r="S1432" s="39">
        <v>0</v>
      </c>
      <c r="T1432" s="39">
        <v>0</v>
      </c>
      <c r="U1432" s="29" cm="1">
        <f t="array" aca="1" ref="U1432" ca="1">+fair_value_gap(OFFSET(T1431,0,0,-1*$J$5,-1*$AA$1),OFFSET(E1431,0,0,-1*$J$5,1),F1432:T1432,0)</f>
        <v>16.299542975699143</v>
      </c>
      <c r="V1432" s="9" cm="1">
        <f t="array" aca="1" ref="V1432" ca="1">z_score_diff(OFFSET(U1432,0,0,$J$5*-1,1),OFFSET(E1432,0,0,$J$5*-1,1))</f>
        <v>-0.14853646616740934</v>
      </c>
      <c r="W1432" s="9">
        <f t="shared" ca="1" si="1546"/>
        <v>1.0784880210134995E-2</v>
      </c>
      <c r="X1432" s="17">
        <f t="shared" ca="1" si="1541"/>
        <v>0.12498117920068356</v>
      </c>
      <c r="Y1432" s="13">
        <f t="shared" ref="Y1432:Z1432" ca="1" si="1564">+Y1431</f>
        <v>0</v>
      </c>
      <c r="Z1432" s="13">
        <f t="shared" ca="1" si="1564"/>
        <v>0</v>
      </c>
      <c r="AA1432">
        <f t="shared" ca="1" si="1548"/>
        <v>0</v>
      </c>
      <c r="AB1432">
        <f t="shared" ca="1" si="1549"/>
        <v>1</v>
      </c>
      <c r="AC1432" s="24">
        <f t="shared" ca="1" si="1550"/>
        <v>0</v>
      </c>
      <c r="AD1432" s="24">
        <f t="shared" ca="1" si="1551"/>
        <v>0.12498117920068356</v>
      </c>
    </row>
    <row r="1433" spans="3:30" x14ac:dyDescent="0.25">
      <c r="C1433" s="6">
        <v>1527</v>
      </c>
      <c r="D1433" s="36">
        <v>44179</v>
      </c>
      <c r="E1433" s="38">
        <v>16.547000000000001</v>
      </c>
      <c r="F1433" s="38">
        <v>40.329032658352681</v>
      </c>
      <c r="G1433" s="38">
        <v>51.42</v>
      </c>
      <c r="H1433" s="38">
        <v>2.4328039943702633</v>
      </c>
      <c r="I1433" s="38">
        <v>5.5391191616786024</v>
      </c>
      <c r="J1433" s="10">
        <v>0</v>
      </c>
      <c r="K1433" s="39">
        <v>0</v>
      </c>
      <c r="L1433" s="39">
        <v>0</v>
      </c>
      <c r="M1433" s="39">
        <v>0</v>
      </c>
      <c r="N1433" s="39">
        <v>0</v>
      </c>
      <c r="O1433" s="39">
        <v>0</v>
      </c>
      <c r="P1433" s="39">
        <v>0</v>
      </c>
      <c r="Q1433" s="39">
        <v>0</v>
      </c>
      <c r="R1433" s="39">
        <v>0</v>
      </c>
      <c r="S1433" s="39">
        <v>0</v>
      </c>
      <c r="T1433" s="39">
        <v>0</v>
      </c>
      <c r="U1433" s="29" cm="1">
        <f t="array" aca="1" ref="U1433" ca="1">+fair_value_gap(OFFSET(T1432,0,0,-1*$J$5,-1*$AA$1),OFFSET(E1432,0,0,-1*$J$5,1),F1433:T1433,0)</f>
        <v>16.674830381008007</v>
      </c>
      <c r="V1433" s="9" cm="1">
        <f t="array" aca="1" ref="V1433" ca="1">z_score_diff(OFFSET(U1433,0,0,$J$5*-1,1),OFFSET(E1433,0,0,$J$5*-1,1))</f>
        <v>-0.16266983493527687</v>
      </c>
      <c r="W1433" s="9">
        <f t="shared" ca="1" si="1546"/>
        <v>3.8040920439119589E-3</v>
      </c>
      <c r="X1433" s="17">
        <f t="shared" ca="1" si="1541"/>
        <v>0.11280838663087869</v>
      </c>
      <c r="Y1433" s="13">
        <f t="shared" ref="Y1433:Z1433" ca="1" si="1565">+Y1432</f>
        <v>0</v>
      </c>
      <c r="Z1433" s="13">
        <f t="shared" ca="1" si="1565"/>
        <v>0</v>
      </c>
      <c r="AA1433">
        <f t="shared" ca="1" si="1548"/>
        <v>0</v>
      </c>
      <c r="AB1433">
        <f t="shared" ca="1" si="1549"/>
        <v>1</v>
      </c>
      <c r="AC1433" s="24">
        <f t="shared" ca="1" si="1550"/>
        <v>0</v>
      </c>
      <c r="AD1433" s="24">
        <f t="shared" ca="1" si="1551"/>
        <v>0.11280838663087869</v>
      </c>
    </row>
    <row r="1434" spans="3:30" x14ac:dyDescent="0.25">
      <c r="C1434" s="6">
        <v>1528</v>
      </c>
      <c r="D1434" s="36">
        <v>44180</v>
      </c>
      <c r="E1434" s="38">
        <v>16.872</v>
      </c>
      <c r="F1434" s="38">
        <v>40.578339191205849</v>
      </c>
      <c r="G1434" s="38">
        <v>51.72</v>
      </c>
      <c r="H1434" s="38">
        <v>2.4382884682818631</v>
      </c>
      <c r="I1434" s="38">
        <v>5.5452714328818287</v>
      </c>
      <c r="J1434" s="10">
        <v>0</v>
      </c>
      <c r="K1434" s="39">
        <v>0</v>
      </c>
      <c r="L1434" s="39">
        <v>0</v>
      </c>
      <c r="M1434" s="39">
        <v>0</v>
      </c>
      <c r="N1434" s="39">
        <v>0</v>
      </c>
      <c r="O1434" s="39">
        <v>0</v>
      </c>
      <c r="P1434" s="39">
        <v>0</v>
      </c>
      <c r="Q1434" s="39">
        <v>0</v>
      </c>
      <c r="R1434" s="39">
        <v>0</v>
      </c>
      <c r="S1434" s="39">
        <v>0</v>
      </c>
      <c r="T1434" s="39">
        <v>0</v>
      </c>
      <c r="U1434" s="29" cm="1">
        <f t="array" aca="1" ref="U1434" ca="1">+fair_value_gap(OFFSET(T1433,0,0,-1*$J$5,-1*$AA$1),OFFSET(E1433,0,0,-1*$J$5,1),F1434:T1434,0)</f>
        <v>16.694637878845512</v>
      </c>
      <c r="V1434" s="9" cm="1">
        <f t="array" aca="1" ref="V1434" ca="1">z_score_diff(OFFSET(U1434,0,0,$J$5*-1,1),OFFSET(E1434,0,0,$J$5*-1,1))</f>
        <v>-0.33022017678287074</v>
      </c>
      <c r="W1434" s="9">
        <f t="shared" ca="1" si="1546"/>
        <v>-5.7306241139753206E-3</v>
      </c>
      <c r="X1434" s="17">
        <f t="shared" ca="1" si="1541"/>
        <v>0.1095303305094838</v>
      </c>
      <c r="Y1434" s="13">
        <f t="shared" ref="Y1434:Z1434" ca="1" si="1566">+Y1433</f>
        <v>0</v>
      </c>
      <c r="Z1434" s="13">
        <f t="shared" ca="1" si="1566"/>
        <v>0</v>
      </c>
      <c r="AA1434">
        <f t="shared" ca="1" si="1548"/>
        <v>1</v>
      </c>
      <c r="AB1434">
        <f t="shared" ca="1" si="1549"/>
        <v>0</v>
      </c>
      <c r="AC1434" s="24">
        <f t="shared" ca="1" si="1550"/>
        <v>0.1095303305094838</v>
      </c>
      <c r="AD1434" s="24">
        <f t="shared" ca="1" si="1551"/>
        <v>0</v>
      </c>
    </row>
    <row r="1435" spans="3:30" x14ac:dyDescent="0.25">
      <c r="C1435" s="6">
        <v>1529</v>
      </c>
      <c r="D1435" s="36">
        <v>44181</v>
      </c>
      <c r="E1435" s="38">
        <v>16.411999999999999</v>
      </c>
      <c r="F1435" s="38">
        <v>40.77553272704484</v>
      </c>
      <c r="G1435" s="38">
        <v>50.76</v>
      </c>
      <c r="H1435" s="38">
        <v>2.4546707925103242</v>
      </c>
      <c r="I1435" s="38">
        <v>5.5954448602481692</v>
      </c>
      <c r="J1435" s="10">
        <v>0</v>
      </c>
      <c r="K1435" s="39">
        <v>0</v>
      </c>
      <c r="L1435" s="39">
        <v>0</v>
      </c>
      <c r="M1435" s="39">
        <v>0</v>
      </c>
      <c r="N1435" s="39">
        <v>0</v>
      </c>
      <c r="O1435" s="39">
        <v>0</v>
      </c>
      <c r="P1435" s="39">
        <v>0</v>
      </c>
      <c r="Q1435" s="39">
        <v>0</v>
      </c>
      <c r="R1435" s="39">
        <v>0</v>
      </c>
      <c r="S1435" s="39">
        <v>0</v>
      </c>
      <c r="T1435" s="39">
        <v>0</v>
      </c>
      <c r="U1435" s="29" cm="1">
        <f t="array" aca="1" ref="U1435" ca="1">+fair_value_gap(OFFSET(T1434,0,0,-1*$J$5,-1*$AA$1),OFFSET(E1434,0,0,-1*$J$5,1),F1435:T1435,0)</f>
        <v>16.684274622118654</v>
      </c>
      <c r="V1435" s="9" cm="1">
        <f t="array" aca="1" ref="V1435" ca="1">z_score_diff(OFFSET(U1435,0,0,$J$5*-1,1),OFFSET(E1435,0,0,$J$5*-1,1))</f>
        <v>-8.3518973823536014E-2</v>
      </c>
      <c r="W1435" s="9">
        <f t="shared" ca="1" si="1546"/>
        <v>-5.7926426524027427E-3</v>
      </c>
      <c r="X1435" s="17">
        <f t="shared" ca="1" si="1541"/>
        <v>0.12471860608956112</v>
      </c>
      <c r="Y1435" s="13">
        <f t="shared" ref="Y1435:Z1435" ca="1" si="1567">+Y1434</f>
        <v>0</v>
      </c>
      <c r="Z1435" s="13">
        <f t="shared" ca="1" si="1567"/>
        <v>0</v>
      </c>
      <c r="AA1435">
        <f t="shared" ca="1" si="1548"/>
        <v>1</v>
      </c>
      <c r="AB1435">
        <f t="shared" ca="1" si="1549"/>
        <v>0</v>
      </c>
      <c r="AC1435" s="24">
        <f t="shared" ca="1" si="1550"/>
        <v>0.12471860608956112</v>
      </c>
      <c r="AD1435" s="24">
        <f t="shared" ca="1" si="1551"/>
        <v>0</v>
      </c>
    </row>
    <row r="1436" spans="3:30" x14ac:dyDescent="0.25">
      <c r="C1436" s="6">
        <v>1530</v>
      </c>
      <c r="D1436" s="36">
        <v>44182</v>
      </c>
      <c r="E1436" s="38">
        <v>16.177</v>
      </c>
      <c r="F1436" s="38">
        <v>40.984567519427038</v>
      </c>
      <c r="G1436" s="38">
        <v>50.82</v>
      </c>
      <c r="H1436" s="38">
        <v>2.4053874209961621</v>
      </c>
      <c r="I1436" s="38">
        <v>5.5384550701928434</v>
      </c>
      <c r="J1436" s="10">
        <v>0</v>
      </c>
      <c r="K1436" s="39">
        <v>0</v>
      </c>
      <c r="L1436" s="39">
        <v>0</v>
      </c>
      <c r="M1436" s="39">
        <v>0</v>
      </c>
      <c r="N1436" s="39">
        <v>0</v>
      </c>
      <c r="O1436" s="39">
        <v>0</v>
      </c>
      <c r="P1436" s="39">
        <v>0</v>
      </c>
      <c r="Q1436" s="39">
        <v>0</v>
      </c>
      <c r="R1436" s="39">
        <v>0</v>
      </c>
      <c r="S1436" s="39">
        <v>0</v>
      </c>
      <c r="T1436" s="39">
        <v>0</v>
      </c>
      <c r="U1436" s="29" cm="1">
        <f t="array" aca="1" ref="U1436" ca="1">+fair_value_gap(OFFSET(T1435,0,0,-1*$J$5,-1*$AA$1),OFFSET(E1435,0,0,-1*$J$5,1),F1436:T1436,0)</f>
        <v>16.542101947849677</v>
      </c>
      <c r="V1436" s="9" cm="1">
        <f t="array" aca="1" ref="V1436" ca="1">z_score_diff(OFFSET(U1436,0,0,$J$5*-1,1),OFFSET(E1436,0,0,$J$5*-1,1))</f>
        <v>-3.2696792656751628E-2</v>
      </c>
      <c r="W1436" s="9">
        <f t="shared" ca="1" si="1546"/>
        <v>-3.4105336466785634E-3</v>
      </c>
      <c r="X1436" s="17">
        <f t="shared" ca="1" si="1541"/>
        <v>0.12090331277216285</v>
      </c>
      <c r="Y1436" s="13">
        <f t="shared" ref="Y1436:Z1436" ca="1" si="1568">+Y1435</f>
        <v>0</v>
      </c>
      <c r="Z1436" s="13">
        <f t="shared" ca="1" si="1568"/>
        <v>0</v>
      </c>
      <c r="AA1436">
        <f t="shared" ca="1" si="1548"/>
        <v>1</v>
      </c>
      <c r="AB1436">
        <f t="shared" ca="1" si="1549"/>
        <v>0</v>
      </c>
      <c r="AC1436" s="24">
        <f t="shared" ca="1" si="1550"/>
        <v>0.12090331277216285</v>
      </c>
      <c r="AD1436" s="24">
        <f t="shared" ca="1" si="1551"/>
        <v>0</v>
      </c>
    </row>
    <row r="1437" spans="3:30" x14ac:dyDescent="0.25">
      <c r="C1437" s="6">
        <v>1531</v>
      </c>
      <c r="D1437" s="36">
        <v>44183</v>
      </c>
      <c r="E1437" s="38">
        <v>16.324000000000002</v>
      </c>
      <c r="F1437" s="38">
        <v>41.434585492227974</v>
      </c>
      <c r="G1437" s="38">
        <v>50.17</v>
      </c>
      <c r="H1437" s="38">
        <v>2.4271373056994818</v>
      </c>
      <c r="I1437" s="38">
        <v>5.6063795336787559</v>
      </c>
      <c r="J1437" s="10">
        <v>0</v>
      </c>
      <c r="K1437" s="39">
        <v>0</v>
      </c>
      <c r="L1437" s="39">
        <v>0</v>
      </c>
      <c r="M1437" s="39">
        <v>0</v>
      </c>
      <c r="N1437" s="39">
        <v>0</v>
      </c>
      <c r="O1437" s="39">
        <v>0</v>
      </c>
      <c r="P1437" s="39">
        <v>0</v>
      </c>
      <c r="Q1437" s="39">
        <v>0</v>
      </c>
      <c r="R1437" s="39">
        <v>0</v>
      </c>
      <c r="S1437" s="39">
        <v>0</v>
      </c>
      <c r="T1437" s="39">
        <v>0</v>
      </c>
      <c r="U1437" s="29" cm="1">
        <f t="array" aca="1" ref="U1437" ca="1">+fair_value_gap(OFFSET(T1436,0,0,-1*$J$5,-1*$AA$1),OFFSET(E1436,0,0,-1*$J$5,1),F1437:T1437,0)</f>
        <v>16.531472635998249</v>
      </c>
      <c r="V1437" s="9" cm="1">
        <f t="array" aca="1" ref="V1437" ca="1">z_score_diff(OFFSET(U1437,0,0,$J$5*-1,1),OFFSET(E1437,0,0,$J$5*-1,1))</f>
        <v>-0.12098771098548911</v>
      </c>
      <c r="W1437" s="9">
        <f t="shared" ca="1" si="1546"/>
        <v>-5.2057211490292073E-3</v>
      </c>
      <c r="X1437" s="17">
        <f t="shared" ca="1" si="1541"/>
        <v>0.11791915860283868</v>
      </c>
      <c r="Y1437" s="13">
        <f t="shared" ref="Y1437:Z1437" ca="1" si="1569">+Y1436</f>
        <v>0</v>
      </c>
      <c r="Z1437" s="13">
        <f t="shared" ca="1" si="1569"/>
        <v>0</v>
      </c>
      <c r="AA1437">
        <f t="shared" ca="1" si="1548"/>
        <v>1</v>
      </c>
      <c r="AB1437">
        <f t="shared" ca="1" si="1549"/>
        <v>0</v>
      </c>
      <c r="AC1437" s="24">
        <f t="shared" ca="1" si="1550"/>
        <v>0.11791915860283868</v>
      </c>
      <c r="AD1437" s="24">
        <f t="shared" ca="1" si="1551"/>
        <v>0</v>
      </c>
    </row>
    <row r="1438" spans="3:30" x14ac:dyDescent="0.25">
      <c r="C1438" s="6">
        <v>1532</v>
      </c>
      <c r="D1438" s="36">
        <v>44186</v>
      </c>
      <c r="E1438" s="38">
        <v>16.805</v>
      </c>
      <c r="F1438" s="38">
        <v>40.683033926310038</v>
      </c>
      <c r="G1438" s="38">
        <v>51.47</v>
      </c>
      <c r="H1438" s="38">
        <v>2.4492516040530612</v>
      </c>
      <c r="I1438" s="38">
        <v>5.6954626012819451</v>
      </c>
      <c r="J1438" s="10">
        <v>0</v>
      </c>
      <c r="K1438" s="39">
        <v>0</v>
      </c>
      <c r="L1438" s="39">
        <v>0</v>
      </c>
      <c r="M1438" s="39">
        <v>0</v>
      </c>
      <c r="N1438" s="39">
        <v>0</v>
      </c>
      <c r="O1438" s="39">
        <v>0</v>
      </c>
      <c r="P1438" s="39">
        <v>0</v>
      </c>
      <c r="Q1438" s="39">
        <v>0</v>
      </c>
      <c r="R1438" s="39">
        <v>0</v>
      </c>
      <c r="S1438" s="39">
        <v>0</v>
      </c>
      <c r="T1438" s="39">
        <v>0</v>
      </c>
      <c r="U1438" s="29" cm="1">
        <f t="array" aca="1" ref="U1438" ca="1">+fair_value_gap(OFFSET(T1437,0,0,-1*$J$5,-1*$AA$1),OFFSET(E1437,0,0,-1*$J$5,1),F1438:T1438,0)</f>
        <v>16.773424090505845</v>
      </c>
      <c r="V1438" s="9" cm="1">
        <f t="array" aca="1" ref="V1438" ca="1">z_score_diff(OFFSET(U1438,0,0,$J$5*-1,1),OFFSET(E1438,0,0,$J$5*-1,1))</f>
        <v>-0.24026425852919653</v>
      </c>
      <c r="W1438" s="9">
        <f t="shared" ca="1" si="1546"/>
        <v>-1.0232084722111104E-2</v>
      </c>
      <c r="X1438" s="17">
        <f t="shared" ca="1" si="1541"/>
        <v>9.3171083636458263E-2</v>
      </c>
      <c r="Y1438" s="13">
        <f t="shared" ref="Y1438:Z1438" ca="1" si="1570">+Y1437</f>
        <v>0</v>
      </c>
      <c r="Z1438" s="13">
        <f t="shared" ca="1" si="1570"/>
        <v>0</v>
      </c>
      <c r="AA1438">
        <f t="shared" ca="1" si="1548"/>
        <v>1</v>
      </c>
      <c r="AB1438">
        <f t="shared" ca="1" si="1549"/>
        <v>0</v>
      </c>
      <c r="AC1438" s="24">
        <f t="shared" ca="1" si="1550"/>
        <v>9.3171083636458263E-2</v>
      </c>
      <c r="AD1438" s="24">
        <f t="shared" ca="1" si="1551"/>
        <v>0</v>
      </c>
    </row>
    <row r="1439" spans="3:30" x14ac:dyDescent="0.25">
      <c r="C1439" s="6">
        <v>1533</v>
      </c>
      <c r="D1439" s="36">
        <v>44187</v>
      </c>
      <c r="E1439" s="38">
        <v>17.201000000000001</v>
      </c>
      <c r="F1439" s="38">
        <v>40.395873035021168</v>
      </c>
      <c r="G1439" s="38">
        <v>51.63</v>
      </c>
      <c r="H1439" s="38">
        <v>2.4835800068141545</v>
      </c>
      <c r="I1439" s="38">
        <v>5.8931025432446136</v>
      </c>
      <c r="J1439" s="10">
        <v>0</v>
      </c>
      <c r="K1439" s="39">
        <v>0</v>
      </c>
      <c r="L1439" s="39">
        <v>0</v>
      </c>
      <c r="M1439" s="39">
        <v>0</v>
      </c>
      <c r="N1439" s="39">
        <v>0</v>
      </c>
      <c r="O1439" s="39">
        <v>0</v>
      </c>
      <c r="P1439" s="39">
        <v>0</v>
      </c>
      <c r="Q1439" s="39">
        <v>0</v>
      </c>
      <c r="R1439" s="39">
        <v>0</v>
      </c>
      <c r="S1439" s="39">
        <v>0</v>
      </c>
      <c r="T1439" s="39">
        <v>0</v>
      </c>
      <c r="U1439" s="29" cm="1">
        <f t="array" aca="1" ref="U1439" ca="1">+fair_value_gap(OFFSET(T1438,0,0,-1*$J$5,-1*$AA$1),OFFSET(E1438,0,0,-1*$J$5,1),F1439:T1439,0)</f>
        <v>17.08418153786069</v>
      </c>
      <c r="V1439" s="9" cm="1">
        <f t="array" aca="1" ref="V1439" ca="1">z_score_diff(OFFSET(U1439,0,0,$J$5*-1,1),OFFSET(E1439,0,0,$J$5*-1,1))</f>
        <v>-0.28255172378408444</v>
      </c>
      <c r="W1439" s="9">
        <f t="shared" ca="1" si="1546"/>
        <v>-1.6959791497078134E-2</v>
      </c>
      <c r="X1439" s="17">
        <f t="shared" ca="1" si="1541"/>
        <v>8.3288586764823133E-2</v>
      </c>
      <c r="Y1439" s="13">
        <f t="shared" ref="Y1439:Z1439" ca="1" si="1571">+Y1438</f>
        <v>0</v>
      </c>
      <c r="Z1439" s="13">
        <f t="shared" ca="1" si="1571"/>
        <v>0</v>
      </c>
      <c r="AA1439">
        <f t="shared" ca="1" si="1548"/>
        <v>1</v>
      </c>
      <c r="AB1439">
        <f t="shared" ca="1" si="1549"/>
        <v>0</v>
      </c>
      <c r="AC1439" s="24">
        <f t="shared" ca="1" si="1550"/>
        <v>8.3288586764823133E-2</v>
      </c>
      <c r="AD1439" s="24">
        <f t="shared" ca="1" si="1551"/>
        <v>0</v>
      </c>
    </row>
    <row r="1440" spans="3:30" x14ac:dyDescent="0.25">
      <c r="C1440" s="6">
        <v>1534</v>
      </c>
      <c r="D1440" s="36">
        <v>44188</v>
      </c>
      <c r="E1440" s="38">
        <v>17.151</v>
      </c>
      <c r="F1440" s="38">
        <v>41.020877292020167</v>
      </c>
      <c r="G1440" s="38">
        <v>51.59</v>
      </c>
      <c r="H1440" s="38">
        <v>2.4004086632709005</v>
      </c>
      <c r="I1440" s="38">
        <v>5.8566392326501129</v>
      </c>
      <c r="J1440" s="10">
        <v>0</v>
      </c>
      <c r="K1440" s="39">
        <v>0</v>
      </c>
      <c r="L1440" s="39">
        <v>0</v>
      </c>
      <c r="M1440" s="39">
        <v>0</v>
      </c>
      <c r="N1440" s="39">
        <v>0</v>
      </c>
      <c r="O1440" s="39">
        <v>0</v>
      </c>
      <c r="P1440" s="39">
        <v>0</v>
      </c>
      <c r="Q1440" s="39">
        <v>0</v>
      </c>
      <c r="R1440" s="39">
        <v>0</v>
      </c>
      <c r="S1440" s="39">
        <v>0</v>
      </c>
      <c r="T1440" s="39">
        <v>0</v>
      </c>
      <c r="U1440" s="29" cm="1">
        <f t="array" aca="1" ref="U1440" ca="1">+fair_value_gap(OFFSET(T1439,0,0,-1*$J$5,-1*$AA$1),OFFSET(E1439,0,0,-1*$J$5,1),F1440:T1440,0)</f>
        <v>16.978065023365382</v>
      </c>
      <c r="V1440" s="9" cm="1">
        <f t="array" aca="1" ref="V1440" ca="1">z_score_diff(OFFSET(U1440,0,0,$J$5*-1,1),OFFSET(E1440,0,0,$J$5*-1,1))</f>
        <v>-0.30243909753344034</v>
      </c>
      <c r="W1440" s="9">
        <f t="shared" ca="1" si="1546"/>
        <v>-2.6097819220515454E-2</v>
      </c>
      <c r="X1440" s="17">
        <f t="shared" ca="1" si="1541"/>
        <v>0.10248775583461378</v>
      </c>
      <c r="Y1440" s="13">
        <f t="shared" ref="Y1440:Z1440" ca="1" si="1572">+Y1439</f>
        <v>0</v>
      </c>
      <c r="Z1440" s="13">
        <f t="shared" ca="1" si="1572"/>
        <v>0</v>
      </c>
      <c r="AA1440">
        <f t="shared" ca="1" si="1548"/>
        <v>1</v>
      </c>
      <c r="AB1440">
        <f t="shared" ca="1" si="1549"/>
        <v>0</v>
      </c>
      <c r="AC1440" s="24">
        <f t="shared" ca="1" si="1550"/>
        <v>0.10248775583461378</v>
      </c>
      <c r="AD1440" s="24">
        <f t="shared" ca="1" si="1551"/>
        <v>0</v>
      </c>
    </row>
    <row r="1441" spans="3:30" x14ac:dyDescent="0.25">
      <c r="C1441" s="6">
        <v>1535</v>
      </c>
      <c r="D1441" s="36">
        <v>44189</v>
      </c>
      <c r="E1441" s="38">
        <v>17.206</v>
      </c>
      <c r="F1441" s="38">
        <v>41.181642055907396</v>
      </c>
      <c r="G1441" s="38">
        <v>51.59</v>
      </c>
      <c r="H1441" s="38">
        <v>2.3549810331634724</v>
      </c>
      <c r="I1441" s="38">
        <v>5.9057681975807101</v>
      </c>
      <c r="J1441" s="10">
        <v>0</v>
      </c>
      <c r="K1441" s="39">
        <v>0</v>
      </c>
      <c r="L1441" s="39">
        <v>0</v>
      </c>
      <c r="M1441" s="39">
        <v>0</v>
      </c>
      <c r="N1441" s="39">
        <v>0</v>
      </c>
      <c r="O1441" s="39">
        <v>0</v>
      </c>
      <c r="P1441" s="39">
        <v>0</v>
      </c>
      <c r="Q1441" s="39">
        <v>0</v>
      </c>
      <c r="R1441" s="39">
        <v>0</v>
      </c>
      <c r="S1441" s="39">
        <v>0</v>
      </c>
      <c r="T1441" s="39">
        <v>0</v>
      </c>
      <c r="U1441" s="29" cm="1">
        <f t="array" aca="1" ref="U1441" ca="1">+fair_value_gap(OFFSET(T1440,0,0,-1*$J$5,-1*$AA$1),OFFSET(E1440,0,0,-1*$J$5,1),F1441:T1441,0)</f>
        <v>17.021386217001467</v>
      </c>
      <c r="V1441" s="9" cm="1">
        <f t="array" aca="1" ref="V1441" ca="1">z_score_diff(OFFSET(U1441,0,0,$J$5*-1,1),OFFSET(E1441,0,0,$J$5*-1,1))</f>
        <v>-0.29831331162222963</v>
      </c>
      <c r="W1441" s="9">
        <f t="shared" ca="1" si="1546"/>
        <v>-3.4170757180314593E-2</v>
      </c>
      <c r="X1441" s="17">
        <f t="shared" ca="1" si="1541"/>
        <v>0.13409063410431052</v>
      </c>
      <c r="Y1441" s="13">
        <f t="shared" ref="Y1441:Z1441" ca="1" si="1573">+Y1440</f>
        <v>0</v>
      </c>
      <c r="Z1441" s="13">
        <f t="shared" ca="1" si="1573"/>
        <v>0</v>
      </c>
      <c r="AA1441">
        <f t="shared" ca="1" si="1548"/>
        <v>1</v>
      </c>
      <c r="AB1441">
        <f t="shared" ca="1" si="1549"/>
        <v>0</v>
      </c>
      <c r="AC1441" s="24">
        <f t="shared" ca="1" si="1550"/>
        <v>0.13409063410431052</v>
      </c>
      <c r="AD1441" s="24">
        <f t="shared" ca="1" si="1551"/>
        <v>0</v>
      </c>
    </row>
    <row r="1442" spans="3:30" x14ac:dyDescent="0.25">
      <c r="C1442" s="6">
        <v>1536</v>
      </c>
      <c r="D1442" s="36">
        <v>44193</v>
      </c>
      <c r="E1442" s="38">
        <v>17.951000000000001</v>
      </c>
      <c r="F1442" s="38">
        <v>40.794339978290687</v>
      </c>
      <c r="G1442" s="38">
        <v>53.41</v>
      </c>
      <c r="H1442" s="38">
        <v>2.2538040051738371</v>
      </c>
      <c r="I1442" s="38">
        <v>5.8945018231925701</v>
      </c>
      <c r="J1442" s="10">
        <v>0</v>
      </c>
      <c r="K1442" s="39">
        <v>0</v>
      </c>
      <c r="L1442" s="39">
        <v>0</v>
      </c>
      <c r="M1442" s="39">
        <v>0</v>
      </c>
      <c r="N1442" s="39">
        <v>0</v>
      </c>
      <c r="O1442" s="39">
        <v>0</v>
      </c>
      <c r="P1442" s="39">
        <v>0</v>
      </c>
      <c r="Q1442" s="39">
        <v>0</v>
      </c>
      <c r="R1442" s="39">
        <v>0</v>
      </c>
      <c r="S1442" s="39">
        <v>0</v>
      </c>
      <c r="T1442" s="39">
        <v>0</v>
      </c>
      <c r="U1442" s="29" cm="1">
        <f t="array" aca="1" ref="U1442" ca="1">+fair_value_gap(OFFSET(T1441,0,0,-1*$J$5,-1*$AA$1),OFFSET(E1441,0,0,-1*$J$5,1),F1442:T1442,0)</f>
        <v>17.206500897877198</v>
      </c>
      <c r="V1442" s="9" cm="1">
        <f t="array" aca="1" ref="V1442" ca="1">z_score_diff(OFFSET(U1442,0,0,$J$5*-1,1),OFFSET(E1442,0,0,$J$5*-1,1))</f>
        <v>-0.6001805771180666</v>
      </c>
      <c r="W1442" s="9">
        <f t="shared" ca="1" si="1546"/>
        <v>-5.2064730611461649E-2</v>
      </c>
      <c r="X1442" s="17">
        <f t="shared" ca="1" si="1541"/>
        <v>7.6750569555204998E-2</v>
      </c>
      <c r="Y1442" s="13">
        <f t="shared" ref="Y1442:Z1442" ca="1" si="1574">+Y1441</f>
        <v>0</v>
      </c>
      <c r="Z1442" s="13">
        <f t="shared" ca="1" si="1574"/>
        <v>0</v>
      </c>
      <c r="AA1442">
        <f t="shared" ca="1" si="1548"/>
        <v>1</v>
      </c>
      <c r="AB1442">
        <f t="shared" ca="1" si="1549"/>
        <v>0</v>
      </c>
      <c r="AC1442" s="24">
        <f t="shared" ca="1" si="1550"/>
        <v>7.6750569555204998E-2</v>
      </c>
      <c r="AD1442" s="24">
        <f t="shared" ca="1" si="1551"/>
        <v>0</v>
      </c>
    </row>
    <row r="1443" spans="3:30" x14ac:dyDescent="0.25">
      <c r="C1443" s="6">
        <v>1537</v>
      </c>
      <c r="D1443" s="36">
        <v>44194</v>
      </c>
      <c r="E1443" s="38">
        <v>17.689</v>
      </c>
      <c r="F1443" s="38">
        <v>40.902561046120859</v>
      </c>
      <c r="G1443" s="38">
        <v>52.61</v>
      </c>
      <c r="H1443" s="38">
        <v>2.3022368056646525</v>
      </c>
      <c r="I1443" s="38">
        <v>6.0774840754531194</v>
      </c>
      <c r="J1443" s="10">
        <v>0</v>
      </c>
      <c r="K1443" s="39">
        <v>0</v>
      </c>
      <c r="L1443" s="39">
        <v>0</v>
      </c>
      <c r="M1443" s="39">
        <v>0</v>
      </c>
      <c r="N1443" s="39">
        <v>0</v>
      </c>
      <c r="O1443" s="39">
        <v>0</v>
      </c>
      <c r="P1443" s="39">
        <v>0</v>
      </c>
      <c r="Q1443" s="39">
        <v>0</v>
      </c>
      <c r="R1443" s="39">
        <v>0</v>
      </c>
      <c r="S1443" s="39">
        <v>0</v>
      </c>
      <c r="T1443" s="39">
        <v>0</v>
      </c>
      <c r="U1443" s="29" cm="1">
        <f t="array" aca="1" ref="U1443" ca="1">+fair_value_gap(OFFSET(T1442,0,0,-1*$J$5,-1*$AA$1),OFFSET(E1442,0,0,-1*$J$5,1),F1443:T1443,0)</f>
        <v>17.441705722407999</v>
      </c>
      <c r="V1443" s="9" cm="1">
        <f t="array" aca="1" ref="V1443" ca="1">z_score_diff(OFFSET(U1443,0,0,$J$5*-1,1),OFFSET(E1443,0,0,$J$5*-1,1))</f>
        <v>-0.30654734428025421</v>
      </c>
      <c r="W1443" s="9">
        <f t="shared" ca="1" si="1546"/>
        <v>-6.5391463086356974E-2</v>
      </c>
      <c r="X1443" s="17">
        <f t="shared" ca="1" si="1541"/>
        <v>8.4360269472838603E-2</v>
      </c>
      <c r="Y1443" s="13">
        <f t="shared" ref="Y1443:Z1443" ca="1" si="1575">+Y1442</f>
        <v>0</v>
      </c>
      <c r="Z1443" s="13">
        <f t="shared" ca="1" si="1575"/>
        <v>0</v>
      </c>
      <c r="AA1443">
        <f t="shared" ca="1" si="1548"/>
        <v>1</v>
      </c>
      <c r="AB1443">
        <f t="shared" ca="1" si="1549"/>
        <v>0</v>
      </c>
      <c r="AC1443" s="24">
        <f t="shared" ca="1" si="1550"/>
        <v>8.4360269472838603E-2</v>
      </c>
      <c r="AD1443" s="24">
        <f t="shared" ca="1" si="1551"/>
        <v>0</v>
      </c>
    </row>
    <row r="1444" spans="3:30" x14ac:dyDescent="0.25">
      <c r="C1444" s="6">
        <v>1538</v>
      </c>
      <c r="D1444" s="36">
        <v>44195</v>
      </c>
      <c r="E1444" s="38">
        <v>17.716999999999999</v>
      </c>
      <c r="F1444" s="38">
        <v>40.827980474836991</v>
      </c>
      <c r="G1444" s="38">
        <v>52.67</v>
      </c>
      <c r="H1444" s="38">
        <v>2.37128136301898</v>
      </c>
      <c r="I1444" s="38">
        <v>6.1137118134979147</v>
      </c>
      <c r="J1444" s="10">
        <v>0</v>
      </c>
      <c r="K1444" s="39">
        <v>0</v>
      </c>
      <c r="L1444" s="39">
        <v>0</v>
      </c>
      <c r="M1444" s="39">
        <v>0</v>
      </c>
      <c r="N1444" s="39">
        <v>0</v>
      </c>
      <c r="O1444" s="39">
        <v>0</v>
      </c>
      <c r="P1444" s="39">
        <v>0</v>
      </c>
      <c r="Q1444" s="39">
        <v>0</v>
      </c>
      <c r="R1444" s="39">
        <v>0</v>
      </c>
      <c r="S1444" s="39">
        <v>0</v>
      </c>
      <c r="T1444" s="39">
        <v>0</v>
      </c>
      <c r="U1444" s="29" cm="1">
        <f t="array" aca="1" ref="U1444" ca="1">+fair_value_gap(OFFSET(T1443,0,0,-1*$J$5,-1*$AA$1),OFFSET(E1443,0,0,-1*$J$5,1),F1444:T1444,0)</f>
        <v>17.550493090947803</v>
      </c>
      <c r="V1444" s="9" cm="1">
        <f t="array" aca="1" ref="V1444" ca="1">z_score_diff(OFFSET(U1444,0,0,$J$5*-1,1),OFFSET(E1444,0,0,$J$5*-1,1))</f>
        <v>-0.25009723849433474</v>
      </c>
      <c r="W1444" s="9">
        <f t="shared" ca="1" si="1546"/>
        <v>-7.6900590561108456E-2</v>
      </c>
      <c r="X1444" s="17">
        <f t="shared" ca="1" si="1541"/>
        <v>5.0677876745163691E-2</v>
      </c>
      <c r="Y1444" s="13">
        <f t="shared" ref="Y1444:Z1444" ca="1" si="1576">+Y1443</f>
        <v>0</v>
      </c>
      <c r="Z1444" s="13">
        <f t="shared" ca="1" si="1576"/>
        <v>0</v>
      </c>
      <c r="AA1444">
        <f t="shared" ca="1" si="1548"/>
        <v>1</v>
      </c>
      <c r="AB1444">
        <f t="shared" ca="1" si="1549"/>
        <v>0</v>
      </c>
      <c r="AC1444" s="24">
        <f t="shared" ca="1" si="1550"/>
        <v>5.0677876745163691E-2</v>
      </c>
      <c r="AD1444" s="24">
        <f t="shared" ca="1" si="1551"/>
        <v>0</v>
      </c>
    </row>
    <row r="1445" spans="3:30" x14ac:dyDescent="0.25">
      <c r="C1445" s="6">
        <v>1539</v>
      </c>
      <c r="D1445" s="36">
        <v>44196</v>
      </c>
      <c r="E1445" s="38">
        <v>17.974</v>
      </c>
      <c r="F1445" s="38">
        <v>40.983606557377051</v>
      </c>
      <c r="G1445" s="38">
        <v>52.07</v>
      </c>
      <c r="H1445" s="38">
        <v>2.4400222085853711</v>
      </c>
      <c r="I1445" s="38">
        <v>6.2380474627340581</v>
      </c>
      <c r="J1445" s="10">
        <v>0</v>
      </c>
      <c r="K1445" s="39">
        <v>0</v>
      </c>
      <c r="L1445" s="39">
        <v>0</v>
      </c>
      <c r="M1445" s="39">
        <v>0</v>
      </c>
      <c r="N1445" s="39">
        <v>0</v>
      </c>
      <c r="O1445" s="39">
        <v>0</v>
      </c>
      <c r="P1445" s="39">
        <v>0</v>
      </c>
      <c r="Q1445" s="39">
        <v>0</v>
      </c>
      <c r="R1445" s="39">
        <v>0</v>
      </c>
      <c r="S1445" s="39">
        <v>0</v>
      </c>
      <c r="T1445" s="39">
        <v>0</v>
      </c>
      <c r="U1445" s="29" cm="1">
        <f t="array" aca="1" ref="U1445" ca="1">+fair_value_gap(OFFSET(T1444,0,0,-1*$J$5,-1*$AA$1),OFFSET(E1444,0,0,-1*$J$5,1),F1445:T1445,0)</f>
        <v>17.667805204408715</v>
      </c>
      <c r="V1445" s="9" cm="1">
        <f t="array" aca="1" ref="V1445" ca="1">z_score_diff(OFFSET(U1445,0,0,$J$5*-1,1),OFFSET(E1445,0,0,$J$5*-1,1))</f>
        <v>-0.31695024595048205</v>
      </c>
      <c r="W1445" s="9">
        <f t="shared" ca="1" si="1546"/>
        <v>-9.1503756402826639E-2</v>
      </c>
      <c r="X1445" s="17">
        <f t="shared" ca="1" si="1541"/>
        <v>3.8259461782699324E-2</v>
      </c>
      <c r="Y1445" s="13">
        <f t="shared" ref="Y1445:Z1445" ca="1" si="1577">+Y1444</f>
        <v>0</v>
      </c>
      <c r="Z1445" s="13">
        <f t="shared" ca="1" si="1577"/>
        <v>0</v>
      </c>
      <c r="AA1445">
        <f t="shared" ca="1" si="1548"/>
        <v>1</v>
      </c>
      <c r="AB1445">
        <f t="shared" ca="1" si="1549"/>
        <v>0</v>
      </c>
      <c r="AC1445" s="24">
        <f t="shared" ca="1" si="1550"/>
        <v>3.8259461782699324E-2</v>
      </c>
      <c r="AD1445" s="24">
        <f t="shared" ca="1" si="1551"/>
        <v>0</v>
      </c>
    </row>
    <row r="1446" spans="3:30" x14ac:dyDescent="0.25">
      <c r="C1446" s="6">
        <v>1540</v>
      </c>
      <c r="D1446" s="36">
        <v>44200</v>
      </c>
      <c r="E1446" s="38">
        <v>18.263000000000002</v>
      </c>
      <c r="F1446" s="38">
        <v>40.480453342208421</v>
      </c>
      <c r="G1446" s="38">
        <v>53.07</v>
      </c>
      <c r="H1446" s="38">
        <v>2.481948179513279</v>
      </c>
      <c r="I1446" s="38">
        <v>6.2635788478092049</v>
      </c>
      <c r="J1446" s="10">
        <v>1</v>
      </c>
      <c r="K1446" s="39">
        <v>0</v>
      </c>
      <c r="L1446" s="39">
        <v>0</v>
      </c>
      <c r="M1446" s="39">
        <v>0</v>
      </c>
      <c r="N1446" s="39">
        <v>0</v>
      </c>
      <c r="O1446" s="39">
        <v>0</v>
      </c>
      <c r="P1446" s="39">
        <v>0</v>
      </c>
      <c r="Q1446" s="39">
        <v>0</v>
      </c>
      <c r="R1446" s="39">
        <v>0</v>
      </c>
      <c r="S1446" s="39">
        <v>0</v>
      </c>
      <c r="T1446" s="39">
        <v>0</v>
      </c>
      <c r="U1446" s="29" cm="1">
        <f t="array" aca="1" ref="U1446" ca="1">+fair_value_gap(OFFSET(T1445,0,0,-1*$J$5,-1*$AA$1),OFFSET(E1445,0,0,-1*$J$5,1),F1446:T1446,0)</f>
        <v>18.220304765073209</v>
      </c>
      <c r="V1446" s="9" cm="1">
        <f t="array" aca="1" ref="V1446" ca="1">z_score_diff(OFFSET(U1446,0,0,$J$5*-1,1),OFFSET(E1446,0,0,$J$5*-1,1))</f>
        <v>-0.15357231562334528</v>
      </c>
      <c r="W1446" s="9">
        <f t="shared" ca="1" si="1546"/>
        <v>-0.101647095040288</v>
      </c>
      <c r="X1446" s="17">
        <f t="shared" ca="1" si="1541"/>
        <v>5.7873059540224214E-3</v>
      </c>
      <c r="Y1446" s="13">
        <f t="shared" ref="Y1446:Z1446" ca="1" si="1578">+Y1445</f>
        <v>0</v>
      </c>
      <c r="Z1446" s="13">
        <f t="shared" ca="1" si="1578"/>
        <v>0</v>
      </c>
      <c r="AA1446">
        <f t="shared" ca="1" si="1548"/>
        <v>1</v>
      </c>
      <c r="AB1446">
        <f t="shared" ca="1" si="1549"/>
        <v>0</v>
      </c>
      <c r="AC1446" s="24">
        <f t="shared" ca="1" si="1550"/>
        <v>5.7873059540224214E-3</v>
      </c>
      <c r="AD1446" s="24">
        <f t="shared" ca="1" si="1551"/>
        <v>0</v>
      </c>
    </row>
    <row r="1447" spans="3:30" x14ac:dyDescent="0.25">
      <c r="C1447" s="6">
        <v>1541</v>
      </c>
      <c r="D1447" s="36">
        <v>44201</v>
      </c>
      <c r="E1447" s="38">
        <v>17.692</v>
      </c>
      <c r="F1447" s="38">
        <v>41.560424854247934</v>
      </c>
      <c r="G1447" s="38">
        <v>51.68</v>
      </c>
      <c r="H1447" s="38">
        <v>2.5247816846783362</v>
      </c>
      <c r="I1447" s="38">
        <v>6.1585947103886527</v>
      </c>
      <c r="J1447" s="10">
        <v>1</v>
      </c>
      <c r="K1447" s="39">
        <v>0</v>
      </c>
      <c r="L1447" s="39">
        <v>0</v>
      </c>
      <c r="M1447" s="39">
        <v>0</v>
      </c>
      <c r="N1447" s="39">
        <v>0</v>
      </c>
      <c r="O1447" s="39">
        <v>0</v>
      </c>
      <c r="P1447" s="39">
        <v>0</v>
      </c>
      <c r="Q1447" s="39">
        <v>0</v>
      </c>
      <c r="R1447" s="39">
        <v>0</v>
      </c>
      <c r="S1447" s="39">
        <v>0</v>
      </c>
      <c r="T1447" s="39">
        <v>0</v>
      </c>
      <c r="U1447" s="29" cm="1">
        <f t="array" aca="1" ref="U1447" ca="1">+fair_value_gap(OFFSET(T1446,0,0,-1*$J$5,-1*$AA$1),OFFSET(E1446,0,0,-1*$J$5,1),F1447:T1447,0)</f>
        <v>17.89201995313195</v>
      </c>
      <c r="V1447" s="9" cm="1">
        <f t="array" aca="1" ref="V1447" ca="1">z_score_diff(OFFSET(U1447,0,0,$J$5*-1,1),OFFSET(E1447,0,0,$J$5*-1,1))</f>
        <v>-1.4162257564236391E-2</v>
      </c>
      <c r="W1447" s="9">
        <f t="shared" ca="1" si="1546"/>
        <v>-0.10320558290309904</v>
      </c>
      <c r="X1447" s="17">
        <f t="shared" ca="1" si="1541"/>
        <v>3.9129403048885125E-2</v>
      </c>
      <c r="Y1447" s="13">
        <f t="shared" ref="Y1447:Z1447" ca="1" si="1579">+Y1446</f>
        <v>0</v>
      </c>
      <c r="Z1447" s="13">
        <f t="shared" ca="1" si="1579"/>
        <v>0</v>
      </c>
      <c r="AA1447">
        <f t="shared" ca="1" si="1548"/>
        <v>1</v>
      </c>
      <c r="AB1447">
        <f t="shared" ca="1" si="1549"/>
        <v>0</v>
      </c>
      <c r="AC1447" s="24">
        <f t="shared" ca="1" si="1550"/>
        <v>3.9129403048885125E-2</v>
      </c>
      <c r="AD1447" s="24">
        <f t="shared" ca="1" si="1551"/>
        <v>0</v>
      </c>
    </row>
    <row r="1448" spans="3:30" x14ac:dyDescent="0.25">
      <c r="C1448" s="6">
        <v>1542</v>
      </c>
      <c r="D1448" s="36">
        <v>44202</v>
      </c>
      <c r="E1448" s="38">
        <v>17.457000000000001</v>
      </c>
      <c r="F1448" s="38">
        <v>41.489701620231195</v>
      </c>
      <c r="G1448" s="38">
        <v>51.99</v>
      </c>
      <c r="H1448" s="38">
        <v>2.5207710082359673</v>
      </c>
      <c r="I1448" s="38">
        <v>6.0805954556905277</v>
      </c>
      <c r="J1448" s="10">
        <v>1</v>
      </c>
      <c r="K1448" s="39">
        <v>0</v>
      </c>
      <c r="L1448" s="39">
        <v>0</v>
      </c>
      <c r="M1448" s="39">
        <v>0</v>
      </c>
      <c r="N1448" s="39">
        <v>0</v>
      </c>
      <c r="O1448" s="39">
        <v>0</v>
      </c>
      <c r="P1448" s="39">
        <v>0</v>
      </c>
      <c r="Q1448" s="39">
        <v>0</v>
      </c>
      <c r="R1448" s="39">
        <v>0</v>
      </c>
      <c r="S1448" s="39">
        <v>0</v>
      </c>
      <c r="T1448" s="39">
        <v>0</v>
      </c>
      <c r="U1448" s="29" cm="1">
        <f t="array" aca="1" ref="U1448" ca="1">+fair_value_gap(OFFSET(T1447,0,0,-1*$J$5,-1*$AA$1),OFFSET(E1447,0,0,-1*$J$5,1),F1448:T1448,0)</f>
        <v>17.765999539682806</v>
      </c>
      <c r="V1448" s="9" cm="1">
        <f t="array" aca="1" ref="V1448" ca="1">z_score_diff(OFFSET(U1448,0,0,$J$5*-1,1),OFFSET(E1448,0,0,$J$5*-1,1))</f>
        <v>4.9308372805822565E-2</v>
      </c>
      <c r="W1448" s="9">
        <f t="shared" ca="1" si="1546"/>
        <v>-0.10158600052320209</v>
      </c>
      <c r="X1448" s="17">
        <f t="shared" ca="1" si="1541"/>
        <v>4.8416386955395345E-2</v>
      </c>
      <c r="Y1448" s="13">
        <f t="shared" ref="Y1448:Z1448" ca="1" si="1580">+Y1447</f>
        <v>0</v>
      </c>
      <c r="Z1448" s="13">
        <f t="shared" ca="1" si="1580"/>
        <v>0</v>
      </c>
      <c r="AA1448">
        <f t="shared" ca="1" si="1548"/>
        <v>1</v>
      </c>
      <c r="AB1448">
        <f t="shared" ca="1" si="1549"/>
        <v>0</v>
      </c>
      <c r="AC1448" s="24">
        <f t="shared" ca="1" si="1550"/>
        <v>4.8416386955395345E-2</v>
      </c>
      <c r="AD1448" s="24">
        <f t="shared" ca="1" si="1551"/>
        <v>0</v>
      </c>
    </row>
    <row r="1449" spans="3:30" x14ac:dyDescent="0.25">
      <c r="C1449" s="6">
        <v>1543</v>
      </c>
      <c r="D1449" s="36">
        <v>44203</v>
      </c>
      <c r="E1449" s="38">
        <v>18.216000000000001</v>
      </c>
      <c r="F1449" s="38">
        <v>41.83674376469277</v>
      </c>
      <c r="G1449" s="38">
        <v>53.39</v>
      </c>
      <c r="H1449" s="38">
        <v>2.5310543069541769</v>
      </c>
      <c r="I1449" s="38">
        <v>6.291270044584377</v>
      </c>
      <c r="J1449" s="10">
        <v>1</v>
      </c>
      <c r="K1449" s="39">
        <v>0</v>
      </c>
      <c r="L1449" s="39">
        <v>0</v>
      </c>
      <c r="M1449" s="39">
        <v>0</v>
      </c>
      <c r="N1449" s="39">
        <v>0</v>
      </c>
      <c r="O1449" s="39">
        <v>0</v>
      </c>
      <c r="P1449" s="39">
        <v>0</v>
      </c>
      <c r="Q1449" s="39">
        <v>0</v>
      </c>
      <c r="R1449" s="39">
        <v>0</v>
      </c>
      <c r="S1449" s="39">
        <v>0</v>
      </c>
      <c r="T1449" s="39">
        <v>0</v>
      </c>
      <c r="U1449" s="29" cm="1">
        <f t="array" aca="1" ref="U1449" ca="1">+fair_value_gap(OFFSET(T1448,0,0,-1*$J$5,-1*$AA$1),OFFSET(E1448,0,0,-1*$J$5,1),F1449:T1449,0)</f>
        <v>18.18750426382622</v>
      </c>
      <c r="V1449" s="9" cm="1">
        <f t="array" aca="1" ref="V1449" ca="1">z_score_diff(OFFSET(U1449,0,0,$J$5*-1,1),OFFSET(E1449,0,0,$J$5*-1,1))</f>
        <v>-0.12196986411948885</v>
      </c>
      <c r="W1449" s="9">
        <f t="shared" ca="1" si="1546"/>
        <v>-0.10455017663999434</v>
      </c>
      <c r="X1449" s="17">
        <f t="shared" ca="1" si="1541"/>
        <v>2.8840088899375043E-2</v>
      </c>
      <c r="Y1449" s="13">
        <f t="shared" ref="Y1449:Z1449" ca="1" si="1581">+Y1448</f>
        <v>0</v>
      </c>
      <c r="Z1449" s="13">
        <f t="shared" ca="1" si="1581"/>
        <v>0</v>
      </c>
      <c r="AA1449">
        <f t="shared" ca="1" si="1548"/>
        <v>1</v>
      </c>
      <c r="AB1449">
        <f t="shared" ca="1" si="1549"/>
        <v>0</v>
      </c>
      <c r="AC1449" s="24">
        <f t="shared" ca="1" si="1550"/>
        <v>2.8840088899375043E-2</v>
      </c>
      <c r="AD1449" s="24">
        <f t="shared" ca="1" si="1551"/>
        <v>0</v>
      </c>
    </row>
    <row r="1450" spans="3:30" x14ac:dyDescent="0.25">
      <c r="C1450" s="6">
        <v>1544</v>
      </c>
      <c r="D1450" s="36">
        <v>44204</v>
      </c>
      <c r="E1450" s="38">
        <v>18.446000000000002</v>
      </c>
      <c r="F1450" s="38">
        <v>42.865324678063892</v>
      </c>
      <c r="G1450" s="38">
        <v>53.52</v>
      </c>
      <c r="H1450" s="38">
        <v>2.51643143738369</v>
      </c>
      <c r="I1450" s="38">
        <v>6.416819042458088</v>
      </c>
      <c r="J1450" s="10">
        <v>1</v>
      </c>
      <c r="K1450" s="39">
        <v>0</v>
      </c>
      <c r="L1450" s="39">
        <v>0</v>
      </c>
      <c r="M1450" s="39">
        <v>0</v>
      </c>
      <c r="N1450" s="39">
        <v>0</v>
      </c>
      <c r="O1450" s="39">
        <v>0</v>
      </c>
      <c r="P1450" s="39">
        <v>0</v>
      </c>
      <c r="Q1450" s="39">
        <v>0</v>
      </c>
      <c r="R1450" s="39">
        <v>0</v>
      </c>
      <c r="S1450" s="39">
        <v>0</v>
      </c>
      <c r="T1450" s="39">
        <v>0</v>
      </c>
      <c r="U1450" s="29" cm="1">
        <f t="array" aca="1" ref="U1450" ca="1">+fair_value_gap(OFFSET(T1449,0,0,-1*$J$5,-1*$AA$1),OFFSET(E1449,0,0,-1*$J$5,1),F1450:T1450,0)</f>
        <v>18.376386456493783</v>
      </c>
      <c r="V1450" s="9" cm="1">
        <f t="array" aca="1" ref="V1450" ca="1">z_score_diff(OFFSET(U1450,0,0,$J$5*-1,1),OFFSET(E1450,0,0,$J$5*-1,1))</f>
        <v>-0.12527423302845886</v>
      </c>
      <c r="W1450" s="9">
        <f t="shared" ca="1" si="1546"/>
        <v>-0.10776938437599623</v>
      </c>
      <c r="X1450" s="17">
        <f t="shared" ca="1" si="1541"/>
        <v>-9.9703896036224468E-3</v>
      </c>
      <c r="Y1450" s="13">
        <f t="shared" ref="Y1450:Z1450" ca="1" si="1582">+Y1449</f>
        <v>0</v>
      </c>
      <c r="Z1450" s="13">
        <f t="shared" ca="1" si="1582"/>
        <v>0</v>
      </c>
      <c r="AA1450">
        <f t="shared" ca="1" si="1548"/>
        <v>1</v>
      </c>
      <c r="AB1450">
        <f t="shared" ca="1" si="1549"/>
        <v>0</v>
      </c>
      <c r="AC1450" s="24">
        <f t="shared" ca="1" si="1550"/>
        <v>-9.9703896036224468E-3</v>
      </c>
      <c r="AD1450" s="24">
        <f t="shared" ca="1" si="1551"/>
        <v>0</v>
      </c>
    </row>
    <row r="1451" spans="3:30" x14ac:dyDescent="0.25">
      <c r="C1451" s="6">
        <v>1545</v>
      </c>
      <c r="D1451" s="36">
        <v>44207</v>
      </c>
      <c r="E1451" s="38">
        <v>18.823</v>
      </c>
      <c r="F1451" s="38">
        <v>43.133620401296859</v>
      </c>
      <c r="G1451" s="38">
        <v>53.63</v>
      </c>
      <c r="H1451" s="38">
        <v>2.5560361777428233</v>
      </c>
      <c r="I1451" s="38">
        <v>6.6164868820601006</v>
      </c>
      <c r="J1451" s="10">
        <v>1</v>
      </c>
      <c r="K1451" s="39">
        <v>0</v>
      </c>
      <c r="L1451" s="39">
        <v>0</v>
      </c>
      <c r="M1451" s="39">
        <v>0</v>
      </c>
      <c r="N1451" s="39">
        <v>0</v>
      </c>
      <c r="O1451" s="39">
        <v>0</v>
      </c>
      <c r="P1451" s="39">
        <v>0</v>
      </c>
      <c r="Q1451" s="39">
        <v>0</v>
      </c>
      <c r="R1451" s="39">
        <v>0</v>
      </c>
      <c r="S1451" s="39">
        <v>0</v>
      </c>
      <c r="T1451" s="39">
        <v>0</v>
      </c>
      <c r="U1451" s="29" cm="1">
        <f t="array" aca="1" ref="U1451" ca="1">+fair_value_gap(OFFSET(T1450,0,0,-1*$J$5,-1*$AA$1),OFFSET(E1450,0,0,-1*$J$5,1),F1451:T1451,0)</f>
        <v>18.71054619212649</v>
      </c>
      <c r="V1451" s="9" cm="1">
        <f t="array" aca="1" ref="V1451" ca="1">z_score_diff(OFFSET(U1451,0,0,$J$5*-1,1),OFFSET(E1451,0,0,$J$5*-1,1))</f>
        <v>-0.13199971102024977</v>
      </c>
      <c r="W1451" s="9">
        <f t="shared" ca="1" si="1546"/>
        <v>-0.11260981346137387</v>
      </c>
      <c r="X1451" s="17">
        <f t="shared" ca="1" si="1541"/>
        <v>-4.9496996289037282E-2</v>
      </c>
      <c r="Y1451" s="13">
        <f t="shared" ref="Y1451:Z1451" ca="1" si="1583">+Y1450</f>
        <v>0</v>
      </c>
      <c r="Z1451" s="13">
        <f t="shared" ca="1" si="1583"/>
        <v>0</v>
      </c>
      <c r="AA1451">
        <f t="shared" ca="1" si="1548"/>
        <v>1</v>
      </c>
      <c r="AB1451">
        <f t="shared" ca="1" si="1549"/>
        <v>0</v>
      </c>
      <c r="AC1451" s="24">
        <f t="shared" ca="1" si="1550"/>
        <v>-4.9496996289037282E-2</v>
      </c>
      <c r="AD1451" s="24">
        <f t="shared" ca="1" si="1551"/>
        <v>0</v>
      </c>
    </row>
    <row r="1452" spans="3:30" x14ac:dyDescent="0.25">
      <c r="C1452" s="6">
        <v>1546</v>
      </c>
      <c r="D1452" s="36">
        <v>44208</v>
      </c>
      <c r="E1452" s="38">
        <v>19.478000000000002</v>
      </c>
      <c r="F1452" s="38">
        <v>43.556080586467473</v>
      </c>
      <c r="G1452" s="38">
        <v>55.15</v>
      </c>
      <c r="H1452" s="38">
        <v>2.5373184046173836</v>
      </c>
      <c r="I1452" s="38">
        <v>6.755620408067097</v>
      </c>
      <c r="J1452" s="10">
        <v>1</v>
      </c>
      <c r="K1452" s="39">
        <v>0</v>
      </c>
      <c r="L1452" s="39">
        <v>0</v>
      </c>
      <c r="M1452" s="39">
        <v>0</v>
      </c>
      <c r="N1452" s="39">
        <v>0</v>
      </c>
      <c r="O1452" s="39">
        <v>0</v>
      </c>
      <c r="P1452" s="39">
        <v>0</v>
      </c>
      <c r="Q1452" s="39">
        <v>0</v>
      </c>
      <c r="R1452" s="39">
        <v>0</v>
      </c>
      <c r="S1452" s="39">
        <v>0</v>
      </c>
      <c r="T1452" s="39">
        <v>0</v>
      </c>
      <c r="U1452" s="29" cm="1">
        <f t="array" aca="1" ref="U1452" ca="1">+fair_value_gap(OFFSET(T1451,0,0,-1*$J$5,-1*$AA$1),OFFSET(E1451,0,0,-1*$J$5,1),F1452:T1452,0)</f>
        <v>19.1288859120558</v>
      </c>
      <c r="V1452" s="9" cm="1">
        <f t="array" aca="1" ref="V1452" ca="1">z_score_diff(OFFSET(U1452,0,0,$J$5*-1,1),OFFSET(E1452,0,0,$J$5*-1,1))</f>
        <v>-0.23299060136992766</v>
      </c>
      <c r="W1452" s="9">
        <f t="shared" ca="1" si="1546"/>
        <v>-0.11996499890939472</v>
      </c>
      <c r="X1452" s="17">
        <f t="shared" ca="1" si="1541"/>
        <v>-7.2269322924174206E-2</v>
      </c>
      <c r="Y1452" s="13">
        <f t="shared" ref="Y1452:Z1452" ca="1" si="1584">+Y1451</f>
        <v>0</v>
      </c>
      <c r="Z1452" s="13">
        <f t="shared" ca="1" si="1584"/>
        <v>0</v>
      </c>
      <c r="AA1452">
        <f t="shared" ca="1" si="1548"/>
        <v>1</v>
      </c>
      <c r="AB1452">
        <f t="shared" ca="1" si="1549"/>
        <v>0</v>
      </c>
      <c r="AC1452" s="24">
        <f t="shared" ca="1" si="1550"/>
        <v>-7.2269322924174206E-2</v>
      </c>
      <c r="AD1452" s="24">
        <f t="shared" ca="1" si="1551"/>
        <v>0</v>
      </c>
    </row>
    <row r="1453" spans="3:30" x14ac:dyDescent="0.25">
      <c r="C1453" s="6">
        <v>1547</v>
      </c>
      <c r="D1453" s="36">
        <v>44209</v>
      </c>
      <c r="E1453" s="38">
        <v>18.646999999999998</v>
      </c>
      <c r="F1453" s="38">
        <v>43.793822371147137</v>
      </c>
      <c r="G1453" s="38">
        <v>53.41</v>
      </c>
      <c r="H1453" s="38">
        <v>2.5522605736509481</v>
      </c>
      <c r="I1453" s="38">
        <v>6.533591305511055</v>
      </c>
      <c r="J1453" s="10">
        <v>1</v>
      </c>
      <c r="K1453" s="39">
        <v>0</v>
      </c>
      <c r="L1453" s="39">
        <v>0</v>
      </c>
      <c r="M1453" s="39">
        <v>0</v>
      </c>
      <c r="N1453" s="39">
        <v>0</v>
      </c>
      <c r="O1453" s="39">
        <v>0</v>
      </c>
      <c r="P1453" s="39">
        <v>0</v>
      </c>
      <c r="Q1453" s="39">
        <v>0</v>
      </c>
      <c r="R1453" s="39">
        <v>0</v>
      </c>
      <c r="S1453" s="39">
        <v>0</v>
      </c>
      <c r="T1453" s="39">
        <v>0</v>
      </c>
      <c r="U1453" s="29" cm="1">
        <f t="array" aca="1" ref="U1453" ca="1">+fair_value_gap(OFFSET(T1452,0,0,-1*$J$5,-1*$AA$1),OFFSET(E1452,0,0,-1*$J$5,1),F1453:T1453,0)</f>
        <v>18.642195247959716</v>
      </c>
      <c r="V1453" s="9" cm="1">
        <f t="array" aca="1" ref="V1453" ca="1">z_score_diff(OFFSET(U1453,0,0,$J$5*-1,1),OFFSET(E1453,0,0,$J$5*-1,1))</f>
        <v>-5.5407308335128302E-2</v>
      </c>
      <c r="W1453" s="9">
        <f t="shared" ca="1" si="1546"/>
        <v>-0.11978608941862742</v>
      </c>
      <c r="X1453" s="17">
        <f t="shared" ca="1" si="1541"/>
        <v>-2.1465402194072638E-2</v>
      </c>
      <c r="Y1453" s="13">
        <f t="shared" ref="Y1453:Z1453" ca="1" si="1585">+Y1452</f>
        <v>0</v>
      </c>
      <c r="Z1453" s="13">
        <f t="shared" ca="1" si="1585"/>
        <v>0</v>
      </c>
      <c r="AA1453">
        <f t="shared" ca="1" si="1548"/>
        <v>1</v>
      </c>
      <c r="AB1453">
        <f t="shared" ca="1" si="1549"/>
        <v>0</v>
      </c>
      <c r="AC1453" s="24">
        <f t="shared" ca="1" si="1550"/>
        <v>-2.1465402194072638E-2</v>
      </c>
      <c r="AD1453" s="24">
        <f t="shared" ca="1" si="1551"/>
        <v>0</v>
      </c>
    </row>
    <row r="1454" spans="3:30" x14ac:dyDescent="0.25">
      <c r="C1454" s="6">
        <v>1548</v>
      </c>
      <c r="D1454" s="36">
        <v>44210</v>
      </c>
      <c r="E1454" s="38">
        <v>18.428999999999998</v>
      </c>
      <c r="F1454" s="38">
        <v>44.02182334184193</v>
      </c>
      <c r="G1454" s="38">
        <v>53.14</v>
      </c>
      <c r="H1454" s="38">
        <v>2.5305616493096617</v>
      </c>
      <c r="I1454" s="38">
        <v>6.4507710751013283</v>
      </c>
      <c r="J1454" s="10">
        <v>1</v>
      </c>
      <c r="K1454" s="39">
        <v>0</v>
      </c>
      <c r="L1454" s="39">
        <v>0</v>
      </c>
      <c r="M1454" s="39">
        <v>0</v>
      </c>
      <c r="N1454" s="39">
        <v>0</v>
      </c>
      <c r="O1454" s="39">
        <v>0</v>
      </c>
      <c r="P1454" s="39">
        <v>0</v>
      </c>
      <c r="Q1454" s="39">
        <v>0</v>
      </c>
      <c r="R1454" s="39">
        <v>0</v>
      </c>
      <c r="S1454" s="39">
        <v>0</v>
      </c>
      <c r="T1454" s="39">
        <v>0</v>
      </c>
      <c r="U1454" s="29" cm="1">
        <f t="array" aca="1" ref="U1454" ca="1">+fair_value_gap(OFFSET(T1453,0,0,-1*$J$5,-1*$AA$1),OFFSET(E1453,0,0,-1*$J$5,1),F1454:T1454,0)</f>
        <v>18.480971306030177</v>
      </c>
      <c r="V1454" s="9" cm="1">
        <f t="array" aca="1" ref="V1454" ca="1">z_score_diff(OFFSET(U1454,0,0,$J$5*-1,1),OFFSET(E1454,0,0,$J$5*-1,1))</f>
        <v>-2.7944264758813286E-2</v>
      </c>
      <c r="W1454" s="9">
        <f t="shared" ca="1" si="1546"/>
        <v>-0.13041963467828763</v>
      </c>
      <c r="X1454" s="17">
        <f t="shared" ca="1" si="1541"/>
        <v>-2.2221307719956569E-2</v>
      </c>
      <c r="Y1454" s="13">
        <f t="shared" ref="Y1454:Z1454" ca="1" si="1586">+Y1453</f>
        <v>0</v>
      </c>
      <c r="Z1454" s="13">
        <f t="shared" ca="1" si="1586"/>
        <v>0</v>
      </c>
      <c r="AA1454">
        <f t="shared" ca="1" si="1548"/>
        <v>1</v>
      </c>
      <c r="AB1454">
        <f t="shared" ca="1" si="1549"/>
        <v>0</v>
      </c>
      <c r="AC1454" s="24">
        <f t="shared" ca="1" si="1550"/>
        <v>-2.2221307719956569E-2</v>
      </c>
      <c r="AD1454" s="24">
        <f t="shared" ca="1" si="1551"/>
        <v>0</v>
      </c>
    </row>
    <row r="1455" spans="3:30" x14ac:dyDescent="0.25">
      <c r="C1455" s="6">
        <v>1549</v>
      </c>
      <c r="D1455" s="36">
        <v>44211</v>
      </c>
      <c r="E1455" s="38">
        <v>17.920999999999999</v>
      </c>
      <c r="F1455" s="38">
        <v>43.647753187764174</v>
      </c>
      <c r="G1455" s="38">
        <v>52.08</v>
      </c>
      <c r="H1455" s="38">
        <v>2.5843740222369491</v>
      </c>
      <c r="I1455" s="38">
        <v>6.3726540872445909</v>
      </c>
      <c r="J1455" s="10">
        <v>1</v>
      </c>
      <c r="K1455" s="39">
        <v>0</v>
      </c>
      <c r="L1455" s="39">
        <v>0</v>
      </c>
      <c r="M1455" s="39">
        <v>0</v>
      </c>
      <c r="N1455" s="39">
        <v>0</v>
      </c>
      <c r="O1455" s="39">
        <v>0</v>
      </c>
      <c r="P1455" s="39">
        <v>0</v>
      </c>
      <c r="Q1455" s="39">
        <v>0</v>
      </c>
      <c r="R1455" s="39">
        <v>0</v>
      </c>
      <c r="S1455" s="39">
        <v>0</v>
      </c>
      <c r="T1455" s="39">
        <v>0</v>
      </c>
      <c r="U1455" s="29" cm="1">
        <f t="array" aca="1" ref="U1455" ca="1">+fair_value_gap(OFFSET(T1454,0,0,-1*$J$5,-1*$AA$1),OFFSET(E1454,0,0,-1*$J$5,1),F1455:T1455,0)</f>
        <v>18.237428719583523</v>
      </c>
      <c r="V1455" s="9" cm="1">
        <f t="array" aca="1" ref="V1455" ca="1">z_score_diff(OFFSET(U1455,0,0,$J$5*-1,1),OFFSET(E1455,0,0,$J$5*-1,1))</f>
        <v>9.9669357538798131E-2</v>
      </c>
      <c r="W1455" s="9">
        <f t="shared" ca="1" si="1546"/>
        <v>-0.13347845022901447</v>
      </c>
      <c r="X1455" s="17">
        <f t="shared" ca="1" si="1541"/>
        <v>-1.8017490949419117E-2</v>
      </c>
      <c r="Y1455" s="13">
        <f t="shared" ref="Y1455:Z1455" ca="1" si="1587">+Y1454</f>
        <v>0</v>
      </c>
      <c r="Z1455" s="13">
        <f t="shared" ca="1" si="1587"/>
        <v>0</v>
      </c>
      <c r="AA1455">
        <f t="shared" ca="1" si="1548"/>
        <v>1</v>
      </c>
      <c r="AB1455">
        <f t="shared" ca="1" si="1549"/>
        <v>0</v>
      </c>
      <c r="AC1455" s="24">
        <f t="shared" ca="1" si="1550"/>
        <v>-1.8017490949419117E-2</v>
      </c>
      <c r="AD1455" s="24">
        <f t="shared" ca="1" si="1551"/>
        <v>0</v>
      </c>
    </row>
    <row r="1456" spans="3:30" x14ac:dyDescent="0.25">
      <c r="C1456" s="6">
        <v>1550</v>
      </c>
      <c r="D1456" s="36">
        <v>44214</v>
      </c>
      <c r="E1456" s="38">
        <v>17.704000000000001</v>
      </c>
      <c r="F1456" s="38">
        <v>43.31027120244719</v>
      </c>
      <c r="G1456" s="38">
        <v>52.05</v>
      </c>
      <c r="H1456" s="38">
        <v>2.5843273317046132</v>
      </c>
      <c r="I1456" s="38">
        <v>6.3725389558397829</v>
      </c>
      <c r="J1456" s="10">
        <v>1</v>
      </c>
      <c r="K1456" s="39">
        <v>0</v>
      </c>
      <c r="L1456" s="39">
        <v>0</v>
      </c>
      <c r="M1456" s="39">
        <v>0</v>
      </c>
      <c r="N1456" s="39">
        <v>0</v>
      </c>
      <c r="O1456" s="39">
        <v>0</v>
      </c>
      <c r="P1456" s="39">
        <v>0</v>
      </c>
      <c r="Q1456" s="39">
        <v>0</v>
      </c>
      <c r="R1456" s="39">
        <v>0</v>
      </c>
      <c r="S1456" s="39">
        <v>0</v>
      </c>
      <c r="T1456" s="39">
        <v>0</v>
      </c>
      <c r="U1456" s="29" cm="1">
        <f t="array" aca="1" ref="U1456" ca="1">+fair_value_gap(OFFSET(T1455,0,0,-1*$J$5,-1*$AA$1),OFFSET(E1455,0,0,-1*$J$5,1),F1456:T1456,0)</f>
        <v>18.193023313953301</v>
      </c>
      <c r="V1456" s="9" cm="1">
        <f t="array" aca="1" ref="V1456" ca="1">z_score_diff(OFFSET(U1456,0,0,$J$5*-1,1),OFFSET(E1456,0,0,$J$5*-1,1))</f>
        <v>0.18005012068062554</v>
      </c>
      <c r="W1456" s="9">
        <f t="shared" ca="1" si="1546"/>
        <v>-0.13266661326870677</v>
      </c>
      <c r="X1456" s="17">
        <f t="shared" ca="1" si="1541"/>
        <v>1.1345249463215567E-2</v>
      </c>
      <c r="Y1456" s="13">
        <f t="shared" ref="Y1456:Z1456" ca="1" si="1588">+Y1455</f>
        <v>0</v>
      </c>
      <c r="Z1456" s="13">
        <f t="shared" ca="1" si="1588"/>
        <v>0</v>
      </c>
      <c r="AA1456">
        <f t="shared" ca="1" si="1548"/>
        <v>1</v>
      </c>
      <c r="AB1456">
        <f t="shared" ca="1" si="1549"/>
        <v>0</v>
      </c>
      <c r="AC1456" s="24">
        <f t="shared" ca="1" si="1550"/>
        <v>1.1345249463215567E-2</v>
      </c>
      <c r="AD1456" s="24">
        <f t="shared" ca="1" si="1551"/>
        <v>0</v>
      </c>
    </row>
    <row r="1457" spans="3:30" x14ac:dyDescent="0.25">
      <c r="C1457" s="6">
        <v>1551</v>
      </c>
      <c r="D1457" s="36">
        <v>44215</v>
      </c>
      <c r="E1457" s="38">
        <v>18.524999999999999</v>
      </c>
      <c r="F1457" s="38">
        <v>43.718474612863346</v>
      </c>
      <c r="G1457" s="38">
        <v>52.92</v>
      </c>
      <c r="H1457" s="38">
        <v>2.5089465041575894</v>
      </c>
      <c r="I1457" s="38">
        <v>6.4890777413593455</v>
      </c>
      <c r="J1457" s="10">
        <v>1</v>
      </c>
      <c r="K1457" s="39">
        <v>0</v>
      </c>
      <c r="L1457" s="39">
        <v>0</v>
      </c>
      <c r="M1457" s="39">
        <v>0</v>
      </c>
      <c r="N1457" s="39">
        <v>0</v>
      </c>
      <c r="O1457" s="39">
        <v>0</v>
      </c>
      <c r="P1457" s="39">
        <v>0</v>
      </c>
      <c r="Q1457" s="39">
        <v>0</v>
      </c>
      <c r="R1457" s="39">
        <v>0</v>
      </c>
      <c r="S1457" s="39">
        <v>0</v>
      </c>
      <c r="T1457" s="39">
        <v>0</v>
      </c>
      <c r="U1457" s="29" cm="1">
        <f t="array" aca="1" ref="U1457" ca="1">+fair_value_gap(OFFSET(T1456,0,0,-1*$J$5,-1*$AA$1),OFFSET(E1456,0,0,-1*$J$5,1),F1457:T1457,0)</f>
        <v>18.39061733444132</v>
      </c>
      <c r="V1457" s="9" cm="1">
        <f t="array" aca="1" ref="V1457" ca="1">z_score_diff(OFFSET(U1457,0,0,$J$5*-1,1),OFFSET(E1457,0,0,$J$5*-1,1))</f>
        <v>-0.12881626555710435</v>
      </c>
      <c r="W1457" s="9">
        <f t="shared" ca="1" si="1546"/>
        <v>-0.13846100282648982</v>
      </c>
      <c r="X1457" s="17">
        <f t="shared" ca="1" si="1541"/>
        <v>-3.9024241227084124E-2</v>
      </c>
      <c r="Y1457" s="13">
        <f t="shared" ref="Y1457:Z1457" ca="1" si="1589">+Y1456</f>
        <v>0</v>
      </c>
      <c r="Z1457" s="13">
        <f t="shared" ca="1" si="1589"/>
        <v>0</v>
      </c>
      <c r="AA1457">
        <f t="shared" ca="1" si="1548"/>
        <v>1</v>
      </c>
      <c r="AB1457">
        <f t="shared" ca="1" si="1549"/>
        <v>0</v>
      </c>
      <c r="AC1457" s="24">
        <f t="shared" ca="1" si="1550"/>
        <v>-3.9024241227084124E-2</v>
      </c>
      <c r="AD1457" s="24">
        <f t="shared" ca="1" si="1551"/>
        <v>0</v>
      </c>
    </row>
    <row r="1458" spans="3:30" x14ac:dyDescent="0.25">
      <c r="C1458" s="6">
        <v>1552</v>
      </c>
      <c r="D1458" s="36">
        <v>44216</v>
      </c>
      <c r="E1458" s="38">
        <v>18.46</v>
      </c>
      <c r="F1458" s="38">
        <v>43.705212600140719</v>
      </c>
      <c r="G1458" s="38">
        <v>53.46</v>
      </c>
      <c r="H1458" s="38">
        <v>2.5137049750718115</v>
      </c>
      <c r="I1458" s="38">
        <v>6.5156477929932421</v>
      </c>
      <c r="J1458" s="10">
        <v>1</v>
      </c>
      <c r="K1458" s="39">
        <v>0</v>
      </c>
      <c r="L1458" s="39">
        <v>0</v>
      </c>
      <c r="M1458" s="39">
        <v>0</v>
      </c>
      <c r="N1458" s="39">
        <v>0</v>
      </c>
      <c r="O1458" s="39">
        <v>0</v>
      </c>
      <c r="P1458" s="39">
        <v>0</v>
      </c>
      <c r="Q1458" s="39">
        <v>0</v>
      </c>
      <c r="R1458" s="39">
        <v>0</v>
      </c>
      <c r="S1458" s="39">
        <v>0</v>
      </c>
      <c r="T1458" s="39">
        <v>0</v>
      </c>
      <c r="U1458" s="29" cm="1">
        <f t="array" aca="1" ref="U1458" ca="1">+fair_value_gap(OFFSET(T1457,0,0,-1*$J$5,-1*$AA$1),OFFSET(E1457,0,0,-1*$J$5,1),F1458:T1458,0)</f>
        <v>18.517139141855957</v>
      </c>
      <c r="V1458" s="9" cm="1">
        <f t="array" aca="1" ref="V1458" ca="1">z_score_diff(OFFSET(U1458,0,0,$J$5*-1,1),OFFSET(E1458,0,0,$J$5*-1,1))</f>
        <v>-2.7718743972883431E-2</v>
      </c>
      <c r="W1458" s="9">
        <f t="shared" ca="1" si="1546"/>
        <v>-0.1416496375440176</v>
      </c>
      <c r="X1458" s="17">
        <f t="shared" ca="1" si="1541"/>
        <v>-3.9896998120445552E-2</v>
      </c>
      <c r="Y1458" s="13">
        <f t="shared" ref="Y1458:Z1458" ca="1" si="1590">+Y1457</f>
        <v>0</v>
      </c>
      <c r="Z1458" s="13">
        <f t="shared" ca="1" si="1590"/>
        <v>0</v>
      </c>
      <c r="AA1458">
        <f t="shared" ca="1" si="1548"/>
        <v>1</v>
      </c>
      <c r="AB1458">
        <f t="shared" ca="1" si="1549"/>
        <v>0</v>
      </c>
      <c r="AC1458" s="24">
        <f t="shared" ca="1" si="1550"/>
        <v>-3.9896998120445552E-2</v>
      </c>
      <c r="AD1458" s="24">
        <f t="shared" ca="1" si="1551"/>
        <v>0</v>
      </c>
    </row>
    <row r="1459" spans="3:30" x14ac:dyDescent="0.25">
      <c r="C1459" s="6">
        <v>1553</v>
      </c>
      <c r="D1459" s="36">
        <v>44217</v>
      </c>
      <c r="E1459" s="38">
        <v>18.564</v>
      </c>
      <c r="F1459" s="38">
        <v>43.473511564133418</v>
      </c>
      <c r="G1459" s="38">
        <v>53.99</v>
      </c>
      <c r="H1459" s="38">
        <v>2.4846664775450713</v>
      </c>
      <c r="I1459" s="38">
        <v>6.5499655994339401</v>
      </c>
      <c r="J1459" s="10">
        <v>1</v>
      </c>
      <c r="K1459" s="39">
        <v>0</v>
      </c>
      <c r="L1459" s="39">
        <v>0</v>
      </c>
      <c r="M1459" s="39">
        <v>0</v>
      </c>
      <c r="N1459" s="39">
        <v>0</v>
      </c>
      <c r="O1459" s="39">
        <v>0</v>
      </c>
      <c r="P1459" s="39">
        <v>0</v>
      </c>
      <c r="Q1459" s="39">
        <v>0</v>
      </c>
      <c r="R1459" s="39">
        <v>0</v>
      </c>
      <c r="S1459" s="39">
        <v>0</v>
      </c>
      <c r="T1459" s="39">
        <v>0</v>
      </c>
      <c r="U1459" s="29" cm="1">
        <f t="array" aca="1" ref="U1459" ca="1">+fair_value_gap(OFFSET(T1458,0,0,-1*$J$5,-1*$AA$1),OFFSET(E1458,0,0,-1*$J$5,1),F1459:T1459,0)</f>
        <v>18.625293791552203</v>
      </c>
      <c r="V1459" s="9" cm="1">
        <f t="array" aca="1" ref="V1459" ca="1">z_score_diff(OFFSET(U1459,0,0,$J$5*-1,1),OFFSET(E1459,0,0,$J$5*-1,1))</f>
        <v>-2.2286545230623567E-2</v>
      </c>
      <c r="W1459" s="9">
        <f t="shared" ca="1" si="1546"/>
        <v>-0.14202057219524489</v>
      </c>
      <c r="X1459" s="17">
        <f t="shared" ca="1" si="1541"/>
        <v>-3.029706219106456E-2</v>
      </c>
      <c r="Y1459" s="13">
        <f t="shared" ref="Y1459:Z1459" ca="1" si="1591">+Y1458</f>
        <v>0</v>
      </c>
      <c r="Z1459" s="13">
        <f t="shared" ca="1" si="1591"/>
        <v>0</v>
      </c>
      <c r="AA1459">
        <f t="shared" ca="1" si="1548"/>
        <v>1</v>
      </c>
      <c r="AB1459">
        <f t="shared" ca="1" si="1549"/>
        <v>0</v>
      </c>
      <c r="AC1459" s="24">
        <f t="shared" ca="1" si="1550"/>
        <v>-3.029706219106456E-2</v>
      </c>
      <c r="AD1459" s="24">
        <f t="shared" ca="1" si="1551"/>
        <v>0</v>
      </c>
    </row>
    <row r="1460" spans="3:30" x14ac:dyDescent="0.25">
      <c r="C1460" s="6">
        <v>1554</v>
      </c>
      <c r="D1460" s="36">
        <v>44218</v>
      </c>
      <c r="E1460" s="38">
        <v>18.872</v>
      </c>
      <c r="F1460" s="38">
        <v>43.026475260388011</v>
      </c>
      <c r="G1460" s="38">
        <v>54.31</v>
      </c>
      <c r="H1460" s="38">
        <v>2.4696006826856536</v>
      </c>
      <c r="I1460" s="38">
        <v>6.5815265718437796</v>
      </c>
      <c r="J1460" s="10">
        <v>1</v>
      </c>
      <c r="K1460" s="39">
        <v>0</v>
      </c>
      <c r="L1460" s="39">
        <v>0</v>
      </c>
      <c r="M1460" s="39">
        <v>0</v>
      </c>
      <c r="N1460" s="39">
        <v>0</v>
      </c>
      <c r="O1460" s="39">
        <v>0</v>
      </c>
      <c r="P1460" s="39">
        <v>0</v>
      </c>
      <c r="Q1460" s="39">
        <v>0</v>
      </c>
      <c r="R1460" s="39">
        <v>0</v>
      </c>
      <c r="S1460" s="39">
        <v>0</v>
      </c>
      <c r="T1460" s="39">
        <v>0</v>
      </c>
      <c r="U1460" s="29" cm="1">
        <f t="array" aca="1" ref="U1460" ca="1">+fair_value_gap(OFFSET(T1459,0,0,-1*$J$5,-1*$AA$1),OFFSET(E1459,0,0,-1*$J$5,1),F1460:T1460,0)</f>
        <v>18.70261033900578</v>
      </c>
      <c r="V1460" s="9" cm="1">
        <f t="array" aca="1" ref="V1460" ca="1">z_score_diff(OFFSET(U1460,0,0,$J$5*-1,1),OFFSET(E1460,0,0,$J$5*-1,1))</f>
        <v>-0.12041157412920667</v>
      </c>
      <c r="W1460" s="9">
        <f t="shared" ca="1" si="1546"/>
        <v>-0.14642479585544835</v>
      </c>
      <c r="X1460" s="17">
        <f t="shared" ca="1" si="1541"/>
        <v>-2.2235639780219703E-2</v>
      </c>
      <c r="Y1460" s="13">
        <f t="shared" ref="Y1460:Z1460" ca="1" si="1592">+Y1459</f>
        <v>0</v>
      </c>
      <c r="Z1460" s="13">
        <f t="shared" ca="1" si="1592"/>
        <v>0</v>
      </c>
      <c r="AA1460">
        <f t="shared" ca="1" si="1548"/>
        <v>1</v>
      </c>
      <c r="AB1460">
        <f t="shared" ca="1" si="1549"/>
        <v>0</v>
      </c>
      <c r="AC1460" s="24">
        <f t="shared" ca="1" si="1550"/>
        <v>-2.2235639780219703E-2</v>
      </c>
      <c r="AD1460" s="24">
        <f t="shared" ca="1" si="1551"/>
        <v>0</v>
      </c>
    </row>
    <row r="1461" spans="3:30" x14ac:dyDescent="0.25">
      <c r="C1461" s="6">
        <v>1555</v>
      </c>
      <c r="D1461" s="36">
        <v>44221</v>
      </c>
      <c r="E1461" s="38">
        <v>18.420000000000002</v>
      </c>
      <c r="F1461" s="38">
        <v>43.402309669596647</v>
      </c>
      <c r="G1461" s="38">
        <v>54.19</v>
      </c>
      <c r="H1461" s="38">
        <v>2.5320737512439764</v>
      </c>
      <c r="I1461" s="38">
        <v>6.4956393424942283</v>
      </c>
      <c r="J1461" s="10">
        <v>1</v>
      </c>
      <c r="K1461" s="39">
        <v>0</v>
      </c>
      <c r="L1461" s="39">
        <v>0</v>
      </c>
      <c r="M1461" s="39">
        <v>0</v>
      </c>
      <c r="N1461" s="39">
        <v>0</v>
      </c>
      <c r="O1461" s="39">
        <v>0</v>
      </c>
      <c r="P1461" s="39">
        <v>0</v>
      </c>
      <c r="Q1461" s="39">
        <v>0</v>
      </c>
      <c r="R1461" s="39">
        <v>0</v>
      </c>
      <c r="S1461" s="39">
        <v>0</v>
      </c>
      <c r="T1461" s="39">
        <v>0</v>
      </c>
      <c r="U1461" s="29" cm="1">
        <f t="array" aca="1" ref="U1461" ca="1">+fair_value_gap(OFFSET(T1460,0,0,-1*$J$5,-1*$AA$1),OFFSET(E1460,0,0,-1*$J$5,1),F1461:T1461,0)</f>
        <v>18.61279967359771</v>
      </c>
      <c r="V1461" s="9" cm="1">
        <f t="array" aca="1" ref="V1461" ca="1">z_score_diff(OFFSET(U1461,0,0,$J$5*-1,1),OFFSET(E1461,0,0,$J$5*-1,1))</f>
        <v>5.621178048147879E-2</v>
      </c>
      <c r="W1461" s="9">
        <f t="shared" ca="1" si="1546"/>
        <v>-0.14177626019553882</v>
      </c>
      <c r="X1461" s="17">
        <f t="shared" ca="1" si="1541"/>
        <v>4.3421624650971657E-4</v>
      </c>
      <c r="Y1461" s="13">
        <f t="shared" ref="Y1461:Z1461" ca="1" si="1593">+Y1460</f>
        <v>0</v>
      </c>
      <c r="Z1461" s="13">
        <f t="shared" ca="1" si="1593"/>
        <v>0</v>
      </c>
      <c r="AA1461">
        <f t="shared" ca="1" si="1548"/>
        <v>1</v>
      </c>
      <c r="AB1461">
        <f t="shared" ca="1" si="1549"/>
        <v>0</v>
      </c>
      <c r="AC1461" s="24">
        <f t="shared" ca="1" si="1550"/>
        <v>4.3421624650971657E-4</v>
      </c>
      <c r="AD1461" s="24">
        <f t="shared" ca="1" si="1551"/>
        <v>0</v>
      </c>
    </row>
    <row r="1462" spans="3:30" x14ac:dyDescent="0.25">
      <c r="C1462" s="6">
        <v>1556</v>
      </c>
      <c r="D1462" s="36">
        <v>44222</v>
      </c>
      <c r="E1462" s="38">
        <v>18.317</v>
      </c>
      <c r="F1462" s="38">
        <v>43.12453125509505</v>
      </c>
      <c r="G1462" s="38">
        <v>53.13</v>
      </c>
      <c r="H1462" s="38">
        <v>2.5458962402582581</v>
      </c>
      <c r="I1462" s="38">
        <v>6.4401473897022861</v>
      </c>
      <c r="J1462" s="10">
        <v>1</v>
      </c>
      <c r="K1462" s="39">
        <v>0</v>
      </c>
      <c r="L1462" s="39">
        <v>0</v>
      </c>
      <c r="M1462" s="39">
        <v>0</v>
      </c>
      <c r="N1462" s="39">
        <v>0</v>
      </c>
      <c r="O1462" s="39">
        <v>0</v>
      </c>
      <c r="P1462" s="39">
        <v>0</v>
      </c>
      <c r="Q1462" s="39">
        <v>0</v>
      </c>
      <c r="R1462" s="39">
        <v>0</v>
      </c>
      <c r="S1462" s="39">
        <v>0</v>
      </c>
      <c r="T1462" s="39">
        <v>0</v>
      </c>
      <c r="U1462" s="29" cm="1">
        <f t="array" aca="1" ref="U1462" ca="1">+fair_value_gap(OFFSET(T1461,0,0,-1*$J$5,-1*$AA$1),OFFSET(E1461,0,0,-1*$J$5,1),F1462:T1462,0)</f>
        <v>18.369696370120909</v>
      </c>
      <c r="V1462" s="9" cm="1">
        <f t="array" aca="1" ref="V1462" ca="1">z_score_diff(OFFSET(U1462,0,0,$J$5*-1,1),OFFSET(E1462,0,0,$J$5*-1,1))</f>
        <v>-1.1616316271345184E-2</v>
      </c>
      <c r="W1462" s="9">
        <f t="shared" ca="1" si="1546"/>
        <v>-0.13721225519900329</v>
      </c>
      <c r="X1462" s="17">
        <f t="shared" ca="1" si="1541"/>
        <v>2.9213686827231498E-2</v>
      </c>
      <c r="Y1462" s="13">
        <f t="shared" ref="Y1462:Z1462" ca="1" si="1594">+Y1461</f>
        <v>0</v>
      </c>
      <c r="Z1462" s="13">
        <f t="shared" ca="1" si="1594"/>
        <v>0</v>
      </c>
      <c r="AA1462">
        <f t="shared" ca="1" si="1548"/>
        <v>1</v>
      </c>
      <c r="AB1462">
        <f t="shared" ca="1" si="1549"/>
        <v>0</v>
      </c>
      <c r="AC1462" s="24">
        <f t="shared" ca="1" si="1550"/>
        <v>2.9213686827231498E-2</v>
      </c>
      <c r="AD1462" s="24">
        <f t="shared" ca="1" si="1551"/>
        <v>0</v>
      </c>
    </row>
    <row r="1463" spans="3:30" x14ac:dyDescent="0.25">
      <c r="C1463" s="6">
        <v>1557</v>
      </c>
      <c r="D1463" s="36">
        <v>44223</v>
      </c>
      <c r="E1463" s="38">
        <v>18.523</v>
      </c>
      <c r="F1463" s="38">
        <v>43.378778547936946</v>
      </c>
      <c r="G1463" s="38">
        <v>53.13</v>
      </c>
      <c r="H1463" s="38">
        <v>2.5796328568246438</v>
      </c>
      <c r="I1463" s="38">
        <v>6.4900286953445407</v>
      </c>
      <c r="J1463" s="10">
        <v>1</v>
      </c>
      <c r="K1463" s="39">
        <v>0</v>
      </c>
      <c r="L1463" s="39">
        <v>0</v>
      </c>
      <c r="M1463" s="39">
        <v>0</v>
      </c>
      <c r="N1463" s="39">
        <v>0</v>
      </c>
      <c r="O1463" s="39">
        <v>0</v>
      </c>
      <c r="P1463" s="39">
        <v>0</v>
      </c>
      <c r="Q1463" s="39">
        <v>0</v>
      </c>
      <c r="R1463" s="39">
        <v>0</v>
      </c>
      <c r="S1463" s="39">
        <v>0</v>
      </c>
      <c r="T1463" s="39">
        <v>0</v>
      </c>
      <c r="U1463" s="29" cm="1">
        <f t="array" aca="1" ref="U1463" ca="1">+fair_value_gap(OFFSET(T1462,0,0,-1*$J$5,-1*$AA$1),OFFSET(E1462,0,0,-1*$J$5,1),F1463:T1463,0)</f>
        <v>18.45142837864304</v>
      </c>
      <c r="V1463" s="9" cm="1">
        <f t="array" aca="1" ref="V1463" ca="1">z_score_diff(OFFSET(U1463,0,0,$J$5*-1,1),OFFSET(E1463,0,0,$J$5*-1,1))</f>
        <v>-6.4819335113960097E-2</v>
      </c>
      <c r="W1463" s="9">
        <f t="shared" ca="1" si="1546"/>
        <v>-0.1339505718716261</v>
      </c>
      <c r="X1463" s="17">
        <f t="shared" ca="1" si="1541"/>
        <v>4.1402725285837445E-2</v>
      </c>
      <c r="Y1463" s="13">
        <f t="shared" ref="Y1463:Z1463" ca="1" si="1595">+Y1462</f>
        <v>0</v>
      </c>
      <c r="Z1463" s="13">
        <f t="shared" ca="1" si="1595"/>
        <v>0</v>
      </c>
      <c r="AA1463">
        <f t="shared" ca="1" si="1548"/>
        <v>1</v>
      </c>
      <c r="AB1463">
        <f t="shared" ca="1" si="1549"/>
        <v>0</v>
      </c>
      <c r="AC1463" s="24">
        <f t="shared" ca="1" si="1550"/>
        <v>4.1402725285837445E-2</v>
      </c>
      <c r="AD1463" s="24">
        <f t="shared" ca="1" si="1551"/>
        <v>0</v>
      </c>
    </row>
    <row r="1464" spans="3:30" x14ac:dyDescent="0.25">
      <c r="C1464" s="6">
        <v>1558</v>
      </c>
      <c r="D1464" s="36">
        <v>44224</v>
      </c>
      <c r="E1464" s="38">
        <v>18.824999999999999</v>
      </c>
      <c r="F1464" s="38">
        <v>42.913224830293615</v>
      </c>
      <c r="G1464" s="38">
        <v>53.92</v>
      </c>
      <c r="H1464" s="38">
        <v>2.5026580518524577</v>
      </c>
      <c r="I1464" s="38">
        <v>6.5919685940950368</v>
      </c>
      <c r="J1464" s="10">
        <v>1</v>
      </c>
      <c r="K1464" s="39">
        <v>0</v>
      </c>
      <c r="L1464" s="39">
        <v>0</v>
      </c>
      <c r="M1464" s="39">
        <v>0</v>
      </c>
      <c r="N1464" s="39">
        <v>0</v>
      </c>
      <c r="O1464" s="39">
        <v>0</v>
      </c>
      <c r="P1464" s="39">
        <v>0</v>
      </c>
      <c r="Q1464" s="39">
        <v>0</v>
      </c>
      <c r="R1464" s="39">
        <v>0</v>
      </c>
      <c r="S1464" s="39">
        <v>0</v>
      </c>
      <c r="T1464" s="39">
        <v>0</v>
      </c>
      <c r="U1464" s="29" cm="1">
        <f t="array" aca="1" ref="U1464" ca="1">+fair_value_gap(OFFSET(T1463,0,0,-1*$J$5,-1*$AA$1),OFFSET(E1463,0,0,-1*$J$5,1),F1464:T1464,0)</f>
        <v>18.676394821135617</v>
      </c>
      <c r="V1464" s="9" cm="1">
        <f t="array" aca="1" ref="V1464" ca="1">z_score_diff(OFFSET(U1464,0,0,$J$5*-1,1),OFFSET(E1464,0,0,$J$5*-1,1))</f>
        <v>-9.1465454523107947E-2</v>
      </c>
      <c r="W1464" s="9">
        <f t="shared" ca="1" si="1546"/>
        <v>-0.125992081129634</v>
      </c>
      <c r="X1464" s="17">
        <f t="shared" ca="1" si="1541"/>
        <v>4.4061363608171304E-2</v>
      </c>
      <c r="Y1464" s="13">
        <f t="shared" ref="Y1464:Z1464" ca="1" si="1596">+Y1463</f>
        <v>0</v>
      </c>
      <c r="Z1464" s="13">
        <f t="shared" ca="1" si="1596"/>
        <v>0</v>
      </c>
      <c r="AA1464">
        <f t="shared" ca="1" si="1548"/>
        <v>1</v>
      </c>
      <c r="AB1464">
        <f t="shared" ca="1" si="1549"/>
        <v>0</v>
      </c>
      <c r="AC1464" s="24">
        <f t="shared" ca="1" si="1550"/>
        <v>4.4061363608171304E-2</v>
      </c>
      <c r="AD1464" s="24">
        <f t="shared" ca="1" si="1551"/>
        <v>0</v>
      </c>
    </row>
    <row r="1465" spans="3:30" x14ac:dyDescent="0.25">
      <c r="C1465" s="6">
        <v>1559</v>
      </c>
      <c r="D1465" s="36">
        <v>44225</v>
      </c>
      <c r="E1465" s="38">
        <v>18.591999999999999</v>
      </c>
      <c r="F1465" s="38">
        <v>42.806188949052867</v>
      </c>
      <c r="G1465" s="38">
        <v>52.21</v>
      </c>
      <c r="H1465" s="38">
        <v>2.4596182685530281</v>
      </c>
      <c r="I1465" s="38">
        <v>6.5701571768030522</v>
      </c>
      <c r="J1465" s="10">
        <v>1</v>
      </c>
      <c r="K1465" s="39">
        <v>0</v>
      </c>
      <c r="L1465" s="39">
        <v>0</v>
      </c>
      <c r="M1465" s="39">
        <v>0</v>
      </c>
      <c r="N1465" s="39">
        <v>0</v>
      </c>
      <c r="O1465" s="39">
        <v>0</v>
      </c>
      <c r="P1465" s="39">
        <v>0</v>
      </c>
      <c r="Q1465" s="39">
        <v>0</v>
      </c>
      <c r="R1465" s="39">
        <v>0</v>
      </c>
      <c r="S1465" s="39">
        <v>0</v>
      </c>
      <c r="T1465" s="39">
        <v>0</v>
      </c>
      <c r="U1465" s="29" cm="1">
        <f t="array" aca="1" ref="U1465" ca="1">+fair_value_gap(OFFSET(T1464,0,0,-1*$J$5,-1*$AA$1),OFFSET(E1464,0,0,-1*$J$5,1),F1465:T1465,0)</f>
        <v>18.373317231294735</v>
      </c>
      <c r="V1465" s="9" cm="1">
        <f t="array" aca="1" ref="V1465" ca="1">z_score_diff(OFFSET(U1465,0,0,$J$5*-1,1),OFFSET(E1465,0,0,$J$5*-1,1))</f>
        <v>-0.12396014854923365</v>
      </c>
      <c r="W1465" s="9">
        <f t="shared" ca="1" si="1546"/>
        <v>-0.12734012028715724</v>
      </c>
      <c r="X1465" s="17">
        <f t="shared" ca="1" si="1541"/>
        <v>7.4799274825869747E-2</v>
      </c>
      <c r="Y1465" s="13">
        <f t="shared" ref="Y1465:Z1465" ca="1" si="1597">+Y1464</f>
        <v>0</v>
      </c>
      <c r="Z1465" s="13">
        <f t="shared" ca="1" si="1597"/>
        <v>0</v>
      </c>
      <c r="AA1465">
        <f t="shared" ca="1" si="1548"/>
        <v>1</v>
      </c>
      <c r="AB1465">
        <f t="shared" ca="1" si="1549"/>
        <v>0</v>
      </c>
      <c r="AC1465" s="24">
        <f t="shared" ca="1" si="1550"/>
        <v>7.4799274825869747E-2</v>
      </c>
      <c r="AD1465" s="24">
        <f t="shared" ca="1" si="1551"/>
        <v>0</v>
      </c>
    </row>
    <row r="1466" spans="3:30" x14ac:dyDescent="0.25">
      <c r="C1466" s="6">
        <v>1560</v>
      </c>
      <c r="D1466" s="36">
        <v>44228</v>
      </c>
      <c r="E1466" s="38">
        <v>18.256</v>
      </c>
      <c r="F1466" s="38">
        <v>43.804097155283301</v>
      </c>
      <c r="G1466" s="38">
        <v>51.84</v>
      </c>
      <c r="H1466" s="38">
        <v>2.580872265739373</v>
      </c>
      <c r="I1466" s="38">
        <v>6.3987209137834045</v>
      </c>
      <c r="J1466" s="10">
        <v>0</v>
      </c>
      <c r="K1466" s="39">
        <v>1</v>
      </c>
      <c r="L1466" s="39">
        <v>0</v>
      </c>
      <c r="M1466" s="39">
        <v>0</v>
      </c>
      <c r="N1466" s="39">
        <v>0</v>
      </c>
      <c r="O1466" s="39">
        <v>0</v>
      </c>
      <c r="P1466" s="39">
        <v>0</v>
      </c>
      <c r="Q1466" s="39">
        <v>0</v>
      </c>
      <c r="R1466" s="39">
        <v>0</v>
      </c>
      <c r="S1466" s="39">
        <v>0</v>
      </c>
      <c r="T1466" s="39">
        <v>0</v>
      </c>
      <c r="U1466" s="29" cm="1">
        <f t="array" aca="1" ref="U1466" ca="1">+fair_value_gap(OFFSET(T1465,0,0,-1*$J$5,-1*$AA$1),OFFSET(E1465,0,0,-1*$J$5,1),F1466:T1466,0)</f>
        <v>18.73692479425468</v>
      </c>
      <c r="V1466" s="9" cm="1">
        <f t="array" aca="1" ref="V1466" ca="1">z_score_diff(OFFSET(U1466,0,0,$J$5*-1,1),OFFSET(E1466,0,0,$J$5*-1,1))</f>
        <v>0.20003914590534366</v>
      </c>
      <c r="W1466" s="9">
        <f t="shared" ca="1" si="1546"/>
        <v>-0.11958225566842075</v>
      </c>
      <c r="X1466" s="17">
        <f t="shared" ca="1" si="1541"/>
        <v>7.8254552875976477E-2</v>
      </c>
      <c r="Y1466" s="13">
        <f t="shared" ref="Y1466:Z1466" ca="1" si="1598">+Y1465</f>
        <v>0</v>
      </c>
      <c r="Z1466" s="13">
        <f t="shared" ca="1" si="1598"/>
        <v>0</v>
      </c>
      <c r="AA1466">
        <f t="shared" ca="1" si="1548"/>
        <v>1</v>
      </c>
      <c r="AB1466">
        <f t="shared" ca="1" si="1549"/>
        <v>0</v>
      </c>
      <c r="AC1466" s="24">
        <f t="shared" ca="1" si="1550"/>
        <v>7.8254552875976477E-2</v>
      </c>
      <c r="AD1466" s="24">
        <f t="shared" ca="1" si="1551"/>
        <v>0</v>
      </c>
    </row>
    <row r="1467" spans="3:30" x14ac:dyDescent="0.25">
      <c r="C1467" s="6">
        <v>1561</v>
      </c>
      <c r="D1467" s="36">
        <v>44229</v>
      </c>
      <c r="E1467" s="38">
        <v>18.367000000000001</v>
      </c>
      <c r="F1467" s="38">
        <v>44.522057157919448</v>
      </c>
      <c r="G1467" s="38">
        <v>53.05</v>
      </c>
      <c r="H1467" s="38">
        <v>2.5881277259978335</v>
      </c>
      <c r="I1467" s="38">
        <v>6.4867937117227692</v>
      </c>
      <c r="J1467" s="10">
        <v>0</v>
      </c>
      <c r="K1467" s="39">
        <v>1</v>
      </c>
      <c r="L1467" s="39">
        <v>0</v>
      </c>
      <c r="M1467" s="39">
        <v>0</v>
      </c>
      <c r="N1467" s="39">
        <v>0</v>
      </c>
      <c r="O1467" s="39">
        <v>0</v>
      </c>
      <c r="P1467" s="39">
        <v>0</v>
      </c>
      <c r="Q1467" s="39">
        <v>0</v>
      </c>
      <c r="R1467" s="39">
        <v>0</v>
      </c>
      <c r="S1467" s="39">
        <v>0</v>
      </c>
      <c r="T1467" s="39">
        <v>0</v>
      </c>
      <c r="U1467" s="29" cm="1">
        <f t="array" aca="1" ref="U1467" ca="1">+fair_value_gap(OFFSET(T1466,0,0,-1*$J$5,-1*$AA$1),OFFSET(E1466,0,0,-1*$J$5,1),F1467:T1467,0)</f>
        <v>18.863600733530411</v>
      </c>
      <c r="V1467" s="9" cm="1">
        <f t="array" aca="1" ref="V1467" ca="1">z_score_diff(OFFSET(U1467,0,0,$J$5*-1,1),OFFSET(E1467,0,0,$J$5*-1,1))</f>
        <v>0.20438324304947031</v>
      </c>
      <c r="W1467" s="9">
        <f t="shared" ca="1" si="1546"/>
        <v>-0.10873655720058875</v>
      </c>
      <c r="X1467" s="17">
        <f t="shared" ca="1" si="1541"/>
        <v>5.9807606057051765E-2</v>
      </c>
      <c r="Y1467" s="13">
        <f t="shared" ref="Y1467:Z1467" ca="1" si="1599">+Y1466</f>
        <v>0</v>
      </c>
      <c r="Z1467" s="13">
        <f t="shared" ca="1" si="1599"/>
        <v>0</v>
      </c>
      <c r="AA1467">
        <f t="shared" ca="1" si="1548"/>
        <v>1</v>
      </c>
      <c r="AB1467">
        <f t="shared" ca="1" si="1549"/>
        <v>0</v>
      </c>
      <c r="AC1467" s="24">
        <f t="shared" ca="1" si="1550"/>
        <v>5.9807606057051765E-2</v>
      </c>
      <c r="AD1467" s="24">
        <f t="shared" ca="1" si="1551"/>
        <v>0</v>
      </c>
    </row>
    <row r="1468" spans="3:30" x14ac:dyDescent="0.25">
      <c r="C1468" s="6">
        <v>1562</v>
      </c>
      <c r="D1468" s="36">
        <v>44230</v>
      </c>
      <c r="E1468" s="38">
        <v>18.446000000000002</v>
      </c>
      <c r="F1468" s="38">
        <v>45.042112644835605</v>
      </c>
      <c r="G1468" s="38">
        <v>54.45</v>
      </c>
      <c r="H1468" s="38">
        <v>2.5685375981330516</v>
      </c>
      <c r="I1468" s="38">
        <v>6.4893274255045821</v>
      </c>
      <c r="J1468" s="10">
        <v>0</v>
      </c>
      <c r="K1468" s="39">
        <v>1</v>
      </c>
      <c r="L1468" s="39">
        <v>0</v>
      </c>
      <c r="M1468" s="39">
        <v>0</v>
      </c>
      <c r="N1468" s="39">
        <v>0</v>
      </c>
      <c r="O1468" s="39">
        <v>0</v>
      </c>
      <c r="P1468" s="39">
        <v>0</v>
      </c>
      <c r="Q1468" s="39">
        <v>0</v>
      </c>
      <c r="R1468" s="39">
        <v>0</v>
      </c>
      <c r="S1468" s="39">
        <v>0</v>
      </c>
      <c r="T1468" s="39">
        <v>0</v>
      </c>
      <c r="U1468" s="29" cm="1">
        <f t="array" aca="1" ref="U1468" ca="1">+fair_value_gap(OFFSET(T1467,0,0,-1*$J$5,-1*$AA$1),OFFSET(E1467,0,0,-1*$J$5,1),F1468:T1468,0)</f>
        <v>18.930967413934898</v>
      </c>
      <c r="V1468" s="9" cm="1">
        <f t="array" aca="1" ref="V1468" ca="1">z_score_diff(OFFSET(U1468,0,0,$J$5*-1,1),OFFSET(E1468,0,0,$J$5*-1,1))</f>
        <v>0.19382893133161483</v>
      </c>
      <c r="W1468" s="9">
        <f t="shared" ca="1" si="1546"/>
        <v>-9.4266784205228396E-2</v>
      </c>
      <c r="X1468" s="17">
        <f t="shared" ca="1" si="1541"/>
        <v>5.9456781326843351E-2</v>
      </c>
      <c r="Y1468" s="13">
        <f t="shared" ref="Y1468:Z1468" ca="1" si="1600">+Y1467</f>
        <v>0</v>
      </c>
      <c r="Z1468" s="13">
        <f t="shared" ca="1" si="1600"/>
        <v>0</v>
      </c>
      <c r="AA1468">
        <f t="shared" ca="1" si="1548"/>
        <v>1</v>
      </c>
      <c r="AB1468">
        <f t="shared" ca="1" si="1549"/>
        <v>0</v>
      </c>
      <c r="AC1468" s="24">
        <f t="shared" ca="1" si="1550"/>
        <v>5.9456781326843351E-2</v>
      </c>
      <c r="AD1468" s="24">
        <f t="shared" ca="1" si="1551"/>
        <v>0</v>
      </c>
    </row>
    <row r="1469" spans="3:30" x14ac:dyDescent="0.25">
      <c r="C1469" s="6">
        <v>1563</v>
      </c>
      <c r="D1469" s="36">
        <v>44231</v>
      </c>
      <c r="E1469" s="38">
        <v>18.695</v>
      </c>
      <c r="F1469" s="38">
        <v>45.553215455271065</v>
      </c>
      <c r="G1469" s="38">
        <v>54.86</v>
      </c>
      <c r="H1469" s="38">
        <v>2.6448382554179397</v>
      </c>
      <c r="I1469" s="38">
        <v>6.5768698078161556</v>
      </c>
      <c r="J1469" s="10">
        <v>0</v>
      </c>
      <c r="K1469" s="39">
        <v>1</v>
      </c>
      <c r="L1469" s="39">
        <v>0</v>
      </c>
      <c r="M1469" s="39">
        <v>0</v>
      </c>
      <c r="N1469" s="39">
        <v>0</v>
      </c>
      <c r="O1469" s="39">
        <v>0</v>
      </c>
      <c r="P1469" s="39">
        <v>0</v>
      </c>
      <c r="Q1469" s="39">
        <v>0</v>
      </c>
      <c r="R1469" s="39">
        <v>0</v>
      </c>
      <c r="S1469" s="39">
        <v>0</v>
      </c>
      <c r="T1469" s="39">
        <v>0</v>
      </c>
      <c r="U1469" s="29" cm="1">
        <f t="array" aca="1" ref="U1469" ca="1">+fair_value_gap(OFFSET(T1468,0,0,-1*$J$5,-1*$AA$1),OFFSET(E1468,0,0,-1*$J$5,1),F1469:T1469,0)</f>
        <v>19.045392268378478</v>
      </c>
      <c r="V1469" s="9" cm="1">
        <f t="array" aca="1" ref="V1469" ca="1">z_score_diff(OFFSET(U1469,0,0,$J$5*-1,1),OFFSET(E1469,0,0,$J$5*-1,1))</f>
        <v>0.1304489488587004</v>
      </c>
      <c r="W1469" s="9">
        <f t="shared" ca="1" si="1546"/>
        <v>-8.0500095117135559E-2</v>
      </c>
      <c r="X1469" s="17">
        <f t="shared" ca="1" si="1541"/>
        <v>3.7583807259877304E-2</v>
      </c>
      <c r="Y1469" s="13">
        <f t="shared" ref="Y1469:Z1469" ca="1" si="1601">+Y1468</f>
        <v>0</v>
      </c>
      <c r="Z1469" s="13">
        <f t="shared" ca="1" si="1601"/>
        <v>0</v>
      </c>
      <c r="AA1469">
        <f t="shared" ca="1" si="1548"/>
        <v>1</v>
      </c>
      <c r="AB1469">
        <f t="shared" ca="1" si="1549"/>
        <v>0</v>
      </c>
      <c r="AC1469" s="24">
        <f t="shared" ca="1" si="1550"/>
        <v>3.7583807259877304E-2</v>
      </c>
      <c r="AD1469" s="24">
        <f t="shared" ca="1" si="1551"/>
        <v>0</v>
      </c>
    </row>
    <row r="1470" spans="3:30" x14ac:dyDescent="0.25">
      <c r="C1470" s="6">
        <v>1564</v>
      </c>
      <c r="D1470" s="36">
        <v>44232</v>
      </c>
      <c r="E1470" s="38">
        <v>19.001999999999999</v>
      </c>
      <c r="F1470" s="38">
        <v>45.58389544688027</v>
      </c>
      <c r="G1470" s="38">
        <v>55.91</v>
      </c>
      <c r="H1470" s="38">
        <v>2.6151454468802702</v>
      </c>
      <c r="I1470" s="38">
        <v>6.6901941926644186</v>
      </c>
      <c r="J1470" s="10">
        <v>0</v>
      </c>
      <c r="K1470" s="39">
        <v>1</v>
      </c>
      <c r="L1470" s="39">
        <v>0</v>
      </c>
      <c r="M1470" s="39">
        <v>0</v>
      </c>
      <c r="N1470" s="39">
        <v>0</v>
      </c>
      <c r="O1470" s="39">
        <v>0</v>
      </c>
      <c r="P1470" s="39">
        <v>0</v>
      </c>
      <c r="Q1470" s="39">
        <v>0</v>
      </c>
      <c r="R1470" s="39">
        <v>0</v>
      </c>
      <c r="S1470" s="39">
        <v>0</v>
      </c>
      <c r="T1470" s="39">
        <v>0</v>
      </c>
      <c r="U1470" s="29" cm="1">
        <f t="array" aca="1" ref="U1470" ca="1">+fair_value_gap(OFFSET(T1469,0,0,-1*$J$5,-1*$AA$1),OFFSET(E1469,0,0,-1*$J$5,1),F1470:T1470,0)</f>
        <v>19.244730224574482</v>
      </c>
      <c r="V1470" s="9" cm="1">
        <f t="array" aca="1" ref="V1470" ca="1">z_score_diff(OFFSET(U1470,0,0,$J$5*-1,1),OFFSET(E1470,0,0,$J$5*-1,1))</f>
        <v>8.0710230046292075E-2</v>
      </c>
      <c r="W1470" s="9">
        <f t="shared" ca="1" si="1546"/>
        <v>-6.7728450864477804E-2</v>
      </c>
      <c r="X1470" s="17">
        <f t="shared" ca="1" si="1541"/>
        <v>1.5249917503324844E-3</v>
      </c>
      <c r="Y1470" s="13">
        <f t="shared" ref="Y1470:Z1470" ca="1" si="1602">+Y1469</f>
        <v>0</v>
      </c>
      <c r="Z1470" s="13">
        <f t="shared" ca="1" si="1602"/>
        <v>0</v>
      </c>
      <c r="AA1470">
        <f t="shared" ca="1" si="1548"/>
        <v>1</v>
      </c>
      <c r="AB1470">
        <f t="shared" ca="1" si="1549"/>
        <v>0</v>
      </c>
      <c r="AC1470" s="24">
        <f t="shared" ca="1" si="1550"/>
        <v>1.5249917503324844E-3</v>
      </c>
      <c r="AD1470" s="24">
        <f t="shared" ca="1" si="1551"/>
        <v>0</v>
      </c>
    </row>
    <row r="1471" spans="3:30" x14ac:dyDescent="0.25">
      <c r="C1471" s="6">
        <v>1565</v>
      </c>
      <c r="D1471" s="36">
        <v>44235</v>
      </c>
      <c r="E1471" s="38">
        <v>19.675000000000001</v>
      </c>
      <c r="F1471" s="38">
        <v>46.444458898588714</v>
      </c>
      <c r="G1471" s="38">
        <v>56.59</v>
      </c>
      <c r="H1471" s="38">
        <v>2.6305627757665473</v>
      </c>
      <c r="I1471" s="38">
        <v>6.8336998556689661</v>
      </c>
      <c r="J1471" s="10">
        <v>0</v>
      </c>
      <c r="K1471" s="39">
        <v>1</v>
      </c>
      <c r="L1471" s="39">
        <v>0</v>
      </c>
      <c r="M1471" s="39">
        <v>0</v>
      </c>
      <c r="N1471" s="39">
        <v>0</v>
      </c>
      <c r="O1471" s="39">
        <v>0</v>
      </c>
      <c r="P1471" s="39">
        <v>0</v>
      </c>
      <c r="Q1471" s="39">
        <v>0</v>
      </c>
      <c r="R1471" s="39">
        <v>0</v>
      </c>
      <c r="S1471" s="39">
        <v>0</v>
      </c>
      <c r="T1471" s="39">
        <v>0</v>
      </c>
      <c r="U1471" s="29" cm="1">
        <f t="array" aca="1" ref="U1471" ca="1">+fair_value_gap(OFFSET(T1470,0,0,-1*$J$5,-1*$AA$1),OFFSET(E1470,0,0,-1*$J$5,1),F1471:T1471,0)</f>
        <v>19.495673251118866</v>
      </c>
      <c r="V1471" s="9" cm="1">
        <f t="array" aca="1" ref="V1471" ca="1">z_score_diff(OFFSET(U1471,0,0,$J$5*-1,1),OFFSET(E1471,0,0,$J$5*-1,1))</f>
        <v>-9.8765899177517102E-2</v>
      </c>
      <c r="W1471" s="9">
        <f t="shared" ca="1" si="1546"/>
        <v>-6.1076870449654055E-2</v>
      </c>
      <c r="X1471" s="17">
        <f t="shared" ca="1" si="1541"/>
        <v>-5.2999155806347908E-3</v>
      </c>
      <c r="Y1471" s="13">
        <f t="shared" ref="Y1471:Z1471" ca="1" si="1603">+Y1470</f>
        <v>0</v>
      </c>
      <c r="Z1471" s="13">
        <f t="shared" ca="1" si="1603"/>
        <v>0</v>
      </c>
      <c r="AA1471">
        <f t="shared" ca="1" si="1548"/>
        <v>1</v>
      </c>
      <c r="AB1471">
        <f t="shared" ca="1" si="1549"/>
        <v>0</v>
      </c>
      <c r="AC1471" s="24">
        <f t="shared" ca="1" si="1550"/>
        <v>-5.2999155806347908E-3</v>
      </c>
      <c r="AD1471" s="24">
        <f t="shared" ca="1" si="1551"/>
        <v>0</v>
      </c>
    </row>
    <row r="1472" spans="3:30" x14ac:dyDescent="0.25">
      <c r="C1472" s="6">
        <v>1566</v>
      </c>
      <c r="D1472" s="36">
        <v>44236</v>
      </c>
      <c r="E1472" s="38">
        <v>19.382999999999999</v>
      </c>
      <c r="F1472" s="38">
        <v>46.475257820592077</v>
      </c>
      <c r="G1472" s="38">
        <v>56.75</v>
      </c>
      <c r="H1472" s="38">
        <v>2.6054311202453131</v>
      </c>
      <c r="I1472" s="38">
        <v>6.7755947580232458</v>
      </c>
      <c r="J1472" s="10">
        <v>0</v>
      </c>
      <c r="K1472" s="39">
        <v>1</v>
      </c>
      <c r="L1472" s="39">
        <v>0</v>
      </c>
      <c r="M1472" s="39">
        <v>0</v>
      </c>
      <c r="N1472" s="39">
        <v>0</v>
      </c>
      <c r="O1472" s="39">
        <v>0</v>
      </c>
      <c r="P1472" s="39">
        <v>0</v>
      </c>
      <c r="Q1472" s="39">
        <v>0</v>
      </c>
      <c r="R1472" s="39">
        <v>0</v>
      </c>
      <c r="S1472" s="39">
        <v>0</v>
      </c>
      <c r="T1472" s="39">
        <v>0</v>
      </c>
      <c r="U1472" s="29" cm="1">
        <f t="array" aca="1" ref="U1472" ca="1">+fair_value_gap(OFFSET(T1471,0,0,-1*$J$5,-1*$AA$1),OFFSET(E1471,0,0,-1*$J$5,1),F1472:T1472,0)</f>
        <v>19.452476799528188</v>
      </c>
      <c r="V1472" s="9" cm="1">
        <f t="array" aca="1" ref="V1472" ca="1">z_score_diff(OFFSET(U1472,0,0,$J$5*-1,1),OFFSET(E1472,0,0,$J$5*-1,1))</f>
        <v>7.25756000156208E-3</v>
      </c>
      <c r="W1472" s="9">
        <f t="shared" ca="1" si="1546"/>
        <v>-4.0828932545666434E-2</v>
      </c>
      <c r="X1472" s="17">
        <f t="shared" ca="1" si="1541"/>
        <v>1.9819824348605408E-2</v>
      </c>
      <c r="Y1472" s="13">
        <f t="shared" ref="Y1472:Z1472" ca="1" si="1604">+Y1471</f>
        <v>0</v>
      </c>
      <c r="Z1472" s="13">
        <f t="shared" ca="1" si="1604"/>
        <v>0</v>
      </c>
      <c r="AA1472">
        <f t="shared" ca="1" si="1548"/>
        <v>1</v>
      </c>
      <c r="AB1472">
        <f t="shared" ca="1" si="1549"/>
        <v>0</v>
      </c>
      <c r="AC1472" s="24">
        <f t="shared" ca="1" si="1550"/>
        <v>1.9819824348605408E-2</v>
      </c>
      <c r="AD1472" s="24">
        <f t="shared" ca="1" si="1551"/>
        <v>0</v>
      </c>
    </row>
    <row r="1473" spans="3:30" x14ac:dyDescent="0.25">
      <c r="C1473" s="6">
        <v>1567</v>
      </c>
      <c r="D1473" s="36">
        <v>44237</v>
      </c>
      <c r="E1473" s="38">
        <v>19.245999999999999</v>
      </c>
      <c r="F1473" s="38">
        <v>46.658933835176093</v>
      </c>
      <c r="G1473" s="38">
        <v>57.22</v>
      </c>
      <c r="H1473" s="38">
        <v>2.6259975393551738</v>
      </c>
      <c r="I1473" s="38">
        <v>6.7532667393018029</v>
      </c>
      <c r="J1473" s="10">
        <v>0</v>
      </c>
      <c r="K1473" s="39">
        <v>1</v>
      </c>
      <c r="L1473" s="39">
        <v>0</v>
      </c>
      <c r="M1473" s="39">
        <v>0</v>
      </c>
      <c r="N1473" s="39">
        <v>0</v>
      </c>
      <c r="O1473" s="39">
        <v>0</v>
      </c>
      <c r="P1473" s="39">
        <v>0</v>
      </c>
      <c r="Q1473" s="39">
        <v>0</v>
      </c>
      <c r="R1473" s="39">
        <v>0</v>
      </c>
      <c r="S1473" s="39">
        <v>0</v>
      </c>
      <c r="T1473" s="39">
        <v>0</v>
      </c>
      <c r="U1473" s="29" cm="1">
        <f t="array" aca="1" ref="U1473" ca="1">+fair_value_gap(OFFSET(T1472,0,0,-1*$J$5,-1*$AA$1),OFFSET(E1472,0,0,-1*$J$5,1),F1473:T1473,0)</f>
        <v>19.496723472087588</v>
      </c>
      <c r="V1473" s="9" cm="1">
        <f t="array" aca="1" ref="V1473" ca="1">z_score_diff(OFFSET(U1473,0,0,$J$5*-1,1),OFFSET(E1473,0,0,$J$5*-1,1))</f>
        <v>8.1836094570908458E-2</v>
      </c>
      <c r="W1473" s="9">
        <f t="shared" ca="1" si="1546"/>
        <v>-2.7882817917294345E-2</v>
      </c>
      <c r="X1473" s="17">
        <f t="shared" ca="1" si="1541"/>
        <v>3.0799999455290814E-2</v>
      </c>
      <c r="Y1473" s="13">
        <f t="shared" ref="Y1473:Z1473" ca="1" si="1605">+Y1472</f>
        <v>0</v>
      </c>
      <c r="Z1473" s="13">
        <f t="shared" ca="1" si="1605"/>
        <v>0</v>
      </c>
      <c r="AA1473">
        <f t="shared" ca="1" si="1548"/>
        <v>1</v>
      </c>
      <c r="AB1473">
        <f t="shared" ca="1" si="1549"/>
        <v>0</v>
      </c>
      <c r="AC1473" s="24">
        <f t="shared" ca="1" si="1550"/>
        <v>3.0799999455290814E-2</v>
      </c>
      <c r="AD1473" s="24">
        <f t="shared" ca="1" si="1551"/>
        <v>0</v>
      </c>
    </row>
    <row r="1474" spans="3:30" x14ac:dyDescent="0.25">
      <c r="C1474" s="6">
        <v>1568</v>
      </c>
      <c r="D1474" s="36">
        <v>44238</v>
      </c>
      <c r="E1474" s="38">
        <v>18.638000000000002</v>
      </c>
      <c r="F1474" s="38">
        <v>46.377622286119916</v>
      </c>
      <c r="G1474" s="38">
        <v>56.22</v>
      </c>
      <c r="H1474" s="38">
        <v>2.598978727301871</v>
      </c>
      <c r="I1474" s="38">
        <v>6.6201173056981268</v>
      </c>
      <c r="J1474" s="10">
        <v>0</v>
      </c>
      <c r="K1474" s="39">
        <v>1</v>
      </c>
      <c r="L1474" s="39">
        <v>0</v>
      </c>
      <c r="M1474" s="39">
        <v>0</v>
      </c>
      <c r="N1474" s="39">
        <v>0</v>
      </c>
      <c r="O1474" s="39">
        <v>0</v>
      </c>
      <c r="P1474" s="39">
        <v>0</v>
      </c>
      <c r="Q1474" s="39">
        <v>0</v>
      </c>
      <c r="R1474" s="39">
        <v>0</v>
      </c>
      <c r="S1474" s="39">
        <v>0</v>
      </c>
      <c r="T1474" s="39">
        <v>0</v>
      </c>
      <c r="U1474" s="29" cm="1">
        <f t="array" aca="1" ref="U1474" ca="1">+fair_value_gap(OFFSET(T1473,0,0,-1*$J$5,-1*$AA$1),OFFSET(E1473,0,0,-1*$J$5,1),F1474:T1474,0)</f>
        <v>19.134374654641714</v>
      </c>
      <c r="V1474" s="9" cm="1">
        <f t="array" aca="1" ref="V1474" ca="1">z_score_diff(OFFSET(U1474,0,0,$J$5*-1,1),OFFSET(E1474,0,0,$J$5*-1,1))</f>
        <v>0.17441656973817565</v>
      </c>
      <c r="W1474" s="9">
        <f t="shared" ca="1" si="1546"/>
        <v>-1.3732357642877332E-2</v>
      </c>
      <c r="X1474" s="17">
        <f t="shared" ca="1" si="1541"/>
        <v>4.8130771247048121E-2</v>
      </c>
      <c r="Y1474" s="13">
        <f t="shared" ref="Y1474:Z1474" ca="1" si="1606">+Y1473</f>
        <v>0</v>
      </c>
      <c r="Z1474" s="13">
        <f t="shared" ca="1" si="1606"/>
        <v>0</v>
      </c>
      <c r="AA1474">
        <f t="shared" ca="1" si="1548"/>
        <v>1</v>
      </c>
      <c r="AB1474">
        <f t="shared" ca="1" si="1549"/>
        <v>0</v>
      </c>
      <c r="AC1474" s="24">
        <f t="shared" ca="1" si="1550"/>
        <v>4.8130771247048121E-2</v>
      </c>
      <c r="AD1474" s="24">
        <f t="shared" ca="1" si="1551"/>
        <v>0</v>
      </c>
    </row>
    <row r="1475" spans="3:30" x14ac:dyDescent="0.25">
      <c r="C1475" s="6">
        <v>1569</v>
      </c>
      <c r="D1475" s="36">
        <v>44239</v>
      </c>
      <c r="E1475" s="38">
        <v>18.675000000000001</v>
      </c>
      <c r="F1475" s="38">
        <v>47.013000408488374</v>
      </c>
      <c r="G1475" s="38">
        <v>55.85</v>
      </c>
      <c r="H1475" s="38">
        <v>2.6187460962346214</v>
      </c>
      <c r="I1475" s="38">
        <v>6.6144008932715668</v>
      </c>
      <c r="J1475" s="10">
        <v>0</v>
      </c>
      <c r="K1475" s="39">
        <v>1</v>
      </c>
      <c r="L1475" s="39">
        <v>0</v>
      </c>
      <c r="M1475" s="39">
        <v>0</v>
      </c>
      <c r="N1475" s="39">
        <v>0</v>
      </c>
      <c r="O1475" s="39">
        <v>0</v>
      </c>
      <c r="P1475" s="39">
        <v>0</v>
      </c>
      <c r="Q1475" s="39">
        <v>0</v>
      </c>
      <c r="R1475" s="39">
        <v>0</v>
      </c>
      <c r="S1475" s="39">
        <v>0</v>
      </c>
      <c r="T1475" s="39">
        <v>0</v>
      </c>
      <c r="U1475" s="29" cm="1">
        <f t="array" aca="1" ref="U1475" ca="1">+fair_value_gap(OFFSET(T1474,0,0,-1*$J$5,-1*$AA$1),OFFSET(E1474,0,0,-1*$J$5,1),F1475:T1475,0)</f>
        <v>19.050684673163374</v>
      </c>
      <c r="V1475" s="9" cm="1">
        <f t="array" aca="1" ref="V1475" ca="1">z_score_diff(OFFSET(U1475,0,0,$J$5*-1,1),OFFSET(E1475,0,0,$J$5*-1,1))</f>
        <v>0.11852327420681119</v>
      </c>
      <c r="W1475" s="9">
        <f t="shared" ca="1" si="1546"/>
        <v>7.8342636236577632E-4</v>
      </c>
      <c r="X1475" s="17">
        <f t="shared" ca="1" si="1541"/>
        <v>5.2112236071685122E-2</v>
      </c>
      <c r="Y1475" s="13">
        <f t="shared" ref="Y1475:Z1475" ca="1" si="1607">+Y1474</f>
        <v>0</v>
      </c>
      <c r="Z1475" s="13">
        <f t="shared" ca="1" si="1607"/>
        <v>0</v>
      </c>
      <c r="AA1475">
        <f t="shared" ca="1" si="1548"/>
        <v>0</v>
      </c>
      <c r="AB1475">
        <f t="shared" ca="1" si="1549"/>
        <v>1</v>
      </c>
      <c r="AC1475" s="24">
        <f t="shared" ca="1" si="1550"/>
        <v>0</v>
      </c>
      <c r="AD1475" s="24">
        <f t="shared" ca="1" si="1551"/>
        <v>5.2112236071685122E-2</v>
      </c>
    </row>
    <row r="1476" spans="3:30" x14ac:dyDescent="0.25">
      <c r="C1476" s="6">
        <v>1570</v>
      </c>
      <c r="D1476" s="36">
        <v>44242</v>
      </c>
      <c r="E1476" s="38">
        <v>18.369</v>
      </c>
      <c r="F1476" s="38">
        <v>47.498012738103412</v>
      </c>
      <c r="G1476" s="38">
        <v>56.33</v>
      </c>
      <c r="H1476" s="38">
        <v>2.6161525955439537</v>
      </c>
      <c r="I1476" s="38">
        <v>6.6078502569537809</v>
      </c>
      <c r="J1476" s="10">
        <v>0</v>
      </c>
      <c r="K1476" s="39">
        <v>1</v>
      </c>
      <c r="L1476" s="39">
        <v>0</v>
      </c>
      <c r="M1476" s="39">
        <v>0</v>
      </c>
      <c r="N1476" s="39">
        <v>0</v>
      </c>
      <c r="O1476" s="39">
        <v>0</v>
      </c>
      <c r="P1476" s="39">
        <v>0</v>
      </c>
      <c r="Q1476" s="39">
        <v>0</v>
      </c>
      <c r="R1476" s="39">
        <v>0</v>
      </c>
      <c r="S1476" s="39">
        <v>0</v>
      </c>
      <c r="T1476" s="39">
        <v>0</v>
      </c>
      <c r="U1476" s="29" cm="1">
        <f t="array" aca="1" ref="U1476" ca="1">+fair_value_gap(OFFSET(T1475,0,0,-1*$J$5,-1*$AA$1),OFFSET(E1475,0,0,-1*$J$5,1),F1476:T1476,0)</f>
        <v>19.087033985438975</v>
      </c>
      <c r="V1476" s="9" cm="1">
        <f t="array" aca="1" ref="V1476" ca="1">z_score_diff(OFFSET(U1476,0,0,$J$5*-1,1),OFFSET(E1476,0,0,$J$5*-1,1))</f>
        <v>0.25436471433345598</v>
      </c>
      <c r="W1476" s="9">
        <f t="shared" ca="1" si="1546"/>
        <v>1.4381327360925818E-2</v>
      </c>
      <c r="X1476" s="17">
        <f t="shared" ca="1" si="1541"/>
        <v>6.5579135806201505E-2</v>
      </c>
      <c r="Y1476" s="13">
        <f t="shared" ref="Y1476:Z1476" ca="1" si="1608">+Y1475</f>
        <v>0</v>
      </c>
      <c r="Z1476" s="13">
        <f t="shared" ca="1" si="1608"/>
        <v>0</v>
      </c>
      <c r="AA1476">
        <f t="shared" ca="1" si="1548"/>
        <v>0</v>
      </c>
      <c r="AB1476">
        <f t="shared" ca="1" si="1549"/>
        <v>1</v>
      </c>
      <c r="AC1476" s="24">
        <f t="shared" ca="1" si="1550"/>
        <v>0</v>
      </c>
      <c r="AD1476" s="24">
        <f t="shared" ca="1" si="1551"/>
        <v>6.5579135806201505E-2</v>
      </c>
    </row>
    <row r="1477" spans="3:30" x14ac:dyDescent="0.25">
      <c r="C1477" s="6">
        <v>1571</v>
      </c>
      <c r="D1477" s="36">
        <v>44243</v>
      </c>
      <c r="E1477" s="38">
        <v>18.398</v>
      </c>
      <c r="F1477" s="38">
        <v>47.656629680532575</v>
      </c>
      <c r="G1477" s="38">
        <v>56.01</v>
      </c>
      <c r="H1477" s="38">
        <v>2.679917094674833</v>
      </c>
      <c r="I1477" s="38">
        <v>6.2449444224532806</v>
      </c>
      <c r="J1477" s="10">
        <v>0</v>
      </c>
      <c r="K1477" s="39">
        <v>1</v>
      </c>
      <c r="L1477" s="39">
        <v>0</v>
      </c>
      <c r="M1477" s="39">
        <v>0</v>
      </c>
      <c r="N1477" s="39">
        <v>0</v>
      </c>
      <c r="O1477" s="39">
        <v>0</v>
      </c>
      <c r="P1477" s="39">
        <v>0</v>
      </c>
      <c r="Q1477" s="39">
        <v>0</v>
      </c>
      <c r="R1477" s="39">
        <v>0</v>
      </c>
      <c r="S1477" s="39">
        <v>0</v>
      </c>
      <c r="T1477" s="39">
        <v>0</v>
      </c>
      <c r="U1477" s="29" cm="1">
        <f t="array" aca="1" ref="U1477" ca="1">+fair_value_gap(OFFSET(T1476,0,0,-1*$J$5,-1*$AA$1),OFFSET(E1476,0,0,-1*$J$5,1),F1477:T1477,0)</f>
        <v>18.58294905658564</v>
      </c>
      <c r="V1477" s="9" cm="1">
        <f t="array" aca="1" ref="V1477" ca="1">z_score_diff(OFFSET(U1477,0,0,$J$5*-1,1),OFFSET(E1477,0,0,$J$5*-1,1))</f>
        <v>2.5686306993192298E-2</v>
      </c>
      <c r="W1477" s="9">
        <f t="shared" ca="1" si="1546"/>
        <v>1.5709612846173442E-2</v>
      </c>
      <c r="X1477" s="17">
        <f t="shared" ca="1" si="1541"/>
        <v>7.7170381754206013E-2</v>
      </c>
      <c r="Y1477" s="13">
        <f t="shared" ref="Y1477:Z1477" ca="1" si="1609">+Y1476</f>
        <v>0</v>
      </c>
      <c r="Z1477" s="13">
        <f t="shared" ca="1" si="1609"/>
        <v>0</v>
      </c>
      <c r="AA1477">
        <f t="shared" ca="1" si="1548"/>
        <v>0</v>
      </c>
      <c r="AB1477">
        <f t="shared" ca="1" si="1549"/>
        <v>1</v>
      </c>
      <c r="AC1477" s="24">
        <f t="shared" ca="1" si="1550"/>
        <v>0</v>
      </c>
      <c r="AD1477" s="24">
        <f t="shared" ca="1" si="1551"/>
        <v>7.7170381754206013E-2</v>
      </c>
    </row>
    <row r="1478" spans="3:30" x14ac:dyDescent="0.25">
      <c r="C1478" s="6">
        <v>1572</v>
      </c>
      <c r="D1478" s="36">
        <v>44244</v>
      </c>
      <c r="E1478" s="38">
        <v>18.323</v>
      </c>
      <c r="F1478" s="38">
        <v>48.230610536584081</v>
      </c>
      <c r="G1478" s="38">
        <v>55.86</v>
      </c>
      <c r="H1478" s="38">
        <v>2.7147226121975496</v>
      </c>
      <c r="I1478" s="38">
        <v>6.2203810992690434</v>
      </c>
      <c r="J1478" s="10">
        <v>0</v>
      </c>
      <c r="K1478" s="39">
        <v>1</v>
      </c>
      <c r="L1478" s="39">
        <v>0</v>
      </c>
      <c r="M1478" s="39">
        <v>0</v>
      </c>
      <c r="N1478" s="39">
        <v>0</v>
      </c>
      <c r="O1478" s="39">
        <v>0</v>
      </c>
      <c r="P1478" s="39">
        <v>0</v>
      </c>
      <c r="Q1478" s="39">
        <v>0</v>
      </c>
      <c r="R1478" s="39">
        <v>0</v>
      </c>
      <c r="S1478" s="39">
        <v>0</v>
      </c>
      <c r="T1478" s="39">
        <v>0</v>
      </c>
      <c r="U1478" s="29" cm="1">
        <f t="array" aca="1" ref="U1478" ca="1">+fair_value_gap(OFFSET(T1477,0,0,-1*$J$5,-1*$AA$1),OFFSET(E1477,0,0,-1*$J$5,1),F1478:T1478,0)</f>
        <v>18.521934876485307</v>
      </c>
      <c r="V1478" s="9" cm="1">
        <f t="array" aca="1" ref="V1478" ca="1">z_score_diff(OFFSET(U1478,0,0,$J$5*-1,1),OFFSET(E1478,0,0,$J$5*-1,1))</f>
        <v>2.9503531584272435E-2</v>
      </c>
      <c r="W1478" s="9">
        <f t="shared" ca="1" si="1546"/>
        <v>1.5049451472121771E-2</v>
      </c>
      <c r="X1478" s="17">
        <f t="shared" ca="1" si="1541"/>
        <v>-2.4921858971193089E-2</v>
      </c>
      <c r="Y1478" s="13">
        <f t="shared" ref="Y1478:Z1478" ca="1" si="1610">+Y1477</f>
        <v>0</v>
      </c>
      <c r="Z1478" s="13">
        <f t="shared" ca="1" si="1610"/>
        <v>0</v>
      </c>
      <c r="AA1478">
        <f t="shared" ca="1" si="1548"/>
        <v>0</v>
      </c>
      <c r="AB1478">
        <f t="shared" ca="1" si="1549"/>
        <v>1</v>
      </c>
      <c r="AC1478" s="24">
        <f t="shared" ca="1" si="1550"/>
        <v>0</v>
      </c>
      <c r="AD1478" s="24">
        <f t="shared" ca="1" si="1551"/>
        <v>-2.4921858971193089E-2</v>
      </c>
    </row>
    <row r="1479" spans="3:30" x14ac:dyDescent="0.25">
      <c r="C1479" s="6">
        <v>1573</v>
      </c>
      <c r="D1479" s="36">
        <v>44245</v>
      </c>
      <c r="E1479" s="38">
        <v>18.748999999999999</v>
      </c>
      <c r="F1479" s="38">
        <v>47.803822172407202</v>
      </c>
      <c r="G1479" s="38">
        <v>55.63</v>
      </c>
      <c r="H1479" s="38">
        <v>2.659323509453686</v>
      </c>
      <c r="I1479" s="38">
        <v>6.2934314463158811</v>
      </c>
      <c r="J1479" s="10">
        <v>0</v>
      </c>
      <c r="K1479" s="39">
        <v>1</v>
      </c>
      <c r="L1479" s="39">
        <v>0</v>
      </c>
      <c r="M1479" s="39">
        <v>0</v>
      </c>
      <c r="N1479" s="39">
        <v>0</v>
      </c>
      <c r="O1479" s="39">
        <v>0</v>
      </c>
      <c r="P1479" s="39">
        <v>0</v>
      </c>
      <c r="Q1479" s="39">
        <v>0</v>
      </c>
      <c r="R1479" s="39">
        <v>0</v>
      </c>
      <c r="S1479" s="39">
        <v>0</v>
      </c>
      <c r="T1479" s="39">
        <v>0</v>
      </c>
      <c r="U1479" s="29" cm="1">
        <f t="array" aca="1" ref="U1479" ca="1">+fair_value_gap(OFFSET(T1478,0,0,-1*$J$5,-1*$AA$1),OFFSET(E1478,0,0,-1*$J$5,1),F1479:T1479,0)</f>
        <v>18.470276337081987</v>
      </c>
      <c r="V1479" s="9" cm="1">
        <f t="array" aca="1" ref="V1479" ca="1">z_score_diff(OFFSET(U1479,0,0,$J$5*-1,1),OFFSET(E1479,0,0,$J$5*-1,1))</f>
        <v>-0.16230522583119922</v>
      </c>
      <c r="W1479" s="9">
        <f t="shared" ca="1" si="1546"/>
        <v>1.3704939415064758E-2</v>
      </c>
      <c r="X1479" s="17">
        <f t="shared" ref="X1479:X1509" ca="1" si="1611">+LN(OFFSET(E1479,$X$3,0,1,1)/E1479)</f>
        <v>-4.3438888320527717E-2</v>
      </c>
      <c r="Y1479" s="13">
        <f t="shared" ref="Y1479:Z1479" ca="1" si="1612">+Y1478</f>
        <v>0</v>
      </c>
      <c r="Z1479" s="13">
        <f t="shared" ca="1" si="1612"/>
        <v>0</v>
      </c>
      <c r="AA1479">
        <f t="shared" ca="1" si="1548"/>
        <v>0</v>
      </c>
      <c r="AB1479">
        <f t="shared" ca="1" si="1549"/>
        <v>1</v>
      </c>
      <c r="AC1479" s="24">
        <f t="shared" ca="1" si="1550"/>
        <v>0</v>
      </c>
      <c r="AD1479" s="24">
        <f t="shared" ca="1" si="1551"/>
        <v>-4.3438888320527717E-2</v>
      </c>
    </row>
    <row r="1480" spans="3:30" x14ac:dyDescent="0.25">
      <c r="C1480" s="6">
        <v>1574</v>
      </c>
      <c r="D1480" s="36">
        <v>44246</v>
      </c>
      <c r="E1480" s="38">
        <v>18.263000000000002</v>
      </c>
      <c r="F1480" s="38">
        <v>47.315058820252744</v>
      </c>
      <c r="G1480" s="38">
        <v>55.36</v>
      </c>
      <c r="H1480" s="38">
        <v>2.6803128888481127</v>
      </c>
      <c r="I1480" s="38">
        <v>6.1888031403568124</v>
      </c>
      <c r="J1480" s="10">
        <v>0</v>
      </c>
      <c r="K1480" s="39">
        <v>1</v>
      </c>
      <c r="L1480" s="39">
        <v>0</v>
      </c>
      <c r="M1480" s="39">
        <v>0</v>
      </c>
      <c r="N1480" s="39">
        <v>0</v>
      </c>
      <c r="O1480" s="39">
        <v>0</v>
      </c>
      <c r="P1480" s="39">
        <v>0</v>
      </c>
      <c r="Q1480" s="39">
        <v>0</v>
      </c>
      <c r="R1480" s="39">
        <v>0</v>
      </c>
      <c r="S1480" s="39">
        <v>0</v>
      </c>
      <c r="T1480" s="39">
        <v>0</v>
      </c>
      <c r="U1480" s="29" cm="1">
        <f t="array" aca="1" ref="U1480" ca="1">+fair_value_gap(OFFSET(T1479,0,0,-1*$J$5,-1*$AA$1),OFFSET(E1479,0,0,-1*$J$5,1),F1480:T1480,0)</f>
        <v>18.234532615643705</v>
      </c>
      <c r="V1480" s="9" cm="1">
        <f t="array" aca="1" ref="V1480" ca="1">z_score_diff(OFFSET(U1480,0,0,$J$5*-1,1),OFFSET(E1480,0,0,$J$5*-1,1))</f>
        <v>-6.088713851830807E-2</v>
      </c>
      <c r="W1480" s="9">
        <f t="shared" ca="1" si="1546"/>
        <v>1.5851175898736452E-2</v>
      </c>
      <c r="X1480" s="17">
        <f t="shared" ca="1" si="1611"/>
        <v>-1.9294625156901134E-2</v>
      </c>
      <c r="Y1480" s="13">
        <f t="shared" ref="Y1480:Z1480" ca="1" si="1613">+Y1479</f>
        <v>0</v>
      </c>
      <c r="Z1480" s="13">
        <f t="shared" ca="1" si="1613"/>
        <v>0</v>
      </c>
      <c r="AA1480">
        <f t="shared" ca="1" si="1548"/>
        <v>0</v>
      </c>
      <c r="AB1480">
        <f t="shared" ca="1" si="1549"/>
        <v>1</v>
      </c>
      <c r="AC1480" s="24">
        <f t="shared" ca="1" si="1550"/>
        <v>0</v>
      </c>
      <c r="AD1480" s="24">
        <f t="shared" ca="1" si="1551"/>
        <v>-1.9294625156901134E-2</v>
      </c>
    </row>
    <row r="1481" spans="3:30" x14ac:dyDescent="0.25">
      <c r="C1481" s="6">
        <v>1575</v>
      </c>
      <c r="D1481" s="36">
        <v>44249</v>
      </c>
      <c r="E1481" s="38">
        <v>17.914000000000001</v>
      </c>
      <c r="F1481" s="38">
        <v>48.567428228542035</v>
      </c>
      <c r="G1481" s="38">
        <v>54.41</v>
      </c>
      <c r="H1481" s="38">
        <v>2.6622690108131719</v>
      </c>
      <c r="I1481" s="38">
        <v>6.08623596308255</v>
      </c>
      <c r="J1481" s="10">
        <v>0</v>
      </c>
      <c r="K1481" s="39">
        <v>1</v>
      </c>
      <c r="L1481" s="39">
        <v>0</v>
      </c>
      <c r="M1481" s="39">
        <v>0</v>
      </c>
      <c r="N1481" s="39">
        <v>0</v>
      </c>
      <c r="O1481" s="39">
        <v>0</v>
      </c>
      <c r="P1481" s="39">
        <v>0</v>
      </c>
      <c r="Q1481" s="39">
        <v>0</v>
      </c>
      <c r="R1481" s="39">
        <v>0</v>
      </c>
      <c r="S1481" s="39">
        <v>0</v>
      </c>
      <c r="T1481" s="39">
        <v>0</v>
      </c>
      <c r="U1481" s="29" cm="1">
        <f t="array" aca="1" ref="U1481" ca="1">+fair_value_gap(OFFSET(T1480,0,0,-1*$J$5,-1*$AA$1),OFFSET(E1480,0,0,-1*$J$5,1),F1481:T1481,0)</f>
        <v>17.94210384580099</v>
      </c>
      <c r="V1481" s="9" cm="1">
        <f t="array" aca="1" ref="V1481" ca="1">z_score_diff(OFFSET(U1481,0,0,$J$5*-1,1),OFFSET(E1481,0,0,$J$5*-1,1))</f>
        <v>-3.9898873009929003E-2</v>
      </c>
      <c r="W1481" s="9">
        <f t="shared" ca="1" si="1546"/>
        <v>1.8921203832413809E-2</v>
      </c>
      <c r="X1481" s="17">
        <f t="shared" ca="1" si="1611"/>
        <v>-1.7172395074362582E-2</v>
      </c>
      <c r="Y1481" s="13">
        <f t="shared" ref="Y1481:Z1481" ca="1" si="1614">+Y1480</f>
        <v>0</v>
      </c>
      <c r="Z1481" s="13">
        <f t="shared" ca="1" si="1614"/>
        <v>0</v>
      </c>
      <c r="AA1481">
        <f t="shared" ca="1" si="1548"/>
        <v>0</v>
      </c>
      <c r="AB1481">
        <f t="shared" ca="1" si="1549"/>
        <v>1</v>
      </c>
      <c r="AC1481" s="24">
        <f t="shared" ca="1" si="1550"/>
        <v>0</v>
      </c>
      <c r="AD1481" s="24">
        <f t="shared" ca="1" si="1551"/>
        <v>-1.7172395074362582E-2</v>
      </c>
    </row>
    <row r="1482" spans="3:30" x14ac:dyDescent="0.25">
      <c r="C1482" s="6">
        <v>1576</v>
      </c>
      <c r="D1482" s="36">
        <v>44250</v>
      </c>
      <c r="E1482" s="38">
        <v>18.12</v>
      </c>
      <c r="F1482" s="38">
        <v>48.807623628281135</v>
      </c>
      <c r="G1482" s="38">
        <v>54.65</v>
      </c>
      <c r="H1482" s="38">
        <v>2.6139647800920445</v>
      </c>
      <c r="I1482" s="38">
        <v>6.142817233216304</v>
      </c>
      <c r="J1482" s="10">
        <v>0</v>
      </c>
      <c r="K1482" s="39">
        <v>1</v>
      </c>
      <c r="L1482" s="39">
        <v>0</v>
      </c>
      <c r="M1482" s="39">
        <v>0</v>
      </c>
      <c r="N1482" s="39">
        <v>0</v>
      </c>
      <c r="O1482" s="39">
        <v>0</v>
      </c>
      <c r="P1482" s="39">
        <v>0</v>
      </c>
      <c r="Q1482" s="39">
        <v>0</v>
      </c>
      <c r="R1482" s="39">
        <v>0</v>
      </c>
      <c r="S1482" s="39">
        <v>0</v>
      </c>
      <c r="T1482" s="39">
        <v>0</v>
      </c>
      <c r="U1482" s="29" cm="1">
        <f t="array" aca="1" ref="U1482" ca="1">+fair_value_gap(OFFSET(T1481,0,0,-1*$J$5,-1*$AA$1),OFFSET(E1481,0,0,-1*$J$5,1),F1482:T1482,0)</f>
        <v>18.024076033775657</v>
      </c>
      <c r="V1482" s="9" cm="1">
        <f t="array" aca="1" ref="V1482" ca="1">z_score_diff(OFFSET(U1482,0,0,$J$5*-1,1),OFFSET(E1482,0,0,$J$5*-1,1))</f>
        <v>-8.5422731725306011E-2</v>
      </c>
      <c r="W1482" s="9">
        <f t="shared" ca="1" si="1546"/>
        <v>2.3840132820567864E-2</v>
      </c>
      <c r="X1482" s="17">
        <f t="shared" ca="1" si="1611"/>
        <v>-3.968439679686888E-2</v>
      </c>
      <c r="Y1482" s="13">
        <f t="shared" ref="Y1482:Z1482" ca="1" si="1615">+Y1481</f>
        <v>0</v>
      </c>
      <c r="Z1482" s="13">
        <f t="shared" ca="1" si="1615"/>
        <v>0</v>
      </c>
      <c r="AA1482">
        <f t="shared" ca="1" si="1548"/>
        <v>0</v>
      </c>
      <c r="AB1482">
        <f t="shared" ca="1" si="1549"/>
        <v>1</v>
      </c>
      <c r="AC1482" s="24">
        <f t="shared" ca="1" si="1550"/>
        <v>0</v>
      </c>
      <c r="AD1482" s="24">
        <f t="shared" ca="1" si="1551"/>
        <v>-3.968439679686888E-2</v>
      </c>
    </row>
    <row r="1483" spans="3:30" x14ac:dyDescent="0.25">
      <c r="C1483" s="6">
        <v>1577</v>
      </c>
      <c r="D1483" s="36">
        <v>44251</v>
      </c>
      <c r="E1483" s="38">
        <v>18.251000000000001</v>
      </c>
      <c r="F1483" s="38">
        <v>49.895439703562396</v>
      </c>
      <c r="G1483" s="38">
        <v>55.5</v>
      </c>
      <c r="H1483" s="38">
        <v>2.5559183573638578</v>
      </c>
      <c r="I1483" s="38">
        <v>6.1472486170728828</v>
      </c>
      <c r="J1483" s="10">
        <v>0</v>
      </c>
      <c r="K1483" s="39">
        <v>1</v>
      </c>
      <c r="L1483" s="39">
        <v>0</v>
      </c>
      <c r="M1483" s="39">
        <v>0</v>
      </c>
      <c r="N1483" s="39">
        <v>0</v>
      </c>
      <c r="O1483" s="39">
        <v>0</v>
      </c>
      <c r="P1483" s="39">
        <v>0</v>
      </c>
      <c r="Q1483" s="39">
        <v>0</v>
      </c>
      <c r="R1483" s="39">
        <v>0</v>
      </c>
      <c r="S1483" s="39">
        <v>0</v>
      </c>
      <c r="T1483" s="39">
        <v>0</v>
      </c>
      <c r="U1483" s="29" cm="1">
        <f t="array" aca="1" ref="U1483" ca="1">+fair_value_gap(OFFSET(T1482,0,0,-1*$J$5,-1*$AA$1),OFFSET(E1482,0,0,-1*$J$5,1),F1483:T1483,0)</f>
        <v>18.124740360965138</v>
      </c>
      <c r="V1483" s="9" cm="1">
        <f t="array" aca="1" ref="V1483" ca="1">z_score_diff(OFFSET(U1483,0,0,$J$5*-1,1),OFFSET(E1483,0,0,$J$5*-1,1))</f>
        <v>-9.3084423922030091E-2</v>
      </c>
      <c r="W1483" s="9">
        <f t="shared" ref="W1483:W1509" ca="1" si="1616">+IF(ISERROR(AVERAGE(OFFSET(V1483,0,0,$W$5*-1,1))),"",AVERAGE(OFFSET(V1483,0,0,$W$5*-1,1)))</f>
        <v>2.2584228967671139E-2</v>
      </c>
      <c r="X1483" s="17">
        <f t="shared" ca="1" si="1611"/>
        <v>-4.7060249357832575E-2</v>
      </c>
      <c r="Y1483" s="13">
        <f t="shared" ref="Y1483:Z1483" ca="1" si="1617">+Y1482</f>
        <v>0</v>
      </c>
      <c r="Z1483" s="13">
        <f t="shared" ca="1" si="1617"/>
        <v>0</v>
      </c>
      <c r="AA1483">
        <f t="shared" ref="AA1483:AA1509" ca="1" si="1618">+IF(W1483="","",IF(W1483&lt;Y1483,1,0))</f>
        <v>0</v>
      </c>
      <c r="AB1483">
        <f t="shared" ref="AB1483:AB1509" ca="1" si="1619">+IF(W1483="","",IF(W1483&gt;Z1483,1,0))</f>
        <v>1</v>
      </c>
      <c r="AC1483" s="24">
        <f t="shared" ref="AC1483:AC1509" ca="1" si="1620">+IF(ISERROR(AA1483*X1483),"",AA1483*X1483)</f>
        <v>0</v>
      </c>
      <c r="AD1483" s="24">
        <f t="shared" ref="AD1483:AD1509" ca="1" si="1621">+IF(ISERROR(AB1483*X1483),"",AB1483*X1483)</f>
        <v>-4.7060249357832575E-2</v>
      </c>
    </row>
    <row r="1484" spans="3:30" x14ac:dyDescent="0.25">
      <c r="C1484" s="6">
        <v>1578</v>
      </c>
      <c r="D1484" s="36">
        <v>44252</v>
      </c>
      <c r="E1484" s="38">
        <v>18.024000000000001</v>
      </c>
      <c r="F1484" s="38">
        <v>49.846278772284684</v>
      </c>
      <c r="G1484" s="38">
        <v>55.78</v>
      </c>
      <c r="H1484" s="38">
        <v>2.3626842636912171</v>
      </c>
      <c r="I1484" s="38">
        <v>6.0860724735869338</v>
      </c>
      <c r="J1484" s="10">
        <v>0</v>
      </c>
      <c r="K1484" s="39">
        <v>1</v>
      </c>
      <c r="L1484" s="39">
        <v>0</v>
      </c>
      <c r="M1484" s="39">
        <v>0</v>
      </c>
      <c r="N1484" s="39">
        <v>0</v>
      </c>
      <c r="O1484" s="39">
        <v>0</v>
      </c>
      <c r="P1484" s="39">
        <v>0</v>
      </c>
      <c r="Q1484" s="39">
        <v>0</v>
      </c>
      <c r="R1484" s="39">
        <v>0</v>
      </c>
      <c r="S1484" s="39">
        <v>0</v>
      </c>
      <c r="T1484" s="39">
        <v>0</v>
      </c>
      <c r="U1484" s="29" cm="1">
        <f t="array" aca="1" ref="U1484" ca="1">+fair_value_gap(OFFSET(T1483,0,0,-1*$J$5,-1*$AA$1),OFFSET(E1483,0,0,-1*$J$5,1),F1484:T1484,0)</f>
        <v>17.975297051315479</v>
      </c>
      <c r="V1484" s="9" cm="1">
        <f t="array" aca="1" ref="V1484" ca="1">z_score_diff(OFFSET(U1484,0,0,$J$5*-1,1),OFFSET(E1484,0,0,$J$5*-1,1))</f>
        <v>-6.2001587717987805E-2</v>
      </c>
      <c r="W1484" s="9">
        <f t="shared" ca="1" si="1616"/>
        <v>2.1448984869031986E-2</v>
      </c>
      <c r="X1484" s="17">
        <f t="shared" ca="1" si="1611"/>
        <v>-2.2953391336742446E-2</v>
      </c>
      <c r="Y1484" s="13">
        <f t="shared" ref="Y1484:Z1484" ca="1" si="1622">+Y1483</f>
        <v>0</v>
      </c>
      <c r="Z1484" s="13">
        <f t="shared" ca="1" si="1622"/>
        <v>0</v>
      </c>
      <c r="AA1484">
        <f t="shared" ca="1" si="1618"/>
        <v>0</v>
      </c>
      <c r="AB1484">
        <f t="shared" ca="1" si="1619"/>
        <v>1</v>
      </c>
      <c r="AC1484" s="24">
        <f t="shared" ca="1" si="1620"/>
        <v>0</v>
      </c>
      <c r="AD1484" s="24">
        <f t="shared" ca="1" si="1621"/>
        <v>-2.2953391336742446E-2</v>
      </c>
    </row>
    <row r="1485" spans="3:30" x14ac:dyDescent="0.25">
      <c r="C1485" s="6">
        <v>1579</v>
      </c>
      <c r="D1485" s="36">
        <v>44253</v>
      </c>
      <c r="E1485" s="38">
        <v>17.600999999999999</v>
      </c>
      <c r="F1485" s="38">
        <v>48.906027741919566</v>
      </c>
      <c r="G1485" s="38">
        <v>52.44</v>
      </c>
      <c r="H1485" s="38">
        <v>2.3787010466942387</v>
      </c>
      <c r="I1485" s="38">
        <v>6.1173645998635111</v>
      </c>
      <c r="J1485" s="10">
        <v>0</v>
      </c>
      <c r="K1485" s="39">
        <v>1</v>
      </c>
      <c r="L1485" s="39">
        <v>0</v>
      </c>
      <c r="M1485" s="39">
        <v>0</v>
      </c>
      <c r="N1485" s="39">
        <v>0</v>
      </c>
      <c r="O1485" s="39">
        <v>0</v>
      </c>
      <c r="P1485" s="39">
        <v>0</v>
      </c>
      <c r="Q1485" s="39">
        <v>0</v>
      </c>
      <c r="R1485" s="39">
        <v>0</v>
      </c>
      <c r="S1485" s="39">
        <v>0</v>
      </c>
      <c r="T1485" s="39">
        <v>0</v>
      </c>
      <c r="U1485" s="29" cm="1">
        <f t="array" aca="1" ref="U1485" ca="1">+fair_value_gap(OFFSET(T1484,0,0,-1*$J$5,-1*$AA$1),OFFSET(E1484,0,0,-1*$J$5,1),F1485:T1485,0)</f>
        <v>17.544985862763223</v>
      </c>
      <c r="V1485" s="9" cm="1">
        <f t="array" aca="1" ref="V1485" ca="1">z_score_diff(OFFSET(U1485,0,0,$J$5*-1,1),OFFSET(E1485,0,0,$J$5*-1,1))</f>
        <v>-6.8631027747985573E-2</v>
      </c>
      <c r="W1485" s="9">
        <f t="shared" ca="1" si="1616"/>
        <v>1.5838972026139198E-2</v>
      </c>
      <c r="X1485" s="17">
        <f t="shared" ca="1" si="1611"/>
        <v>-8.5587650150983612E-3</v>
      </c>
      <c r="Y1485" s="13">
        <f t="shared" ref="Y1485:Z1485" ca="1" si="1623">+Y1484</f>
        <v>0</v>
      </c>
      <c r="Z1485" s="13">
        <f t="shared" ca="1" si="1623"/>
        <v>0</v>
      </c>
      <c r="AA1485">
        <f t="shared" ca="1" si="1618"/>
        <v>0</v>
      </c>
      <c r="AB1485">
        <f t="shared" ca="1" si="1619"/>
        <v>1</v>
      </c>
      <c r="AC1485" s="24">
        <f t="shared" ca="1" si="1620"/>
        <v>0</v>
      </c>
      <c r="AD1485" s="24">
        <f t="shared" ca="1" si="1621"/>
        <v>-8.5587650150983612E-3</v>
      </c>
    </row>
    <row r="1486" spans="3:30" x14ac:dyDescent="0.25">
      <c r="C1486" s="6">
        <v>1580</v>
      </c>
      <c r="D1486" s="36">
        <v>44256</v>
      </c>
      <c r="E1486" s="38">
        <v>17.905999999999999</v>
      </c>
      <c r="F1486" s="38">
        <v>48.245133697237293</v>
      </c>
      <c r="G1486" s="38">
        <v>52.42</v>
      </c>
      <c r="H1486" s="38">
        <v>2.3937293677738318</v>
      </c>
      <c r="I1486" s="38">
        <v>6.126366183776164</v>
      </c>
      <c r="J1486" s="10">
        <v>0</v>
      </c>
      <c r="K1486" s="39">
        <v>0</v>
      </c>
      <c r="L1486" s="39">
        <v>1</v>
      </c>
      <c r="M1486" s="39">
        <v>0</v>
      </c>
      <c r="N1486" s="39">
        <v>0</v>
      </c>
      <c r="O1486" s="39">
        <v>0</v>
      </c>
      <c r="P1486" s="39">
        <v>0</v>
      </c>
      <c r="Q1486" s="39">
        <v>0</v>
      </c>
      <c r="R1486" s="39">
        <v>0</v>
      </c>
      <c r="S1486" s="39">
        <v>0</v>
      </c>
      <c r="T1486" s="39">
        <v>0</v>
      </c>
      <c r="U1486" s="29" cm="1">
        <f t="array" aca="1" ref="U1486" ca="1">+fair_value_gap(OFFSET(T1485,0,0,-1*$J$5,-1*$AA$1),OFFSET(E1485,0,0,-1*$J$5,1),F1486:T1486,0)</f>
        <v>18.213300238491271</v>
      </c>
      <c r="V1486" s="9" cm="1">
        <f t="array" aca="1" ref="V1486" ca="1">z_score_diff(OFFSET(U1486,0,0,$J$5*-1,1),OFFSET(E1486,0,0,$J$5*-1,1))</f>
        <v>8.1807332824672674E-2</v>
      </c>
      <c r="W1486" s="9">
        <f t="shared" ca="1" si="1616"/>
        <v>1.2564212430940769E-2</v>
      </c>
      <c r="X1486" s="17">
        <f t="shared" ca="1" si="1611"/>
        <v>-1.8658414515235582E-2</v>
      </c>
      <c r="Y1486" s="13">
        <f t="shared" ref="Y1486:Z1486" ca="1" si="1624">+Y1485</f>
        <v>0</v>
      </c>
      <c r="Z1486" s="13">
        <f t="shared" ca="1" si="1624"/>
        <v>0</v>
      </c>
      <c r="AA1486">
        <f t="shared" ca="1" si="1618"/>
        <v>0</v>
      </c>
      <c r="AB1486">
        <f t="shared" ca="1" si="1619"/>
        <v>1</v>
      </c>
      <c r="AC1486" s="24">
        <f t="shared" ca="1" si="1620"/>
        <v>0</v>
      </c>
      <c r="AD1486" s="24">
        <f t="shared" ca="1" si="1621"/>
        <v>-1.8658414515235582E-2</v>
      </c>
    </row>
    <row r="1487" spans="3:30" x14ac:dyDescent="0.25">
      <c r="C1487" s="6">
        <v>1581</v>
      </c>
      <c r="D1487" s="36">
        <v>44257</v>
      </c>
      <c r="E1487" s="38">
        <v>17.815999999999999</v>
      </c>
      <c r="F1487" s="38">
        <v>47.813742285160338</v>
      </c>
      <c r="G1487" s="38">
        <v>52.38</v>
      </c>
      <c r="H1487" s="38">
        <v>2.4198268198566981</v>
      </c>
      <c r="I1487" s="38">
        <v>6.0947130724002658</v>
      </c>
      <c r="J1487" s="10">
        <v>0</v>
      </c>
      <c r="K1487" s="39">
        <v>0</v>
      </c>
      <c r="L1487" s="39">
        <v>1</v>
      </c>
      <c r="M1487" s="39">
        <v>0</v>
      </c>
      <c r="N1487" s="39">
        <v>0</v>
      </c>
      <c r="O1487" s="39">
        <v>0</v>
      </c>
      <c r="P1487" s="39">
        <v>0</v>
      </c>
      <c r="Q1487" s="39">
        <v>0</v>
      </c>
      <c r="R1487" s="39">
        <v>0</v>
      </c>
      <c r="S1487" s="39">
        <v>0</v>
      </c>
      <c r="T1487" s="39">
        <v>0</v>
      </c>
      <c r="U1487" s="29" cm="1">
        <f t="array" aca="1" ref="U1487" ca="1">+fair_value_gap(OFFSET(T1486,0,0,-1*$J$5,-1*$AA$1),OFFSET(E1486,0,0,-1*$J$5,1),F1487:T1487,0)</f>
        <v>18.119451211080069</v>
      </c>
      <c r="V1487" s="9" cm="1">
        <f t="array" aca="1" ref="V1487" ca="1">z_score_diff(OFFSET(U1487,0,0,$J$5*-1,1),OFFSET(E1487,0,0,$J$5*-1,1))</f>
        <v>7.8076502607336895E-2</v>
      </c>
      <c r="W1487" s="9">
        <f t="shared" ref="W1487:W1518" ca="1" si="1625">+IF(ISERROR(AVERAGE(OFFSET(V1487,0,0,$W$5*-1,1))),"",AVERAGE(OFFSET(V1487,0,0,$W$5*-1,1)))</f>
        <v>1.9460638036422142E-2</v>
      </c>
      <c r="X1487" s="17">
        <f t="shared" ref="X1487:X1518" ca="1" si="1626">+LN(OFFSET(E1487,$X$3,0,1,1)/E1487)</f>
        <v>4.6479154092965496E-3</v>
      </c>
      <c r="Y1487" s="13">
        <f t="shared" ref="Y1487:Z1487" ca="1" si="1627">+Y1486</f>
        <v>0</v>
      </c>
      <c r="Z1487" s="13">
        <f t="shared" ca="1" si="1627"/>
        <v>0</v>
      </c>
      <c r="AA1487">
        <f t="shared" ref="AA1487:AA1518" ca="1" si="1628">+IF(W1487="","",IF(W1487&lt;Y1487,1,0))</f>
        <v>0</v>
      </c>
      <c r="AB1487">
        <f t="shared" ref="AB1487:AB1518" ca="1" si="1629">+IF(W1487="","",IF(W1487&gt;Z1487,1,0))</f>
        <v>1</v>
      </c>
      <c r="AC1487" s="24">
        <f t="shared" ref="AC1487:AC1518" ca="1" si="1630">+IF(ISERROR(AA1487*X1487),"",AA1487*X1487)</f>
        <v>0</v>
      </c>
      <c r="AD1487" s="24">
        <f t="shared" ref="AD1487:AD1518" ca="1" si="1631">+IF(ISERROR(AB1487*X1487),"",AB1487*X1487)</f>
        <v>4.6479154092965496E-3</v>
      </c>
    </row>
    <row r="1488" spans="3:30" x14ac:dyDescent="0.25">
      <c r="C1488" s="6">
        <v>1582</v>
      </c>
      <c r="D1488" s="36">
        <v>44258</v>
      </c>
      <c r="E1488" s="38">
        <v>17.738</v>
      </c>
      <c r="F1488" s="38">
        <v>48.806192475773642</v>
      </c>
      <c r="G1488" s="38">
        <v>52.96</v>
      </c>
      <c r="H1488" s="38">
        <v>2.418524814952435</v>
      </c>
      <c r="I1488" s="38">
        <v>6.0833051089898094</v>
      </c>
      <c r="J1488" s="10">
        <v>0</v>
      </c>
      <c r="K1488" s="39">
        <v>0</v>
      </c>
      <c r="L1488" s="39">
        <v>1</v>
      </c>
      <c r="M1488" s="39">
        <v>0</v>
      </c>
      <c r="N1488" s="39">
        <v>0</v>
      </c>
      <c r="O1488" s="39">
        <v>0</v>
      </c>
      <c r="P1488" s="39">
        <v>0</v>
      </c>
      <c r="Q1488" s="39">
        <v>0</v>
      </c>
      <c r="R1488" s="39">
        <v>0</v>
      </c>
      <c r="S1488" s="39">
        <v>0</v>
      </c>
      <c r="T1488" s="39">
        <v>0</v>
      </c>
      <c r="U1488" s="29" cm="1">
        <f t="array" aca="1" ref="U1488" ca="1">+fair_value_gap(OFFSET(T1487,0,0,-1*$J$5,-1*$AA$1),OFFSET(E1487,0,0,-1*$J$5,1),F1488:T1488,0)</f>
        <v>18.136786077159826</v>
      </c>
      <c r="V1488" s="9" cm="1">
        <f t="array" aca="1" ref="V1488" ca="1">z_score_diff(OFFSET(U1488,0,0,$J$5*-1,1),OFFSET(E1488,0,0,$J$5*-1,1))</f>
        <v>0.113518862933214</v>
      </c>
      <c r="W1488" s="9">
        <f t="shared" ca="1" si="1625"/>
        <v>2.4168558266625392E-2</v>
      </c>
      <c r="X1488" s="17">
        <f t="shared" ca="1" si="1626"/>
        <v>1.4940266146577884E-2</v>
      </c>
      <c r="Y1488" s="13">
        <f t="shared" ref="Y1488:Z1488" ca="1" si="1632">+Y1487</f>
        <v>0</v>
      </c>
      <c r="Z1488" s="13">
        <f t="shared" ca="1" si="1632"/>
        <v>0</v>
      </c>
      <c r="AA1488">
        <f t="shared" ca="1" si="1628"/>
        <v>0</v>
      </c>
      <c r="AB1488">
        <f t="shared" ca="1" si="1629"/>
        <v>1</v>
      </c>
      <c r="AC1488" s="24">
        <f t="shared" ca="1" si="1630"/>
        <v>0</v>
      </c>
      <c r="AD1488" s="24">
        <f t="shared" ca="1" si="1631"/>
        <v>1.4940266146577884E-2</v>
      </c>
    </row>
    <row r="1489" spans="3:30" x14ac:dyDescent="0.25">
      <c r="C1489" s="6">
        <v>1583</v>
      </c>
      <c r="D1489" s="36">
        <v>44259</v>
      </c>
      <c r="E1489" s="38">
        <v>18.010000000000002</v>
      </c>
      <c r="F1489" s="38">
        <v>50.58672477688544</v>
      </c>
      <c r="G1489" s="38">
        <v>53.37</v>
      </c>
      <c r="H1489" s="38">
        <v>2.4128781881945525</v>
      </c>
      <c r="I1489" s="38">
        <v>6.2331995792590282</v>
      </c>
      <c r="J1489" s="10">
        <v>0</v>
      </c>
      <c r="K1489" s="39">
        <v>0</v>
      </c>
      <c r="L1489" s="39">
        <v>1</v>
      </c>
      <c r="M1489" s="39">
        <v>0</v>
      </c>
      <c r="N1489" s="39">
        <v>0</v>
      </c>
      <c r="O1489" s="39">
        <v>0</v>
      </c>
      <c r="P1489" s="39">
        <v>0</v>
      </c>
      <c r="Q1489" s="39">
        <v>0</v>
      </c>
      <c r="R1489" s="39">
        <v>0</v>
      </c>
      <c r="S1489" s="39">
        <v>0</v>
      </c>
      <c r="T1489" s="39">
        <v>0</v>
      </c>
      <c r="U1489" s="29" cm="1">
        <f t="array" aca="1" ref="U1489" ca="1">+fair_value_gap(OFFSET(T1488,0,0,-1*$J$5,-1*$AA$1),OFFSET(E1488,0,0,-1*$J$5,1),F1489:T1489,0)</f>
        <v>18.337677146015338</v>
      </c>
      <c r="V1489" s="9" cm="1">
        <f t="array" aca="1" ref="V1489" ca="1">z_score_diff(OFFSET(U1489,0,0,$J$5*-1,1),OFFSET(E1489,0,0,$J$5*-1,1))</f>
        <v>8.6939118634638213E-2</v>
      </c>
      <c r="W1489" s="9">
        <f t="shared" ca="1" si="1625"/>
        <v>2.7809413728800785E-2</v>
      </c>
      <c r="X1489" s="17" t="e">
        <f t="shared" ca="1" si="1626"/>
        <v>#NUM!</v>
      </c>
      <c r="Y1489" s="13">
        <f t="shared" ref="Y1489:Z1489" ca="1" si="1633">+Y1488</f>
        <v>0</v>
      </c>
      <c r="Z1489" s="13">
        <f t="shared" ca="1" si="1633"/>
        <v>0</v>
      </c>
      <c r="AA1489">
        <f t="shared" ca="1" si="1628"/>
        <v>0</v>
      </c>
      <c r="AB1489">
        <f t="shared" ca="1" si="1629"/>
        <v>1</v>
      </c>
      <c r="AC1489" s="24" t="str">
        <f t="shared" ca="1" si="1630"/>
        <v/>
      </c>
      <c r="AD1489" s="24" t="str">
        <f t="shared" ca="1" si="1631"/>
        <v/>
      </c>
    </row>
    <row r="1490" spans="3:30" x14ac:dyDescent="0.25">
      <c r="C1490" s="6">
        <v>1584</v>
      </c>
      <c r="D1490" s="36">
        <v>44260</v>
      </c>
      <c r="E1490" s="38">
        <v>18.457000000000001</v>
      </c>
      <c r="F1490" s="38">
        <v>52.249900527909631</v>
      </c>
      <c r="G1490" s="38">
        <v>53.71</v>
      </c>
      <c r="H1490" s="38">
        <v>2.4014810104033657</v>
      </c>
      <c r="I1490" s="38">
        <v>6.3262584676137186</v>
      </c>
      <c r="J1490" s="10">
        <v>0</v>
      </c>
      <c r="K1490" s="39">
        <v>0</v>
      </c>
      <c r="L1490" s="39">
        <v>1</v>
      </c>
      <c r="M1490" s="39">
        <v>0</v>
      </c>
      <c r="N1490" s="39">
        <v>0</v>
      </c>
      <c r="O1490" s="39">
        <v>0</v>
      </c>
      <c r="P1490" s="39">
        <v>0</v>
      </c>
      <c r="Q1490" s="39">
        <v>0</v>
      </c>
      <c r="R1490" s="39">
        <v>0</v>
      </c>
      <c r="S1490" s="39">
        <v>0</v>
      </c>
      <c r="T1490" s="39">
        <v>0</v>
      </c>
      <c r="U1490" s="29" cm="1">
        <f t="array" aca="1" ref="U1490" ca="1">+fair_value_gap(OFFSET(T1489,0,0,-1*$J$5,-1*$AA$1),OFFSET(E1489,0,0,-1*$J$5,1),F1490:T1490,0)</f>
        <v>18.447177373871547</v>
      </c>
      <c r="V1490" s="9" cm="1">
        <f t="array" aca="1" ref="V1490" ca="1">z_score_diff(OFFSET(U1490,0,0,$J$5*-1,1),OFFSET(E1490,0,0,$J$5*-1,1))</f>
        <v>-4.0703411502022613E-2</v>
      </c>
      <c r="W1490" s="9">
        <f t="shared" ca="1" si="1625"/>
        <v>3.0466352483040252E-2</v>
      </c>
      <c r="X1490" s="17" t="e">
        <f t="shared" ca="1" si="1626"/>
        <v>#NUM!</v>
      </c>
      <c r="Y1490" s="13">
        <f t="shared" ref="Y1490:Z1490" ca="1" si="1634">+Y1489</f>
        <v>0</v>
      </c>
      <c r="Z1490" s="13">
        <f t="shared" ca="1" si="1634"/>
        <v>0</v>
      </c>
      <c r="AA1490">
        <f t="shared" ca="1" si="1628"/>
        <v>0</v>
      </c>
      <c r="AB1490">
        <f t="shared" ca="1" si="1629"/>
        <v>1</v>
      </c>
      <c r="AC1490" s="24" t="str">
        <f t="shared" ca="1" si="1630"/>
        <v/>
      </c>
      <c r="AD1490" s="24" t="str">
        <f t="shared" ca="1" si="1631"/>
        <v/>
      </c>
    </row>
    <row r="1491" spans="3:30" x14ac:dyDescent="0.25">
      <c r="C1491" s="6">
        <v>1585</v>
      </c>
      <c r="D1491" s="36">
        <v>44263</v>
      </c>
      <c r="E1491" s="38">
        <v>18.428000000000001</v>
      </c>
      <c r="F1491" s="38">
        <v>52.120705693423083</v>
      </c>
      <c r="G1491" s="38">
        <v>53.82</v>
      </c>
      <c r="H1491" s="38">
        <v>2.3946219804528517</v>
      </c>
      <c r="I1491" s="38">
        <v>6.3172807141667011</v>
      </c>
      <c r="J1491" s="10">
        <v>0</v>
      </c>
      <c r="K1491" s="39">
        <v>0</v>
      </c>
      <c r="L1491" s="39">
        <v>1</v>
      </c>
      <c r="M1491" s="39">
        <v>0</v>
      </c>
      <c r="N1491" s="39">
        <v>0</v>
      </c>
      <c r="O1491" s="39">
        <v>0</v>
      </c>
      <c r="P1491" s="39">
        <v>0</v>
      </c>
      <c r="Q1491" s="39">
        <v>0</v>
      </c>
      <c r="R1491" s="39">
        <v>0</v>
      </c>
      <c r="S1491" s="39">
        <v>0</v>
      </c>
      <c r="T1491" s="39">
        <v>0</v>
      </c>
      <c r="U1491" s="29" cm="1">
        <f t="array" aca="1" ref="U1491" ca="1">+fair_value_gap(OFFSET(T1490,0,0,-1*$J$5,-1*$AA$1),OFFSET(E1490,0,0,-1*$J$5,1),F1491:T1491,0)</f>
        <v>18.441079749010601</v>
      </c>
      <c r="V1491" s="9" cm="1">
        <f t="array" aca="1" ref="V1491" ca="1">z_score_diff(OFFSET(U1491,0,0,$J$5*-1,1),OFFSET(E1491,0,0,$J$5*-1,1))</f>
        <v>-3.1335945288264666E-2</v>
      </c>
      <c r="W1491" s="9">
        <f t="shared" ca="1" si="1625"/>
        <v>2.7548094957382138E-2</v>
      </c>
      <c r="X1491" s="17" t="e">
        <f t="shared" ca="1" si="1626"/>
        <v>#NUM!</v>
      </c>
      <c r="Y1491" s="13">
        <f t="shared" ref="Y1491:Z1491" ca="1" si="1635">+Y1490</f>
        <v>0</v>
      </c>
      <c r="Z1491" s="13">
        <f t="shared" ca="1" si="1635"/>
        <v>0</v>
      </c>
      <c r="AA1491">
        <f t="shared" ca="1" si="1628"/>
        <v>0</v>
      </c>
      <c r="AB1491">
        <f t="shared" ca="1" si="1629"/>
        <v>1</v>
      </c>
      <c r="AC1491" s="24" t="str">
        <f t="shared" ca="1" si="1630"/>
        <v/>
      </c>
      <c r="AD1491" s="24" t="str">
        <f t="shared" ca="1" si="1631"/>
        <v/>
      </c>
    </row>
    <row r="1492" spans="3:30" x14ac:dyDescent="0.25">
      <c r="C1492" s="6">
        <v>1586</v>
      </c>
      <c r="D1492" s="36">
        <v>44264</v>
      </c>
      <c r="E1492" s="38">
        <v>18.86</v>
      </c>
      <c r="F1492" s="38">
        <v>51.571827961649959</v>
      </c>
      <c r="G1492" s="38">
        <v>54.92</v>
      </c>
      <c r="H1492" s="38">
        <v>2.3839571354504425</v>
      </c>
      <c r="I1492" s="38">
        <v>6.4850302495819738</v>
      </c>
      <c r="J1492" s="10">
        <v>0</v>
      </c>
      <c r="K1492" s="39">
        <v>0</v>
      </c>
      <c r="L1492" s="39">
        <v>1</v>
      </c>
      <c r="M1492" s="39">
        <v>0</v>
      </c>
      <c r="N1492" s="39">
        <v>0</v>
      </c>
      <c r="O1492" s="39">
        <v>0</v>
      </c>
      <c r="P1492" s="39">
        <v>0</v>
      </c>
      <c r="Q1492" s="39">
        <v>0</v>
      </c>
      <c r="R1492" s="39">
        <v>0</v>
      </c>
      <c r="S1492" s="39">
        <v>0</v>
      </c>
      <c r="T1492" s="39">
        <v>0</v>
      </c>
      <c r="U1492" s="29" cm="1">
        <f t="array" aca="1" ref="U1492" ca="1">+fair_value_gap(OFFSET(T1491,0,0,-1*$J$5,-1*$AA$1),OFFSET(E1491,0,0,-1*$J$5,1),F1492:T1492,0)</f>
        <v>18.817758542069988</v>
      </c>
      <c r="V1492" s="9" cm="1">
        <f t="array" aca="1" ref="V1492" ca="1">z_score_diff(OFFSET(U1492,0,0,$J$5*-1,1),OFFSET(E1492,0,0,$J$5*-1,1))</f>
        <v>-4.5904474598326139E-2</v>
      </c>
      <c r="W1492" s="9">
        <f t="shared" ca="1" si="1625"/>
        <v>2.6405156346482772E-2</v>
      </c>
      <c r="X1492" s="17" t="e">
        <f t="shared" ca="1" si="1626"/>
        <v>#NUM!</v>
      </c>
      <c r="Y1492" s="13">
        <f t="shared" ref="Y1492:Z1492" ca="1" si="1636">+Y1491</f>
        <v>0</v>
      </c>
      <c r="Z1492" s="13">
        <f t="shared" ca="1" si="1636"/>
        <v>0</v>
      </c>
      <c r="AA1492">
        <f t="shared" ca="1" si="1628"/>
        <v>0</v>
      </c>
      <c r="AB1492">
        <f t="shared" ca="1" si="1629"/>
        <v>1</v>
      </c>
      <c r="AC1492" s="24" t="str">
        <f t="shared" ca="1" si="1630"/>
        <v/>
      </c>
      <c r="AD1492" s="24" t="str">
        <f t="shared" ca="1" si="1631"/>
        <v/>
      </c>
    </row>
    <row r="1493" spans="3:30" x14ac:dyDescent="0.25">
      <c r="C1493" s="6">
        <v>1587</v>
      </c>
      <c r="D1493" s="36">
        <v>44265</v>
      </c>
      <c r="E1493" s="38">
        <v>19.306000000000001</v>
      </c>
      <c r="F1493" s="38">
        <v>51.546005995268644</v>
      </c>
      <c r="G1493" s="38">
        <v>56.14</v>
      </c>
      <c r="H1493" s="38">
        <v>2.3956128935694299</v>
      </c>
      <c r="I1493" s="38">
        <v>6.5191270689289587</v>
      </c>
      <c r="J1493" s="10">
        <v>0</v>
      </c>
      <c r="K1493" s="39">
        <v>0</v>
      </c>
      <c r="L1493" s="39">
        <v>1</v>
      </c>
      <c r="M1493" s="39">
        <v>0</v>
      </c>
      <c r="N1493" s="39">
        <v>0</v>
      </c>
      <c r="O1493" s="39">
        <v>0</v>
      </c>
      <c r="P1493" s="39">
        <v>0</v>
      </c>
      <c r="Q1493" s="39">
        <v>0</v>
      </c>
      <c r="R1493" s="39">
        <v>0</v>
      </c>
      <c r="S1493" s="39">
        <v>0</v>
      </c>
      <c r="T1493" s="39">
        <v>0</v>
      </c>
      <c r="U1493" s="29" cm="1">
        <f t="array" aca="1" ref="U1493" ca="1">+fair_value_gap(OFFSET(T1492,0,0,-1*$J$5,-1*$AA$1),OFFSET(E1492,0,0,-1*$J$5,1),F1493:T1493,0)</f>
        <v>19.054918237009044</v>
      </c>
      <c r="V1493" s="9" cm="1">
        <f t="array" aca="1" ref="V1493" ca="1">z_score_diff(OFFSET(U1493,0,0,$J$5*-1,1),OFFSET(E1493,0,0,$J$5*-1,1))</f>
        <v>-0.11809281435338814</v>
      </c>
      <c r="W1493" s="9">
        <f t="shared" ca="1" si="1625"/>
        <v>2.4629373705168503E-2</v>
      </c>
      <c r="X1493" s="17" t="e">
        <f t="shared" ca="1" si="1626"/>
        <v>#NUM!</v>
      </c>
      <c r="Y1493" s="13">
        <f t="shared" ref="Y1493:Z1493" ca="1" si="1637">+Y1492</f>
        <v>0</v>
      </c>
      <c r="Z1493" s="13">
        <f t="shared" ca="1" si="1637"/>
        <v>0</v>
      </c>
      <c r="AA1493">
        <f t="shared" ca="1" si="1628"/>
        <v>0</v>
      </c>
      <c r="AB1493">
        <f t="shared" ca="1" si="1629"/>
        <v>1</v>
      </c>
      <c r="AC1493" s="24" t="str">
        <f t="shared" ca="1" si="1630"/>
        <v/>
      </c>
      <c r="AD1493" s="24" t="str">
        <f t="shared" ca="1" si="1631"/>
        <v/>
      </c>
    </row>
    <row r="1494" spans="3:30" x14ac:dyDescent="0.25">
      <c r="C1494" s="6">
        <v>1588</v>
      </c>
      <c r="D1494" s="36">
        <v>44266</v>
      </c>
      <c r="E1494" s="38">
        <v>19.672999999999998</v>
      </c>
      <c r="F1494" s="38">
        <v>52.267519635501515</v>
      </c>
      <c r="G1494" s="38">
        <v>56.34</v>
      </c>
      <c r="H1494" s="38">
        <v>2.3675183110157483</v>
      </c>
      <c r="I1494" s="38">
        <v>6.6141508059495902</v>
      </c>
      <c r="J1494" s="10">
        <v>0</v>
      </c>
      <c r="K1494" s="39">
        <v>0</v>
      </c>
      <c r="L1494" s="39">
        <v>1</v>
      </c>
      <c r="M1494" s="39">
        <v>0</v>
      </c>
      <c r="N1494" s="39">
        <v>0</v>
      </c>
      <c r="O1494" s="39">
        <v>0</v>
      </c>
      <c r="P1494" s="39">
        <v>0</v>
      </c>
      <c r="Q1494" s="39">
        <v>0</v>
      </c>
      <c r="R1494" s="39">
        <v>0</v>
      </c>
      <c r="S1494" s="39">
        <v>0</v>
      </c>
      <c r="T1494" s="39">
        <v>0</v>
      </c>
      <c r="U1494" s="29" cm="1">
        <f t="array" aca="1" ref="U1494" ca="1">+fair_value_gap(OFFSET(T1493,0,0,-1*$J$5,-1*$AA$1),OFFSET(E1493,0,0,-1*$J$5,1),F1494:T1494,0)</f>
        <v>19.221430101381383</v>
      </c>
      <c r="V1494" s="9" cm="1">
        <f t="array" aca="1" ref="V1494" ca="1">z_score_diff(OFFSET(U1494,0,0,$J$5*-1,1),OFFSET(E1494,0,0,$J$5*-1,1))</f>
        <v>-0.18556957021069942</v>
      </c>
      <c r="W1494" s="9">
        <f t="shared" ca="1" si="1625"/>
        <v>2.1492569848915455E-2</v>
      </c>
      <c r="X1494" s="17" t="e">
        <f t="shared" ca="1" si="1626"/>
        <v>#NUM!</v>
      </c>
      <c r="Y1494" s="13">
        <f t="shared" ref="Y1494:Z1494" ca="1" si="1638">+Y1493</f>
        <v>0</v>
      </c>
      <c r="Z1494" s="13">
        <f t="shared" ca="1" si="1638"/>
        <v>0</v>
      </c>
      <c r="AA1494">
        <f t="shared" ca="1" si="1628"/>
        <v>0</v>
      </c>
      <c r="AB1494">
        <f t="shared" ca="1" si="1629"/>
        <v>1</v>
      </c>
      <c r="AC1494" s="24" t="str">
        <f t="shared" ca="1" si="1630"/>
        <v/>
      </c>
      <c r="AD1494" s="24" t="str">
        <f t="shared" ca="1" si="1631"/>
        <v/>
      </c>
    </row>
    <row r="1495" spans="3:30" x14ac:dyDescent="0.25">
      <c r="C1495" s="6">
        <v>1589</v>
      </c>
      <c r="D1495" s="36">
        <v>44267</v>
      </c>
      <c r="E1495" s="38">
        <v>20.036000000000001</v>
      </c>
      <c r="F1495" s="38">
        <v>52.246569296803315</v>
      </c>
      <c r="G1495" s="38">
        <v>57.08</v>
      </c>
      <c r="H1495" s="38">
        <v>2.3335916073659533</v>
      </c>
      <c r="I1495" s="38">
        <v>6.7112535028761329</v>
      </c>
      <c r="J1495" s="10">
        <v>0</v>
      </c>
      <c r="K1495" s="39">
        <v>0</v>
      </c>
      <c r="L1495" s="39">
        <v>1</v>
      </c>
      <c r="M1495" s="39">
        <v>0</v>
      </c>
      <c r="N1495" s="39">
        <v>0</v>
      </c>
      <c r="O1495" s="39">
        <v>0</v>
      </c>
      <c r="P1495" s="39">
        <v>0</v>
      </c>
      <c r="Q1495" s="39">
        <v>0</v>
      </c>
      <c r="R1495" s="39">
        <v>0</v>
      </c>
      <c r="S1495" s="39">
        <v>0</v>
      </c>
      <c r="T1495" s="39">
        <v>0</v>
      </c>
      <c r="U1495" s="29" cm="1">
        <f t="array" aca="1" ref="U1495" ca="1">+fair_value_gap(OFFSET(T1494,0,0,-1*$J$5,-1*$AA$1),OFFSET(E1494,0,0,-1*$J$5,1),F1495:T1495,0)</f>
        <v>19.498142996435124</v>
      </c>
      <c r="V1495" s="9" cm="1">
        <f t="array" aca="1" ref="V1495" ca="1">z_score_diff(OFFSET(U1495,0,0,$J$5*-1,1),OFFSET(E1495,0,0,$J$5*-1,1))</f>
        <v>-0.20719688321277818</v>
      </c>
      <c r="W1495" s="9">
        <f t="shared" ca="1" si="1625"/>
        <v>1.8718012026797303E-2</v>
      </c>
      <c r="X1495" s="17" t="e">
        <f t="shared" ca="1" si="1626"/>
        <v>#NUM!</v>
      </c>
      <c r="Y1495" s="13">
        <f t="shared" ref="Y1495:Z1495" ca="1" si="1639">+Y1494</f>
        <v>0</v>
      </c>
      <c r="Z1495" s="13">
        <f t="shared" ca="1" si="1639"/>
        <v>0</v>
      </c>
      <c r="AA1495">
        <f t="shared" ca="1" si="1628"/>
        <v>0</v>
      </c>
      <c r="AB1495">
        <f t="shared" ca="1" si="1629"/>
        <v>1</v>
      </c>
      <c r="AC1495" s="24" t="str">
        <f t="shared" ca="1" si="1630"/>
        <v/>
      </c>
      <c r="AD1495" s="24" t="str">
        <f t="shared" ca="1" si="1631"/>
        <v/>
      </c>
    </row>
    <row r="1496" spans="3:30" x14ac:dyDescent="0.25">
      <c r="C1496" s="6">
        <v>1590</v>
      </c>
      <c r="D1496" s="36">
        <v>44270</v>
      </c>
      <c r="E1496" s="38">
        <v>19.742000000000001</v>
      </c>
      <c r="F1496" s="38">
        <v>52.19632871130699</v>
      </c>
      <c r="G1496" s="38">
        <v>57.1</v>
      </c>
      <c r="H1496" s="38">
        <v>2.2909174063987692</v>
      </c>
      <c r="I1496" s="38">
        <v>6.6357607633619535</v>
      </c>
      <c r="J1496" s="10">
        <v>0</v>
      </c>
      <c r="K1496" s="39">
        <v>0</v>
      </c>
      <c r="L1496" s="39">
        <v>1</v>
      </c>
      <c r="M1496" s="39">
        <v>0</v>
      </c>
      <c r="N1496" s="39">
        <v>0</v>
      </c>
      <c r="O1496" s="39">
        <v>0</v>
      </c>
      <c r="P1496" s="39">
        <v>0</v>
      </c>
      <c r="Q1496" s="39">
        <v>0</v>
      </c>
      <c r="R1496" s="39">
        <v>0</v>
      </c>
      <c r="S1496" s="39">
        <v>0</v>
      </c>
      <c r="T1496" s="39">
        <v>0</v>
      </c>
      <c r="U1496" s="29" cm="1">
        <f t="array" aca="1" ref="U1496" ca="1">+fair_value_gap(OFFSET(T1495,0,0,-1*$J$5,-1*$AA$1),OFFSET(E1495,0,0,-1*$J$5,1),F1496:T1496,0)</f>
        <v>19.438643482905107</v>
      </c>
      <c r="V1496" s="9" cm="1">
        <f t="array" aca="1" ref="V1496" ca="1">z_score_diff(OFFSET(U1496,0,0,$J$5*-1,1),OFFSET(E1496,0,0,$J$5*-1,1))</f>
        <v>-0.1181218153863095</v>
      </c>
      <c r="W1496" s="9">
        <f t="shared" ca="1" si="1625"/>
        <v>8.1126466504088651E-3</v>
      </c>
      <c r="X1496" s="17" t="e">
        <f t="shared" ca="1" si="1626"/>
        <v>#NUM!</v>
      </c>
      <c r="Y1496" s="13">
        <f t="shared" ref="Y1496:Z1496" ca="1" si="1640">+Y1495</f>
        <v>0</v>
      </c>
      <c r="Z1496" s="13">
        <f t="shared" ca="1" si="1640"/>
        <v>0</v>
      </c>
      <c r="AA1496">
        <f t="shared" ca="1" si="1628"/>
        <v>0</v>
      </c>
      <c r="AB1496">
        <f t="shared" ca="1" si="1629"/>
        <v>1</v>
      </c>
      <c r="AC1496" s="24" t="str">
        <f t="shared" ca="1" si="1630"/>
        <v/>
      </c>
      <c r="AD1496" s="24" t="str">
        <f t="shared" ca="1" si="1631"/>
        <v/>
      </c>
    </row>
    <row r="1497" spans="3:30" x14ac:dyDescent="0.25">
      <c r="C1497" s="6">
        <v>1591</v>
      </c>
      <c r="D1497" s="36">
        <v>44271</v>
      </c>
      <c r="E1497" s="38">
        <v>19.498999999999999</v>
      </c>
      <c r="F1497" s="38">
        <v>52.15851922480671</v>
      </c>
      <c r="G1497" s="38">
        <v>56.07</v>
      </c>
      <c r="H1497" s="38">
        <v>2.3387153235028388</v>
      </c>
      <c r="I1497" s="38">
        <v>5.5050658274184787</v>
      </c>
      <c r="J1497" s="10">
        <v>0</v>
      </c>
      <c r="K1497" s="39">
        <v>0</v>
      </c>
      <c r="L1497" s="39">
        <v>1</v>
      </c>
      <c r="M1497" s="39">
        <v>0</v>
      </c>
      <c r="N1497" s="39">
        <v>0</v>
      </c>
      <c r="O1497" s="39">
        <v>0</v>
      </c>
      <c r="P1497" s="39">
        <v>0</v>
      </c>
      <c r="Q1497" s="39">
        <v>0</v>
      </c>
      <c r="R1497" s="39">
        <v>0</v>
      </c>
      <c r="S1497" s="39">
        <v>0</v>
      </c>
      <c r="T1497" s="39">
        <v>0</v>
      </c>
      <c r="U1497" s="29" cm="1">
        <f t="array" aca="1" ref="U1497" ca="1">+fair_value_gap(OFFSET(T1496,0,0,-1*$J$5,-1*$AA$1),OFFSET(E1496,0,0,-1*$J$5,1),F1497:T1497,0)</f>
        <v>17.790258415441425</v>
      </c>
      <c r="V1497" s="9" cm="1">
        <f t="array" aca="1" ref="V1497" ca="1">z_score_diff(OFFSET(U1497,0,0,$J$5*-1,1),OFFSET(E1497,0,0,$J$5*-1,1))</f>
        <v>-0.64502622672887444</v>
      </c>
      <c r="W1497" s="9">
        <f t="shared" ca="1" si="1625"/>
        <v>-2.0201002342202626E-2</v>
      </c>
      <c r="X1497" s="17" t="e">
        <f t="shared" ca="1" si="1626"/>
        <v>#NUM!</v>
      </c>
      <c r="Y1497" s="13">
        <f t="shared" ref="Y1497:Z1497" ca="1" si="1641">+Y1496</f>
        <v>0</v>
      </c>
      <c r="Z1497" s="13">
        <f t="shared" ca="1" si="1641"/>
        <v>0</v>
      </c>
      <c r="AA1497">
        <f t="shared" ca="1" si="1628"/>
        <v>1</v>
      </c>
      <c r="AB1497">
        <f t="shared" ca="1" si="1629"/>
        <v>0</v>
      </c>
      <c r="AC1497" s="24" t="str">
        <f t="shared" ca="1" si="1630"/>
        <v/>
      </c>
      <c r="AD1497" s="24" t="str">
        <f t="shared" ca="1" si="1631"/>
        <v/>
      </c>
    </row>
    <row r="1498" spans="3:30" x14ac:dyDescent="0.25">
      <c r="C1498" s="6">
        <v>1592</v>
      </c>
      <c r="D1498" s="36">
        <v>44272</v>
      </c>
      <c r="E1498" s="38">
        <v>19.576000000000001</v>
      </c>
      <c r="F1498" s="38">
        <v>51.902283269876968</v>
      </c>
      <c r="G1498" s="38">
        <v>56.19</v>
      </c>
      <c r="H1498" s="38">
        <v>2.3003277428799973</v>
      </c>
      <c r="I1498" s="38">
        <v>5.5148246103602521</v>
      </c>
      <c r="J1498" s="10">
        <v>0</v>
      </c>
      <c r="K1498" s="39">
        <v>0</v>
      </c>
      <c r="L1498" s="39">
        <v>1</v>
      </c>
      <c r="M1498" s="39">
        <v>0</v>
      </c>
      <c r="N1498" s="39">
        <v>0</v>
      </c>
      <c r="O1498" s="39">
        <v>0</v>
      </c>
      <c r="P1498" s="39">
        <v>0</v>
      </c>
      <c r="Q1498" s="39">
        <v>0</v>
      </c>
      <c r="R1498" s="39">
        <v>0</v>
      </c>
      <c r="S1498" s="39">
        <v>0</v>
      </c>
      <c r="T1498" s="39">
        <v>0</v>
      </c>
      <c r="U1498" s="29" cm="1">
        <f t="array" aca="1" ref="U1498" ca="1">+fair_value_gap(OFFSET(T1497,0,0,-1*$J$5,-1*$AA$1),OFFSET(E1497,0,0,-1*$J$5,1),F1498:T1498,0)</f>
        <v>18.102601350286456</v>
      </c>
      <c r="V1498" s="9" cm="1">
        <f t="array" aca="1" ref="V1498" ca="1">z_score_diff(OFFSET(U1498,0,0,$J$5*-1,1),OFFSET(E1498,0,0,$J$5*-1,1))</f>
        <v>-0.54286021340473334</v>
      </c>
      <c r="W1498" s="9">
        <f t="shared" ca="1" si="1625"/>
        <v>-4.4757307166747563E-2</v>
      </c>
      <c r="X1498" s="17" t="e">
        <f t="shared" ca="1" si="1626"/>
        <v>#NUM!</v>
      </c>
      <c r="Y1498" s="13">
        <f t="shared" ref="Y1498:Z1498" ca="1" si="1642">+Y1497</f>
        <v>0</v>
      </c>
      <c r="Z1498" s="13">
        <f t="shared" ca="1" si="1642"/>
        <v>0</v>
      </c>
      <c r="AA1498">
        <f t="shared" ca="1" si="1628"/>
        <v>1</v>
      </c>
      <c r="AB1498">
        <f t="shared" ca="1" si="1629"/>
        <v>0</v>
      </c>
      <c r="AC1498" s="24" t="str">
        <f t="shared" ca="1" si="1630"/>
        <v/>
      </c>
      <c r="AD1498" s="24" t="str">
        <f t="shared" ca="1" si="1631"/>
        <v/>
      </c>
    </row>
    <row r="1499" spans="3:30" x14ac:dyDescent="0.25">
      <c r="C1499" s="6">
        <v>1593</v>
      </c>
      <c r="D1499" s="36">
        <v>44273</v>
      </c>
      <c r="E1499" s="38">
        <v>19.411000000000001</v>
      </c>
      <c r="F1499" s="38">
        <v>49.538047301758304</v>
      </c>
      <c r="G1499" s="38">
        <v>56.88</v>
      </c>
      <c r="H1499" s="38">
        <v>2.2804153203279998</v>
      </c>
      <c r="I1499" s="38">
        <v>5.5033023977247462</v>
      </c>
      <c r="J1499" s="10">
        <v>0</v>
      </c>
      <c r="K1499" s="39">
        <v>0</v>
      </c>
      <c r="L1499" s="39">
        <v>1</v>
      </c>
      <c r="M1499" s="39">
        <v>0</v>
      </c>
      <c r="N1499" s="39">
        <v>0</v>
      </c>
      <c r="O1499" s="39">
        <v>0</v>
      </c>
      <c r="P1499" s="39">
        <v>0</v>
      </c>
      <c r="Q1499" s="39">
        <v>0</v>
      </c>
      <c r="R1499" s="39">
        <v>0</v>
      </c>
      <c r="S1499" s="39">
        <v>0</v>
      </c>
      <c r="T1499" s="39">
        <v>0</v>
      </c>
      <c r="U1499" s="29" cm="1">
        <f t="array" aca="1" ref="U1499" ca="1">+fair_value_gap(OFFSET(T1498,0,0,-1*$J$5,-1*$AA$1),OFFSET(E1498,0,0,-1*$J$5,1),F1499:T1499,0)</f>
        <v>18.461900981995178</v>
      </c>
      <c r="V1499" s="9" cm="1">
        <f t="array" aca="1" ref="V1499" ca="1">z_score_diff(OFFSET(U1499,0,0,$J$5*-1,1),OFFSET(E1499,0,0,$J$5*-1,1))</f>
        <v>-0.33982551420116569</v>
      </c>
      <c r="W1499" s="9">
        <f t="shared" ca="1" si="1625"/>
        <v>-6.0433122602076436E-2</v>
      </c>
      <c r="X1499" s="17" t="e">
        <f t="shared" ca="1" si="1626"/>
        <v>#NUM!</v>
      </c>
      <c r="Y1499" s="13">
        <f t="shared" ref="Y1499:Z1499" ca="1" si="1643">+Y1498</f>
        <v>0</v>
      </c>
      <c r="Z1499" s="13">
        <f t="shared" ca="1" si="1643"/>
        <v>0</v>
      </c>
      <c r="AA1499">
        <f t="shared" ca="1" si="1628"/>
        <v>1</v>
      </c>
      <c r="AB1499">
        <f t="shared" ca="1" si="1629"/>
        <v>0</v>
      </c>
      <c r="AC1499" s="24" t="str">
        <f t="shared" ca="1" si="1630"/>
        <v/>
      </c>
      <c r="AD1499" s="24" t="str">
        <f t="shared" ca="1" si="1631"/>
        <v/>
      </c>
    </row>
    <row r="1500" spans="3:30" x14ac:dyDescent="0.25">
      <c r="C1500" s="6">
        <v>1594</v>
      </c>
      <c r="D1500" s="36">
        <v>44274</v>
      </c>
      <c r="E1500" s="38">
        <v>19.030999999999999</v>
      </c>
      <c r="F1500" s="38">
        <v>50.275624404258018</v>
      </c>
      <c r="G1500" s="38">
        <v>56.16</v>
      </c>
      <c r="H1500" s="38">
        <v>2.3163114989035014</v>
      </c>
      <c r="I1500" s="38">
        <v>5.4408324056977939</v>
      </c>
      <c r="J1500" s="10">
        <v>0</v>
      </c>
      <c r="K1500" s="39">
        <v>0</v>
      </c>
      <c r="L1500" s="39">
        <v>1</v>
      </c>
      <c r="M1500" s="39">
        <v>0</v>
      </c>
      <c r="N1500" s="39">
        <v>0</v>
      </c>
      <c r="O1500" s="39">
        <v>0</v>
      </c>
      <c r="P1500" s="39">
        <v>0</v>
      </c>
      <c r="Q1500" s="39">
        <v>0</v>
      </c>
      <c r="R1500" s="39">
        <v>0</v>
      </c>
      <c r="S1500" s="39">
        <v>0</v>
      </c>
      <c r="T1500" s="39">
        <v>0</v>
      </c>
      <c r="U1500" s="29" cm="1">
        <f t="array" aca="1" ref="U1500" ca="1">+fair_value_gap(OFFSET(T1499,0,0,-1*$J$5,-1*$AA$1),OFFSET(E1499,0,0,-1*$J$5,1),F1500:T1500,0)</f>
        <v>18.406025565975693</v>
      </c>
      <c r="V1500" s="9" cm="1">
        <f t="array" aca="1" ref="V1500" ca="1">z_score_diff(OFFSET(U1500,0,0,$J$5*-1,1),OFFSET(E1500,0,0,$J$5*-1,1))</f>
        <v>-0.22044667275080809</v>
      </c>
      <c r="W1500" s="9">
        <f t="shared" ca="1" si="1625"/>
        <v>-7.0471686028646438E-2</v>
      </c>
      <c r="X1500" s="17" t="e">
        <f t="shared" ca="1" si="1626"/>
        <v>#NUM!</v>
      </c>
      <c r="Y1500" s="13">
        <f t="shared" ref="Y1500:Z1500" ca="1" si="1644">+Y1499</f>
        <v>0</v>
      </c>
      <c r="Z1500" s="13">
        <f t="shared" ca="1" si="1644"/>
        <v>0</v>
      </c>
      <c r="AA1500">
        <f t="shared" ca="1" si="1628"/>
        <v>1</v>
      </c>
      <c r="AB1500">
        <f t="shared" ca="1" si="1629"/>
        <v>0</v>
      </c>
      <c r="AC1500" s="24" t="str">
        <f t="shared" ca="1" si="1630"/>
        <v/>
      </c>
      <c r="AD1500" s="24" t="str">
        <f t="shared" ca="1" si="1631"/>
        <v/>
      </c>
    </row>
    <row r="1501" spans="3:30" x14ac:dyDescent="0.25">
      <c r="C1501" s="6">
        <v>1595</v>
      </c>
      <c r="D1501" s="36">
        <v>44277</v>
      </c>
      <c r="E1501" s="38">
        <v>19.571000000000002</v>
      </c>
      <c r="F1501" s="38">
        <v>50.353153533488303</v>
      </c>
      <c r="G1501" s="38">
        <v>57.77</v>
      </c>
      <c r="H1501" s="38">
        <v>2.3319186138796528</v>
      </c>
      <c r="I1501" s="38">
        <v>5.580482356451129</v>
      </c>
      <c r="J1501" s="10">
        <v>0</v>
      </c>
      <c r="K1501" s="39">
        <v>0</v>
      </c>
      <c r="L1501" s="39">
        <v>1</v>
      </c>
      <c r="M1501" s="39">
        <v>0</v>
      </c>
      <c r="N1501" s="39">
        <v>0</v>
      </c>
      <c r="O1501" s="39">
        <v>0</v>
      </c>
      <c r="P1501" s="39">
        <v>0</v>
      </c>
      <c r="Q1501" s="39">
        <v>0</v>
      </c>
      <c r="R1501" s="39">
        <v>0</v>
      </c>
      <c r="S1501" s="39">
        <v>0</v>
      </c>
      <c r="T1501" s="39">
        <v>0</v>
      </c>
      <c r="U1501" s="29" cm="1">
        <f t="array" aca="1" ref="U1501" ca="1">+fair_value_gap(OFFSET(T1500,0,0,-1*$J$5,-1*$AA$1),OFFSET(E1500,0,0,-1*$J$5,1),F1501:T1501,0)</f>
        <v>19.006452525548081</v>
      </c>
      <c r="V1501" s="9" cm="1">
        <f t="array" aca="1" ref="V1501" ca="1">z_score_diff(OFFSET(U1501,0,0,$J$5*-1,1),OFFSET(E1501,0,0,$J$5*-1,1))</f>
        <v>-0.18183816884166681</v>
      </c>
      <c r="W1501" s="9">
        <f t="shared" ca="1" si="1625"/>
        <v>-7.3240761684118111E-2</v>
      </c>
      <c r="X1501" s="17" t="e">
        <f t="shared" ca="1" si="1626"/>
        <v>#NUM!</v>
      </c>
      <c r="Y1501" s="13">
        <f t="shared" ref="Y1501:Z1501" ca="1" si="1645">+Y1500</f>
        <v>0</v>
      </c>
      <c r="Z1501" s="13">
        <f t="shared" ca="1" si="1645"/>
        <v>0</v>
      </c>
      <c r="AA1501">
        <f t="shared" ca="1" si="1628"/>
        <v>1</v>
      </c>
      <c r="AB1501">
        <f t="shared" ca="1" si="1629"/>
        <v>0</v>
      </c>
      <c r="AC1501" s="24" t="str">
        <f t="shared" ca="1" si="1630"/>
        <v/>
      </c>
      <c r="AD1501" s="24" t="str">
        <f t="shared" ca="1" si="1631"/>
        <v/>
      </c>
    </row>
    <row r="1502" spans="3:30" x14ac:dyDescent="0.25">
      <c r="C1502" s="6">
        <v>1596</v>
      </c>
      <c r="D1502" s="36">
        <v>44278</v>
      </c>
      <c r="E1502" s="38">
        <v>19.771000000000001</v>
      </c>
      <c r="F1502" s="38">
        <v>48.71056335553105</v>
      </c>
      <c r="G1502" s="38">
        <v>57.67</v>
      </c>
      <c r="H1502" s="38">
        <v>2.3238143693233075</v>
      </c>
      <c r="I1502" s="38">
        <v>5.5773218478717483</v>
      </c>
      <c r="J1502" s="10">
        <v>0</v>
      </c>
      <c r="K1502" s="39">
        <v>0</v>
      </c>
      <c r="L1502" s="39">
        <v>1</v>
      </c>
      <c r="M1502" s="39">
        <v>0</v>
      </c>
      <c r="N1502" s="39">
        <v>0</v>
      </c>
      <c r="O1502" s="39">
        <v>0</v>
      </c>
      <c r="P1502" s="39">
        <v>0</v>
      </c>
      <c r="Q1502" s="39">
        <v>0</v>
      </c>
      <c r="R1502" s="39">
        <v>0</v>
      </c>
      <c r="S1502" s="39">
        <v>0</v>
      </c>
      <c r="T1502" s="39">
        <v>0</v>
      </c>
      <c r="U1502" s="29" cm="1">
        <f t="array" aca="1" ref="U1502" ca="1">+fair_value_gap(OFFSET(T1501,0,0,-1*$J$5,-1*$AA$1),OFFSET(E1501,0,0,-1*$J$5,1),F1502:T1502,0)</f>
        <v>19.078937458639295</v>
      </c>
      <c r="V1502" s="9" cm="1">
        <f t="array" aca="1" ref="V1502" ca="1">z_score_diff(OFFSET(U1502,0,0,$J$5*-1,1),OFFSET(E1502,0,0,$J$5*-1,1))</f>
        <v>-0.22062295739634186</v>
      </c>
      <c r="W1502" s="9">
        <f t="shared" ca="1" si="1625"/>
        <v>-8.0836778930714892E-2</v>
      </c>
      <c r="X1502" s="17" t="e">
        <f t="shared" ca="1" si="1626"/>
        <v>#NUM!</v>
      </c>
      <c r="Y1502" s="13">
        <f t="shared" ref="Y1502:Z1502" ca="1" si="1646">+Y1501</f>
        <v>0</v>
      </c>
      <c r="Z1502" s="13">
        <f t="shared" ca="1" si="1646"/>
        <v>0</v>
      </c>
      <c r="AA1502">
        <f t="shared" ca="1" si="1628"/>
        <v>1</v>
      </c>
      <c r="AB1502">
        <f t="shared" ca="1" si="1629"/>
        <v>0</v>
      </c>
      <c r="AC1502" s="24" t="str">
        <f t="shared" ca="1" si="1630"/>
        <v/>
      </c>
      <c r="AD1502" s="24" t="str">
        <f t="shared" ca="1" si="1631"/>
        <v/>
      </c>
    </row>
    <row r="1503" spans="3:30" x14ac:dyDescent="0.25">
      <c r="C1503" s="6">
        <v>1597</v>
      </c>
      <c r="D1503" s="36">
        <v>44279</v>
      </c>
      <c r="E1503" s="38">
        <v>19.847999999999999</v>
      </c>
      <c r="F1503" s="38">
        <v>50.877297559149056</v>
      </c>
      <c r="G1503" s="38">
        <v>57.4</v>
      </c>
      <c r="H1503" s="38">
        <v>2.3406915114671216</v>
      </c>
      <c r="I1503" s="38">
        <v>5.5830697816557961</v>
      </c>
      <c r="J1503" s="10">
        <v>0</v>
      </c>
      <c r="K1503" s="39">
        <v>0</v>
      </c>
      <c r="L1503" s="39">
        <v>1</v>
      </c>
      <c r="M1503" s="39">
        <v>0</v>
      </c>
      <c r="N1503" s="39">
        <v>0</v>
      </c>
      <c r="O1503" s="39">
        <v>0</v>
      </c>
      <c r="P1503" s="39">
        <v>0</v>
      </c>
      <c r="Q1503" s="39">
        <v>0</v>
      </c>
      <c r="R1503" s="39">
        <v>0</v>
      </c>
      <c r="S1503" s="39">
        <v>0</v>
      </c>
      <c r="T1503" s="39">
        <v>0</v>
      </c>
      <c r="U1503" s="29" cm="1">
        <f t="array" aca="1" ref="U1503" ca="1">+fair_value_gap(OFFSET(T1502,0,0,-1*$J$5,-1*$AA$1),OFFSET(E1502,0,0,-1*$J$5,1),F1503:T1503,0)</f>
        <v>19.074521090524307</v>
      </c>
      <c r="V1503" s="9" cm="1">
        <f t="array" aca="1" ref="V1503" ca="1">z_score_diff(OFFSET(U1503,0,0,$J$5*-1,1),OFFSET(E1503,0,0,$J$5*-1,1))</f>
        <v>-0.2438707962011768</v>
      </c>
      <c r="W1503" s="9">
        <f t="shared" ca="1" si="1625"/>
        <v>-9.1693675289784393E-2</v>
      </c>
      <c r="X1503" s="17" t="e">
        <f t="shared" ca="1" si="1626"/>
        <v>#NUM!</v>
      </c>
      <c r="Y1503" s="13">
        <f t="shared" ref="Y1503:Z1503" ca="1" si="1647">+Y1502</f>
        <v>0</v>
      </c>
      <c r="Z1503" s="13">
        <f t="shared" ca="1" si="1647"/>
        <v>0</v>
      </c>
      <c r="AA1503">
        <f t="shared" ca="1" si="1628"/>
        <v>1</v>
      </c>
      <c r="AB1503">
        <f t="shared" ca="1" si="1629"/>
        <v>0</v>
      </c>
      <c r="AC1503" s="24" t="str">
        <f t="shared" ca="1" si="1630"/>
        <v/>
      </c>
      <c r="AD1503" s="24" t="str">
        <f t="shared" ca="1" si="1631"/>
        <v/>
      </c>
    </row>
    <row r="1504" spans="3:30" x14ac:dyDescent="0.25">
      <c r="C1504" s="6">
        <v>1598</v>
      </c>
      <c r="D1504" s="36">
        <v>44280</v>
      </c>
      <c r="E1504" s="38">
        <v>19.556999999999999</v>
      </c>
      <c r="F1504" s="38">
        <v>49.311443356313319</v>
      </c>
      <c r="G1504" s="38">
        <v>57.22</v>
      </c>
      <c r="H1504" s="38">
        <v>2.3699158898983601</v>
      </c>
      <c r="I1504" s="38">
        <v>5.4949685640602084</v>
      </c>
      <c r="J1504" s="10">
        <v>0</v>
      </c>
      <c r="K1504" s="39">
        <v>0</v>
      </c>
      <c r="L1504" s="39">
        <v>1</v>
      </c>
      <c r="M1504" s="39">
        <v>0</v>
      </c>
      <c r="N1504" s="39">
        <v>0</v>
      </c>
      <c r="O1504" s="39">
        <v>0</v>
      </c>
      <c r="P1504" s="39">
        <v>0</v>
      </c>
      <c r="Q1504" s="39">
        <v>0</v>
      </c>
      <c r="R1504" s="39">
        <v>0</v>
      </c>
      <c r="S1504" s="39">
        <v>0</v>
      </c>
      <c r="T1504" s="39">
        <v>0</v>
      </c>
      <c r="U1504" s="29" cm="1">
        <f t="array" aca="1" ref="U1504" ca="1">+fair_value_gap(OFFSET(T1503,0,0,-1*$J$5,-1*$AA$1),OFFSET(E1503,0,0,-1*$J$5,1),F1504:T1504,0)</f>
        <v>19.097993960996163</v>
      </c>
      <c r="V1504" s="9" cm="1">
        <f t="array" aca="1" ref="V1504" ca="1">z_score_diff(OFFSET(U1504,0,0,$J$5*-1,1),OFFSET(E1504,0,0,$J$5*-1,1))</f>
        <v>-0.13038159594025034</v>
      </c>
      <c r="W1504" s="9">
        <f t="shared" ca="1" si="1625"/>
        <v>-0.10185361414573194</v>
      </c>
      <c r="X1504" s="17" t="e">
        <f t="shared" ca="1" si="1626"/>
        <v>#NUM!</v>
      </c>
      <c r="Y1504" s="13">
        <f t="shared" ref="Y1504:Z1504" ca="1" si="1648">+Y1503</f>
        <v>0</v>
      </c>
      <c r="Z1504" s="13">
        <f t="shared" ca="1" si="1648"/>
        <v>0</v>
      </c>
      <c r="AA1504">
        <f t="shared" ca="1" si="1628"/>
        <v>1</v>
      </c>
      <c r="AB1504">
        <f t="shared" ca="1" si="1629"/>
        <v>0</v>
      </c>
      <c r="AC1504" s="24" t="str">
        <f t="shared" ca="1" si="1630"/>
        <v/>
      </c>
      <c r="AD1504" s="24" t="str">
        <f t="shared" ca="1" si="1631"/>
        <v/>
      </c>
    </row>
    <row r="1505" spans="3:30" x14ac:dyDescent="0.25">
      <c r="C1505" s="6">
        <v>1599</v>
      </c>
      <c r="D1505" s="36">
        <v>44281</v>
      </c>
      <c r="E1505" s="38">
        <v>19.673999999999999</v>
      </c>
      <c r="F1505" s="38">
        <v>50.747638725903911</v>
      </c>
      <c r="G1505" s="38">
        <v>57.82</v>
      </c>
      <c r="H1505" s="38">
        <v>2.3671583676022099</v>
      </c>
      <c r="I1505" s="38">
        <v>5.6152762413291057</v>
      </c>
      <c r="J1505" s="10">
        <v>0</v>
      </c>
      <c r="K1505" s="39">
        <v>0</v>
      </c>
      <c r="L1505" s="39">
        <v>1</v>
      </c>
      <c r="M1505" s="39">
        <v>0</v>
      </c>
      <c r="N1505" s="39">
        <v>0</v>
      </c>
      <c r="O1505" s="39">
        <v>0</v>
      </c>
      <c r="P1505" s="39">
        <v>0</v>
      </c>
      <c r="Q1505" s="39">
        <v>0</v>
      </c>
      <c r="R1505" s="39">
        <v>0</v>
      </c>
      <c r="S1505" s="39">
        <v>0</v>
      </c>
      <c r="T1505" s="39">
        <v>0</v>
      </c>
      <c r="U1505" s="29" cm="1">
        <f t="array" aca="1" ref="U1505" ca="1">+fair_value_gap(OFFSET(T1504,0,0,-1*$J$5,-1*$AA$1),OFFSET(E1504,0,0,-1*$J$5,1),F1505:T1505,0)</f>
        <v>19.361638821144318</v>
      </c>
      <c r="V1505" s="9" cm="1">
        <f t="array" aca="1" ref="V1505" ca="1">z_score_diff(OFFSET(U1505,0,0,$J$5*-1,1),OFFSET(E1505,0,0,$J$5*-1,1))</f>
        <v>-7.1857402959004002E-2</v>
      </c>
      <c r="W1505" s="9">
        <f t="shared" ca="1" si="1625"/>
        <v>-0.10819963671792579</v>
      </c>
      <c r="X1505" s="17" t="e">
        <f t="shared" ca="1" si="1626"/>
        <v>#NUM!</v>
      </c>
      <c r="Y1505" s="13">
        <f t="shared" ref="Y1505:Z1505" ca="1" si="1649">+Y1504</f>
        <v>0</v>
      </c>
      <c r="Z1505" s="13">
        <f t="shared" ca="1" si="1649"/>
        <v>0</v>
      </c>
      <c r="AA1505">
        <f t="shared" ca="1" si="1628"/>
        <v>1</v>
      </c>
      <c r="AB1505">
        <f t="shared" ca="1" si="1629"/>
        <v>0</v>
      </c>
      <c r="AC1505" s="24" t="str">
        <f t="shared" ca="1" si="1630"/>
        <v/>
      </c>
      <c r="AD1505" s="24" t="str">
        <f t="shared" ca="1" si="1631"/>
        <v/>
      </c>
    </row>
    <row r="1506" spans="3:30" x14ac:dyDescent="0.25">
      <c r="C1506" s="6">
        <v>1600</v>
      </c>
      <c r="D1506" s="36">
        <v>44284</v>
      </c>
      <c r="E1506" s="38">
        <v>19.614000000000001</v>
      </c>
      <c r="F1506" s="38">
        <v>51.034988556326894</v>
      </c>
      <c r="G1506" s="38">
        <v>57.57</v>
      </c>
      <c r="H1506" s="38">
        <v>2.3806212038828405</v>
      </c>
      <c r="I1506" s="38">
        <v>5.5595597873963642</v>
      </c>
      <c r="J1506" s="10">
        <v>0</v>
      </c>
      <c r="K1506" s="39">
        <v>0</v>
      </c>
      <c r="L1506" s="39">
        <v>1</v>
      </c>
      <c r="M1506" s="39">
        <v>0</v>
      </c>
      <c r="N1506" s="39">
        <v>0</v>
      </c>
      <c r="O1506" s="39">
        <v>0</v>
      </c>
      <c r="P1506" s="39">
        <v>0</v>
      </c>
      <c r="Q1506" s="39">
        <v>0</v>
      </c>
      <c r="R1506" s="39">
        <v>0</v>
      </c>
      <c r="S1506" s="39">
        <v>0</v>
      </c>
      <c r="T1506" s="39">
        <v>0</v>
      </c>
      <c r="U1506" s="29" cm="1">
        <f t="array" aca="1" ref="U1506" ca="1">+fair_value_gap(OFFSET(T1505,0,0,-1*$J$5,-1*$AA$1),OFFSET(E1505,0,0,-1*$J$5,1),F1506:T1506,0)</f>
        <v>19.272633531123581</v>
      </c>
      <c r="V1506" s="9" cm="1">
        <f t="array" aca="1" ref="V1506" ca="1">z_score_diff(OFFSET(U1506,0,0,$J$5*-1,1),OFFSET(E1506,0,0,$J$5*-1,1))</f>
        <v>-8.1703052614219951E-2</v>
      </c>
      <c r="W1506" s="9">
        <f t="shared" ca="1" si="1625"/>
        <v>-0.11940189561618161</v>
      </c>
      <c r="X1506" s="17" t="e">
        <f t="shared" ca="1" si="1626"/>
        <v>#NUM!</v>
      </c>
      <c r="Y1506" s="13">
        <f t="shared" ref="Y1506:Z1506" ca="1" si="1650">+Y1505</f>
        <v>0</v>
      </c>
      <c r="Z1506" s="13">
        <f t="shared" ca="1" si="1650"/>
        <v>0</v>
      </c>
      <c r="AA1506">
        <f t="shared" ca="1" si="1628"/>
        <v>1</v>
      </c>
      <c r="AB1506">
        <f t="shared" ca="1" si="1629"/>
        <v>0</v>
      </c>
      <c r="AC1506" s="24" t="str">
        <f t="shared" ca="1" si="1630"/>
        <v/>
      </c>
      <c r="AD1506" s="24" t="str">
        <f t="shared" ca="1" si="1631"/>
        <v/>
      </c>
    </row>
    <row r="1507" spans="3:30" x14ac:dyDescent="0.25">
      <c r="C1507" s="6">
        <v>1601</v>
      </c>
      <c r="D1507" s="36">
        <v>44285</v>
      </c>
      <c r="E1507" s="38">
        <v>19.873999999999999</v>
      </c>
      <c r="F1507" s="38">
        <v>50.629205173098057</v>
      </c>
      <c r="G1507" s="38">
        <v>57.94</v>
      </c>
      <c r="H1507" s="38">
        <v>2.0977736858450626</v>
      </c>
      <c r="I1507" s="38">
        <v>5.606192282663792</v>
      </c>
      <c r="J1507" s="10">
        <v>0</v>
      </c>
      <c r="K1507" s="39">
        <v>0</v>
      </c>
      <c r="L1507" s="39">
        <v>1</v>
      </c>
      <c r="M1507" s="39">
        <v>0</v>
      </c>
      <c r="N1507" s="39">
        <v>0</v>
      </c>
      <c r="O1507" s="39">
        <v>0</v>
      </c>
      <c r="P1507" s="39">
        <v>0</v>
      </c>
      <c r="Q1507" s="39">
        <v>0</v>
      </c>
      <c r="R1507" s="39">
        <v>0</v>
      </c>
      <c r="S1507" s="39">
        <v>0</v>
      </c>
      <c r="T1507" s="39">
        <v>0</v>
      </c>
      <c r="U1507" s="29" cm="1">
        <f t="array" aca="1" ref="U1507" ca="1">+fair_value_gap(OFFSET(T1506,0,0,-1*$J$5,-1*$AA$1),OFFSET(E1506,0,0,-1*$J$5,1),F1507:T1507,0)</f>
        <v>19.390908483800061</v>
      </c>
      <c r="V1507" s="9" cm="1">
        <f t="array" aca="1" ref="V1507" ca="1">z_score_diff(OFFSET(U1507,0,0,$J$5*-1,1),OFFSET(E1507,0,0,$J$5*-1,1))</f>
        <v>-0.12497306530390295</v>
      </c>
      <c r="W1507" s="9">
        <f t="shared" ca="1" si="1625"/>
        <v>-0.12442387469275146</v>
      </c>
      <c r="X1507" s="17" t="e">
        <f t="shared" ca="1" si="1626"/>
        <v>#NUM!</v>
      </c>
      <c r="Y1507" s="13">
        <f t="shared" ref="Y1507:Z1507" ca="1" si="1651">+Y1506</f>
        <v>0</v>
      </c>
      <c r="Z1507" s="13">
        <f t="shared" ca="1" si="1651"/>
        <v>0</v>
      </c>
      <c r="AA1507">
        <f t="shared" ca="1" si="1628"/>
        <v>1</v>
      </c>
      <c r="AB1507">
        <f t="shared" ca="1" si="1629"/>
        <v>0</v>
      </c>
      <c r="AC1507" s="24" t="str">
        <f t="shared" ca="1" si="1630"/>
        <v/>
      </c>
      <c r="AD1507" s="24" t="str">
        <f t="shared" ca="1" si="1631"/>
        <v/>
      </c>
    </row>
    <row r="1508" spans="3:30" x14ac:dyDescent="0.25">
      <c r="C1508" s="6">
        <v>1602</v>
      </c>
      <c r="D1508" s="36">
        <v>44286</v>
      </c>
      <c r="E1508" s="38">
        <v>17.872</v>
      </c>
      <c r="F1508" s="38">
        <v>49.818465300407382</v>
      </c>
      <c r="G1508" s="38">
        <v>52.6</v>
      </c>
      <c r="H1508" s="38">
        <v>2.0994441503888583</v>
      </c>
      <c r="I1508" s="38">
        <v>5.6016180009368446</v>
      </c>
      <c r="J1508" s="10">
        <v>0</v>
      </c>
      <c r="K1508" s="39">
        <v>0</v>
      </c>
      <c r="L1508" s="39">
        <v>1</v>
      </c>
      <c r="M1508" s="39">
        <v>0</v>
      </c>
      <c r="N1508" s="39">
        <v>0</v>
      </c>
      <c r="O1508" s="39">
        <v>0</v>
      </c>
      <c r="P1508" s="39">
        <v>0</v>
      </c>
      <c r="Q1508" s="39">
        <v>0</v>
      </c>
      <c r="R1508" s="39">
        <v>0</v>
      </c>
      <c r="S1508" s="39">
        <v>0</v>
      </c>
      <c r="T1508" s="39">
        <v>0</v>
      </c>
      <c r="U1508" s="29" cm="1">
        <f t="array" aca="1" ref="U1508" ca="1">+fair_value_gap(OFFSET(T1507,0,0,-1*$J$5,-1*$AA$1),OFFSET(E1507,0,0,-1*$J$5,1),F1508:T1508,0)</f>
        <v>17.996946280606661</v>
      </c>
      <c r="V1508" s="9" cm="1">
        <f t="array" aca="1" ref="V1508" ca="1">z_score_diff(OFFSET(U1508,0,0,$J$5*-1,1),OFFSET(E1508,0,0,$J$5*-1,1))</f>
        <v>5.2605653634838712E-2</v>
      </c>
      <c r="W1508" s="9">
        <f t="shared" ca="1" si="1625"/>
        <v>-0.12365380395773258</v>
      </c>
      <c r="X1508" s="17" t="e">
        <f t="shared" ca="1" si="1626"/>
        <v>#NUM!</v>
      </c>
      <c r="Y1508" s="13">
        <f t="shared" ref="Y1508:Z1508" ca="1" si="1652">+Y1507</f>
        <v>0</v>
      </c>
      <c r="Z1508" s="13">
        <f t="shared" ca="1" si="1652"/>
        <v>0</v>
      </c>
      <c r="AA1508">
        <f t="shared" ca="1" si="1628"/>
        <v>1</v>
      </c>
      <c r="AB1508">
        <f t="shared" ca="1" si="1629"/>
        <v>0</v>
      </c>
      <c r="AC1508" s="24" t="str">
        <f t="shared" ca="1" si="1630"/>
        <v/>
      </c>
      <c r="AD1508" s="24" t="str">
        <f t="shared" ca="1" si="1631"/>
        <v/>
      </c>
    </row>
    <row r="1509" spans="3:30" x14ac:dyDescent="0.25">
      <c r="C1509" s="6">
        <v>1603</v>
      </c>
      <c r="D1509" s="36">
        <v>44287</v>
      </c>
      <c r="E1509" s="38">
        <v>17.952000000000002</v>
      </c>
      <c r="F1509" s="38">
        <v>51.295221174855911</v>
      </c>
      <c r="G1509" s="38">
        <v>52.34</v>
      </c>
      <c r="H1509" s="38">
        <v>2.0957617449805706</v>
      </c>
      <c r="I1509" s="38">
        <v>5.578313202288582</v>
      </c>
      <c r="J1509" s="10">
        <v>0</v>
      </c>
      <c r="K1509" s="39">
        <v>0</v>
      </c>
      <c r="L1509" s="39">
        <v>0</v>
      </c>
      <c r="M1509" s="39">
        <v>1</v>
      </c>
      <c r="N1509" s="39">
        <v>0</v>
      </c>
      <c r="O1509" s="39">
        <v>0</v>
      </c>
      <c r="P1509" s="39">
        <v>0</v>
      </c>
      <c r="Q1509" s="39">
        <v>0</v>
      </c>
      <c r="R1509" s="39">
        <v>0</v>
      </c>
      <c r="S1509" s="39">
        <v>0</v>
      </c>
      <c r="T1509" s="39">
        <v>0</v>
      </c>
      <c r="U1509" s="29" cm="1">
        <f t="array" aca="1" ref="U1509" ca="1">+fair_value_gap(OFFSET(T1508,0,0,-1*$J$5,-1*$AA$1),OFFSET(E1508,0,0,-1*$J$5,1),F1509:T1509,0)</f>
        <v>17.409346926091601</v>
      </c>
      <c r="V1509" s="9" cm="1">
        <f t="array" aca="1" ref="V1509" ca="1">z_score_diff(OFFSET(U1509,0,0,$J$5*-1,1),OFFSET(E1509,0,0,$J$5*-1,1))</f>
        <v>-0.18559993602860692</v>
      </c>
      <c r="W1509" s="9">
        <f t="shared" ca="1" si="1625"/>
        <v>-0.12443029429764617</v>
      </c>
      <c r="X1509" s="17" t="e">
        <f t="shared" ca="1" si="1626"/>
        <v>#NUM!</v>
      </c>
      <c r="Y1509" s="13">
        <f t="shared" ref="Y1509:Z1509" ca="1" si="1653">+Y1508</f>
        <v>0</v>
      </c>
      <c r="Z1509" s="13">
        <f t="shared" ca="1" si="1653"/>
        <v>0</v>
      </c>
      <c r="AA1509">
        <f t="shared" ca="1" si="1628"/>
        <v>1</v>
      </c>
      <c r="AB1509">
        <f t="shared" ca="1" si="1629"/>
        <v>0</v>
      </c>
      <c r="AC1509" s="24" t="str">
        <f t="shared" ca="1" si="1630"/>
        <v/>
      </c>
      <c r="AD1509" s="24" t="str">
        <f t="shared" ca="1" si="1631"/>
        <v/>
      </c>
    </row>
    <row r="1510" spans="3:30" x14ac:dyDescent="0.25">
      <c r="C1510" s="6">
        <v>1604</v>
      </c>
      <c r="D1510" s="36">
        <v>44292</v>
      </c>
      <c r="E1510" s="38">
        <v>17.914000000000001</v>
      </c>
      <c r="F1510" s="38">
        <v>49.995823937192014</v>
      </c>
      <c r="G1510" s="38">
        <v>52.69</v>
      </c>
      <c r="H1510" s="38">
        <v>2.0621398145828111</v>
      </c>
      <c r="I1510" s="38">
        <v>5.6627411676271615</v>
      </c>
      <c r="J1510" s="10">
        <v>0</v>
      </c>
      <c r="K1510" s="39">
        <v>0</v>
      </c>
      <c r="L1510" s="39">
        <v>0</v>
      </c>
      <c r="M1510" s="39">
        <v>1</v>
      </c>
      <c r="N1510" s="39">
        <v>0</v>
      </c>
      <c r="O1510" s="39">
        <v>0</v>
      </c>
      <c r="P1510" s="39">
        <v>0</v>
      </c>
      <c r="Q1510" s="39">
        <v>0</v>
      </c>
      <c r="R1510" s="39">
        <v>0</v>
      </c>
      <c r="S1510" s="39">
        <v>0</v>
      </c>
      <c r="T1510" s="39">
        <v>0</v>
      </c>
      <c r="U1510" s="29" cm="1">
        <f t="array" aca="1" ref="U1510" ca="1">+fair_value_gap(OFFSET(T1509,0,0,-1*$J$5,-1*$AA$1),OFFSET(E1509,0,0,-1*$J$5,1),F1510:T1510,0)</f>
        <v>17.851414276729002</v>
      </c>
      <c r="V1510" s="9" cm="1">
        <f t="array" aca="1" ref="V1510" ca="1">z_score_diff(OFFSET(U1510,0,0,$J$5*-1,1),OFFSET(E1510,0,0,$J$5*-1,1))</f>
        <v>-1.2487262871627935E-2</v>
      </c>
      <c r="W1510" s="9">
        <f t="shared" ca="1" si="1625"/>
        <v>-0.12281696510942351</v>
      </c>
      <c r="X1510" s="17" t="e">
        <f t="shared" ca="1" si="1626"/>
        <v>#NUM!</v>
      </c>
      <c r="Y1510" s="13">
        <f t="shared" ref="Y1510:Z1510" ca="1" si="1654">+Y1509</f>
        <v>0</v>
      </c>
      <c r="Z1510" s="13">
        <f t="shared" ca="1" si="1654"/>
        <v>0</v>
      </c>
      <c r="AA1510">
        <f t="shared" ca="1" si="1628"/>
        <v>1</v>
      </c>
      <c r="AB1510">
        <f t="shared" ca="1" si="1629"/>
        <v>0</v>
      </c>
      <c r="AC1510" s="24" t="str">
        <f t="shared" ca="1" si="1630"/>
        <v/>
      </c>
      <c r="AD1510" s="24" t="str">
        <f t="shared" ca="1" si="1631"/>
        <v/>
      </c>
    </row>
    <row r="1511" spans="3:30" x14ac:dyDescent="0.25">
      <c r="C1511" s="6">
        <v>1605</v>
      </c>
      <c r="D1511" s="36">
        <v>44293</v>
      </c>
      <c r="E1511" s="38">
        <v>17.609000000000002</v>
      </c>
      <c r="F1511" s="38">
        <v>50.181044517814897</v>
      </c>
      <c r="G1511" s="38">
        <v>52.29</v>
      </c>
      <c r="H1511" s="38">
        <v>2.0841219821387238</v>
      </c>
      <c r="I1511" s="38">
        <v>5.5947059624774482</v>
      </c>
      <c r="J1511" s="10">
        <v>0</v>
      </c>
      <c r="K1511" s="39">
        <v>0</v>
      </c>
      <c r="L1511" s="39">
        <v>0</v>
      </c>
      <c r="M1511" s="39">
        <v>1</v>
      </c>
      <c r="N1511" s="39">
        <v>0</v>
      </c>
      <c r="O1511" s="39">
        <v>0</v>
      </c>
      <c r="P1511" s="39">
        <v>0</v>
      </c>
      <c r="Q1511" s="39">
        <v>0</v>
      </c>
      <c r="R1511" s="39">
        <v>0</v>
      </c>
      <c r="S1511" s="39">
        <v>0</v>
      </c>
      <c r="T1511" s="39">
        <v>0</v>
      </c>
      <c r="U1511" s="29" cm="1">
        <f t="array" aca="1" ref="U1511" ca="1">+fair_value_gap(OFFSET(T1510,0,0,-1*$J$5,-1*$AA$1),OFFSET(E1510,0,0,-1*$J$5,1),F1511:T1511,0)</f>
        <v>17.700146451971641</v>
      </c>
      <c r="V1511" s="9" cm="1">
        <f t="array" aca="1" ref="V1511" ca="1">z_score_diff(OFFSET(U1511,0,0,$J$5*-1,1),OFFSET(E1511,0,0,$J$5*-1,1))</f>
        <v>3.6334481084087544E-2</v>
      </c>
      <c r="W1511" s="9">
        <f t="shared" ca="1" si="1625"/>
        <v>-0.12027585330628962</v>
      </c>
      <c r="X1511" s="17" t="e">
        <f t="shared" ca="1" si="1626"/>
        <v>#NUM!</v>
      </c>
      <c r="Y1511" s="13">
        <f t="shared" ref="Y1511:Z1511" ca="1" si="1655">+Y1510</f>
        <v>0</v>
      </c>
      <c r="Z1511" s="13">
        <f t="shared" ca="1" si="1655"/>
        <v>0</v>
      </c>
      <c r="AA1511">
        <f t="shared" ca="1" si="1628"/>
        <v>1</v>
      </c>
      <c r="AB1511">
        <f t="shared" ca="1" si="1629"/>
        <v>0</v>
      </c>
      <c r="AC1511" s="24" t="str">
        <f t="shared" ca="1" si="1630"/>
        <v/>
      </c>
      <c r="AD1511" s="24" t="str">
        <f t="shared" ca="1" si="1631"/>
        <v/>
      </c>
    </row>
    <row r="1512" spans="3:30" x14ac:dyDescent="0.25">
      <c r="C1512" s="6">
        <v>1606</v>
      </c>
      <c r="D1512" s="36">
        <v>44294</v>
      </c>
      <c r="E1512" s="38">
        <v>17.414999999999999</v>
      </c>
      <c r="F1512" s="38">
        <v>49.53057033790283</v>
      </c>
      <c r="G1512" s="38">
        <v>52.39</v>
      </c>
      <c r="H1512" s="38">
        <v>2.0900519517690559</v>
      </c>
      <c r="I1512" s="38">
        <v>5.4996988062075882</v>
      </c>
      <c r="J1512" s="10">
        <v>0</v>
      </c>
      <c r="K1512" s="39">
        <v>0</v>
      </c>
      <c r="L1512" s="39">
        <v>0</v>
      </c>
      <c r="M1512" s="39">
        <v>1</v>
      </c>
      <c r="N1512" s="39">
        <v>0</v>
      </c>
      <c r="O1512" s="39">
        <v>0</v>
      </c>
      <c r="P1512" s="39">
        <v>0</v>
      </c>
      <c r="Q1512" s="39">
        <v>0</v>
      </c>
      <c r="R1512" s="39">
        <v>0</v>
      </c>
      <c r="S1512" s="39">
        <v>0</v>
      </c>
      <c r="T1512" s="39">
        <v>0</v>
      </c>
      <c r="U1512" s="29" cm="1">
        <f t="array" aca="1" ref="U1512" ca="1">+fair_value_gap(OFFSET(T1511,0,0,-1*$J$5,-1*$AA$1),OFFSET(E1511,0,0,-1*$J$5,1),F1512:T1512,0)</f>
        <v>17.676721826301183</v>
      </c>
      <c r="V1512" s="9" cm="1">
        <f t="array" aca="1" ref="V1512" ca="1">z_score_diff(OFFSET(U1512,0,0,$J$5*-1,1),OFFSET(E1512,0,0,$J$5*-1,1))</f>
        <v>9.2900676746402344E-2</v>
      </c>
      <c r="W1512" s="9">
        <f t="shared" ca="1" si="1625"/>
        <v>-0.11433173969056604</v>
      </c>
      <c r="X1512" s="17" t="e">
        <f t="shared" ca="1" si="1626"/>
        <v>#NUM!</v>
      </c>
      <c r="Y1512" s="13">
        <f t="shared" ref="Y1512:Z1512" ca="1" si="1656">+Y1511</f>
        <v>0</v>
      </c>
      <c r="Z1512" s="13">
        <f t="shared" ca="1" si="1656"/>
        <v>0</v>
      </c>
      <c r="AA1512">
        <f t="shared" ca="1" si="1628"/>
        <v>1</v>
      </c>
      <c r="AB1512">
        <f t="shared" ca="1" si="1629"/>
        <v>0</v>
      </c>
      <c r="AC1512" s="24" t="str">
        <f t="shared" ca="1" si="1630"/>
        <v/>
      </c>
      <c r="AD1512" s="24" t="str">
        <f t="shared" ca="1" si="1631"/>
        <v/>
      </c>
    </row>
    <row r="1513" spans="3:30" x14ac:dyDescent="0.25">
      <c r="C1513" s="6">
        <v>1607</v>
      </c>
      <c r="D1513" s="36">
        <v>44295</v>
      </c>
      <c r="E1513" s="38">
        <v>17.411999999999999</v>
      </c>
      <c r="F1513" s="38">
        <v>49.605060032875542</v>
      </c>
      <c r="G1513" s="38">
        <v>52.39</v>
      </c>
      <c r="H1513" s="38">
        <v>2.0930651275844481</v>
      </c>
      <c r="I1513" s="38">
        <v>5.4598074813532991</v>
      </c>
      <c r="J1513" s="10">
        <v>0</v>
      </c>
      <c r="K1513" s="39">
        <v>0</v>
      </c>
      <c r="L1513" s="39">
        <v>0</v>
      </c>
      <c r="M1513" s="39">
        <v>1</v>
      </c>
      <c r="N1513" s="39">
        <v>0</v>
      </c>
      <c r="O1513" s="39">
        <v>0</v>
      </c>
      <c r="P1513" s="39">
        <v>0</v>
      </c>
      <c r="Q1513" s="39">
        <v>0</v>
      </c>
      <c r="R1513" s="39">
        <v>0</v>
      </c>
      <c r="S1513" s="39">
        <v>0</v>
      </c>
      <c r="T1513" s="39">
        <v>0</v>
      </c>
      <c r="U1513" s="29" cm="1">
        <f t="array" aca="1" ref="U1513" ca="1">+fair_value_gap(OFFSET(T1512,0,0,-1*$J$5,-1*$AA$1),OFFSET(E1512,0,0,-1*$J$5,1),F1513:T1513,0)</f>
        <v>17.595741876463986</v>
      </c>
      <c r="V1513" s="9" cm="1">
        <f t="array" aca="1" ref="V1513" ca="1">z_score_diff(OFFSET(U1513,0,0,$J$5*-1,1),OFFSET(E1513,0,0,$J$5*-1,1))</f>
        <v>6.405936276149049E-2</v>
      </c>
      <c r="W1513" s="9">
        <f t="shared" ca="1" si="1625"/>
        <v>-0.10909361346778201</v>
      </c>
      <c r="X1513" s="17" t="e">
        <f t="shared" ca="1" si="1626"/>
        <v>#NUM!</v>
      </c>
      <c r="Y1513" s="13">
        <f t="shared" ref="Y1513:Z1513" ca="1" si="1657">+Y1512</f>
        <v>0</v>
      </c>
      <c r="Z1513" s="13">
        <f t="shared" ca="1" si="1657"/>
        <v>0</v>
      </c>
      <c r="AA1513">
        <f t="shared" ca="1" si="1628"/>
        <v>1</v>
      </c>
      <c r="AB1513">
        <f t="shared" ca="1" si="1629"/>
        <v>0</v>
      </c>
      <c r="AC1513" s="24" t="str">
        <f t="shared" ca="1" si="1630"/>
        <v/>
      </c>
      <c r="AD1513" s="24" t="str">
        <f t="shared" ca="1" si="1631"/>
        <v/>
      </c>
    </row>
    <row r="1514" spans="3:30" x14ac:dyDescent="0.25">
      <c r="C1514" s="6">
        <v>1608</v>
      </c>
      <c r="D1514" s="36">
        <v>44298</v>
      </c>
      <c r="E1514" s="38">
        <v>17.614999999999998</v>
      </c>
      <c r="F1514" s="38">
        <v>49.928928718043949</v>
      </c>
      <c r="G1514" s="38">
        <v>52.98</v>
      </c>
      <c r="H1514" s="38">
        <v>2.1059082843217669</v>
      </c>
      <c r="I1514" s="38">
        <v>5.5208271747937188</v>
      </c>
      <c r="J1514" s="10">
        <v>0</v>
      </c>
      <c r="K1514" s="39">
        <v>0</v>
      </c>
      <c r="L1514" s="39">
        <v>0</v>
      </c>
      <c r="M1514" s="39">
        <v>1</v>
      </c>
      <c r="N1514" s="39">
        <v>0</v>
      </c>
      <c r="O1514" s="39">
        <v>0</v>
      </c>
      <c r="P1514" s="39">
        <v>0</v>
      </c>
      <c r="Q1514" s="39">
        <v>0</v>
      </c>
      <c r="R1514" s="39">
        <v>0</v>
      </c>
      <c r="S1514" s="39">
        <v>0</v>
      </c>
      <c r="T1514" s="39">
        <v>0</v>
      </c>
      <c r="U1514" s="29" cm="1">
        <f t="array" aca="1" ref="U1514" ca="1">+fair_value_gap(OFFSET(T1513,0,0,-1*$J$5,-1*$AA$1),OFFSET(E1513,0,0,-1*$J$5,1),F1514:T1514,0)</f>
        <v>17.751936325413372</v>
      </c>
      <c r="V1514" s="9" cm="1">
        <f t="array" aca="1" ref="V1514" ca="1">z_score_diff(OFFSET(U1514,0,0,$J$5*-1,1),OFFSET(E1514,0,0,$J$5*-1,1))</f>
        <v>5.0894873040565614E-2</v>
      </c>
      <c r="W1514" s="9">
        <f t="shared" ca="1" si="1625"/>
        <v>-0.10533039810916357</v>
      </c>
      <c r="X1514" s="17" t="e">
        <f t="shared" ca="1" si="1626"/>
        <v>#NUM!</v>
      </c>
      <c r="Y1514" s="13">
        <f t="shared" ref="Y1514:Z1514" ca="1" si="1658">+Y1513</f>
        <v>0</v>
      </c>
      <c r="Z1514" s="13">
        <f t="shared" ca="1" si="1658"/>
        <v>0</v>
      </c>
      <c r="AA1514">
        <f t="shared" ca="1" si="1628"/>
        <v>1</v>
      </c>
      <c r="AB1514">
        <f t="shared" ca="1" si="1629"/>
        <v>0</v>
      </c>
      <c r="AC1514" s="24" t="str">
        <f t="shared" ca="1" si="1630"/>
        <v/>
      </c>
      <c r="AD1514" s="24" t="str">
        <f t="shared" ca="1" si="1631"/>
        <v/>
      </c>
    </row>
    <row r="1515" spans="3:30" x14ac:dyDescent="0.25">
      <c r="C1515" s="6">
        <v>1609</v>
      </c>
      <c r="D1515" s="36">
        <v>44299</v>
      </c>
      <c r="E1515" s="38">
        <v>17.451000000000001</v>
      </c>
      <c r="F1515" s="38">
        <v>50.189944913070221</v>
      </c>
      <c r="G1515" s="38">
        <v>52.64</v>
      </c>
      <c r="H1515" s="38">
        <v>2.1057034933762053</v>
      </c>
      <c r="I1515" s="38">
        <v>5.4862830473853839</v>
      </c>
      <c r="J1515" s="10">
        <v>0</v>
      </c>
      <c r="K1515" s="39">
        <v>0</v>
      </c>
      <c r="L1515" s="39">
        <v>0</v>
      </c>
      <c r="M1515" s="39">
        <v>1</v>
      </c>
      <c r="N1515" s="39">
        <v>0</v>
      </c>
      <c r="O1515" s="39">
        <v>0</v>
      </c>
      <c r="P1515" s="39">
        <v>0</v>
      </c>
      <c r="Q1515" s="39">
        <v>0</v>
      </c>
      <c r="R1515" s="39">
        <v>0</v>
      </c>
      <c r="S1515" s="39">
        <v>0</v>
      </c>
      <c r="T1515" s="39">
        <v>0</v>
      </c>
      <c r="U1515" s="29" cm="1">
        <f t="array" aca="1" ref="U1515" ca="1">+fair_value_gap(OFFSET(T1514,0,0,-1*$J$5,-1*$AA$1),OFFSET(E1514,0,0,-1*$J$5,1),F1515:T1515,0)</f>
        <v>17.594500559461462</v>
      </c>
      <c r="V1515" s="9" cm="1">
        <f t="array" aca="1" ref="V1515" ca="1">z_score_diff(OFFSET(U1515,0,0,$J$5*-1,1),OFFSET(E1515,0,0,$J$5*-1,1))</f>
        <v>4.9418765877143667E-2</v>
      </c>
      <c r="W1515" s="9">
        <f t="shared" ca="1" si="1625"/>
        <v>-0.10139540498832592</v>
      </c>
      <c r="X1515" s="17" t="e">
        <f t="shared" ca="1" si="1626"/>
        <v>#NUM!</v>
      </c>
      <c r="Y1515" s="13">
        <f t="shared" ref="Y1515:Z1515" ca="1" si="1659">+Y1514</f>
        <v>0</v>
      </c>
      <c r="Z1515" s="13">
        <f t="shared" ca="1" si="1659"/>
        <v>0</v>
      </c>
      <c r="AA1515">
        <f t="shared" ca="1" si="1628"/>
        <v>1</v>
      </c>
      <c r="AB1515">
        <f t="shared" ca="1" si="1629"/>
        <v>0</v>
      </c>
      <c r="AC1515" s="24" t="str">
        <f t="shared" ca="1" si="1630"/>
        <v/>
      </c>
      <c r="AD1515" s="24" t="str">
        <f t="shared" ca="1" si="1631"/>
        <v/>
      </c>
    </row>
    <row r="1516" spans="3:30" x14ac:dyDescent="0.25">
      <c r="C1516" s="6">
        <v>1610</v>
      </c>
      <c r="D1516" s="36">
        <v>44300</v>
      </c>
      <c r="E1516" s="38">
        <v>17.574999999999999</v>
      </c>
      <c r="F1516" s="38">
        <v>51.757118155715013</v>
      </c>
      <c r="G1516" s="38">
        <v>52.54</v>
      </c>
      <c r="H1516" s="38">
        <v>2.0974338302667812</v>
      </c>
      <c r="I1516" s="38">
        <v>5.5746712102789164</v>
      </c>
      <c r="J1516" s="10">
        <v>0</v>
      </c>
      <c r="K1516" s="39">
        <v>0</v>
      </c>
      <c r="L1516" s="39">
        <v>0</v>
      </c>
      <c r="M1516" s="39">
        <v>1</v>
      </c>
      <c r="N1516" s="39">
        <v>0</v>
      </c>
      <c r="O1516" s="39">
        <v>0</v>
      </c>
      <c r="P1516" s="39">
        <v>0</v>
      </c>
      <c r="Q1516" s="39">
        <v>0</v>
      </c>
      <c r="R1516" s="39">
        <v>0</v>
      </c>
      <c r="S1516" s="39">
        <v>0</v>
      </c>
      <c r="T1516" s="39">
        <v>0</v>
      </c>
      <c r="U1516" s="29" cm="1">
        <f t="array" aca="1" ref="U1516" ca="1">+fair_value_gap(OFFSET(T1515,0,0,-1*$J$5,-1*$AA$1),OFFSET(E1515,0,0,-1*$J$5,1),F1516:T1516,0)</f>
        <v>17.543052745592661</v>
      </c>
      <c r="V1516" s="9" cm="1">
        <f t="array" aca="1" ref="V1516" ca="1">z_score_diff(OFFSET(U1516,0,0,$J$5*-1,1),OFFSET(E1516,0,0,$J$5*-1,1))</f>
        <v>-1.0941700382337327E-2</v>
      </c>
      <c r="W1516" s="9">
        <f t="shared" ca="1" si="1625"/>
        <v>-0.10448703942855959</v>
      </c>
      <c r="X1516" s="17" t="e">
        <f t="shared" ca="1" si="1626"/>
        <v>#NUM!</v>
      </c>
      <c r="Y1516" s="13">
        <f t="shared" ref="Y1516:Z1516" ca="1" si="1660">+Y1515</f>
        <v>0</v>
      </c>
      <c r="Z1516" s="13">
        <f t="shared" ca="1" si="1660"/>
        <v>0</v>
      </c>
      <c r="AA1516">
        <f t="shared" ca="1" si="1628"/>
        <v>1</v>
      </c>
      <c r="AB1516">
        <f t="shared" ca="1" si="1629"/>
        <v>0</v>
      </c>
      <c r="AC1516" s="24" t="str">
        <f t="shared" ca="1" si="1630"/>
        <v/>
      </c>
      <c r="AD1516" s="24" t="str">
        <f t="shared" ca="1" si="1631"/>
        <v/>
      </c>
    </row>
    <row r="1517" spans="3:30" x14ac:dyDescent="0.25">
      <c r="C1517" s="6">
        <v>1611</v>
      </c>
      <c r="D1517" s="36">
        <v>44301</v>
      </c>
      <c r="E1517" s="38">
        <v>17.899000000000001</v>
      </c>
      <c r="F1517" s="38">
        <v>51.755253829441337</v>
      </c>
      <c r="G1517" s="38">
        <v>53.01</v>
      </c>
      <c r="H1517" s="38">
        <v>2.1030232824066939</v>
      </c>
      <c r="I1517" s="38">
        <v>5.7050099682309252</v>
      </c>
      <c r="J1517" s="10">
        <v>0</v>
      </c>
      <c r="K1517" s="39">
        <v>0</v>
      </c>
      <c r="L1517" s="39">
        <v>0</v>
      </c>
      <c r="M1517" s="39">
        <v>1</v>
      </c>
      <c r="N1517" s="39">
        <v>0</v>
      </c>
      <c r="O1517" s="39">
        <v>0</v>
      </c>
      <c r="P1517" s="39">
        <v>0</v>
      </c>
      <c r="Q1517" s="39">
        <v>0</v>
      </c>
      <c r="R1517" s="39">
        <v>0</v>
      </c>
      <c r="S1517" s="39">
        <v>0</v>
      </c>
      <c r="T1517" s="39">
        <v>0</v>
      </c>
      <c r="U1517" s="29" cm="1">
        <f t="array" aca="1" ref="U1517" ca="1">+fair_value_gap(OFFSET(T1516,0,0,-1*$J$5,-1*$AA$1),OFFSET(E1516,0,0,-1*$J$5,1),F1517:T1517,0)</f>
        <v>17.773082509857471</v>
      </c>
      <c r="V1517" s="9" cm="1">
        <f t="array" aca="1" ref="V1517" ca="1">z_score_diff(OFFSET(U1517,0,0,$J$5*-1,1),OFFSET(E1517,0,0,$J$5*-1,1))</f>
        <v>-3.7569195258470467E-2</v>
      </c>
      <c r="W1517" s="9">
        <f t="shared" ca="1" si="1625"/>
        <v>-0.10834189602408649</v>
      </c>
      <c r="X1517" s="17" t="e">
        <f t="shared" ca="1" si="1626"/>
        <v>#NUM!</v>
      </c>
      <c r="Y1517" s="13">
        <f t="shared" ref="Y1517:Z1517" ca="1" si="1661">+Y1516</f>
        <v>0</v>
      </c>
      <c r="Z1517" s="13">
        <f t="shared" ca="1" si="1661"/>
        <v>0</v>
      </c>
      <c r="AA1517">
        <f t="shared" ca="1" si="1628"/>
        <v>1</v>
      </c>
      <c r="AB1517">
        <f t="shared" ca="1" si="1629"/>
        <v>0</v>
      </c>
      <c r="AC1517" s="24" t="str">
        <f t="shared" ca="1" si="1630"/>
        <v/>
      </c>
      <c r="AD1517" s="24" t="str">
        <f t="shared" ca="1" si="1631"/>
        <v/>
      </c>
    </row>
    <row r="1518" spans="3:30" x14ac:dyDescent="0.25">
      <c r="C1518" s="6">
        <v>1612</v>
      </c>
      <c r="D1518" s="36">
        <v>44302</v>
      </c>
      <c r="E1518" s="38">
        <v>18.004999999999999</v>
      </c>
      <c r="F1518" s="38">
        <v>51.536153103838693</v>
      </c>
      <c r="G1518" s="38">
        <v>53.56</v>
      </c>
      <c r="H1518" s="38">
        <v>2.1021652301870928</v>
      </c>
      <c r="I1518" s="38">
        <v>5.6981919723772174</v>
      </c>
      <c r="J1518" s="10">
        <v>0</v>
      </c>
      <c r="K1518" s="39">
        <v>0</v>
      </c>
      <c r="L1518" s="39">
        <v>0</v>
      </c>
      <c r="M1518" s="39">
        <v>1</v>
      </c>
      <c r="N1518" s="39">
        <v>0</v>
      </c>
      <c r="O1518" s="39">
        <v>0</v>
      </c>
      <c r="P1518" s="39">
        <v>0</v>
      </c>
      <c r="Q1518" s="39">
        <v>0</v>
      </c>
      <c r="R1518" s="39">
        <v>0</v>
      </c>
      <c r="S1518" s="39">
        <v>0</v>
      </c>
      <c r="T1518" s="39">
        <v>0</v>
      </c>
      <c r="U1518" s="29" cm="1">
        <f t="array" aca="1" ref="U1518" ca="1">+fair_value_gap(OFFSET(T1517,0,0,-1*$J$5,-1*$AA$1),OFFSET(E1517,0,0,-1*$J$5,1),F1518:T1518,0)</f>
        <v>17.946693382684117</v>
      </c>
      <c r="V1518" s="9" cm="1">
        <f t="array" aca="1" ref="V1518" ca="1">z_score_diff(OFFSET(U1518,0,0,$J$5*-1,1),OFFSET(E1518,0,0,$J$5*-1,1))</f>
        <v>-1.0962176968160264E-2</v>
      </c>
      <c r="W1518" s="9">
        <f t="shared" ca="1" si="1625"/>
        <v>-0.11249126402079895</v>
      </c>
      <c r="X1518" s="17" t="e">
        <f t="shared" ca="1" si="1626"/>
        <v>#NUM!</v>
      </c>
      <c r="Y1518" s="13">
        <f t="shared" ref="Y1518:Z1518" ca="1" si="1662">+Y1517</f>
        <v>0</v>
      </c>
      <c r="Z1518" s="13">
        <f t="shared" ca="1" si="1662"/>
        <v>0</v>
      </c>
      <c r="AA1518">
        <f t="shared" ca="1" si="1628"/>
        <v>1</v>
      </c>
      <c r="AB1518">
        <f t="shared" ca="1" si="1629"/>
        <v>0</v>
      </c>
      <c r="AC1518" s="24" t="str">
        <f t="shared" ca="1" si="1630"/>
        <v/>
      </c>
      <c r="AD1518" s="24" t="str">
        <f t="shared" ca="1" si="1631"/>
        <v/>
      </c>
    </row>
    <row r="1519" spans="3:30" x14ac:dyDescent="0.25">
      <c r="D1519" s="3"/>
      <c r="E1519" s="15"/>
      <c r="F1519" s="15"/>
      <c r="G1519" s="15"/>
      <c r="H1519" s="15"/>
      <c r="I1519" s="15"/>
      <c r="K1519" s="29"/>
      <c r="L1519" s="29"/>
      <c r="M1519" s="29"/>
      <c r="N1519" s="29"/>
      <c r="O1519" s="29"/>
      <c r="P1519" s="29"/>
      <c r="Q1519" s="29"/>
      <c r="R1519" s="29"/>
      <c r="S1519" s="29"/>
      <c r="T1519" s="29"/>
      <c r="U1519" s="29"/>
      <c r="V1519" s="9"/>
      <c r="W1519" s="9"/>
      <c r="X1519" s="17"/>
      <c r="Y1519" s="13"/>
      <c r="Z1519" s="13"/>
      <c r="AC1519" s="24"/>
      <c r="AD1519" s="24"/>
    </row>
    <row r="1520" spans="3:30" x14ac:dyDescent="0.25">
      <c r="D1520" s="3"/>
      <c r="E1520" s="15"/>
      <c r="F1520" s="15"/>
      <c r="G1520" s="15"/>
      <c r="H1520" s="15"/>
      <c r="I1520" s="15"/>
      <c r="K1520" s="29"/>
      <c r="L1520" s="29"/>
      <c r="M1520" s="29"/>
      <c r="N1520" s="29"/>
      <c r="O1520" s="29"/>
      <c r="P1520" s="29"/>
      <c r="Q1520" s="29"/>
      <c r="R1520" s="29"/>
      <c r="S1520" s="29"/>
      <c r="T1520" s="29"/>
      <c r="U1520" s="29"/>
      <c r="V1520" s="9"/>
      <c r="W1520" s="9"/>
      <c r="X1520" s="17"/>
      <c r="Y1520" s="13"/>
      <c r="Z1520" s="13"/>
      <c r="AC1520" s="24"/>
      <c r="AD1520" s="24"/>
    </row>
    <row r="1521" spans="4:30" x14ac:dyDescent="0.25">
      <c r="D1521" s="3"/>
      <c r="E1521" s="15"/>
      <c r="F1521" s="15"/>
      <c r="G1521" s="15"/>
      <c r="H1521" s="15"/>
      <c r="I1521" s="15"/>
      <c r="K1521" s="29"/>
      <c r="L1521" s="29"/>
      <c r="M1521" s="29"/>
      <c r="N1521" s="29"/>
      <c r="O1521" s="29"/>
      <c r="P1521" s="29"/>
      <c r="Q1521" s="29"/>
      <c r="R1521" s="29"/>
      <c r="S1521" s="29"/>
      <c r="T1521" s="29"/>
      <c r="U1521" s="29"/>
      <c r="V1521" s="9"/>
      <c r="W1521" s="9"/>
      <c r="X1521" s="17"/>
      <c r="Y1521" s="13"/>
      <c r="Z1521" s="13"/>
      <c r="AC1521" s="24"/>
      <c r="AD1521" s="24"/>
    </row>
    <row r="1522" spans="4:30" x14ac:dyDescent="0.25">
      <c r="D1522" s="3"/>
      <c r="E1522" s="15"/>
      <c r="F1522" s="15"/>
      <c r="G1522" s="15"/>
      <c r="H1522" s="15"/>
      <c r="I1522" s="15"/>
      <c r="K1522" s="29"/>
      <c r="L1522" s="29"/>
      <c r="M1522" s="29"/>
      <c r="N1522" s="29"/>
      <c r="O1522" s="29"/>
      <c r="P1522" s="29"/>
      <c r="Q1522" s="29"/>
      <c r="R1522" s="29"/>
      <c r="S1522" s="29"/>
      <c r="T1522" s="29"/>
      <c r="U1522" s="29"/>
      <c r="V1522" s="9"/>
      <c r="W1522" s="9"/>
      <c r="X1522" s="17"/>
      <c r="Y1522" s="13"/>
      <c r="Z1522" s="13"/>
      <c r="AC1522" s="24"/>
      <c r="AD1522" s="24"/>
    </row>
    <row r="1523" spans="4:30" x14ac:dyDescent="0.25">
      <c r="D1523" s="3"/>
      <c r="E1523" s="15"/>
      <c r="F1523" s="15"/>
      <c r="G1523" s="15"/>
      <c r="H1523" s="15"/>
      <c r="I1523" s="15"/>
      <c r="K1523" s="29"/>
      <c r="L1523" s="29"/>
      <c r="M1523" s="29"/>
      <c r="N1523" s="29"/>
      <c r="O1523" s="29"/>
      <c r="P1523" s="29"/>
      <c r="Q1523" s="29"/>
      <c r="R1523" s="29"/>
      <c r="S1523" s="29"/>
      <c r="T1523" s="29"/>
      <c r="U1523" s="29"/>
      <c r="V1523" s="9"/>
      <c r="W1523" s="9"/>
      <c r="X1523" s="17"/>
      <c r="Y1523" s="13"/>
      <c r="Z1523" s="13"/>
      <c r="AC1523" s="24"/>
      <c r="AD1523" s="24"/>
    </row>
    <row r="1524" spans="4:30" x14ac:dyDescent="0.25">
      <c r="D1524" s="3"/>
      <c r="E1524" s="15"/>
      <c r="F1524" s="15"/>
      <c r="G1524" s="15"/>
      <c r="H1524" s="15"/>
      <c r="I1524" s="15"/>
      <c r="K1524" s="29"/>
      <c r="L1524" s="29"/>
      <c r="M1524" s="29"/>
      <c r="N1524" s="29"/>
      <c r="O1524" s="29"/>
      <c r="P1524" s="29"/>
      <c r="Q1524" s="29"/>
      <c r="R1524" s="29"/>
      <c r="S1524" s="29"/>
      <c r="T1524" s="29"/>
      <c r="U1524" s="29"/>
      <c r="V1524" s="9"/>
      <c r="W1524" s="9"/>
      <c r="X1524" s="17"/>
      <c r="Y1524" s="13"/>
      <c r="Z1524" s="13"/>
      <c r="AC1524" s="24"/>
      <c r="AD1524" s="24"/>
    </row>
    <row r="1525" spans="4:30" x14ac:dyDescent="0.25">
      <c r="D1525" s="3"/>
      <c r="E1525" s="15"/>
      <c r="F1525" s="15"/>
      <c r="G1525" s="15"/>
      <c r="H1525" s="15"/>
      <c r="I1525" s="15"/>
      <c r="K1525" s="29"/>
      <c r="L1525" s="29"/>
      <c r="M1525" s="29"/>
      <c r="N1525" s="29"/>
      <c r="O1525" s="29"/>
      <c r="P1525" s="29"/>
      <c r="Q1525" s="29"/>
      <c r="R1525" s="29"/>
      <c r="S1525" s="29"/>
      <c r="T1525" s="29"/>
      <c r="U1525" s="29"/>
      <c r="V1525" s="9"/>
      <c r="W1525" s="9"/>
      <c r="X1525" s="17"/>
      <c r="Y1525" s="13"/>
      <c r="Z1525" s="13"/>
      <c r="AC1525" s="24"/>
      <c r="AD1525" s="24"/>
    </row>
    <row r="1526" spans="4:30" x14ac:dyDescent="0.25">
      <c r="D1526" s="3"/>
      <c r="E1526" s="15"/>
      <c r="F1526" s="15"/>
      <c r="G1526" s="15"/>
      <c r="H1526" s="15"/>
      <c r="I1526" s="15"/>
      <c r="K1526" s="29"/>
      <c r="L1526" s="29"/>
      <c r="M1526" s="29"/>
      <c r="N1526" s="29"/>
      <c r="O1526" s="29"/>
      <c r="P1526" s="29"/>
      <c r="Q1526" s="29"/>
      <c r="R1526" s="29"/>
      <c r="S1526" s="29"/>
      <c r="T1526" s="29"/>
      <c r="U1526" s="29"/>
      <c r="V1526" s="9"/>
      <c r="W1526" s="9"/>
      <c r="X1526" s="17"/>
      <c r="Y1526" s="13"/>
      <c r="Z1526" s="13"/>
      <c r="AC1526" s="24"/>
      <c r="AD1526" s="24"/>
    </row>
    <row r="1527" spans="4:30" x14ac:dyDescent="0.25">
      <c r="D1527" s="3"/>
      <c r="E1527" s="15"/>
      <c r="F1527" s="15"/>
      <c r="G1527" s="15"/>
      <c r="H1527" s="15"/>
      <c r="I1527" s="15"/>
      <c r="K1527" s="29"/>
      <c r="L1527" s="29"/>
      <c r="M1527" s="29"/>
      <c r="N1527" s="29"/>
      <c r="O1527" s="29"/>
      <c r="P1527" s="29"/>
      <c r="Q1527" s="29"/>
      <c r="R1527" s="29"/>
      <c r="S1527" s="29"/>
      <c r="T1527" s="29"/>
      <c r="U1527" s="29"/>
      <c r="V1527" s="9"/>
      <c r="W1527" s="9"/>
      <c r="X1527" s="17"/>
      <c r="Y1527" s="13"/>
      <c r="Z1527" s="13"/>
      <c r="AC1527" s="24"/>
      <c r="AD1527" s="24"/>
    </row>
    <row r="1528" spans="4:30" x14ac:dyDescent="0.25">
      <c r="D1528" s="3"/>
      <c r="E1528" s="15"/>
      <c r="F1528" s="15"/>
      <c r="G1528" s="15"/>
      <c r="H1528" s="15"/>
      <c r="I1528" s="15"/>
      <c r="K1528" s="29"/>
      <c r="L1528" s="29"/>
      <c r="M1528" s="29"/>
      <c r="N1528" s="29"/>
      <c r="O1528" s="29"/>
      <c r="P1528" s="29"/>
      <c r="Q1528" s="29"/>
      <c r="R1528" s="29"/>
      <c r="S1528" s="29"/>
      <c r="T1528" s="29"/>
      <c r="U1528" s="29"/>
      <c r="V1528" s="9"/>
      <c r="W1528" s="9"/>
      <c r="X1528" s="17"/>
      <c r="Y1528" s="13"/>
      <c r="Z1528" s="13"/>
      <c r="AC1528" s="24"/>
      <c r="AD1528" s="24"/>
    </row>
    <row r="1529" spans="4:30" x14ac:dyDescent="0.25">
      <c r="D1529" s="3"/>
      <c r="E1529" s="15"/>
      <c r="F1529" s="15"/>
      <c r="G1529" s="15"/>
      <c r="H1529" s="15"/>
      <c r="I1529" s="15"/>
      <c r="K1529" s="29"/>
      <c r="L1529" s="29"/>
      <c r="M1529" s="29"/>
      <c r="N1529" s="29"/>
      <c r="O1529" s="29"/>
      <c r="P1529" s="29"/>
      <c r="Q1529" s="29"/>
      <c r="R1529" s="29"/>
      <c r="S1529" s="29"/>
      <c r="T1529" s="29"/>
      <c r="U1529" s="29"/>
      <c r="V1529" s="9"/>
      <c r="W1529" s="9"/>
      <c r="X1529" s="17"/>
      <c r="Y1529" s="13"/>
      <c r="Z1529" s="13"/>
      <c r="AC1529" s="24"/>
      <c r="AD1529" s="24"/>
    </row>
    <row r="1530" spans="4:30" x14ac:dyDescent="0.25">
      <c r="D1530" s="3"/>
      <c r="E1530" s="15"/>
      <c r="F1530" s="15"/>
      <c r="G1530" s="15"/>
      <c r="H1530" s="15"/>
      <c r="I1530" s="15"/>
      <c r="K1530" s="29"/>
      <c r="L1530" s="29"/>
      <c r="M1530" s="29"/>
      <c r="N1530" s="29"/>
      <c r="O1530" s="29"/>
      <c r="P1530" s="29"/>
      <c r="Q1530" s="29"/>
      <c r="R1530" s="29"/>
      <c r="S1530" s="29"/>
      <c r="T1530" s="29"/>
      <c r="U1530" s="29"/>
      <c r="V1530" s="9"/>
      <c r="W1530" s="9"/>
      <c r="X1530" s="17"/>
      <c r="Y1530" s="13"/>
      <c r="Z1530" s="13"/>
      <c r="AC1530" s="24"/>
      <c r="AD1530" s="24"/>
    </row>
    <row r="1531" spans="4:30" x14ac:dyDescent="0.25">
      <c r="D1531" s="3"/>
      <c r="E1531" s="15"/>
      <c r="F1531" s="15"/>
      <c r="G1531" s="15"/>
      <c r="H1531" s="15"/>
      <c r="I1531" s="15"/>
      <c r="K1531" s="29"/>
      <c r="L1531" s="29"/>
      <c r="M1531" s="29"/>
      <c r="N1531" s="29"/>
      <c r="O1531" s="29"/>
      <c r="P1531" s="29"/>
      <c r="Q1531" s="29"/>
      <c r="R1531" s="29"/>
      <c r="S1531" s="29"/>
      <c r="T1531" s="29"/>
      <c r="U1531" s="29"/>
      <c r="V1531" s="9"/>
      <c r="W1531" s="9"/>
      <c r="X1531" s="17"/>
      <c r="Y1531" s="13"/>
      <c r="Z1531" s="13"/>
      <c r="AC1531" s="24"/>
      <c r="AD1531" s="24"/>
    </row>
    <row r="1532" spans="4:30" x14ac:dyDescent="0.25">
      <c r="D1532" s="3"/>
      <c r="E1532" s="15"/>
      <c r="F1532" s="15"/>
      <c r="G1532" s="15"/>
      <c r="H1532" s="15"/>
      <c r="I1532" s="15"/>
      <c r="K1532" s="29"/>
      <c r="L1532" s="29"/>
      <c r="M1532" s="29"/>
      <c r="N1532" s="29"/>
      <c r="O1532" s="29"/>
      <c r="P1532" s="29"/>
      <c r="Q1532" s="29"/>
      <c r="R1532" s="29"/>
      <c r="S1532" s="29"/>
      <c r="T1532" s="29"/>
      <c r="U1532" s="29"/>
      <c r="V1532" s="9"/>
      <c r="W1532" s="9"/>
      <c r="X1532" s="17"/>
      <c r="Y1532" s="13"/>
      <c r="Z1532" s="13"/>
      <c r="AC1532" s="24"/>
      <c r="AD1532" s="24"/>
    </row>
    <row r="1533" spans="4:30" x14ac:dyDescent="0.25">
      <c r="D1533" s="3"/>
      <c r="E1533" s="15"/>
      <c r="F1533" s="15"/>
      <c r="G1533" s="15"/>
      <c r="H1533" s="15"/>
      <c r="I1533" s="15"/>
      <c r="K1533" s="29"/>
      <c r="L1533" s="29"/>
      <c r="M1533" s="29"/>
      <c r="N1533" s="29"/>
      <c r="O1533" s="29"/>
      <c r="P1533" s="29"/>
      <c r="Q1533" s="29"/>
      <c r="R1533" s="29"/>
      <c r="S1533" s="29"/>
      <c r="T1533" s="29"/>
      <c r="U1533" s="29"/>
      <c r="V1533" s="9"/>
      <c r="W1533" s="9"/>
      <c r="X1533" s="17"/>
      <c r="Y1533" s="13"/>
      <c r="Z1533" s="13"/>
      <c r="AC1533" s="24"/>
      <c r="AD1533" s="24"/>
    </row>
    <row r="1534" spans="4:30" x14ac:dyDescent="0.25">
      <c r="D1534" s="3"/>
      <c r="E1534" s="15"/>
      <c r="F1534" s="15"/>
      <c r="G1534" s="15"/>
      <c r="H1534" s="15"/>
      <c r="I1534" s="15"/>
      <c r="K1534" s="29"/>
      <c r="L1534" s="29"/>
      <c r="M1534" s="29"/>
      <c r="N1534" s="29"/>
      <c r="O1534" s="29"/>
      <c r="P1534" s="29"/>
      <c r="Q1534" s="29"/>
      <c r="R1534" s="29"/>
      <c r="S1534" s="29"/>
      <c r="T1534" s="29"/>
      <c r="U1534" s="29"/>
      <c r="V1534" s="9"/>
      <c r="W1534" s="9"/>
      <c r="X1534" s="17"/>
      <c r="Y1534" s="13"/>
      <c r="Z1534" s="13"/>
      <c r="AC1534" s="24"/>
      <c r="AD1534" s="24"/>
    </row>
    <row r="1535" spans="4:30" x14ac:dyDescent="0.25">
      <c r="D1535" s="3"/>
      <c r="E1535" s="15"/>
      <c r="F1535" s="15"/>
      <c r="G1535" s="15"/>
      <c r="H1535" s="15"/>
      <c r="I1535" s="15"/>
      <c r="K1535" s="29"/>
      <c r="L1535" s="29"/>
      <c r="M1535" s="29"/>
      <c r="N1535" s="29"/>
      <c r="O1535" s="29"/>
      <c r="P1535" s="29"/>
      <c r="Q1535" s="29"/>
      <c r="R1535" s="29"/>
      <c r="S1535" s="29"/>
      <c r="T1535" s="29"/>
      <c r="U1535" s="29"/>
      <c r="V1535" s="9"/>
      <c r="W1535" s="9"/>
      <c r="X1535" s="17"/>
      <c r="Y1535" s="13"/>
      <c r="Z1535" s="13"/>
      <c r="AC1535" s="24"/>
      <c r="AD1535" s="24"/>
    </row>
    <row r="1536" spans="4:30" x14ac:dyDescent="0.25">
      <c r="D1536" s="3"/>
      <c r="E1536" s="15"/>
      <c r="F1536" s="15"/>
      <c r="G1536" s="15"/>
      <c r="H1536" s="15"/>
      <c r="I1536" s="15"/>
      <c r="K1536" s="29"/>
      <c r="L1536" s="29"/>
      <c r="M1536" s="29"/>
      <c r="N1536" s="29"/>
      <c r="O1536" s="29"/>
      <c r="P1536" s="29"/>
      <c r="Q1536" s="29"/>
      <c r="R1536" s="29"/>
      <c r="S1536" s="29"/>
      <c r="T1536" s="29"/>
      <c r="U1536" s="29"/>
      <c r="V1536" s="9"/>
      <c r="W1536" s="9"/>
      <c r="X1536" s="17"/>
      <c r="Y1536" s="13"/>
      <c r="Z1536" s="13"/>
      <c r="AC1536" s="24"/>
      <c r="AD1536" s="24"/>
    </row>
    <row r="1537" spans="4:30" x14ac:dyDescent="0.25">
      <c r="D1537" s="3"/>
      <c r="E1537" s="15"/>
      <c r="F1537" s="15"/>
      <c r="G1537" s="15"/>
      <c r="H1537" s="15"/>
      <c r="I1537" s="15"/>
      <c r="K1537" s="29"/>
      <c r="L1537" s="29"/>
      <c r="M1537" s="29"/>
      <c r="N1537" s="29"/>
      <c r="O1537" s="29"/>
      <c r="P1537" s="29"/>
      <c r="Q1537" s="29"/>
      <c r="R1537" s="29"/>
      <c r="S1537" s="29"/>
      <c r="T1537" s="29"/>
      <c r="U1537" s="29"/>
      <c r="V1537" s="9"/>
      <c r="W1537" s="9"/>
      <c r="X1537" s="17"/>
      <c r="Y1537" s="13"/>
      <c r="Z1537" s="13"/>
      <c r="AC1537" s="24"/>
      <c r="AD1537" s="24"/>
    </row>
    <row r="1538" spans="4:30" x14ac:dyDescent="0.25">
      <c r="D1538" s="3"/>
      <c r="E1538" s="15"/>
      <c r="F1538" s="15"/>
      <c r="G1538" s="15"/>
      <c r="H1538" s="15"/>
      <c r="I1538" s="15"/>
      <c r="K1538" s="29"/>
      <c r="L1538" s="29"/>
      <c r="M1538" s="29"/>
      <c r="N1538" s="29"/>
      <c r="O1538" s="29"/>
      <c r="P1538" s="29"/>
      <c r="Q1538" s="29"/>
      <c r="R1538" s="29"/>
      <c r="S1538" s="29"/>
      <c r="T1538" s="29"/>
      <c r="U1538" s="29"/>
      <c r="V1538" s="9"/>
      <c r="W1538" s="9"/>
      <c r="X1538" s="17"/>
      <c r="Y1538" s="13"/>
      <c r="Z1538" s="13"/>
      <c r="AC1538" s="24"/>
      <c r="AD1538" s="24"/>
    </row>
    <row r="1539" spans="4:30" x14ac:dyDescent="0.25">
      <c r="D1539" s="3"/>
      <c r="E1539" s="15"/>
      <c r="F1539" s="15"/>
      <c r="G1539" s="15"/>
      <c r="H1539" s="15"/>
      <c r="I1539" s="15"/>
      <c r="K1539" s="29"/>
      <c r="L1539" s="29"/>
      <c r="M1539" s="29"/>
      <c r="N1539" s="29"/>
      <c r="O1539" s="29"/>
      <c r="P1539" s="29"/>
      <c r="Q1539" s="29"/>
      <c r="R1539" s="29"/>
      <c r="S1539" s="29"/>
      <c r="T1539" s="29"/>
      <c r="U1539" s="29"/>
      <c r="V1539" s="9"/>
      <c r="W1539" s="9"/>
      <c r="X1539" s="17"/>
      <c r="Y1539" s="13"/>
      <c r="Z1539" s="13"/>
      <c r="AC1539" s="24"/>
      <c r="AD1539" s="24"/>
    </row>
    <row r="1540" spans="4:30" x14ac:dyDescent="0.25">
      <c r="D1540" s="3"/>
      <c r="E1540" s="15"/>
      <c r="F1540" s="15"/>
      <c r="G1540" s="15"/>
      <c r="H1540" s="15"/>
      <c r="I1540" s="15"/>
      <c r="K1540" s="29"/>
      <c r="L1540" s="29"/>
      <c r="M1540" s="29"/>
      <c r="N1540" s="29"/>
      <c r="O1540" s="29"/>
      <c r="P1540" s="29"/>
      <c r="Q1540" s="29"/>
      <c r="R1540" s="29"/>
      <c r="S1540" s="29"/>
      <c r="T1540" s="29"/>
      <c r="U1540" s="29"/>
      <c r="V1540" s="9"/>
      <c r="W1540" s="9"/>
      <c r="X1540" s="17"/>
      <c r="Y1540" s="13"/>
      <c r="Z1540" s="13"/>
      <c r="AC1540" s="24"/>
      <c r="AD1540" s="24"/>
    </row>
    <row r="1541" spans="4:30" x14ac:dyDescent="0.25">
      <c r="D1541" s="3"/>
      <c r="E1541" s="15"/>
      <c r="F1541" s="15"/>
      <c r="G1541" s="15"/>
      <c r="H1541" s="15"/>
      <c r="I1541" s="15"/>
      <c r="K1541" s="29"/>
      <c r="L1541" s="29"/>
      <c r="M1541" s="29"/>
      <c r="N1541" s="29"/>
      <c r="O1541" s="29"/>
      <c r="P1541" s="29"/>
      <c r="Q1541" s="29"/>
      <c r="R1541" s="29"/>
      <c r="S1541" s="29"/>
      <c r="T1541" s="29"/>
      <c r="U1541" s="29"/>
      <c r="V1541" s="9"/>
      <c r="W1541" s="9"/>
      <c r="X1541" s="17"/>
      <c r="Y1541" s="13"/>
      <c r="Z1541" s="13"/>
      <c r="AC1541" s="24"/>
      <c r="AD1541" s="24"/>
    </row>
    <row r="1542" spans="4:30" x14ac:dyDescent="0.25">
      <c r="D1542" s="3"/>
      <c r="E1542" s="15"/>
      <c r="F1542" s="15"/>
      <c r="G1542" s="15"/>
      <c r="H1542" s="15"/>
      <c r="I1542" s="15"/>
      <c r="K1542" s="29"/>
      <c r="L1542" s="29"/>
      <c r="M1542" s="29"/>
      <c r="N1542" s="29"/>
      <c r="O1542" s="29"/>
      <c r="P1542" s="29"/>
      <c r="Q1542" s="29"/>
      <c r="R1542" s="29"/>
      <c r="S1542" s="29"/>
      <c r="T1542" s="29"/>
      <c r="U1542" s="29"/>
      <c r="V1542" s="9"/>
      <c r="W1542" s="9"/>
      <c r="X1542" s="17"/>
      <c r="Y1542" s="13"/>
      <c r="Z1542" s="13"/>
      <c r="AC1542" s="24"/>
      <c r="AD1542" s="24"/>
    </row>
    <row r="1543" spans="4:30" x14ac:dyDescent="0.25">
      <c r="D1543" s="3"/>
      <c r="E1543" s="15"/>
      <c r="F1543" s="15"/>
      <c r="G1543" s="15"/>
      <c r="H1543" s="15"/>
      <c r="I1543" s="15"/>
      <c r="K1543" s="29"/>
      <c r="L1543" s="29"/>
      <c r="M1543" s="29"/>
      <c r="N1543" s="29"/>
      <c r="O1543" s="29"/>
      <c r="P1543" s="29"/>
      <c r="Q1543" s="29"/>
      <c r="R1543" s="29"/>
      <c r="S1543" s="29"/>
      <c r="T1543" s="29"/>
      <c r="U1543" s="29"/>
      <c r="V1543" s="9"/>
      <c r="W1543" s="9"/>
      <c r="X1543" s="17"/>
      <c r="Y1543" s="13"/>
      <c r="Z1543" s="13"/>
      <c r="AC1543" s="24"/>
      <c r="AD1543" s="24"/>
    </row>
    <row r="1544" spans="4:30" x14ac:dyDescent="0.25">
      <c r="D1544" s="3"/>
      <c r="E1544" s="15"/>
      <c r="F1544" s="15"/>
      <c r="G1544" s="15"/>
      <c r="H1544" s="15"/>
      <c r="I1544" s="15"/>
      <c r="K1544" s="29"/>
      <c r="L1544" s="29"/>
      <c r="M1544" s="29"/>
      <c r="N1544" s="29"/>
      <c r="O1544" s="29"/>
      <c r="P1544" s="29"/>
      <c r="Q1544" s="29"/>
      <c r="R1544" s="29"/>
      <c r="S1544" s="29"/>
      <c r="T1544" s="29"/>
      <c r="U1544" s="29"/>
      <c r="V1544" s="9"/>
      <c r="W1544" s="9"/>
      <c r="X1544" s="17"/>
      <c r="Y1544" s="13"/>
      <c r="Z1544" s="13"/>
      <c r="AC1544" s="24"/>
      <c r="AD1544" s="24"/>
    </row>
    <row r="1545" spans="4:30" x14ac:dyDescent="0.25">
      <c r="D1545" s="3"/>
      <c r="E1545" s="15"/>
      <c r="F1545" s="15"/>
      <c r="G1545" s="15"/>
      <c r="H1545" s="15"/>
      <c r="I1545" s="15"/>
      <c r="K1545" s="29"/>
      <c r="L1545" s="29"/>
      <c r="M1545" s="29"/>
      <c r="N1545" s="29"/>
      <c r="O1545" s="29"/>
      <c r="P1545" s="29"/>
      <c r="Q1545" s="29"/>
      <c r="R1545" s="29"/>
      <c r="S1545" s="29"/>
      <c r="T1545" s="29"/>
      <c r="U1545" s="29"/>
      <c r="V1545" s="9"/>
      <c r="W1545" s="9"/>
      <c r="X1545" s="17"/>
      <c r="Y1545" s="13"/>
      <c r="Z1545" s="13"/>
      <c r="AC1545" s="24"/>
      <c r="AD1545" s="24"/>
    </row>
    <row r="1546" spans="4:30" x14ac:dyDescent="0.25">
      <c r="D1546" s="3"/>
      <c r="E1546" s="15"/>
      <c r="F1546" s="15"/>
      <c r="G1546" s="15"/>
      <c r="H1546" s="15"/>
      <c r="I1546" s="15"/>
      <c r="K1546" s="29"/>
      <c r="L1546" s="29"/>
      <c r="M1546" s="29"/>
      <c r="N1546" s="29"/>
      <c r="O1546" s="29"/>
      <c r="P1546" s="29"/>
      <c r="Q1546" s="29"/>
      <c r="R1546" s="29"/>
      <c r="S1546" s="29"/>
      <c r="T1546" s="29"/>
      <c r="U1546" s="29"/>
      <c r="V1546" s="9"/>
      <c r="W1546" s="9"/>
      <c r="X1546" s="17"/>
      <c r="Y1546" s="13"/>
      <c r="Z1546" s="13"/>
      <c r="AC1546" s="24"/>
      <c r="AD1546" s="24"/>
    </row>
    <row r="1547" spans="4:30" x14ac:dyDescent="0.25">
      <c r="D1547" s="3"/>
      <c r="E1547" s="15"/>
      <c r="F1547" s="15"/>
      <c r="G1547" s="15"/>
      <c r="H1547" s="15"/>
      <c r="I1547" s="15"/>
      <c r="K1547" s="29"/>
      <c r="L1547" s="29"/>
      <c r="M1547" s="29"/>
      <c r="N1547" s="29"/>
      <c r="O1547" s="29"/>
      <c r="P1547" s="29"/>
      <c r="Q1547" s="29"/>
      <c r="R1547" s="29"/>
      <c r="S1547" s="29"/>
      <c r="T1547" s="29"/>
      <c r="U1547" s="29"/>
      <c r="V1547" s="9"/>
      <c r="W1547" s="9"/>
      <c r="X1547" s="17"/>
      <c r="Y1547" s="13"/>
      <c r="Z1547" s="13"/>
      <c r="AC1547" s="24"/>
      <c r="AD1547" s="24"/>
    </row>
    <row r="1548" spans="4:30" x14ac:dyDescent="0.25">
      <c r="D1548" s="3"/>
      <c r="E1548" s="15"/>
      <c r="F1548" s="15"/>
      <c r="G1548" s="15"/>
      <c r="H1548" s="15"/>
      <c r="I1548" s="15"/>
      <c r="K1548" s="29"/>
      <c r="L1548" s="29"/>
      <c r="M1548" s="29"/>
      <c r="N1548" s="29"/>
      <c r="O1548" s="29"/>
      <c r="P1548" s="29"/>
      <c r="Q1548" s="29"/>
      <c r="R1548" s="29"/>
      <c r="S1548" s="29"/>
      <c r="T1548" s="29"/>
      <c r="U1548" s="29"/>
      <c r="V1548" s="9"/>
      <c r="W1548" s="9"/>
      <c r="X1548" s="17"/>
      <c r="Y1548" s="13"/>
      <c r="Z1548" s="13"/>
      <c r="AC1548" s="24"/>
      <c r="AD1548" s="24"/>
    </row>
    <row r="1549" spans="4:30" x14ac:dyDescent="0.25">
      <c r="D1549" s="3"/>
      <c r="E1549" s="15"/>
      <c r="F1549" s="15"/>
      <c r="G1549" s="15"/>
      <c r="H1549" s="15"/>
      <c r="I1549" s="15"/>
      <c r="K1549" s="29"/>
      <c r="L1549" s="29"/>
      <c r="M1549" s="29"/>
      <c r="N1549" s="29"/>
      <c r="O1549" s="29"/>
      <c r="P1549" s="29"/>
      <c r="Q1549" s="29"/>
      <c r="R1549" s="29"/>
      <c r="S1549" s="29"/>
      <c r="T1549" s="29"/>
      <c r="U1549" s="29"/>
      <c r="V1549" s="9"/>
      <c r="W1549" s="9"/>
      <c r="X1549" s="17"/>
      <c r="Y1549" s="13"/>
      <c r="Z1549" s="13"/>
      <c r="AC1549" s="24"/>
      <c r="AD1549" s="24"/>
    </row>
    <row r="1550" spans="4:30" x14ac:dyDescent="0.25">
      <c r="D1550" s="3"/>
      <c r="E1550" s="15"/>
      <c r="F1550" s="15"/>
      <c r="G1550" s="15"/>
      <c r="H1550" s="15"/>
      <c r="I1550" s="15"/>
      <c r="K1550" s="29"/>
      <c r="L1550" s="29"/>
      <c r="M1550" s="29"/>
      <c r="N1550" s="29"/>
      <c r="O1550" s="29"/>
      <c r="P1550" s="29"/>
      <c r="Q1550" s="29"/>
      <c r="R1550" s="29"/>
      <c r="S1550" s="29"/>
      <c r="T1550" s="29"/>
      <c r="U1550" s="29"/>
      <c r="V1550" s="9"/>
      <c r="W1550" s="9"/>
      <c r="X1550" s="17"/>
      <c r="Y1550" s="13"/>
      <c r="Z1550" s="13"/>
      <c r="AC1550" s="24"/>
      <c r="AD1550" s="24"/>
    </row>
    <row r="1551" spans="4:30" x14ac:dyDescent="0.25">
      <c r="D1551" s="3"/>
      <c r="E1551" s="15"/>
      <c r="F1551" s="15"/>
      <c r="G1551" s="15"/>
      <c r="H1551" s="15"/>
      <c r="I1551" s="15"/>
      <c r="K1551" s="29"/>
      <c r="L1551" s="29"/>
      <c r="M1551" s="29"/>
      <c r="N1551" s="29"/>
      <c r="O1551" s="29"/>
      <c r="P1551" s="29"/>
      <c r="Q1551" s="29"/>
      <c r="R1551" s="29"/>
      <c r="S1551" s="29"/>
      <c r="T1551" s="29"/>
      <c r="U1551" s="29"/>
      <c r="V1551" s="9"/>
      <c r="W1551" s="9"/>
      <c r="X1551" s="17"/>
      <c r="Y1551" s="13"/>
      <c r="Z1551" s="13"/>
      <c r="AC1551" s="24"/>
      <c r="AD1551" s="24"/>
    </row>
    <row r="1552" spans="4:30" x14ac:dyDescent="0.25">
      <c r="D1552" s="3"/>
      <c r="E1552" s="15"/>
      <c r="F1552" s="15"/>
      <c r="G1552" s="15"/>
      <c r="H1552" s="15"/>
      <c r="I1552" s="15"/>
      <c r="K1552" s="29"/>
      <c r="L1552" s="29"/>
      <c r="M1552" s="29"/>
      <c r="N1552" s="29"/>
      <c r="O1552" s="29"/>
      <c r="P1552" s="29"/>
      <c r="Q1552" s="29"/>
      <c r="R1552" s="29"/>
      <c r="S1552" s="29"/>
      <c r="T1552" s="29"/>
      <c r="U1552" s="29"/>
      <c r="V1552" s="9"/>
      <c r="W1552" s="9"/>
      <c r="X1552" s="17"/>
      <c r="Y1552" s="13"/>
      <c r="Z1552" s="13"/>
      <c r="AC1552" s="24"/>
      <c r="AD1552" s="24"/>
    </row>
    <row r="1553" spans="4:30" x14ac:dyDescent="0.25">
      <c r="D1553" s="3"/>
      <c r="E1553" s="15"/>
      <c r="F1553" s="15"/>
      <c r="G1553" s="15"/>
      <c r="H1553" s="15"/>
      <c r="I1553" s="15"/>
      <c r="K1553" s="29"/>
      <c r="L1553" s="29"/>
      <c r="M1553" s="29"/>
      <c r="N1553" s="29"/>
      <c r="O1553" s="29"/>
      <c r="P1553" s="29"/>
      <c r="Q1553" s="29"/>
      <c r="R1553" s="29"/>
      <c r="S1553" s="29"/>
      <c r="T1553" s="29"/>
      <c r="U1553" s="29"/>
      <c r="V1553" s="9"/>
      <c r="W1553" s="9"/>
      <c r="X1553" s="17"/>
      <c r="Y1553" s="13"/>
      <c r="Z1553" s="13"/>
      <c r="AC1553" s="24"/>
      <c r="AD1553" s="24"/>
    </row>
    <row r="1554" spans="4:30" x14ac:dyDescent="0.25">
      <c r="D1554" s="3"/>
      <c r="E1554" s="15"/>
      <c r="F1554" s="15"/>
      <c r="G1554" s="15"/>
      <c r="H1554" s="15"/>
      <c r="I1554" s="15"/>
      <c r="K1554" s="29"/>
      <c r="L1554" s="29"/>
      <c r="M1554" s="29"/>
      <c r="N1554" s="29"/>
      <c r="O1554" s="29"/>
      <c r="P1554" s="29"/>
      <c r="Q1554" s="29"/>
      <c r="R1554" s="29"/>
      <c r="S1554" s="29"/>
      <c r="T1554" s="29"/>
      <c r="U1554" s="29"/>
      <c r="V1554" s="9"/>
      <c r="W1554" s="9"/>
      <c r="X1554" s="17"/>
      <c r="Y1554" s="13"/>
      <c r="Z1554" s="13"/>
      <c r="AC1554" s="24"/>
      <c r="AD1554" s="24"/>
    </row>
    <row r="1555" spans="4:30" x14ac:dyDescent="0.25">
      <c r="D1555" s="3"/>
      <c r="E1555" s="15"/>
      <c r="F1555" s="15"/>
      <c r="G1555" s="15"/>
      <c r="H1555" s="15"/>
      <c r="I1555" s="15"/>
      <c r="K1555" s="29"/>
      <c r="L1555" s="29"/>
      <c r="M1555" s="29"/>
      <c r="N1555" s="29"/>
      <c r="O1555" s="29"/>
      <c r="P1555" s="29"/>
      <c r="Q1555" s="29"/>
      <c r="R1555" s="29"/>
      <c r="S1555" s="29"/>
      <c r="T1555" s="29"/>
      <c r="U1555" s="29"/>
      <c r="V1555" s="9"/>
      <c r="W1555" s="9"/>
      <c r="X1555" s="17"/>
      <c r="Y1555" s="13"/>
      <c r="Z1555" s="13"/>
      <c r="AC1555" s="24"/>
      <c r="AD1555" s="24"/>
    </row>
    <row r="1556" spans="4:30" x14ac:dyDescent="0.25">
      <c r="D1556" s="3"/>
      <c r="E1556" s="15"/>
      <c r="F1556" s="15"/>
      <c r="G1556" s="15"/>
      <c r="H1556" s="15"/>
      <c r="I1556" s="15"/>
      <c r="K1556" s="29"/>
      <c r="L1556" s="29"/>
      <c r="M1556" s="29"/>
      <c r="N1556" s="29"/>
      <c r="O1556" s="29"/>
      <c r="P1556" s="29"/>
      <c r="Q1556" s="29"/>
      <c r="R1556" s="29"/>
      <c r="S1556" s="29"/>
      <c r="T1556" s="29"/>
      <c r="U1556" s="29"/>
      <c r="V1556" s="9"/>
      <c r="W1556" s="9"/>
      <c r="X1556" s="17"/>
      <c r="Y1556" s="13"/>
      <c r="Z1556" s="13"/>
      <c r="AC1556" s="24"/>
      <c r="AD1556" s="24"/>
    </row>
    <row r="1557" spans="4:30" x14ac:dyDescent="0.25">
      <c r="D1557" s="3"/>
      <c r="E1557" s="15"/>
      <c r="F1557" s="15"/>
      <c r="G1557" s="15"/>
      <c r="H1557" s="15"/>
      <c r="I1557" s="15"/>
      <c r="K1557" s="29"/>
      <c r="L1557" s="29"/>
      <c r="M1557" s="29"/>
      <c r="N1557" s="29"/>
      <c r="O1557" s="29"/>
      <c r="P1557" s="29"/>
      <c r="Q1557" s="29"/>
      <c r="R1557" s="29"/>
      <c r="S1557" s="29"/>
      <c r="T1557" s="29"/>
      <c r="U1557" s="29"/>
      <c r="V1557" s="9"/>
      <c r="W1557" s="9"/>
      <c r="X1557" s="17"/>
      <c r="Y1557" s="13"/>
      <c r="Z1557" s="13"/>
      <c r="AC1557" s="24"/>
      <c r="AD1557" s="24"/>
    </row>
    <row r="1558" spans="4:30" x14ac:dyDescent="0.25">
      <c r="D1558" s="3"/>
      <c r="E1558" s="15"/>
      <c r="F1558" s="15"/>
      <c r="G1558" s="15"/>
      <c r="H1558" s="15"/>
      <c r="I1558" s="15"/>
      <c r="K1558" s="29"/>
      <c r="L1558" s="29"/>
      <c r="M1558" s="29"/>
      <c r="N1558" s="29"/>
      <c r="O1558" s="29"/>
      <c r="P1558" s="29"/>
      <c r="Q1558" s="29"/>
      <c r="R1558" s="29"/>
      <c r="S1558" s="29"/>
      <c r="T1558" s="29"/>
      <c r="U1558" s="29"/>
      <c r="V1558" s="9"/>
      <c r="W1558" s="9"/>
      <c r="X1558" s="17"/>
      <c r="Y1558" s="13"/>
      <c r="Z1558" s="13"/>
      <c r="AC1558" s="24"/>
      <c r="AD1558" s="24"/>
    </row>
    <row r="1559" spans="4:30" x14ac:dyDescent="0.25">
      <c r="D1559" s="3"/>
      <c r="E1559" s="15"/>
      <c r="F1559" s="15"/>
      <c r="G1559" s="15"/>
      <c r="H1559" s="15"/>
      <c r="I1559" s="15"/>
      <c r="K1559" s="29"/>
      <c r="L1559" s="29"/>
      <c r="M1559" s="29"/>
      <c r="N1559" s="29"/>
      <c r="O1559" s="29"/>
      <c r="P1559" s="29"/>
      <c r="Q1559" s="29"/>
      <c r="R1559" s="29"/>
      <c r="S1559" s="29"/>
      <c r="T1559" s="29"/>
      <c r="U1559" s="29"/>
      <c r="V1559" s="9"/>
      <c r="W1559" s="9"/>
      <c r="X1559" s="17"/>
      <c r="Y1559" s="13"/>
      <c r="Z1559" s="13"/>
      <c r="AC1559" s="24"/>
      <c r="AD1559" s="24"/>
    </row>
    <row r="1560" spans="4:30" x14ac:dyDescent="0.25">
      <c r="D1560" s="3"/>
      <c r="E1560" s="15"/>
      <c r="F1560" s="15"/>
      <c r="G1560" s="15"/>
      <c r="H1560" s="15"/>
      <c r="I1560" s="15"/>
      <c r="K1560" s="29"/>
      <c r="L1560" s="29"/>
      <c r="M1560" s="29"/>
      <c r="N1560" s="29"/>
      <c r="O1560" s="29"/>
      <c r="P1560" s="29"/>
      <c r="Q1560" s="29"/>
      <c r="R1560" s="29"/>
      <c r="S1560" s="29"/>
      <c r="T1560" s="29"/>
      <c r="U1560" s="29"/>
      <c r="V1560" s="9"/>
      <c r="W1560" s="9"/>
      <c r="X1560" s="17"/>
      <c r="Y1560" s="13"/>
      <c r="Z1560" s="13"/>
      <c r="AC1560" s="24"/>
      <c r="AD1560" s="24"/>
    </row>
    <row r="1561" spans="4:30" x14ac:dyDescent="0.25">
      <c r="D1561" s="3"/>
      <c r="E1561" s="15"/>
      <c r="F1561" s="15"/>
      <c r="G1561" s="15"/>
      <c r="H1561" s="15"/>
      <c r="I1561" s="15"/>
      <c r="K1561" s="29"/>
      <c r="L1561" s="29"/>
      <c r="M1561" s="29"/>
      <c r="N1561" s="29"/>
      <c r="O1561" s="29"/>
      <c r="P1561" s="29"/>
      <c r="Q1561" s="29"/>
      <c r="R1561" s="29"/>
      <c r="S1561" s="29"/>
      <c r="T1561" s="29"/>
      <c r="U1561" s="29"/>
      <c r="V1561" s="9"/>
      <c r="W1561" s="9"/>
      <c r="X1561" s="17"/>
      <c r="Y1561" s="13"/>
      <c r="Z1561" s="13"/>
      <c r="AC1561" s="24"/>
      <c r="AD1561" s="24"/>
    </row>
    <row r="1562" spans="4:30" x14ac:dyDescent="0.25">
      <c r="D1562" s="3"/>
      <c r="E1562" s="15"/>
      <c r="F1562" s="15"/>
      <c r="G1562" s="15"/>
      <c r="H1562" s="15"/>
      <c r="I1562" s="15"/>
      <c r="K1562" s="29"/>
      <c r="L1562" s="29"/>
      <c r="M1562" s="29"/>
      <c r="N1562" s="29"/>
      <c r="O1562" s="29"/>
      <c r="P1562" s="29"/>
      <c r="Q1562" s="29"/>
      <c r="R1562" s="29"/>
      <c r="S1562" s="29"/>
      <c r="T1562" s="29"/>
      <c r="U1562" s="29"/>
      <c r="V1562" s="9"/>
      <c r="W1562" s="9"/>
      <c r="X1562" s="17"/>
      <c r="Y1562" s="13"/>
      <c r="Z1562" s="13"/>
      <c r="AC1562" s="24"/>
      <c r="AD1562" s="24"/>
    </row>
    <row r="1563" spans="4:30" x14ac:dyDescent="0.25">
      <c r="D1563" s="3"/>
      <c r="E1563" s="15"/>
      <c r="F1563" s="15"/>
      <c r="G1563" s="15"/>
      <c r="H1563" s="15"/>
      <c r="I1563" s="15"/>
      <c r="K1563" s="29"/>
      <c r="L1563" s="29"/>
      <c r="M1563" s="29"/>
      <c r="N1563" s="29"/>
      <c r="O1563" s="29"/>
      <c r="P1563" s="29"/>
      <c r="Q1563" s="29"/>
      <c r="R1563" s="29"/>
      <c r="S1563" s="29"/>
      <c r="T1563" s="29"/>
      <c r="U1563" s="29"/>
      <c r="V1563" s="9"/>
      <c r="W1563" s="9"/>
      <c r="X1563" s="17"/>
      <c r="Y1563" s="13"/>
      <c r="Z1563" s="13"/>
      <c r="AC1563" s="24"/>
      <c r="AD1563" s="24"/>
    </row>
    <row r="1564" spans="4:30" x14ac:dyDescent="0.25">
      <c r="D1564" s="3"/>
      <c r="E1564" s="15"/>
      <c r="F1564" s="15"/>
      <c r="G1564" s="15"/>
      <c r="H1564" s="15"/>
      <c r="I1564" s="15"/>
      <c r="K1564" s="29"/>
      <c r="L1564" s="29"/>
      <c r="M1564" s="29"/>
      <c r="N1564" s="29"/>
      <c r="O1564" s="29"/>
      <c r="P1564" s="29"/>
      <c r="Q1564" s="29"/>
      <c r="R1564" s="29"/>
      <c r="S1564" s="29"/>
      <c r="T1564" s="29"/>
      <c r="U1564" s="29"/>
      <c r="V1564" s="9"/>
      <c r="W1564" s="9"/>
      <c r="X1564" s="17"/>
      <c r="Y1564" s="13"/>
      <c r="Z1564" s="13"/>
      <c r="AC1564" s="24"/>
      <c r="AD1564" s="24"/>
    </row>
    <row r="1565" spans="4:30" x14ac:dyDescent="0.25">
      <c r="D1565" s="3"/>
      <c r="E1565" s="15"/>
      <c r="F1565" s="15"/>
      <c r="G1565" s="15"/>
      <c r="H1565" s="15"/>
      <c r="I1565" s="15"/>
      <c r="K1565" s="29"/>
      <c r="L1565" s="29"/>
      <c r="M1565" s="29"/>
      <c r="N1565" s="29"/>
      <c r="O1565" s="29"/>
      <c r="P1565" s="29"/>
      <c r="Q1565" s="29"/>
      <c r="R1565" s="29"/>
      <c r="S1565" s="29"/>
      <c r="T1565" s="29"/>
      <c r="U1565" s="29"/>
      <c r="V1565" s="9"/>
      <c r="W1565" s="9"/>
      <c r="X1565" s="17"/>
      <c r="Y1565" s="13"/>
      <c r="Z1565" s="13"/>
      <c r="AC1565" s="24"/>
      <c r="AD1565" s="24"/>
    </row>
    <row r="1566" spans="4:30" x14ac:dyDescent="0.25">
      <c r="D1566" s="3"/>
      <c r="E1566" s="15"/>
      <c r="F1566" s="15"/>
      <c r="G1566" s="15"/>
      <c r="H1566" s="15"/>
      <c r="I1566" s="15"/>
      <c r="K1566" s="29"/>
      <c r="L1566" s="29"/>
      <c r="M1566" s="29"/>
      <c r="N1566" s="29"/>
      <c r="O1566" s="29"/>
      <c r="P1566" s="29"/>
      <c r="Q1566" s="29"/>
      <c r="R1566" s="29"/>
      <c r="S1566" s="29"/>
      <c r="T1566" s="29"/>
      <c r="U1566" s="29"/>
      <c r="V1566" s="9"/>
      <c r="W1566" s="9"/>
      <c r="X1566" s="17"/>
      <c r="Y1566" s="13"/>
      <c r="Z1566" s="13"/>
      <c r="AC1566" s="24"/>
      <c r="AD1566" s="24"/>
    </row>
    <row r="1567" spans="4:30" x14ac:dyDescent="0.25">
      <c r="D1567" s="3"/>
      <c r="E1567" s="15"/>
      <c r="F1567" s="15"/>
      <c r="G1567" s="15"/>
      <c r="H1567" s="15"/>
      <c r="I1567" s="15"/>
      <c r="K1567" s="29"/>
      <c r="L1567" s="29"/>
      <c r="M1567" s="29"/>
      <c r="N1567" s="29"/>
      <c r="O1567" s="29"/>
      <c r="P1567" s="29"/>
      <c r="Q1567" s="29"/>
      <c r="R1567" s="29"/>
      <c r="S1567" s="29"/>
      <c r="T1567" s="29"/>
      <c r="U1567" s="29"/>
      <c r="V1567" s="9"/>
      <c r="W1567" s="9"/>
      <c r="X1567" s="17"/>
      <c r="Y1567" s="13"/>
      <c r="Z1567" s="13"/>
      <c r="AC1567" s="24"/>
      <c r="AD1567" s="24"/>
    </row>
    <row r="1568" spans="4:30" x14ac:dyDescent="0.25">
      <c r="D1568" s="3"/>
      <c r="E1568" s="15"/>
      <c r="F1568" s="15"/>
      <c r="G1568" s="15"/>
      <c r="H1568" s="15"/>
      <c r="I1568" s="15"/>
      <c r="K1568" s="29"/>
      <c r="L1568" s="29"/>
      <c r="M1568" s="29"/>
      <c r="N1568" s="29"/>
      <c r="O1568" s="29"/>
      <c r="P1568" s="29"/>
      <c r="Q1568" s="29"/>
      <c r="R1568" s="29"/>
      <c r="S1568" s="29"/>
      <c r="T1568" s="29"/>
      <c r="U1568" s="29"/>
      <c r="V1568" s="9"/>
      <c r="W1568" s="9"/>
      <c r="X1568" s="17"/>
      <c r="Y1568" s="13"/>
      <c r="Z1568" s="13"/>
      <c r="AC1568" s="24"/>
      <c r="AD1568" s="24"/>
    </row>
    <row r="1569" spans="4:30" x14ac:dyDescent="0.25">
      <c r="D1569" s="3"/>
      <c r="E1569" s="15"/>
      <c r="F1569" s="15"/>
      <c r="G1569" s="15"/>
      <c r="H1569" s="15"/>
      <c r="I1569" s="15"/>
      <c r="K1569" s="29"/>
      <c r="L1569" s="29"/>
      <c r="M1569" s="29"/>
      <c r="N1569" s="29"/>
      <c r="O1569" s="29"/>
      <c r="P1569" s="29"/>
      <c r="Q1569" s="29"/>
      <c r="R1569" s="29"/>
      <c r="S1569" s="29"/>
      <c r="T1569" s="29"/>
      <c r="U1569" s="29"/>
      <c r="V1569" s="9"/>
      <c r="W1569" s="9"/>
      <c r="X1569" s="17"/>
      <c r="Y1569" s="13"/>
      <c r="Z1569" s="13"/>
      <c r="AC1569" s="24"/>
      <c r="AD1569" s="24"/>
    </row>
    <row r="1570" spans="4:30" x14ac:dyDescent="0.25">
      <c r="D1570" s="3"/>
      <c r="E1570" s="15"/>
      <c r="F1570" s="15"/>
      <c r="G1570" s="15"/>
      <c r="H1570" s="15"/>
      <c r="I1570" s="15"/>
      <c r="K1570" s="29"/>
      <c r="L1570" s="29"/>
      <c r="M1570" s="29"/>
      <c r="N1570" s="29"/>
      <c r="O1570" s="29"/>
      <c r="P1570" s="29"/>
      <c r="Q1570" s="29"/>
      <c r="R1570" s="29"/>
      <c r="S1570" s="29"/>
      <c r="T1570" s="29"/>
      <c r="U1570" s="29"/>
      <c r="V1570" s="9"/>
      <c r="W1570" s="9"/>
      <c r="X1570" s="17"/>
      <c r="Y1570" s="13"/>
      <c r="Z1570" s="13"/>
      <c r="AC1570" s="24"/>
      <c r="AD1570" s="24"/>
    </row>
    <row r="1571" spans="4:30" x14ac:dyDescent="0.25">
      <c r="D1571" s="3"/>
      <c r="E1571" s="15"/>
      <c r="F1571" s="15"/>
      <c r="G1571" s="15"/>
      <c r="H1571" s="15"/>
      <c r="I1571" s="15"/>
      <c r="K1571" s="29"/>
      <c r="L1571" s="29"/>
      <c r="M1571" s="29"/>
      <c r="N1571" s="29"/>
      <c r="O1571" s="29"/>
      <c r="P1571" s="29"/>
      <c r="Q1571" s="29"/>
      <c r="R1571" s="29"/>
      <c r="S1571" s="29"/>
      <c r="T1571" s="29"/>
      <c r="U1571" s="29"/>
      <c r="V1571" s="9"/>
      <c r="W1571" s="9"/>
      <c r="X1571" s="17"/>
      <c r="Y1571" s="13"/>
      <c r="Z1571" s="13"/>
      <c r="AC1571" s="24"/>
      <c r="AD1571" s="24"/>
    </row>
    <row r="1572" spans="4:30" x14ac:dyDescent="0.25">
      <c r="D1572" s="3"/>
      <c r="E1572" s="15"/>
      <c r="F1572" s="15"/>
      <c r="G1572" s="15"/>
      <c r="H1572" s="15"/>
      <c r="I1572" s="15"/>
      <c r="K1572" s="29"/>
      <c r="L1572" s="29"/>
      <c r="M1572" s="29"/>
      <c r="N1572" s="29"/>
      <c r="O1572" s="29"/>
      <c r="P1572" s="29"/>
      <c r="Q1572" s="29"/>
      <c r="R1572" s="29"/>
      <c r="S1572" s="29"/>
      <c r="T1572" s="29"/>
      <c r="U1572" s="29"/>
      <c r="V1572" s="9"/>
      <c r="W1572" s="9"/>
      <c r="X1572" s="17"/>
      <c r="Y1572" s="13"/>
      <c r="Z1572" s="13"/>
      <c r="AC1572" s="24"/>
      <c r="AD1572" s="24"/>
    </row>
    <row r="1573" spans="4:30" x14ac:dyDescent="0.25">
      <c r="D1573" s="3"/>
      <c r="E1573" s="15"/>
      <c r="F1573" s="15"/>
      <c r="G1573" s="15"/>
      <c r="H1573" s="15"/>
      <c r="I1573" s="15"/>
      <c r="K1573" s="29"/>
      <c r="L1573" s="29"/>
      <c r="M1573" s="29"/>
      <c r="N1573" s="29"/>
      <c r="O1573" s="29"/>
      <c r="P1573" s="29"/>
      <c r="Q1573" s="29"/>
      <c r="R1573" s="29"/>
      <c r="S1573" s="29"/>
      <c r="T1573" s="29"/>
      <c r="U1573" s="29"/>
      <c r="V1573" s="9"/>
      <c r="W1573" s="9"/>
      <c r="X1573" s="17"/>
      <c r="Y1573" s="13"/>
      <c r="Z1573" s="13"/>
      <c r="AC1573" s="24"/>
      <c r="AD1573" s="24"/>
    </row>
    <row r="1574" spans="4:30" x14ac:dyDescent="0.25">
      <c r="D1574" s="3"/>
      <c r="E1574" s="15"/>
      <c r="F1574" s="15"/>
      <c r="G1574" s="15"/>
      <c r="H1574" s="15"/>
      <c r="I1574" s="15"/>
      <c r="K1574" s="29"/>
      <c r="L1574" s="29"/>
      <c r="M1574" s="29"/>
      <c r="N1574" s="29"/>
      <c r="O1574" s="29"/>
      <c r="P1574" s="29"/>
      <c r="Q1574" s="29"/>
      <c r="R1574" s="29"/>
      <c r="S1574" s="29"/>
      <c r="T1574" s="29"/>
      <c r="U1574" s="29"/>
      <c r="V1574" s="9"/>
      <c r="W1574" s="9"/>
      <c r="X1574" s="17"/>
      <c r="Y1574" s="13"/>
      <c r="Z1574" s="13"/>
      <c r="AC1574" s="24"/>
      <c r="AD1574" s="24"/>
    </row>
    <row r="1575" spans="4:30" x14ac:dyDescent="0.25">
      <c r="D1575" s="3"/>
      <c r="E1575" s="15"/>
      <c r="F1575" s="15"/>
      <c r="G1575" s="15"/>
      <c r="H1575" s="15"/>
      <c r="I1575" s="15"/>
      <c r="K1575" s="29"/>
      <c r="L1575" s="29"/>
      <c r="M1575" s="29"/>
      <c r="N1575" s="29"/>
      <c r="O1575" s="29"/>
      <c r="P1575" s="29"/>
      <c r="Q1575" s="29"/>
      <c r="R1575" s="29"/>
      <c r="S1575" s="29"/>
      <c r="T1575" s="29"/>
      <c r="U1575" s="29"/>
      <c r="V1575" s="9"/>
      <c r="W1575" s="9"/>
      <c r="X1575" s="17"/>
      <c r="Y1575" s="13"/>
      <c r="Z1575" s="13"/>
      <c r="AC1575" s="24"/>
      <c r="AD1575" s="24"/>
    </row>
    <row r="1576" spans="4:30" x14ac:dyDescent="0.25">
      <c r="D1576" s="3"/>
      <c r="E1576" s="15"/>
      <c r="F1576" s="15"/>
      <c r="G1576" s="15"/>
      <c r="H1576" s="15"/>
      <c r="I1576" s="15"/>
      <c r="K1576" s="29"/>
      <c r="L1576" s="29"/>
      <c r="M1576" s="29"/>
      <c r="N1576" s="29"/>
      <c r="O1576" s="29"/>
      <c r="P1576" s="29"/>
      <c r="Q1576" s="29"/>
      <c r="R1576" s="29"/>
      <c r="S1576" s="29"/>
      <c r="T1576" s="29"/>
      <c r="U1576" s="29"/>
      <c r="V1576" s="9"/>
      <c r="W1576" s="9"/>
      <c r="X1576" s="17"/>
      <c r="Y1576" s="13"/>
      <c r="Z1576" s="13"/>
      <c r="AC1576" s="24"/>
      <c r="AD1576" s="24"/>
    </row>
    <row r="1577" spans="4:30" x14ac:dyDescent="0.25">
      <c r="D1577" s="3"/>
      <c r="E1577" s="15"/>
      <c r="F1577" s="15"/>
      <c r="G1577" s="15"/>
      <c r="H1577" s="15"/>
      <c r="I1577" s="15"/>
      <c r="K1577" s="29"/>
      <c r="L1577" s="29"/>
      <c r="M1577" s="29"/>
      <c r="N1577" s="29"/>
      <c r="O1577" s="29"/>
      <c r="P1577" s="29"/>
      <c r="Q1577" s="29"/>
      <c r="R1577" s="29"/>
      <c r="S1577" s="29"/>
      <c r="T1577" s="29"/>
      <c r="U1577" s="29"/>
      <c r="V1577" s="9"/>
      <c r="W1577" s="9"/>
      <c r="X1577" s="17"/>
      <c r="Y1577" s="13"/>
      <c r="Z1577" s="13"/>
      <c r="AC1577" s="24"/>
      <c r="AD1577" s="24"/>
    </row>
    <row r="1578" spans="4:30" x14ac:dyDescent="0.25">
      <c r="D1578" s="3"/>
      <c r="E1578" s="15"/>
      <c r="F1578" s="15"/>
      <c r="G1578" s="15"/>
      <c r="H1578" s="15"/>
      <c r="I1578" s="15"/>
      <c r="K1578" s="29"/>
      <c r="L1578" s="29"/>
      <c r="M1578" s="29"/>
      <c r="N1578" s="29"/>
      <c r="O1578" s="29"/>
      <c r="P1578" s="29"/>
      <c r="Q1578" s="29"/>
      <c r="R1578" s="29"/>
      <c r="S1578" s="29"/>
      <c r="T1578" s="29"/>
      <c r="U1578" s="29"/>
      <c r="V1578" s="9"/>
      <c r="W1578" s="9"/>
      <c r="X1578" s="17"/>
      <c r="Y1578" s="13"/>
      <c r="Z1578" s="13"/>
      <c r="AC1578" s="24"/>
      <c r="AD1578" s="24"/>
    </row>
    <row r="1579" spans="4:30" x14ac:dyDescent="0.25">
      <c r="D1579" s="3"/>
      <c r="E1579" s="15"/>
      <c r="F1579" s="15"/>
      <c r="G1579" s="15"/>
      <c r="H1579" s="15"/>
      <c r="I1579" s="15"/>
      <c r="K1579" s="29"/>
      <c r="L1579" s="29"/>
      <c r="M1579" s="29"/>
      <c r="N1579" s="29"/>
      <c r="O1579" s="29"/>
      <c r="P1579" s="29"/>
      <c r="Q1579" s="29"/>
      <c r="R1579" s="29"/>
      <c r="S1579" s="29"/>
      <c r="T1579" s="29"/>
      <c r="U1579" s="29"/>
      <c r="V1579" s="9"/>
      <c r="W1579" s="9"/>
      <c r="X1579" s="17"/>
      <c r="Y1579" s="13"/>
      <c r="Z1579" s="13"/>
      <c r="AC1579" s="24"/>
      <c r="AD1579" s="24"/>
    </row>
    <row r="1580" spans="4:30" x14ac:dyDescent="0.25">
      <c r="D1580" s="3"/>
      <c r="E1580" s="15"/>
      <c r="F1580" s="15"/>
      <c r="G1580" s="15"/>
      <c r="H1580" s="15"/>
      <c r="I1580" s="15"/>
      <c r="K1580" s="29"/>
      <c r="L1580" s="29"/>
      <c r="M1580" s="29"/>
      <c r="N1580" s="29"/>
      <c r="O1580" s="29"/>
      <c r="P1580" s="29"/>
      <c r="Q1580" s="29"/>
      <c r="R1580" s="29"/>
      <c r="S1580" s="29"/>
      <c r="T1580" s="29"/>
      <c r="U1580" s="29"/>
      <c r="V1580" s="9"/>
      <c r="W1580" s="9"/>
      <c r="X1580" s="17"/>
      <c r="Y1580" s="13"/>
      <c r="Z1580" s="13"/>
      <c r="AC1580" s="24"/>
      <c r="AD1580" s="24"/>
    </row>
    <row r="1581" spans="4:30" x14ac:dyDescent="0.25">
      <c r="D1581" s="3"/>
      <c r="E1581" s="15"/>
      <c r="F1581" s="15"/>
      <c r="G1581" s="15"/>
      <c r="H1581" s="15"/>
      <c r="I1581" s="15"/>
      <c r="K1581" s="29"/>
      <c r="L1581" s="29"/>
      <c r="M1581" s="29"/>
      <c r="N1581" s="29"/>
      <c r="O1581" s="29"/>
      <c r="P1581" s="29"/>
      <c r="Q1581" s="29"/>
      <c r="R1581" s="29"/>
      <c r="S1581" s="29"/>
      <c r="T1581" s="29"/>
      <c r="U1581" s="29"/>
      <c r="V1581" s="9"/>
      <c r="W1581" s="9"/>
      <c r="X1581" s="17"/>
      <c r="Y1581" s="13"/>
      <c r="Z1581" s="13"/>
      <c r="AC1581" s="24"/>
      <c r="AD1581" s="24"/>
    </row>
    <row r="1582" spans="4:30" x14ac:dyDescent="0.25">
      <c r="D1582" s="3"/>
      <c r="E1582" s="15"/>
      <c r="F1582" s="15"/>
      <c r="G1582" s="15"/>
      <c r="H1582" s="15"/>
      <c r="I1582" s="15"/>
      <c r="K1582" s="29"/>
      <c r="L1582" s="29"/>
      <c r="M1582" s="29"/>
      <c r="N1582" s="29"/>
      <c r="O1582" s="29"/>
      <c r="P1582" s="29"/>
      <c r="Q1582" s="29"/>
      <c r="R1582" s="29"/>
      <c r="S1582" s="29"/>
      <c r="T1582" s="29"/>
      <c r="U1582" s="29"/>
      <c r="V1582" s="9"/>
      <c r="W1582" s="9"/>
      <c r="X1582" s="17"/>
      <c r="Y1582" s="13"/>
      <c r="Z1582" s="13"/>
      <c r="AC1582" s="24"/>
      <c r="AD1582" s="24"/>
    </row>
    <row r="1583" spans="4:30" x14ac:dyDescent="0.25">
      <c r="D1583" s="3"/>
      <c r="E1583" s="15"/>
      <c r="F1583" s="15"/>
      <c r="G1583" s="15"/>
      <c r="H1583" s="15"/>
      <c r="I1583" s="15"/>
      <c r="K1583" s="29"/>
      <c r="L1583" s="29"/>
      <c r="M1583" s="29"/>
      <c r="N1583" s="29"/>
      <c r="O1583" s="29"/>
      <c r="P1583" s="29"/>
      <c r="Q1583" s="29"/>
      <c r="R1583" s="29"/>
      <c r="S1583" s="29"/>
      <c r="T1583" s="29"/>
      <c r="U1583" s="29"/>
      <c r="V1583" s="9"/>
      <c r="W1583" s="9"/>
      <c r="X1583" s="17"/>
      <c r="Y1583" s="13"/>
      <c r="Z1583" s="13"/>
      <c r="AC1583" s="24"/>
      <c r="AD1583" s="24"/>
    </row>
    <row r="1584" spans="4:30" x14ac:dyDescent="0.25">
      <c r="D1584" s="3"/>
      <c r="E1584" s="15"/>
      <c r="F1584" s="15"/>
      <c r="G1584" s="15"/>
      <c r="H1584" s="15"/>
      <c r="I1584" s="15"/>
      <c r="K1584" s="29"/>
      <c r="L1584" s="29"/>
      <c r="M1584" s="29"/>
      <c r="N1584" s="29"/>
      <c r="O1584" s="29"/>
      <c r="P1584" s="29"/>
      <c r="Q1584" s="29"/>
      <c r="R1584" s="29"/>
      <c r="S1584" s="29"/>
      <c r="T1584" s="29"/>
      <c r="U1584" s="29"/>
      <c r="V1584" s="9"/>
      <c r="W1584" s="9"/>
      <c r="X1584" s="17"/>
      <c r="Y1584" s="13"/>
      <c r="Z1584" s="13"/>
      <c r="AC1584" s="24"/>
      <c r="AD1584" s="24"/>
    </row>
    <row r="1585" spans="4:30" x14ac:dyDescent="0.25">
      <c r="D1585" s="3"/>
      <c r="E1585" s="15"/>
      <c r="F1585" s="15"/>
      <c r="G1585" s="15"/>
      <c r="H1585" s="15"/>
      <c r="I1585" s="15"/>
      <c r="K1585" s="29"/>
      <c r="L1585" s="29"/>
      <c r="M1585" s="29"/>
      <c r="N1585" s="29"/>
      <c r="O1585" s="29"/>
      <c r="P1585" s="29"/>
      <c r="Q1585" s="29"/>
      <c r="R1585" s="29"/>
      <c r="S1585" s="29"/>
      <c r="T1585" s="29"/>
      <c r="U1585" s="29"/>
      <c r="V1585" s="9"/>
      <c r="W1585" s="9"/>
      <c r="X1585" s="17"/>
      <c r="Y1585" s="13"/>
      <c r="Z1585" s="13"/>
      <c r="AC1585" s="24"/>
      <c r="AD1585" s="24"/>
    </row>
    <row r="1586" spans="4:30" x14ac:dyDescent="0.25">
      <c r="D1586" s="3"/>
      <c r="E1586" s="15"/>
      <c r="F1586" s="15"/>
      <c r="G1586" s="15"/>
      <c r="H1586" s="15"/>
      <c r="I1586" s="15"/>
      <c r="K1586" s="29"/>
      <c r="L1586" s="29"/>
      <c r="M1586" s="29"/>
      <c r="N1586" s="29"/>
      <c r="O1586" s="29"/>
      <c r="P1586" s="29"/>
      <c r="Q1586" s="29"/>
      <c r="R1586" s="29"/>
      <c r="S1586" s="29"/>
      <c r="T1586" s="29"/>
      <c r="U1586" s="29"/>
      <c r="V1586" s="9"/>
      <c r="W1586" s="9"/>
      <c r="X1586" s="17"/>
      <c r="Y1586" s="13"/>
      <c r="Z1586" s="13"/>
      <c r="AC1586" s="24"/>
      <c r="AD1586" s="24"/>
    </row>
    <row r="1587" spans="4:30" x14ac:dyDescent="0.25">
      <c r="D1587" s="3"/>
      <c r="E1587" s="15"/>
      <c r="F1587" s="15"/>
      <c r="G1587" s="15"/>
      <c r="H1587" s="15"/>
      <c r="I1587" s="15"/>
      <c r="K1587" s="29"/>
      <c r="L1587" s="29"/>
      <c r="M1587" s="29"/>
      <c r="N1587" s="29"/>
      <c r="O1587" s="29"/>
      <c r="P1587" s="29"/>
      <c r="Q1587" s="29"/>
      <c r="R1587" s="29"/>
      <c r="S1587" s="29"/>
      <c r="T1587" s="29"/>
      <c r="U1587" s="29"/>
      <c r="V1587" s="9"/>
      <c r="W1587" s="9"/>
      <c r="X1587" s="17"/>
      <c r="Y1587" s="13"/>
      <c r="Z1587" s="13"/>
      <c r="AC1587" s="24"/>
      <c r="AD1587" s="24"/>
    </row>
    <row r="1588" spans="4:30" x14ac:dyDescent="0.25">
      <c r="D1588" s="3"/>
      <c r="E1588" s="15"/>
      <c r="F1588" s="15"/>
      <c r="G1588" s="15"/>
      <c r="H1588" s="15"/>
      <c r="I1588" s="15"/>
      <c r="K1588" s="29"/>
      <c r="L1588" s="29"/>
      <c r="M1588" s="29"/>
      <c r="N1588" s="29"/>
      <c r="O1588" s="29"/>
      <c r="P1588" s="29"/>
      <c r="Q1588" s="29"/>
      <c r="R1588" s="29"/>
      <c r="S1588" s="29"/>
      <c r="T1588" s="29"/>
      <c r="U1588" s="29"/>
      <c r="V1588" s="9"/>
      <c r="W1588" s="9"/>
      <c r="X1588" s="17"/>
      <c r="Y1588" s="13"/>
      <c r="Z1588" s="13"/>
      <c r="AC1588" s="24"/>
      <c r="AD1588" s="24"/>
    </row>
    <row r="1589" spans="4:30" x14ac:dyDescent="0.25">
      <c r="D1589" s="3"/>
      <c r="E1589" s="15"/>
      <c r="F1589" s="15"/>
      <c r="G1589" s="15"/>
      <c r="H1589" s="15"/>
      <c r="I1589" s="15"/>
      <c r="K1589" s="29"/>
      <c r="L1589" s="29"/>
      <c r="M1589" s="29"/>
      <c r="N1589" s="29"/>
      <c r="O1589" s="29"/>
      <c r="P1589" s="29"/>
      <c r="Q1589" s="29"/>
      <c r="R1589" s="29"/>
      <c r="S1589" s="29"/>
      <c r="T1589" s="29"/>
      <c r="U1589" s="29"/>
      <c r="V1589" s="9"/>
      <c r="W1589" s="9"/>
      <c r="X1589" s="17"/>
      <c r="Y1589" s="13"/>
      <c r="Z1589" s="13"/>
      <c r="AC1589" s="24"/>
      <c r="AD1589" s="24"/>
    </row>
    <row r="1590" spans="4:30" x14ac:dyDescent="0.25">
      <c r="D1590" s="3"/>
      <c r="E1590" s="15"/>
      <c r="F1590" s="15"/>
      <c r="G1590" s="15"/>
      <c r="H1590" s="15"/>
      <c r="I1590" s="15"/>
      <c r="K1590" s="29"/>
      <c r="L1590" s="29"/>
      <c r="M1590" s="29"/>
      <c r="N1590" s="29"/>
      <c r="O1590" s="29"/>
      <c r="P1590" s="29"/>
      <c r="Q1590" s="29"/>
      <c r="R1590" s="29"/>
      <c r="S1590" s="29"/>
      <c r="T1590" s="29"/>
      <c r="U1590" s="29"/>
      <c r="V1590" s="9"/>
      <c r="W1590" s="9"/>
      <c r="X1590" s="17"/>
      <c r="Y1590" s="13"/>
      <c r="Z1590" s="13"/>
      <c r="AC1590" s="24"/>
      <c r="AD1590" s="24"/>
    </row>
    <row r="1591" spans="4:30" x14ac:dyDescent="0.25">
      <c r="D1591" s="3"/>
      <c r="E1591" s="15"/>
      <c r="F1591" s="15"/>
      <c r="G1591" s="15"/>
      <c r="H1591" s="15"/>
      <c r="I1591" s="15"/>
      <c r="K1591" s="29"/>
      <c r="L1591" s="29"/>
      <c r="M1591" s="29"/>
      <c r="N1591" s="29"/>
      <c r="O1591" s="29"/>
      <c r="P1591" s="29"/>
      <c r="Q1591" s="29"/>
      <c r="R1591" s="29"/>
      <c r="S1591" s="29"/>
      <c r="T1591" s="29"/>
      <c r="U1591" s="29"/>
      <c r="V1591" s="9"/>
      <c r="W1591" s="9"/>
      <c r="X1591" s="17"/>
      <c r="Y1591" s="13"/>
      <c r="Z1591" s="13"/>
      <c r="AC1591" s="24"/>
      <c r="AD1591" s="24"/>
    </row>
    <row r="1592" spans="4:30" x14ac:dyDescent="0.25">
      <c r="D1592" s="3"/>
      <c r="E1592" s="15"/>
      <c r="F1592" s="15"/>
      <c r="G1592" s="15"/>
      <c r="H1592" s="15"/>
      <c r="I1592" s="15"/>
      <c r="K1592" s="29"/>
      <c r="L1592" s="29"/>
      <c r="M1592" s="29"/>
      <c r="N1592" s="29"/>
      <c r="O1592" s="29"/>
      <c r="P1592" s="29"/>
      <c r="Q1592" s="29"/>
      <c r="R1592" s="29"/>
      <c r="S1592" s="29"/>
      <c r="T1592" s="29"/>
      <c r="U1592" s="29"/>
      <c r="V1592" s="9"/>
      <c r="W1592" s="9"/>
      <c r="X1592" s="17"/>
      <c r="Y1592" s="13"/>
      <c r="Z1592" s="13"/>
      <c r="AC1592" s="24"/>
      <c r="AD1592" s="24"/>
    </row>
    <row r="1593" spans="4:30" x14ac:dyDescent="0.25">
      <c r="D1593" s="3"/>
      <c r="E1593" s="15"/>
      <c r="F1593" s="15"/>
      <c r="G1593" s="15"/>
      <c r="H1593" s="15"/>
      <c r="I1593" s="15"/>
      <c r="K1593" s="29"/>
      <c r="L1593" s="29"/>
      <c r="M1593" s="29"/>
      <c r="N1593" s="29"/>
      <c r="O1593" s="29"/>
      <c r="P1593" s="29"/>
      <c r="Q1593" s="29"/>
      <c r="R1593" s="29"/>
      <c r="S1593" s="29"/>
      <c r="T1593" s="29"/>
      <c r="U1593" s="29"/>
      <c r="V1593" s="9"/>
      <c r="W1593" s="9"/>
      <c r="X1593" s="17"/>
      <c r="Y1593" s="13"/>
      <c r="Z1593" s="13"/>
      <c r="AC1593" s="24"/>
      <c r="AD1593" s="24"/>
    </row>
    <row r="1594" spans="4:30" x14ac:dyDescent="0.25">
      <c r="D1594" s="3"/>
      <c r="E1594" s="15"/>
      <c r="F1594" s="15"/>
      <c r="G1594" s="15"/>
      <c r="H1594" s="15"/>
      <c r="I1594" s="15"/>
      <c r="K1594" s="29"/>
      <c r="L1594" s="29"/>
      <c r="M1594" s="29"/>
      <c r="N1594" s="29"/>
      <c r="O1594" s="29"/>
      <c r="P1594" s="29"/>
      <c r="Q1594" s="29"/>
      <c r="R1594" s="29"/>
      <c r="S1594" s="29"/>
      <c r="T1594" s="29"/>
      <c r="U1594" s="29"/>
      <c r="V1594" s="9"/>
      <c r="W1594" s="9"/>
      <c r="X1594" s="17"/>
      <c r="Y1594" s="13"/>
      <c r="Z1594" s="13"/>
      <c r="AC1594" s="24"/>
      <c r="AD1594" s="24"/>
    </row>
    <row r="1595" spans="4:30" x14ac:dyDescent="0.25">
      <c r="D1595" s="3"/>
      <c r="E1595" s="15"/>
      <c r="F1595" s="15"/>
      <c r="G1595" s="15"/>
      <c r="H1595" s="15"/>
      <c r="I1595" s="15"/>
      <c r="K1595" s="29"/>
      <c r="L1595" s="29"/>
      <c r="M1595" s="29"/>
      <c r="N1595" s="29"/>
      <c r="O1595" s="29"/>
      <c r="P1595" s="29"/>
      <c r="Q1595" s="29"/>
      <c r="R1595" s="29"/>
      <c r="S1595" s="29"/>
      <c r="T1595" s="29"/>
      <c r="U1595" s="29"/>
      <c r="V1595" s="9"/>
      <c r="W1595" s="9"/>
      <c r="X1595" s="17"/>
      <c r="Y1595" s="13"/>
      <c r="Z1595" s="13"/>
      <c r="AC1595" s="24"/>
      <c r="AD1595" s="24"/>
    </row>
    <row r="1596" spans="4:30" x14ac:dyDescent="0.25">
      <c r="D1596" s="3"/>
      <c r="E1596" s="15"/>
      <c r="F1596" s="15"/>
      <c r="G1596" s="15"/>
      <c r="H1596" s="15"/>
      <c r="I1596" s="15"/>
      <c r="K1596" s="29"/>
      <c r="L1596" s="29"/>
      <c r="M1596" s="29"/>
      <c r="N1596" s="29"/>
      <c r="O1596" s="29"/>
      <c r="P1596" s="29"/>
      <c r="Q1596" s="29"/>
      <c r="R1596" s="29"/>
      <c r="S1596" s="29"/>
      <c r="T1596" s="29"/>
      <c r="U1596" s="29"/>
      <c r="V1596" s="9"/>
      <c r="W1596" s="9"/>
      <c r="X1596" s="17"/>
      <c r="Y1596" s="13"/>
      <c r="Z1596" s="13"/>
      <c r="AC1596" s="24"/>
      <c r="AD1596" s="24"/>
    </row>
    <row r="1597" spans="4:30" x14ac:dyDescent="0.25">
      <c r="D1597" s="3"/>
      <c r="E1597" s="15"/>
      <c r="F1597" s="15"/>
      <c r="G1597" s="15"/>
      <c r="H1597" s="15"/>
      <c r="I1597" s="15"/>
      <c r="K1597" s="29"/>
      <c r="L1597" s="29"/>
      <c r="M1597" s="29"/>
      <c r="N1597" s="29"/>
      <c r="O1597" s="29"/>
      <c r="P1597" s="29"/>
      <c r="Q1597" s="29"/>
      <c r="R1597" s="29"/>
      <c r="S1597" s="29"/>
      <c r="T1597" s="29"/>
      <c r="U1597" s="29"/>
      <c r="V1597" s="9"/>
      <c r="W1597" s="9"/>
      <c r="X1597" s="17"/>
      <c r="Y1597" s="13"/>
      <c r="Z1597" s="13"/>
      <c r="AC1597" s="24"/>
      <c r="AD1597" s="24"/>
    </row>
    <row r="1598" spans="4:30" x14ac:dyDescent="0.25">
      <c r="D1598" s="3"/>
      <c r="E1598" s="15"/>
      <c r="F1598" s="15"/>
      <c r="G1598" s="15"/>
      <c r="H1598" s="15"/>
      <c r="I1598" s="15"/>
      <c r="K1598" s="29"/>
      <c r="L1598" s="29"/>
      <c r="M1598" s="29"/>
      <c r="N1598" s="29"/>
      <c r="O1598" s="29"/>
      <c r="P1598" s="29"/>
      <c r="Q1598" s="29"/>
      <c r="R1598" s="29"/>
      <c r="S1598" s="29"/>
      <c r="T1598" s="29"/>
      <c r="U1598" s="29"/>
      <c r="V1598" s="9"/>
      <c r="W1598" s="9"/>
      <c r="X1598" s="17"/>
      <c r="Y1598" s="13"/>
      <c r="Z1598" s="13"/>
      <c r="AC1598" s="24"/>
      <c r="AD1598" s="24"/>
    </row>
    <row r="1599" spans="4:30" x14ac:dyDescent="0.25">
      <c r="D1599" s="3"/>
      <c r="E1599" s="15"/>
      <c r="F1599" s="15"/>
      <c r="G1599" s="15"/>
      <c r="H1599" s="15"/>
      <c r="I1599" s="15"/>
      <c r="K1599" s="29"/>
      <c r="L1599" s="29"/>
      <c r="M1599" s="29"/>
      <c r="N1599" s="29"/>
      <c r="O1599" s="29"/>
      <c r="P1599" s="29"/>
      <c r="Q1599" s="29"/>
      <c r="R1599" s="29"/>
      <c r="S1599" s="29"/>
      <c r="T1599" s="29"/>
      <c r="U1599" s="29"/>
      <c r="V1599" s="9"/>
      <c r="W1599" s="9"/>
      <c r="X1599" s="17"/>
      <c r="Y1599" s="13"/>
      <c r="Z1599" s="13"/>
      <c r="AC1599" s="24"/>
      <c r="AD1599" s="24"/>
    </row>
    <row r="1600" spans="4:30" x14ac:dyDescent="0.25">
      <c r="D1600" s="3"/>
      <c r="E1600" s="15"/>
      <c r="F1600" s="15"/>
      <c r="G1600" s="15"/>
      <c r="H1600" s="15"/>
      <c r="I1600" s="15"/>
      <c r="K1600" s="29"/>
      <c r="L1600" s="29"/>
      <c r="M1600" s="29"/>
      <c r="N1600" s="29"/>
      <c r="O1600" s="29"/>
      <c r="P1600" s="29"/>
      <c r="Q1600" s="29"/>
      <c r="R1600" s="29"/>
      <c r="S1600" s="29"/>
      <c r="T1600" s="29"/>
      <c r="U1600" s="29"/>
      <c r="V1600" s="9"/>
      <c r="W1600" s="9"/>
      <c r="X1600" s="17"/>
      <c r="Y1600" s="13"/>
      <c r="Z1600" s="13"/>
      <c r="AC1600" s="24"/>
      <c r="AD1600" s="24"/>
    </row>
    <row r="1601" spans="4:30" x14ac:dyDescent="0.25">
      <c r="D1601" s="3"/>
      <c r="E1601" s="15"/>
      <c r="F1601" s="15"/>
      <c r="G1601" s="15"/>
      <c r="H1601" s="15"/>
      <c r="I1601" s="15"/>
      <c r="K1601" s="29"/>
      <c r="L1601" s="29"/>
      <c r="M1601" s="29"/>
      <c r="N1601" s="29"/>
      <c r="O1601" s="29"/>
      <c r="P1601" s="29"/>
      <c r="Q1601" s="29"/>
      <c r="R1601" s="29"/>
      <c r="S1601" s="29"/>
      <c r="T1601" s="29"/>
      <c r="U1601" s="29"/>
      <c r="V1601" s="9"/>
      <c r="W1601" s="9"/>
      <c r="X1601" s="17"/>
      <c r="Y1601" s="13"/>
      <c r="Z1601" s="13"/>
      <c r="AC1601" s="24"/>
      <c r="AD1601" s="24"/>
    </row>
    <row r="1602" spans="4:30" x14ac:dyDescent="0.25">
      <c r="D1602" s="3"/>
      <c r="E1602" s="15"/>
      <c r="F1602" s="15"/>
      <c r="G1602" s="15"/>
      <c r="H1602" s="15"/>
      <c r="I1602" s="15"/>
      <c r="K1602" s="29"/>
      <c r="L1602" s="29"/>
      <c r="M1602" s="29"/>
      <c r="N1602" s="29"/>
      <c r="O1602" s="29"/>
      <c r="P1602" s="29"/>
      <c r="Q1602" s="29"/>
      <c r="R1602" s="29"/>
      <c r="S1602" s="29"/>
      <c r="T1602" s="29"/>
      <c r="U1602" s="29"/>
      <c r="V1602" s="9"/>
      <c r="W1602" s="9"/>
      <c r="X1602" s="17"/>
      <c r="Y1602" s="13"/>
      <c r="Z1602" s="13"/>
      <c r="AC1602" s="24"/>
      <c r="AD1602" s="24"/>
    </row>
    <row r="1603" spans="4:30" x14ac:dyDescent="0.25">
      <c r="D1603" s="3"/>
      <c r="E1603" s="15"/>
      <c r="F1603" s="15"/>
      <c r="G1603" s="15"/>
      <c r="H1603" s="15"/>
      <c r="I1603" s="15"/>
      <c r="K1603" s="29"/>
      <c r="L1603" s="29"/>
      <c r="M1603" s="29"/>
      <c r="N1603" s="29"/>
      <c r="O1603" s="29"/>
      <c r="P1603" s="29"/>
      <c r="Q1603" s="29"/>
      <c r="R1603" s="29"/>
      <c r="S1603" s="29"/>
      <c r="T1603" s="29"/>
      <c r="U1603" s="29"/>
      <c r="V1603" s="9"/>
      <c r="W1603" s="9"/>
      <c r="X1603" s="17"/>
      <c r="Y1603" s="13"/>
      <c r="Z1603" s="13"/>
      <c r="AC1603" s="24"/>
      <c r="AD1603" s="24"/>
    </row>
    <row r="1604" spans="4:30" x14ac:dyDescent="0.25">
      <c r="D1604" s="3"/>
      <c r="E1604" s="15"/>
      <c r="F1604" s="15"/>
      <c r="G1604" s="15"/>
      <c r="H1604" s="15"/>
      <c r="I1604" s="15"/>
      <c r="K1604" s="29"/>
      <c r="L1604" s="29"/>
      <c r="M1604" s="29"/>
      <c r="N1604" s="29"/>
      <c r="O1604" s="29"/>
      <c r="P1604" s="29"/>
      <c r="Q1604" s="29"/>
      <c r="R1604" s="29"/>
      <c r="S1604" s="29"/>
      <c r="T1604" s="29"/>
      <c r="U1604" s="29"/>
      <c r="V1604" s="9"/>
      <c r="W1604" s="9"/>
      <c r="X1604" s="17"/>
      <c r="Y1604" s="13"/>
      <c r="Z1604" s="13"/>
      <c r="AC1604" s="24"/>
      <c r="AD1604" s="24"/>
    </row>
    <row r="1605" spans="4:30" x14ac:dyDescent="0.25">
      <c r="D1605" s="3"/>
      <c r="E1605" s="15"/>
      <c r="F1605" s="15"/>
      <c r="G1605" s="15"/>
      <c r="H1605" s="15"/>
      <c r="I1605" s="15"/>
      <c r="K1605" s="29"/>
      <c r="L1605" s="29"/>
      <c r="M1605" s="29"/>
      <c r="N1605" s="29"/>
      <c r="O1605" s="29"/>
      <c r="P1605" s="29"/>
      <c r="Q1605" s="29"/>
      <c r="R1605" s="29"/>
      <c r="S1605" s="29"/>
      <c r="T1605" s="29"/>
      <c r="U1605" s="29"/>
      <c r="V1605" s="9"/>
      <c r="W1605" s="9"/>
      <c r="X1605" s="17"/>
      <c r="Y1605" s="13"/>
      <c r="Z1605" s="13"/>
      <c r="AC1605" s="24"/>
      <c r="AD1605" s="24"/>
    </row>
    <row r="1606" spans="4:30" x14ac:dyDescent="0.25">
      <c r="D1606" s="3"/>
      <c r="E1606" s="15"/>
      <c r="F1606" s="15"/>
      <c r="G1606" s="15"/>
      <c r="H1606" s="15"/>
      <c r="I1606" s="15"/>
      <c r="K1606" s="29"/>
      <c r="L1606" s="29"/>
      <c r="M1606" s="29"/>
      <c r="N1606" s="29"/>
      <c r="O1606" s="29"/>
      <c r="P1606" s="29"/>
      <c r="Q1606" s="29"/>
      <c r="R1606" s="29"/>
      <c r="S1606" s="29"/>
      <c r="T1606" s="29"/>
      <c r="U1606" s="29"/>
      <c r="V1606" s="9"/>
      <c r="W1606" s="9"/>
      <c r="X1606" s="17"/>
      <c r="Y1606" s="13"/>
      <c r="Z1606" s="13"/>
      <c r="AC1606" s="24"/>
      <c r="AD1606" s="24"/>
    </row>
    <row r="1607" spans="4:30" x14ac:dyDescent="0.25">
      <c r="D1607" s="3"/>
      <c r="E1607" s="15"/>
      <c r="F1607" s="15"/>
      <c r="G1607" s="15"/>
      <c r="H1607" s="15"/>
      <c r="I1607" s="15"/>
      <c r="K1607" s="29"/>
      <c r="L1607" s="29"/>
      <c r="M1607" s="29"/>
      <c r="N1607" s="29"/>
      <c r="O1607" s="29"/>
      <c r="P1607" s="29"/>
      <c r="Q1607" s="29"/>
      <c r="R1607" s="29"/>
      <c r="S1607" s="29"/>
      <c r="T1607" s="29"/>
      <c r="U1607" s="29"/>
      <c r="V1607" s="9"/>
      <c r="W1607" s="9"/>
      <c r="X1607" s="17"/>
      <c r="Y1607" s="13"/>
      <c r="Z1607" s="13"/>
      <c r="AC1607" s="24"/>
      <c r="AD1607" s="24"/>
    </row>
    <row r="1608" spans="4:30" x14ac:dyDescent="0.25">
      <c r="D1608" s="3"/>
      <c r="E1608" s="15"/>
      <c r="F1608" s="15"/>
      <c r="G1608" s="15"/>
      <c r="H1608" s="15"/>
      <c r="I1608" s="15"/>
      <c r="K1608" s="29"/>
      <c r="L1608" s="29"/>
      <c r="M1608" s="29"/>
      <c r="N1608" s="29"/>
      <c r="O1608" s="29"/>
      <c r="P1608" s="29"/>
      <c r="Q1608" s="29"/>
      <c r="R1608" s="29"/>
      <c r="S1608" s="29"/>
      <c r="T1608" s="29"/>
      <c r="U1608" s="29"/>
      <c r="V1608" s="9"/>
      <c r="W1608" s="9"/>
      <c r="X1608" s="17"/>
      <c r="Y1608" s="13"/>
      <c r="Z1608" s="13"/>
      <c r="AC1608" s="24"/>
      <c r="AD1608" s="24"/>
    </row>
    <row r="1609" spans="4:30" x14ac:dyDescent="0.25">
      <c r="D1609" s="3"/>
      <c r="E1609" s="15"/>
      <c r="F1609" s="15"/>
      <c r="G1609" s="15"/>
      <c r="H1609" s="15"/>
      <c r="I1609" s="15"/>
      <c r="K1609" s="29"/>
      <c r="L1609" s="29"/>
      <c r="M1609" s="29"/>
      <c r="N1609" s="29"/>
      <c r="O1609" s="29"/>
      <c r="P1609" s="29"/>
      <c r="Q1609" s="29"/>
      <c r="R1609" s="29"/>
      <c r="S1609" s="29"/>
      <c r="T1609" s="29"/>
      <c r="U1609" s="29"/>
      <c r="V1609" s="9"/>
      <c r="W1609" s="9"/>
      <c r="X1609" s="17"/>
      <c r="Y1609" s="13"/>
      <c r="Z1609" s="13"/>
      <c r="AC1609" s="24"/>
      <c r="AD1609" s="24"/>
    </row>
    <row r="1610" spans="4:30" x14ac:dyDescent="0.25">
      <c r="D1610" s="3"/>
      <c r="E1610" s="15"/>
      <c r="F1610" s="15"/>
      <c r="G1610" s="15"/>
      <c r="H1610" s="15"/>
      <c r="I1610" s="15"/>
      <c r="K1610" s="29"/>
      <c r="L1610" s="29"/>
      <c r="M1610" s="29"/>
      <c r="N1610" s="29"/>
      <c r="O1610" s="29"/>
      <c r="P1610" s="29"/>
      <c r="Q1610" s="29"/>
      <c r="R1610" s="29"/>
      <c r="S1610" s="29"/>
      <c r="T1610" s="29"/>
      <c r="U1610" s="29"/>
      <c r="V1610" s="9"/>
      <c r="W1610" s="9"/>
      <c r="X1610" s="17"/>
      <c r="Y1610" s="13"/>
      <c r="Z1610" s="13"/>
      <c r="AC1610" s="24"/>
      <c r="AD1610" s="24"/>
    </row>
    <row r="1611" spans="4:30" x14ac:dyDescent="0.25">
      <c r="D1611" s="3"/>
      <c r="E1611" s="15"/>
      <c r="F1611" s="15"/>
      <c r="G1611" s="15"/>
      <c r="H1611" s="15"/>
      <c r="I1611" s="15"/>
      <c r="K1611" s="29"/>
      <c r="L1611" s="29"/>
      <c r="M1611" s="29"/>
      <c r="N1611" s="29"/>
      <c r="O1611" s="29"/>
      <c r="P1611" s="29"/>
      <c r="Q1611" s="29"/>
      <c r="R1611" s="29"/>
      <c r="S1611" s="29"/>
      <c r="T1611" s="29"/>
      <c r="U1611" s="29"/>
      <c r="V1611" s="9"/>
      <c r="W1611" s="9"/>
      <c r="X1611" s="17"/>
      <c r="Y1611" s="13"/>
      <c r="Z1611" s="13"/>
      <c r="AC1611" s="24"/>
      <c r="AD1611" s="23"/>
    </row>
    <row r="1612" spans="4:30" x14ac:dyDescent="0.25">
      <c r="D1612" s="3"/>
      <c r="E1612" s="15"/>
      <c r="F1612" s="15"/>
      <c r="G1612" s="15"/>
      <c r="H1612" s="15"/>
      <c r="I1612" s="15"/>
      <c r="K1612" s="29"/>
      <c r="L1612" s="29"/>
      <c r="M1612" s="29"/>
      <c r="N1612" s="29"/>
      <c r="O1612" s="29"/>
      <c r="P1612" s="29"/>
      <c r="Q1612" s="29"/>
      <c r="R1612" s="29"/>
      <c r="S1612" s="29"/>
      <c r="T1612" s="29"/>
      <c r="U1612" s="29"/>
      <c r="V1612" s="9"/>
      <c r="W1612" s="9"/>
      <c r="X1612" s="17"/>
      <c r="Y1612" s="13"/>
      <c r="Z1612" s="13"/>
      <c r="AC1612" s="24"/>
      <c r="AD1612" s="23"/>
    </row>
    <row r="1613" spans="4:30" x14ac:dyDescent="0.25">
      <c r="D1613" s="3"/>
      <c r="E1613" s="15"/>
      <c r="F1613" s="15"/>
      <c r="G1613" s="15"/>
      <c r="H1613" s="15"/>
      <c r="I1613" s="15"/>
      <c r="K1613" s="29"/>
      <c r="L1613" s="29"/>
      <c r="M1613" s="29"/>
      <c r="N1613" s="29"/>
      <c r="O1613" s="29"/>
      <c r="P1613" s="29"/>
      <c r="Q1613" s="29"/>
      <c r="R1613" s="29"/>
      <c r="S1613" s="29"/>
      <c r="T1613" s="29"/>
      <c r="U1613" s="29"/>
      <c r="V1613" s="9"/>
      <c r="W1613" s="9"/>
      <c r="X1613" s="17"/>
      <c r="Y1613" s="13"/>
      <c r="Z1613" s="13"/>
      <c r="AC1613" s="24"/>
      <c r="AD1613" s="23"/>
    </row>
    <row r="1614" spans="4:30" x14ac:dyDescent="0.25">
      <c r="D1614" s="3"/>
      <c r="E1614" s="15"/>
      <c r="F1614" s="15"/>
      <c r="G1614" s="15"/>
      <c r="H1614" s="15"/>
      <c r="I1614" s="15"/>
      <c r="K1614" s="29"/>
      <c r="L1614" s="29"/>
      <c r="M1614" s="29"/>
      <c r="N1614" s="29"/>
      <c r="O1614" s="29"/>
      <c r="P1614" s="29"/>
      <c r="Q1614" s="29"/>
      <c r="R1614" s="29"/>
      <c r="S1614" s="29"/>
      <c r="T1614" s="29"/>
      <c r="U1614" s="29"/>
      <c r="V1614" s="9"/>
      <c r="W1614" s="9"/>
      <c r="X1614" s="17"/>
      <c r="Y1614" s="13"/>
      <c r="Z1614" s="13"/>
      <c r="AC1614" s="24"/>
      <c r="AD1614" s="23"/>
    </row>
    <row r="1615" spans="4:30" x14ac:dyDescent="0.25">
      <c r="D1615" s="3"/>
      <c r="E1615" s="15"/>
      <c r="F1615" s="15"/>
      <c r="G1615" s="15"/>
      <c r="H1615" s="15"/>
      <c r="I1615" s="15"/>
      <c r="K1615" s="29"/>
      <c r="L1615" s="29"/>
      <c r="M1615" s="29"/>
      <c r="N1615" s="29"/>
      <c r="O1615" s="29"/>
      <c r="P1615" s="29"/>
      <c r="Q1615" s="29"/>
      <c r="R1615" s="29"/>
      <c r="S1615" s="29"/>
      <c r="T1615" s="29"/>
      <c r="U1615" s="29"/>
      <c r="V1615" s="9"/>
      <c r="W1615" s="9"/>
      <c r="X1615" s="17"/>
      <c r="Y1615" s="13"/>
      <c r="Z1615" s="13"/>
      <c r="AC1615" s="24"/>
      <c r="AD1615" s="23"/>
    </row>
    <row r="1616" spans="4:30" x14ac:dyDescent="0.25">
      <c r="D1616" s="3"/>
      <c r="E1616" s="15"/>
      <c r="F1616" s="15"/>
      <c r="G1616" s="15"/>
      <c r="H1616" s="15"/>
      <c r="I1616" s="15"/>
      <c r="K1616" s="29"/>
      <c r="L1616" s="29"/>
      <c r="M1616" s="29"/>
      <c r="N1616" s="29"/>
      <c r="O1616" s="29"/>
      <c r="P1616" s="29"/>
      <c r="Q1616" s="29"/>
      <c r="R1616" s="29"/>
      <c r="S1616" s="29"/>
      <c r="T1616" s="29"/>
      <c r="U1616" s="29"/>
      <c r="V1616" s="9"/>
      <c r="W1616" s="9"/>
      <c r="X1616" s="17"/>
      <c r="Y1616" s="13"/>
      <c r="Z1616" s="13"/>
      <c r="AC1616" s="24"/>
      <c r="AD1616" s="23"/>
    </row>
    <row r="1617" spans="4:30" x14ac:dyDescent="0.25">
      <c r="D1617" s="3"/>
      <c r="E1617" s="15"/>
      <c r="F1617" s="15"/>
      <c r="G1617" s="15"/>
      <c r="H1617" s="15"/>
      <c r="I1617" s="15"/>
      <c r="K1617" s="29"/>
      <c r="L1617" s="29"/>
      <c r="M1617" s="29"/>
      <c r="N1617" s="29"/>
      <c r="O1617" s="29"/>
      <c r="P1617" s="29"/>
      <c r="Q1617" s="29"/>
      <c r="R1617" s="29"/>
      <c r="S1617" s="29"/>
      <c r="T1617" s="29"/>
      <c r="U1617" s="29"/>
      <c r="V1617" s="9"/>
      <c r="W1617" s="9"/>
      <c r="X1617" s="17"/>
      <c r="Y1617" s="13"/>
      <c r="Z1617" s="13"/>
      <c r="AC1617" s="24"/>
      <c r="AD1617" s="23"/>
    </row>
    <row r="1618" spans="4:30" x14ac:dyDescent="0.25">
      <c r="D1618" s="3"/>
      <c r="E1618" s="15"/>
      <c r="F1618" s="15"/>
      <c r="G1618" s="15"/>
      <c r="H1618" s="15"/>
      <c r="I1618" s="15"/>
      <c r="K1618" s="29"/>
      <c r="L1618" s="29"/>
      <c r="M1618" s="29"/>
      <c r="N1618" s="29"/>
      <c r="O1618" s="29"/>
      <c r="P1618" s="29"/>
      <c r="Q1618" s="29"/>
      <c r="R1618" s="29"/>
      <c r="S1618" s="29"/>
      <c r="T1618" s="29"/>
      <c r="U1618" s="29"/>
      <c r="V1618" s="9"/>
      <c r="W1618" s="9"/>
      <c r="X1618" s="17"/>
      <c r="Y1618" s="13"/>
      <c r="Z1618" s="13"/>
      <c r="AC1618" s="24"/>
      <c r="AD1618" s="23"/>
    </row>
    <row r="1619" spans="4:30" x14ac:dyDescent="0.25">
      <c r="D1619" s="3"/>
      <c r="E1619" s="15"/>
      <c r="F1619" s="15"/>
      <c r="G1619" s="15"/>
      <c r="H1619" s="15"/>
      <c r="I1619" s="15"/>
      <c r="K1619" s="29"/>
      <c r="L1619" s="29"/>
      <c r="M1619" s="29"/>
      <c r="N1619" s="29"/>
      <c r="O1619" s="29"/>
      <c r="P1619" s="29"/>
      <c r="Q1619" s="29"/>
      <c r="R1619" s="29"/>
      <c r="S1619" s="29"/>
      <c r="T1619" s="29"/>
      <c r="U1619" s="29"/>
      <c r="V1619" s="9"/>
      <c r="W1619" s="9"/>
      <c r="X1619" s="17"/>
      <c r="Y1619" s="13"/>
      <c r="Z1619" s="13"/>
      <c r="AC1619" s="24"/>
      <c r="AD1619" s="23"/>
    </row>
    <row r="1620" spans="4:30" x14ac:dyDescent="0.25">
      <c r="D1620" s="3"/>
      <c r="E1620" s="15"/>
      <c r="F1620" s="15"/>
      <c r="G1620" s="15"/>
      <c r="H1620" s="15"/>
      <c r="I1620" s="15"/>
      <c r="K1620" s="29"/>
      <c r="L1620" s="29"/>
      <c r="M1620" s="29"/>
      <c r="N1620" s="29"/>
      <c r="O1620" s="29"/>
      <c r="P1620" s="29"/>
      <c r="Q1620" s="29"/>
      <c r="R1620" s="29"/>
      <c r="S1620" s="29"/>
      <c r="T1620" s="29"/>
      <c r="U1620" s="29"/>
      <c r="V1620" s="9"/>
      <c r="W1620" s="9"/>
      <c r="X1620" s="17"/>
      <c r="Y1620" s="13"/>
      <c r="Z1620" s="13"/>
      <c r="AC1620" s="24"/>
      <c r="AD1620" s="23"/>
    </row>
    <row r="1621" spans="4:30" x14ac:dyDescent="0.25">
      <c r="D1621" s="3"/>
      <c r="E1621" s="15"/>
      <c r="F1621" s="15"/>
      <c r="G1621" s="15"/>
      <c r="H1621" s="15"/>
      <c r="I1621" s="15"/>
      <c r="K1621" s="29"/>
      <c r="L1621" s="29"/>
      <c r="M1621" s="29"/>
      <c r="N1621" s="29"/>
      <c r="O1621" s="29"/>
      <c r="P1621" s="29"/>
      <c r="Q1621" s="29"/>
      <c r="R1621" s="29"/>
      <c r="S1621" s="29"/>
      <c r="T1621" s="29"/>
      <c r="U1621" s="29"/>
      <c r="V1621" s="9"/>
      <c r="W1621" s="9"/>
      <c r="X1621" s="17"/>
      <c r="Y1621" s="13"/>
      <c r="Z1621" s="13"/>
      <c r="AC1621" s="24"/>
      <c r="AD1621" s="23"/>
    </row>
    <row r="1622" spans="4:30" x14ac:dyDescent="0.25">
      <c r="D1622" s="3"/>
      <c r="E1622" s="15"/>
      <c r="F1622" s="15"/>
      <c r="G1622" s="15"/>
      <c r="H1622" s="15"/>
      <c r="I1622" s="15"/>
      <c r="K1622" s="29"/>
      <c r="L1622" s="29"/>
      <c r="M1622" s="29"/>
      <c r="N1622" s="29"/>
      <c r="O1622" s="29"/>
      <c r="P1622" s="29"/>
      <c r="Q1622" s="29"/>
      <c r="R1622" s="29"/>
      <c r="S1622" s="29"/>
      <c r="T1622" s="29"/>
      <c r="U1622" s="29"/>
      <c r="V1622" s="9"/>
      <c r="W1622" s="9"/>
      <c r="X1622" s="17"/>
      <c r="Y1622" s="13"/>
      <c r="Z1622" s="13"/>
      <c r="AC1622" s="24"/>
      <c r="AD1622" s="23"/>
    </row>
    <row r="1623" spans="4:30" x14ac:dyDescent="0.25">
      <c r="D1623" s="3"/>
      <c r="E1623" s="15"/>
      <c r="F1623" s="15"/>
      <c r="G1623" s="15"/>
      <c r="H1623" s="15"/>
      <c r="I1623" s="15"/>
      <c r="J1623" s="9"/>
      <c r="K1623" s="9"/>
      <c r="L1623" s="9"/>
      <c r="M1623" s="9"/>
      <c r="N1623" s="9"/>
      <c r="O1623" s="9"/>
      <c r="P1623" s="9"/>
      <c r="Q1623" s="9"/>
      <c r="R1623" s="9"/>
      <c r="S1623" s="9"/>
      <c r="T1623" s="9"/>
      <c r="U1623" s="9"/>
      <c r="V1623" s="9"/>
      <c r="W1623" s="9"/>
      <c r="X1623" s="17"/>
      <c r="Y1623" s="13"/>
      <c r="Z1623" s="13"/>
      <c r="AC1623" s="24"/>
      <c r="AD1623" s="23"/>
    </row>
    <row r="1624" spans="4:30" x14ac:dyDescent="0.25">
      <c r="D1624" s="3"/>
      <c r="E1624" s="15"/>
      <c r="F1624" s="15"/>
      <c r="G1624" s="15"/>
      <c r="H1624" s="15"/>
      <c r="I1624" s="15"/>
      <c r="J1624" s="9"/>
      <c r="K1624" s="9"/>
      <c r="L1624" s="9"/>
      <c r="M1624" s="9"/>
      <c r="N1624" s="9"/>
      <c r="O1624" s="9"/>
      <c r="P1624" s="9"/>
      <c r="Q1624" s="9"/>
      <c r="R1624" s="9"/>
      <c r="S1624" s="9"/>
      <c r="T1624" s="9"/>
      <c r="U1624" s="9"/>
      <c r="V1624" s="9"/>
      <c r="W1624" s="9"/>
      <c r="X1624" s="17"/>
      <c r="Y1624" s="13"/>
      <c r="Z1624" s="13"/>
      <c r="AC1624" s="24"/>
      <c r="AD1624" s="23"/>
    </row>
    <row r="1625" spans="4:30" x14ac:dyDescent="0.25">
      <c r="D1625" s="3"/>
      <c r="E1625" s="15"/>
      <c r="F1625" s="15"/>
      <c r="G1625" s="15"/>
      <c r="H1625" s="15"/>
      <c r="I1625" s="15"/>
      <c r="J1625" s="9"/>
      <c r="K1625" s="9"/>
      <c r="L1625" s="9"/>
      <c r="M1625" s="9"/>
      <c r="N1625" s="9"/>
      <c r="O1625" s="9"/>
      <c r="P1625" s="9"/>
      <c r="Q1625" s="9"/>
      <c r="R1625" s="9"/>
      <c r="S1625" s="9"/>
      <c r="T1625" s="9"/>
      <c r="U1625" s="9"/>
      <c r="V1625" s="9"/>
      <c r="W1625" s="9"/>
      <c r="X1625" s="17"/>
      <c r="Y1625" s="13"/>
      <c r="Z1625" s="13"/>
      <c r="AC1625" s="24"/>
      <c r="AD1625" s="23"/>
    </row>
    <row r="1626" spans="4:30" x14ac:dyDescent="0.25">
      <c r="D1626" s="3"/>
      <c r="E1626" s="15"/>
      <c r="F1626" s="15"/>
      <c r="G1626" s="15"/>
      <c r="H1626" s="15"/>
      <c r="I1626" s="15"/>
      <c r="J1626" s="9"/>
      <c r="K1626" s="9"/>
      <c r="L1626" s="9"/>
      <c r="M1626" s="9"/>
      <c r="N1626" s="9"/>
      <c r="O1626" s="9"/>
      <c r="P1626" s="9"/>
      <c r="Q1626" s="9"/>
      <c r="R1626" s="9"/>
      <c r="S1626" s="9"/>
      <c r="T1626" s="9"/>
      <c r="U1626" s="9"/>
      <c r="V1626" s="9"/>
      <c r="W1626" s="9"/>
      <c r="X1626" s="17"/>
      <c r="Y1626" s="13"/>
      <c r="Z1626" s="13"/>
      <c r="AC1626" s="24"/>
      <c r="AD1626" s="23"/>
    </row>
    <row r="1627" spans="4:30" x14ac:dyDescent="0.25">
      <c r="D1627" s="3"/>
      <c r="E1627" s="15"/>
      <c r="F1627" s="15"/>
      <c r="G1627" s="15"/>
      <c r="H1627" s="15"/>
      <c r="I1627" s="15"/>
      <c r="J1627" s="9"/>
      <c r="K1627" s="9"/>
      <c r="L1627" s="9"/>
      <c r="M1627" s="9"/>
      <c r="N1627" s="9"/>
      <c r="O1627" s="9"/>
      <c r="P1627" s="9"/>
      <c r="Q1627" s="9"/>
      <c r="R1627" s="9"/>
      <c r="S1627" s="9"/>
      <c r="T1627" s="9"/>
      <c r="U1627" s="9"/>
      <c r="V1627" s="9"/>
      <c r="W1627" s="9"/>
      <c r="X1627" s="17"/>
      <c r="Y1627" s="13"/>
      <c r="Z1627" s="13"/>
      <c r="AC1627" s="24"/>
      <c r="AD1627" s="23"/>
    </row>
    <row r="1628" spans="4:30" x14ac:dyDescent="0.25">
      <c r="D1628" s="3"/>
      <c r="E1628" s="15"/>
      <c r="F1628" s="15"/>
      <c r="G1628" s="15"/>
      <c r="H1628" s="15"/>
      <c r="I1628" s="15"/>
      <c r="J1628" s="9"/>
      <c r="K1628" s="9"/>
      <c r="L1628" s="9"/>
      <c r="M1628" s="9"/>
      <c r="N1628" s="9"/>
      <c r="O1628" s="9"/>
      <c r="P1628" s="9"/>
      <c r="Q1628" s="9"/>
      <c r="R1628" s="9"/>
      <c r="S1628" s="9"/>
      <c r="T1628" s="9"/>
      <c r="U1628" s="9"/>
      <c r="V1628" s="9"/>
      <c r="W1628" s="9"/>
      <c r="X1628" s="17"/>
      <c r="Y1628" s="13"/>
      <c r="Z1628" s="13"/>
      <c r="AC1628" s="24"/>
      <c r="AD1628" s="23"/>
    </row>
    <row r="1629" spans="4:30" x14ac:dyDescent="0.25">
      <c r="D1629" s="3"/>
      <c r="E1629" s="15"/>
      <c r="F1629" s="15"/>
      <c r="G1629" s="15"/>
      <c r="H1629" s="15"/>
      <c r="I1629" s="15"/>
      <c r="J1629" s="9"/>
      <c r="K1629" s="9"/>
      <c r="L1629" s="9"/>
      <c r="M1629" s="9"/>
      <c r="N1629" s="9"/>
      <c r="O1629" s="9"/>
      <c r="P1629" s="9"/>
      <c r="Q1629" s="9"/>
      <c r="R1629" s="9"/>
      <c r="S1629" s="9"/>
      <c r="T1629" s="9"/>
      <c r="U1629" s="9"/>
      <c r="V1629" s="9"/>
      <c r="W1629" s="9"/>
      <c r="X1629" s="17"/>
      <c r="Y1629" s="13"/>
      <c r="Z1629" s="13"/>
      <c r="AC1629" s="24"/>
      <c r="AD1629" s="23"/>
    </row>
    <row r="1630" spans="4:30" x14ac:dyDescent="0.25">
      <c r="D1630" s="3"/>
      <c r="E1630" s="15"/>
      <c r="F1630" s="15"/>
      <c r="G1630" s="15"/>
      <c r="H1630" s="15"/>
      <c r="I1630" s="15"/>
      <c r="J1630" s="9"/>
      <c r="K1630" s="9"/>
      <c r="L1630" s="9"/>
      <c r="M1630" s="9"/>
      <c r="N1630" s="9"/>
      <c r="O1630" s="9"/>
      <c r="P1630" s="9"/>
      <c r="Q1630" s="9"/>
      <c r="R1630" s="9"/>
      <c r="S1630" s="9"/>
      <c r="T1630" s="9"/>
      <c r="U1630" s="9"/>
      <c r="V1630" s="9"/>
      <c r="W1630" s="9"/>
      <c r="X1630" s="17"/>
      <c r="Y1630" s="13"/>
      <c r="Z1630" s="13"/>
      <c r="AC1630" s="24"/>
      <c r="AD1630" s="23"/>
    </row>
    <row r="1631" spans="4:30" x14ac:dyDescent="0.25">
      <c r="D1631" s="3"/>
      <c r="E1631" s="15"/>
      <c r="F1631" s="15"/>
      <c r="G1631" s="15"/>
      <c r="H1631" s="15"/>
      <c r="I1631" s="15"/>
      <c r="J1631" s="9"/>
      <c r="K1631" s="9"/>
      <c r="L1631" s="9"/>
      <c r="M1631" s="9"/>
      <c r="N1631" s="9"/>
      <c r="O1631" s="9"/>
      <c r="P1631" s="9"/>
      <c r="Q1631" s="9"/>
      <c r="R1631" s="9"/>
      <c r="S1631" s="9"/>
      <c r="T1631" s="9"/>
      <c r="U1631" s="9"/>
      <c r="V1631" s="9"/>
      <c r="W1631" s="9"/>
      <c r="X1631" s="17"/>
      <c r="Y1631" s="13"/>
      <c r="Z1631" s="13"/>
      <c r="AC1631" s="24"/>
      <c r="AD1631" s="23"/>
    </row>
    <row r="1632" spans="4:30" x14ac:dyDescent="0.25">
      <c r="D1632" s="3"/>
      <c r="E1632" s="15"/>
      <c r="F1632" s="15"/>
      <c r="G1632" s="15"/>
      <c r="H1632" s="15"/>
      <c r="I1632" s="15"/>
      <c r="J1632" s="9"/>
      <c r="K1632" s="9"/>
      <c r="L1632" s="9"/>
      <c r="M1632" s="9"/>
      <c r="N1632" s="9"/>
      <c r="O1632" s="9"/>
      <c r="P1632" s="9"/>
      <c r="Q1632" s="9"/>
      <c r="R1632" s="9"/>
      <c r="S1632" s="9"/>
      <c r="T1632" s="9"/>
      <c r="U1632" s="9"/>
      <c r="V1632" s="9"/>
      <c r="W1632" s="9"/>
      <c r="X1632" s="17"/>
      <c r="Y1632" s="13"/>
      <c r="Z1632" s="13"/>
      <c r="AC1632" s="24"/>
      <c r="AD1632" s="23"/>
    </row>
    <row r="1633" spans="4:30" x14ac:dyDescent="0.25">
      <c r="D1633" s="3"/>
      <c r="E1633" s="15"/>
      <c r="F1633" s="15"/>
      <c r="G1633" s="15"/>
      <c r="H1633" s="15"/>
      <c r="I1633" s="15"/>
      <c r="J1633" s="9"/>
      <c r="K1633" s="9"/>
      <c r="L1633" s="9"/>
      <c r="M1633" s="9"/>
      <c r="N1633" s="9"/>
      <c r="O1633" s="9"/>
      <c r="P1633" s="9"/>
      <c r="Q1633" s="9"/>
      <c r="R1633" s="9"/>
      <c r="S1633" s="9"/>
      <c r="T1633" s="9"/>
      <c r="U1633" s="9"/>
      <c r="V1633" s="9"/>
      <c r="W1633" s="9"/>
      <c r="X1633" s="17"/>
      <c r="Y1633" s="13"/>
      <c r="Z1633" s="13"/>
      <c r="AC1633" s="24"/>
      <c r="AD1633" s="23"/>
    </row>
    <row r="1634" spans="4:30" x14ac:dyDescent="0.25">
      <c r="D1634" s="3"/>
      <c r="E1634" s="15"/>
      <c r="F1634" s="15"/>
      <c r="G1634" s="15"/>
      <c r="H1634" s="15"/>
      <c r="I1634" s="15"/>
      <c r="J1634" s="9"/>
      <c r="K1634" s="9"/>
      <c r="L1634" s="9"/>
      <c r="M1634" s="9"/>
      <c r="N1634" s="9"/>
      <c r="O1634" s="9"/>
      <c r="P1634" s="9"/>
      <c r="Q1634" s="9"/>
      <c r="R1634" s="9"/>
      <c r="S1634" s="9"/>
      <c r="T1634" s="9"/>
      <c r="U1634" s="9"/>
      <c r="V1634" s="9"/>
      <c r="W1634" s="9"/>
      <c r="X1634" s="17"/>
      <c r="Y1634" s="13"/>
      <c r="Z1634" s="13"/>
      <c r="AC1634" s="24"/>
      <c r="AD1634" s="23"/>
    </row>
    <row r="1635" spans="4:30" x14ac:dyDescent="0.25">
      <c r="D1635" s="3"/>
      <c r="E1635" s="15"/>
      <c r="F1635" s="15"/>
      <c r="G1635" s="15"/>
      <c r="H1635" s="15"/>
      <c r="I1635" s="15"/>
      <c r="J1635" s="9"/>
      <c r="K1635" s="9"/>
      <c r="L1635" s="9"/>
      <c r="M1635" s="9"/>
      <c r="N1635" s="9"/>
      <c r="O1635" s="9"/>
      <c r="P1635" s="9"/>
      <c r="Q1635" s="9"/>
      <c r="R1635" s="9"/>
      <c r="S1635" s="9"/>
      <c r="T1635" s="9"/>
      <c r="U1635" s="9"/>
      <c r="V1635" s="9"/>
      <c r="W1635" s="9"/>
      <c r="X1635" s="17"/>
      <c r="Y1635" s="13"/>
      <c r="Z1635" s="13"/>
      <c r="AC1635" s="24"/>
      <c r="AD1635" s="23"/>
    </row>
    <row r="1636" spans="4:30" x14ac:dyDescent="0.25">
      <c r="D1636" s="3"/>
      <c r="E1636" s="15"/>
      <c r="F1636" s="15"/>
      <c r="G1636" s="15"/>
      <c r="H1636" s="15"/>
      <c r="I1636" s="15"/>
      <c r="J1636" s="9"/>
      <c r="K1636" s="9"/>
      <c r="L1636" s="9"/>
      <c r="M1636" s="9"/>
      <c r="N1636" s="9"/>
      <c r="O1636" s="9"/>
      <c r="P1636" s="9"/>
      <c r="Q1636" s="9"/>
      <c r="R1636" s="9"/>
      <c r="S1636" s="9"/>
      <c r="T1636" s="9"/>
      <c r="U1636" s="9"/>
      <c r="V1636" s="9"/>
      <c r="W1636" s="9"/>
      <c r="X1636" s="17"/>
      <c r="Y1636" s="13"/>
      <c r="Z1636" s="13"/>
      <c r="AC1636" s="24"/>
      <c r="AD1636" s="23"/>
    </row>
    <row r="1637" spans="4:30" x14ac:dyDescent="0.25">
      <c r="D1637" s="3"/>
      <c r="E1637" s="15"/>
      <c r="F1637" s="15"/>
      <c r="G1637" s="15"/>
      <c r="H1637" s="15"/>
      <c r="I1637" s="15"/>
      <c r="J1637" s="9"/>
      <c r="K1637" s="9"/>
      <c r="L1637" s="9"/>
      <c r="M1637" s="9"/>
      <c r="N1637" s="9"/>
      <c r="O1637" s="9"/>
      <c r="P1637" s="9"/>
      <c r="Q1637" s="9"/>
      <c r="R1637" s="9"/>
      <c r="S1637" s="9"/>
      <c r="T1637" s="9"/>
      <c r="U1637" s="9"/>
      <c r="V1637" s="9"/>
      <c r="W1637" s="9"/>
      <c r="X1637" s="17"/>
      <c r="Y1637" s="13"/>
      <c r="Z1637" s="13"/>
      <c r="AC1637" s="24"/>
      <c r="AD1637" s="23"/>
    </row>
    <row r="1638" spans="4:30" x14ac:dyDescent="0.25">
      <c r="D1638" s="3"/>
      <c r="E1638" s="15"/>
      <c r="F1638" s="15"/>
      <c r="G1638" s="15"/>
      <c r="H1638" s="15"/>
      <c r="I1638" s="15"/>
      <c r="J1638" s="9"/>
      <c r="K1638" s="9"/>
      <c r="L1638" s="9"/>
      <c r="M1638" s="9"/>
      <c r="N1638" s="9"/>
      <c r="O1638" s="9"/>
      <c r="P1638" s="9"/>
      <c r="Q1638" s="9"/>
      <c r="R1638" s="9"/>
      <c r="S1638" s="9"/>
      <c r="T1638" s="9"/>
      <c r="U1638" s="9"/>
      <c r="V1638" s="9"/>
      <c r="W1638" s="9"/>
      <c r="X1638" s="17"/>
      <c r="Y1638" s="13"/>
      <c r="Z1638" s="13"/>
      <c r="AC1638" s="24"/>
      <c r="AD1638" s="23"/>
    </row>
    <row r="1639" spans="4:30" x14ac:dyDescent="0.25">
      <c r="D1639" s="3"/>
      <c r="E1639" s="15"/>
      <c r="F1639" s="15"/>
      <c r="G1639" s="15"/>
      <c r="H1639" s="15"/>
      <c r="I1639" s="15"/>
      <c r="J1639" s="9"/>
      <c r="K1639" s="9"/>
      <c r="L1639" s="9"/>
      <c r="M1639" s="9"/>
      <c r="N1639" s="9"/>
      <c r="O1639" s="9"/>
      <c r="P1639" s="9"/>
      <c r="Q1639" s="9"/>
      <c r="R1639" s="9"/>
      <c r="S1639" s="9"/>
      <c r="T1639" s="9"/>
      <c r="U1639" s="9"/>
      <c r="V1639" s="9"/>
      <c r="W1639" s="9"/>
      <c r="X1639" s="17"/>
      <c r="Y1639" s="13"/>
      <c r="Z1639" s="13"/>
      <c r="AC1639" s="24"/>
      <c r="AD1639" s="23"/>
    </row>
    <row r="1640" spans="4:30" x14ac:dyDescent="0.25">
      <c r="D1640" s="3"/>
      <c r="E1640" s="15"/>
      <c r="F1640" s="15"/>
      <c r="G1640" s="15"/>
      <c r="H1640" s="15"/>
      <c r="I1640" s="15"/>
      <c r="J1640" s="9"/>
      <c r="K1640" s="9"/>
      <c r="L1640" s="9"/>
      <c r="M1640" s="9"/>
      <c r="N1640" s="9"/>
      <c r="O1640" s="9"/>
      <c r="P1640" s="9"/>
      <c r="Q1640" s="9"/>
      <c r="R1640" s="9"/>
      <c r="S1640" s="9"/>
      <c r="T1640" s="9"/>
      <c r="U1640" s="9"/>
      <c r="V1640" s="9"/>
      <c r="W1640" s="9"/>
      <c r="X1640" s="17"/>
      <c r="Y1640" s="13"/>
      <c r="Z1640" s="13"/>
      <c r="AC1640" s="24"/>
      <c r="AD1640" s="23"/>
    </row>
    <row r="1641" spans="4:30" x14ac:dyDescent="0.25">
      <c r="D1641" s="3"/>
      <c r="E1641" s="15"/>
      <c r="F1641" s="15"/>
      <c r="G1641" s="15"/>
      <c r="H1641" s="15"/>
      <c r="I1641" s="15"/>
      <c r="J1641" s="9"/>
      <c r="K1641" s="9"/>
      <c r="L1641" s="9"/>
      <c r="M1641" s="9"/>
      <c r="N1641" s="9"/>
      <c r="O1641" s="9"/>
      <c r="P1641" s="9"/>
      <c r="Q1641" s="9"/>
      <c r="R1641" s="9"/>
      <c r="S1641" s="9"/>
      <c r="T1641" s="9"/>
      <c r="U1641" s="9"/>
      <c r="V1641" s="9"/>
      <c r="W1641" s="9"/>
      <c r="X1641" s="17"/>
      <c r="Y1641" s="13"/>
      <c r="Z1641" s="13"/>
      <c r="AC1641" s="24"/>
      <c r="AD1641" s="23"/>
    </row>
    <row r="1642" spans="4:30" x14ac:dyDescent="0.25">
      <c r="D1642" s="3"/>
      <c r="E1642" s="15"/>
      <c r="F1642" s="15"/>
      <c r="G1642" s="15"/>
      <c r="H1642" s="15"/>
      <c r="I1642" s="15"/>
      <c r="J1642" s="9"/>
      <c r="K1642" s="9"/>
      <c r="L1642" s="9"/>
      <c r="M1642" s="9"/>
      <c r="N1642" s="9"/>
      <c r="O1642" s="9"/>
      <c r="P1642" s="9"/>
      <c r="Q1642" s="9"/>
      <c r="R1642" s="9"/>
      <c r="S1642" s="9"/>
      <c r="T1642" s="9"/>
      <c r="U1642" s="9"/>
      <c r="V1642" s="9"/>
      <c r="W1642" s="9"/>
      <c r="X1642" s="17"/>
      <c r="Y1642" s="13"/>
      <c r="Z1642" s="13"/>
      <c r="AC1642" s="24"/>
      <c r="AD1642" s="23"/>
    </row>
    <row r="1643" spans="4:30" x14ac:dyDescent="0.25">
      <c r="D1643" s="3"/>
      <c r="E1643" s="15"/>
      <c r="F1643" s="15"/>
      <c r="G1643" s="15"/>
      <c r="H1643" s="15"/>
      <c r="I1643" s="15"/>
      <c r="J1643" s="9"/>
      <c r="K1643" s="9"/>
      <c r="L1643" s="9"/>
      <c r="M1643" s="9"/>
      <c r="N1643" s="9"/>
      <c r="O1643" s="9"/>
      <c r="P1643" s="9"/>
      <c r="Q1643" s="9"/>
      <c r="R1643" s="9"/>
      <c r="S1643" s="9"/>
      <c r="T1643" s="9"/>
      <c r="U1643" s="9"/>
      <c r="V1643" s="9"/>
      <c r="W1643" s="9"/>
      <c r="X1643" s="17"/>
      <c r="Y1643" s="13"/>
      <c r="Z1643" s="13"/>
      <c r="AC1643" s="24"/>
      <c r="AD1643" s="23"/>
    </row>
    <row r="1644" spans="4:30" x14ac:dyDescent="0.25">
      <c r="D1644" s="3"/>
      <c r="E1644" s="15"/>
      <c r="F1644" s="15"/>
      <c r="G1644" s="15"/>
      <c r="H1644" s="15"/>
      <c r="I1644" s="15"/>
      <c r="J1644" s="9"/>
      <c r="K1644" s="9"/>
      <c r="L1644" s="9"/>
      <c r="M1644" s="9"/>
      <c r="N1644" s="9"/>
      <c r="O1644" s="9"/>
      <c r="P1644" s="9"/>
      <c r="Q1644" s="9"/>
      <c r="R1644" s="9"/>
      <c r="S1644" s="9"/>
      <c r="T1644" s="9"/>
      <c r="U1644" s="9"/>
      <c r="V1644" s="9"/>
      <c r="W1644" s="9"/>
      <c r="X1644" s="17"/>
      <c r="Y1644" s="13"/>
      <c r="Z1644" s="13"/>
      <c r="AC1644" s="24"/>
      <c r="AD1644" s="23"/>
    </row>
    <row r="1645" spans="4:30" x14ac:dyDescent="0.25">
      <c r="D1645" s="3"/>
      <c r="E1645" s="15"/>
      <c r="F1645" s="15"/>
      <c r="G1645" s="15"/>
      <c r="H1645" s="15"/>
      <c r="I1645" s="15"/>
      <c r="J1645" s="9"/>
      <c r="K1645" s="9"/>
      <c r="L1645" s="9"/>
      <c r="M1645" s="9"/>
      <c r="N1645" s="9"/>
      <c r="O1645" s="9"/>
      <c r="P1645" s="9"/>
      <c r="Q1645" s="9"/>
      <c r="R1645" s="9"/>
      <c r="S1645" s="9"/>
      <c r="T1645" s="9"/>
      <c r="U1645" s="9"/>
      <c r="V1645" s="9"/>
      <c r="W1645" s="9"/>
      <c r="X1645" s="17"/>
      <c r="Y1645" s="13"/>
      <c r="Z1645" s="13"/>
      <c r="AC1645" s="24"/>
      <c r="AD1645" s="23"/>
    </row>
    <row r="1646" spans="4:30" x14ac:dyDescent="0.25">
      <c r="D1646" s="3"/>
      <c r="E1646" s="15"/>
      <c r="F1646" s="15"/>
      <c r="G1646" s="15"/>
      <c r="H1646" s="15"/>
      <c r="I1646" s="15"/>
      <c r="J1646" s="9"/>
      <c r="K1646" s="9"/>
      <c r="L1646" s="9"/>
      <c r="M1646" s="9"/>
      <c r="N1646" s="9"/>
      <c r="O1646" s="9"/>
      <c r="P1646" s="9"/>
      <c r="Q1646" s="9"/>
      <c r="R1646" s="9"/>
      <c r="S1646" s="9"/>
      <c r="T1646" s="9"/>
      <c r="U1646" s="9"/>
      <c r="V1646" s="9"/>
      <c r="W1646" s="9"/>
      <c r="X1646" s="17"/>
      <c r="Y1646" s="13"/>
      <c r="Z1646" s="13"/>
      <c r="AC1646" s="24"/>
      <c r="AD1646" s="23"/>
    </row>
    <row r="1647" spans="4:30" x14ac:dyDescent="0.25">
      <c r="D1647" s="3"/>
      <c r="E1647" s="15"/>
      <c r="F1647" s="15"/>
      <c r="G1647" s="15"/>
      <c r="H1647" s="15"/>
      <c r="I1647" s="15"/>
      <c r="J1647" s="9"/>
      <c r="K1647" s="9"/>
      <c r="L1647" s="9"/>
      <c r="M1647" s="9"/>
      <c r="N1647" s="9"/>
      <c r="O1647" s="9"/>
      <c r="P1647" s="9"/>
      <c r="Q1647" s="9"/>
      <c r="R1647" s="9"/>
      <c r="S1647" s="9"/>
      <c r="T1647" s="9"/>
      <c r="U1647" s="9"/>
      <c r="V1647" s="9"/>
      <c r="W1647" s="9"/>
      <c r="X1647" s="17"/>
      <c r="Y1647" s="13"/>
      <c r="Z1647" s="13"/>
      <c r="AC1647" s="24"/>
      <c r="AD1647" s="23"/>
    </row>
    <row r="1648" spans="4:30" x14ac:dyDescent="0.25">
      <c r="D1648" s="3"/>
      <c r="E1648" s="15"/>
      <c r="F1648" s="15"/>
      <c r="G1648" s="15"/>
      <c r="H1648" s="15"/>
      <c r="I1648" s="15"/>
      <c r="J1648" s="9"/>
      <c r="K1648" s="9"/>
      <c r="L1648" s="9"/>
      <c r="M1648" s="9"/>
      <c r="N1648" s="9"/>
      <c r="O1648" s="9"/>
      <c r="P1648" s="9"/>
      <c r="Q1648" s="9"/>
      <c r="R1648" s="9"/>
      <c r="S1648" s="9"/>
      <c r="T1648" s="9"/>
      <c r="U1648" s="9"/>
      <c r="V1648" s="9"/>
      <c r="W1648" s="9"/>
      <c r="X1648" s="17"/>
      <c r="Y1648" s="13"/>
      <c r="Z1648" s="13"/>
      <c r="AC1648" s="24"/>
      <c r="AD1648" s="23"/>
    </row>
    <row r="1649" spans="4:30" x14ac:dyDescent="0.25">
      <c r="D1649" s="3"/>
      <c r="E1649" s="15"/>
      <c r="F1649" s="15"/>
      <c r="G1649" s="15"/>
      <c r="H1649" s="15"/>
      <c r="I1649" s="15"/>
      <c r="J1649" s="9"/>
      <c r="K1649" s="9"/>
      <c r="L1649" s="9"/>
      <c r="M1649" s="9"/>
      <c r="N1649" s="9"/>
      <c r="O1649" s="9"/>
      <c r="P1649" s="9"/>
      <c r="Q1649" s="9"/>
      <c r="R1649" s="9"/>
      <c r="S1649" s="9"/>
      <c r="T1649" s="9"/>
      <c r="U1649" s="9"/>
      <c r="V1649" s="9"/>
      <c r="W1649" s="9"/>
      <c r="X1649" s="17"/>
      <c r="Y1649" s="13"/>
      <c r="Z1649" s="13"/>
      <c r="AC1649" s="24"/>
      <c r="AD1649" s="23"/>
    </row>
    <row r="1650" spans="4:30" x14ac:dyDescent="0.25">
      <c r="D1650" s="3"/>
      <c r="E1650" s="15"/>
      <c r="F1650" s="15"/>
      <c r="G1650" s="15"/>
      <c r="H1650" s="15"/>
      <c r="I1650" s="15"/>
      <c r="J1650" s="9"/>
      <c r="K1650" s="9"/>
      <c r="L1650" s="9"/>
      <c r="M1650" s="9"/>
      <c r="N1650" s="9"/>
      <c r="O1650" s="9"/>
      <c r="P1650" s="9"/>
      <c r="Q1650" s="9"/>
      <c r="R1650" s="9"/>
      <c r="S1650" s="9"/>
      <c r="T1650" s="9"/>
      <c r="U1650" s="9"/>
      <c r="V1650" s="9"/>
      <c r="W1650" s="9"/>
      <c r="X1650" s="17"/>
      <c r="Y1650" s="13"/>
      <c r="Z1650" s="13"/>
      <c r="AC1650" s="24"/>
      <c r="AD1650" s="23"/>
    </row>
    <row r="1651" spans="4:30" x14ac:dyDescent="0.25">
      <c r="D1651" s="3"/>
      <c r="E1651" s="15"/>
      <c r="F1651" s="15"/>
      <c r="G1651" s="15"/>
      <c r="H1651" s="15"/>
      <c r="I1651" s="15"/>
      <c r="J1651" s="9"/>
      <c r="K1651" s="9"/>
      <c r="L1651" s="9"/>
      <c r="M1651" s="9"/>
      <c r="N1651" s="9"/>
      <c r="O1651" s="9"/>
      <c r="P1651" s="9"/>
      <c r="Q1651" s="9"/>
      <c r="R1651" s="9"/>
      <c r="S1651" s="9"/>
      <c r="T1651" s="9"/>
      <c r="U1651" s="9"/>
      <c r="V1651" s="9"/>
      <c r="W1651" s="9"/>
      <c r="X1651" s="17"/>
      <c r="Y1651" s="13"/>
      <c r="Z1651" s="13"/>
      <c r="AC1651" s="24"/>
      <c r="AD1651" s="23"/>
    </row>
    <row r="1652" spans="4:30" x14ac:dyDescent="0.25">
      <c r="D1652" s="3"/>
      <c r="E1652" s="15"/>
      <c r="F1652" s="15"/>
      <c r="G1652" s="15"/>
      <c r="H1652" s="15"/>
      <c r="I1652" s="15"/>
      <c r="J1652" s="9"/>
      <c r="K1652" s="9"/>
      <c r="L1652" s="9"/>
      <c r="M1652" s="9"/>
      <c r="N1652" s="9"/>
      <c r="O1652" s="9"/>
      <c r="P1652" s="9"/>
      <c r="Q1652" s="9"/>
      <c r="R1652" s="9"/>
      <c r="S1652" s="9"/>
      <c r="T1652" s="9"/>
      <c r="U1652" s="9"/>
      <c r="V1652" s="9"/>
      <c r="W1652" s="9"/>
      <c r="X1652" s="17"/>
      <c r="Y1652" s="13"/>
      <c r="Z1652" s="13"/>
      <c r="AC1652" s="24"/>
      <c r="AD1652" s="23"/>
    </row>
    <row r="1653" spans="4:30" x14ac:dyDescent="0.25">
      <c r="D1653" s="3"/>
      <c r="E1653" s="15"/>
      <c r="F1653" s="15"/>
      <c r="G1653" s="15"/>
      <c r="H1653" s="15"/>
      <c r="I1653" s="15"/>
      <c r="J1653" s="9"/>
      <c r="K1653" s="9"/>
      <c r="L1653" s="9"/>
      <c r="M1653" s="9"/>
      <c r="N1653" s="9"/>
      <c r="O1653" s="9"/>
      <c r="P1653" s="9"/>
      <c r="Q1653" s="9"/>
      <c r="R1653" s="9"/>
      <c r="S1653" s="9"/>
      <c r="T1653" s="9"/>
      <c r="U1653" s="9"/>
      <c r="V1653" s="9"/>
      <c r="W1653" s="9"/>
      <c r="X1653" s="17"/>
      <c r="Y1653" s="13"/>
      <c r="Z1653" s="13"/>
      <c r="AC1653" s="24"/>
      <c r="AD1653" s="23"/>
    </row>
    <row r="1654" spans="4:30" x14ac:dyDescent="0.25">
      <c r="D1654" s="3"/>
      <c r="E1654" s="15"/>
      <c r="F1654" s="15"/>
      <c r="G1654" s="15"/>
      <c r="H1654" s="15"/>
      <c r="I1654" s="15"/>
      <c r="J1654" s="9"/>
      <c r="K1654" s="9"/>
      <c r="L1654" s="9"/>
      <c r="M1654" s="9"/>
      <c r="N1654" s="9"/>
      <c r="O1654" s="9"/>
      <c r="P1654" s="9"/>
      <c r="Q1654" s="9"/>
      <c r="R1654" s="9"/>
      <c r="S1654" s="9"/>
      <c r="T1654" s="9"/>
      <c r="U1654" s="9"/>
      <c r="V1654" s="9"/>
      <c r="W1654" s="9"/>
      <c r="X1654" s="17"/>
      <c r="Y1654" s="13"/>
      <c r="Z1654" s="13"/>
      <c r="AC1654" s="24"/>
      <c r="AD1654" s="23"/>
    </row>
    <row r="1655" spans="4:30" x14ac:dyDescent="0.25">
      <c r="D1655" s="3"/>
      <c r="E1655" s="15"/>
      <c r="F1655" s="15"/>
      <c r="G1655" s="15"/>
      <c r="H1655" s="15"/>
      <c r="I1655" s="15"/>
      <c r="J1655" s="9"/>
      <c r="K1655" s="9"/>
      <c r="L1655" s="9"/>
      <c r="M1655" s="9"/>
      <c r="N1655" s="9"/>
      <c r="O1655" s="9"/>
      <c r="P1655" s="9"/>
      <c r="Q1655" s="9"/>
      <c r="R1655" s="9"/>
      <c r="S1655" s="9"/>
      <c r="T1655" s="9"/>
      <c r="U1655" s="9"/>
      <c r="V1655" s="9"/>
      <c r="W1655" s="9"/>
      <c r="X1655" s="17"/>
      <c r="Y1655" s="13"/>
      <c r="Z1655" s="13"/>
      <c r="AC1655" s="24"/>
      <c r="AD1655" s="23"/>
    </row>
    <row r="1656" spans="4:30" x14ac:dyDescent="0.25">
      <c r="D1656" s="3"/>
      <c r="E1656" s="15"/>
      <c r="F1656" s="15"/>
      <c r="G1656" s="15"/>
      <c r="H1656" s="15"/>
      <c r="I1656" s="15"/>
      <c r="J1656" s="9"/>
      <c r="K1656" s="9"/>
      <c r="L1656" s="9"/>
      <c r="M1656" s="9"/>
      <c r="N1656" s="9"/>
      <c r="O1656" s="9"/>
      <c r="P1656" s="9"/>
      <c r="Q1656" s="9"/>
      <c r="R1656" s="9"/>
      <c r="S1656" s="9"/>
      <c r="T1656" s="9"/>
      <c r="U1656" s="9"/>
      <c r="V1656" s="9"/>
      <c r="W1656" s="9"/>
      <c r="X1656" s="17"/>
      <c r="Y1656" s="13"/>
      <c r="Z1656" s="13"/>
      <c r="AC1656" s="24"/>
      <c r="AD1656" s="23"/>
    </row>
    <row r="1657" spans="4:30" x14ac:dyDescent="0.25">
      <c r="D1657" s="3"/>
      <c r="E1657" s="15"/>
      <c r="F1657" s="15"/>
      <c r="G1657" s="15"/>
      <c r="H1657" s="15"/>
      <c r="I1657" s="15"/>
      <c r="J1657" s="9"/>
      <c r="K1657" s="9"/>
      <c r="L1657" s="9"/>
      <c r="M1657" s="9"/>
      <c r="N1657" s="9"/>
      <c r="O1657" s="9"/>
      <c r="P1657" s="9"/>
      <c r="Q1657" s="9"/>
      <c r="R1657" s="9"/>
      <c r="S1657" s="9"/>
      <c r="T1657" s="9"/>
      <c r="U1657" s="9"/>
      <c r="V1657" s="9"/>
      <c r="W1657" s="9"/>
      <c r="X1657" s="17"/>
      <c r="Y1657" s="13"/>
      <c r="Z1657" s="13"/>
      <c r="AC1657" s="24"/>
      <c r="AD1657" s="23"/>
    </row>
    <row r="1658" spans="4:30" x14ac:dyDescent="0.25">
      <c r="D1658" s="3"/>
      <c r="E1658" s="15"/>
      <c r="F1658" s="15"/>
      <c r="G1658" s="15"/>
      <c r="H1658" s="15"/>
      <c r="I1658" s="15"/>
      <c r="J1658" s="9"/>
      <c r="K1658" s="9"/>
      <c r="L1658" s="9"/>
      <c r="M1658" s="9"/>
      <c r="N1658" s="9"/>
      <c r="O1658" s="9"/>
      <c r="P1658" s="9"/>
      <c r="Q1658" s="9"/>
      <c r="R1658" s="9"/>
      <c r="S1658" s="9"/>
      <c r="T1658" s="9"/>
      <c r="U1658" s="9"/>
      <c r="V1658" s="9"/>
      <c r="W1658" s="9"/>
      <c r="X1658" s="17"/>
      <c r="Y1658" s="13"/>
      <c r="Z1658" s="13"/>
      <c r="AC1658" s="24"/>
      <c r="AD1658" s="23"/>
    </row>
    <row r="1659" spans="4:30" x14ac:dyDescent="0.25">
      <c r="D1659" s="3"/>
      <c r="E1659" s="15"/>
      <c r="F1659" s="15"/>
      <c r="G1659" s="15"/>
      <c r="H1659" s="15"/>
      <c r="I1659" s="15"/>
      <c r="J1659" s="9"/>
      <c r="K1659" s="9"/>
      <c r="L1659" s="9"/>
      <c r="M1659" s="9"/>
      <c r="N1659" s="9"/>
      <c r="O1659" s="9"/>
      <c r="P1659" s="9"/>
      <c r="Q1659" s="9"/>
      <c r="R1659" s="9"/>
      <c r="S1659" s="9"/>
      <c r="T1659" s="9"/>
      <c r="U1659" s="9"/>
      <c r="V1659" s="9"/>
      <c r="W1659" s="9"/>
      <c r="X1659" s="17"/>
      <c r="Y1659" s="13"/>
      <c r="Z1659" s="13"/>
      <c r="AC1659" s="24"/>
      <c r="AD1659" s="23"/>
    </row>
    <row r="1660" spans="4:30" x14ac:dyDescent="0.25">
      <c r="D1660" s="3"/>
      <c r="E1660" s="15"/>
      <c r="F1660" s="15"/>
      <c r="G1660" s="15"/>
      <c r="H1660" s="15"/>
      <c r="I1660" s="15"/>
      <c r="J1660" s="9"/>
      <c r="K1660" s="9"/>
      <c r="L1660" s="9"/>
      <c r="M1660" s="9"/>
      <c r="N1660" s="9"/>
      <c r="O1660" s="9"/>
      <c r="P1660" s="9"/>
      <c r="Q1660" s="9"/>
      <c r="R1660" s="9"/>
      <c r="S1660" s="9"/>
      <c r="T1660" s="9"/>
      <c r="U1660" s="9"/>
      <c r="V1660" s="9"/>
      <c r="W1660" s="9"/>
      <c r="X1660" s="17"/>
      <c r="Y1660" s="13"/>
      <c r="Z1660" s="13"/>
      <c r="AC1660" s="24"/>
      <c r="AD1660" s="23"/>
    </row>
    <row r="1661" spans="4:30" x14ac:dyDescent="0.25">
      <c r="D1661" s="3"/>
      <c r="E1661" s="15"/>
      <c r="F1661" s="15"/>
      <c r="G1661" s="15"/>
      <c r="H1661" s="15"/>
      <c r="I1661" s="15"/>
      <c r="J1661" s="9"/>
      <c r="K1661" s="9"/>
      <c r="L1661" s="9"/>
      <c r="M1661" s="9"/>
      <c r="N1661" s="9"/>
      <c r="O1661" s="9"/>
      <c r="P1661" s="9"/>
      <c r="Q1661" s="9"/>
      <c r="R1661" s="9"/>
      <c r="S1661" s="9"/>
      <c r="T1661" s="9"/>
      <c r="U1661" s="9"/>
      <c r="V1661" s="9"/>
      <c r="W1661" s="9"/>
      <c r="X1661" s="17"/>
      <c r="Y1661" s="13"/>
      <c r="Z1661" s="13"/>
      <c r="AC1661" s="24"/>
      <c r="AD1661" s="23"/>
    </row>
    <row r="1662" spans="4:30" x14ac:dyDescent="0.25">
      <c r="D1662" s="3"/>
      <c r="E1662" s="15"/>
      <c r="F1662" s="15"/>
      <c r="G1662" s="15"/>
      <c r="H1662" s="15"/>
      <c r="I1662" s="15"/>
      <c r="J1662" s="9"/>
      <c r="K1662" s="9"/>
      <c r="L1662" s="9"/>
      <c r="M1662" s="9"/>
      <c r="N1662" s="9"/>
      <c r="O1662" s="9"/>
      <c r="P1662" s="9"/>
      <c r="Q1662" s="9"/>
      <c r="R1662" s="9"/>
      <c r="S1662" s="9"/>
      <c r="T1662" s="9"/>
      <c r="U1662" s="9"/>
      <c r="V1662" s="9"/>
      <c r="W1662" s="9"/>
      <c r="X1662" s="17"/>
      <c r="Y1662" s="13"/>
      <c r="Z1662" s="13"/>
      <c r="AC1662" s="24"/>
      <c r="AD1662" s="23"/>
    </row>
    <row r="1663" spans="4:30" x14ac:dyDescent="0.25">
      <c r="D1663" s="3"/>
      <c r="E1663" s="15"/>
      <c r="F1663" s="15"/>
      <c r="G1663" s="15"/>
      <c r="H1663" s="15"/>
      <c r="I1663" s="15"/>
      <c r="J1663" s="9"/>
      <c r="K1663" s="9"/>
      <c r="L1663" s="9"/>
      <c r="M1663" s="9"/>
      <c r="N1663" s="9"/>
      <c r="O1663" s="9"/>
      <c r="P1663" s="9"/>
      <c r="Q1663" s="9"/>
      <c r="R1663" s="9"/>
      <c r="S1663" s="9"/>
      <c r="T1663" s="9"/>
      <c r="U1663" s="9"/>
      <c r="V1663" s="9"/>
      <c r="W1663" s="9"/>
      <c r="X1663" s="17"/>
      <c r="Y1663" s="13"/>
      <c r="Z1663" s="13"/>
      <c r="AC1663" s="24"/>
      <c r="AD1663" s="23"/>
    </row>
    <row r="1664" spans="4:30" x14ac:dyDescent="0.25">
      <c r="D1664" s="3"/>
      <c r="E1664" s="15"/>
      <c r="F1664" s="15"/>
      <c r="G1664" s="15"/>
      <c r="H1664" s="15"/>
      <c r="I1664" s="15"/>
      <c r="J1664" s="9"/>
      <c r="K1664" s="9"/>
      <c r="L1664" s="9"/>
      <c r="M1664" s="9"/>
      <c r="N1664" s="9"/>
      <c r="O1664" s="9"/>
      <c r="P1664" s="9"/>
      <c r="Q1664" s="9"/>
      <c r="R1664" s="9"/>
      <c r="S1664" s="9"/>
      <c r="T1664" s="9"/>
      <c r="U1664" s="9"/>
      <c r="V1664" s="9"/>
      <c r="W1664" s="9"/>
      <c r="X1664" s="17"/>
      <c r="Y1664" s="13"/>
      <c r="Z1664" s="13"/>
      <c r="AC1664" s="24"/>
      <c r="AD1664" s="23"/>
    </row>
    <row r="1665" spans="4:30" x14ac:dyDescent="0.25">
      <c r="D1665" s="3"/>
      <c r="E1665" s="15"/>
      <c r="F1665" s="15"/>
      <c r="G1665" s="15"/>
      <c r="H1665" s="15"/>
      <c r="I1665" s="15"/>
      <c r="J1665" s="9"/>
      <c r="K1665" s="9"/>
      <c r="L1665" s="9"/>
      <c r="M1665" s="9"/>
      <c r="N1665" s="9"/>
      <c r="O1665" s="9"/>
      <c r="P1665" s="9"/>
      <c r="Q1665" s="9"/>
      <c r="R1665" s="9"/>
      <c r="S1665" s="9"/>
      <c r="T1665" s="9"/>
      <c r="U1665" s="9"/>
      <c r="V1665" s="9"/>
      <c r="W1665" s="9"/>
      <c r="X1665" s="17"/>
      <c r="Y1665" s="13"/>
      <c r="Z1665" s="13"/>
      <c r="AC1665" s="24"/>
      <c r="AD1665" s="23"/>
    </row>
    <row r="1666" spans="4:30" x14ac:dyDescent="0.25">
      <c r="D1666" s="3"/>
      <c r="E1666" s="15"/>
      <c r="F1666" s="15"/>
      <c r="G1666" s="15"/>
      <c r="H1666" s="15"/>
      <c r="I1666" s="15"/>
      <c r="J1666" s="9"/>
      <c r="K1666" s="9"/>
      <c r="L1666" s="9"/>
      <c r="M1666" s="9"/>
      <c r="N1666" s="9"/>
      <c r="O1666" s="9"/>
      <c r="P1666" s="9"/>
      <c r="Q1666" s="9"/>
      <c r="R1666" s="9"/>
      <c r="S1666" s="9"/>
      <c r="T1666" s="9"/>
      <c r="U1666" s="9"/>
      <c r="V1666" s="9"/>
      <c r="W1666" s="9"/>
      <c r="X1666" s="17"/>
      <c r="Y1666" s="13"/>
      <c r="Z1666" s="13"/>
      <c r="AC1666" s="24"/>
      <c r="AD1666" s="23"/>
    </row>
    <row r="1667" spans="4:30" x14ac:dyDescent="0.25">
      <c r="D1667" s="3"/>
      <c r="E1667" s="15"/>
      <c r="F1667" s="15"/>
      <c r="G1667" s="15"/>
      <c r="H1667" s="15"/>
      <c r="I1667" s="15"/>
      <c r="J1667" s="9"/>
      <c r="K1667" s="9"/>
      <c r="L1667" s="9"/>
      <c r="M1667" s="9"/>
      <c r="N1667" s="9"/>
      <c r="O1667" s="9"/>
      <c r="P1667" s="9"/>
      <c r="Q1667" s="9"/>
      <c r="R1667" s="9"/>
      <c r="S1667" s="9"/>
      <c r="T1667" s="9"/>
      <c r="U1667" s="9"/>
      <c r="V1667" s="9"/>
      <c r="W1667" s="9"/>
      <c r="X1667" s="17"/>
      <c r="Y1667" s="13"/>
      <c r="Z1667" s="13"/>
      <c r="AC1667" s="24"/>
      <c r="AD1667" s="23"/>
    </row>
    <row r="1668" spans="4:30" x14ac:dyDescent="0.25">
      <c r="D1668" s="3"/>
      <c r="E1668" s="15"/>
      <c r="F1668" s="15"/>
      <c r="G1668" s="15"/>
      <c r="H1668" s="15"/>
      <c r="I1668" s="15"/>
      <c r="J1668" s="9"/>
      <c r="K1668" s="9"/>
      <c r="L1668" s="9"/>
      <c r="M1668" s="9"/>
      <c r="N1668" s="9"/>
      <c r="O1668" s="9"/>
      <c r="P1668" s="9"/>
      <c r="Q1668" s="9"/>
      <c r="R1668" s="9"/>
      <c r="S1668" s="9"/>
      <c r="T1668" s="9"/>
      <c r="U1668" s="9"/>
      <c r="V1668" s="9"/>
      <c r="W1668" s="9"/>
      <c r="X1668" s="17"/>
      <c r="Y1668" s="13"/>
      <c r="Z1668" s="13"/>
      <c r="AC1668" s="24"/>
      <c r="AD1668" s="23"/>
    </row>
    <row r="1669" spans="4:30" x14ac:dyDescent="0.25">
      <c r="D1669" s="3"/>
      <c r="E1669" s="15"/>
      <c r="F1669" s="15"/>
      <c r="G1669" s="15"/>
      <c r="H1669" s="15"/>
      <c r="I1669" s="15"/>
      <c r="J1669" s="9"/>
      <c r="K1669" s="9"/>
      <c r="L1669" s="9"/>
      <c r="M1669" s="9"/>
      <c r="N1669" s="9"/>
      <c r="O1669" s="9"/>
      <c r="P1669" s="9"/>
      <c r="Q1669" s="9"/>
      <c r="R1669" s="9"/>
      <c r="S1669" s="9"/>
      <c r="T1669" s="9"/>
      <c r="U1669" s="9"/>
      <c r="V1669" s="9"/>
      <c r="W1669" s="9"/>
      <c r="X1669" s="17"/>
      <c r="Y1669" s="13"/>
      <c r="Z1669" s="13"/>
      <c r="AC1669" s="24"/>
      <c r="AD1669" s="23"/>
    </row>
    <row r="1670" spans="4:30" x14ac:dyDescent="0.25">
      <c r="D1670" s="3"/>
      <c r="E1670" s="15"/>
      <c r="F1670" s="15"/>
      <c r="G1670" s="15"/>
      <c r="H1670" s="15"/>
      <c r="I1670" s="15"/>
      <c r="J1670" s="9"/>
      <c r="K1670" s="9"/>
      <c r="L1670" s="9"/>
      <c r="M1670" s="9"/>
      <c r="N1670" s="9"/>
      <c r="O1670" s="9"/>
      <c r="P1670" s="9"/>
      <c r="Q1670" s="9"/>
      <c r="R1670" s="9"/>
      <c r="S1670" s="9"/>
      <c r="T1670" s="9"/>
      <c r="U1670" s="9"/>
      <c r="V1670" s="9"/>
      <c r="W1670" s="9"/>
      <c r="X1670" s="17"/>
      <c r="Y1670" s="13"/>
      <c r="Z1670" s="13"/>
      <c r="AC1670" s="24"/>
      <c r="AD1670" s="23"/>
    </row>
    <row r="1671" spans="4:30" x14ac:dyDescent="0.25">
      <c r="D1671" s="3"/>
      <c r="E1671" s="15"/>
      <c r="F1671" s="15"/>
      <c r="G1671" s="15"/>
      <c r="H1671" s="15"/>
      <c r="I1671" s="15"/>
      <c r="J1671" s="9"/>
      <c r="K1671" s="9"/>
      <c r="L1671" s="9"/>
      <c r="M1671" s="9"/>
      <c r="N1671" s="9"/>
      <c r="O1671" s="9"/>
      <c r="P1671" s="9"/>
      <c r="Q1671" s="9"/>
      <c r="R1671" s="9"/>
      <c r="S1671" s="9"/>
      <c r="T1671" s="9"/>
      <c r="U1671" s="9"/>
      <c r="V1671" s="9"/>
      <c r="W1671" s="9"/>
      <c r="X1671" s="17"/>
      <c r="Y1671" s="13"/>
      <c r="Z1671" s="13"/>
      <c r="AC1671" s="24"/>
      <c r="AD1671" s="23"/>
    </row>
    <row r="1672" spans="4:30" x14ac:dyDescent="0.25">
      <c r="D1672" s="3"/>
      <c r="E1672" s="15"/>
      <c r="F1672" s="15"/>
      <c r="G1672" s="15"/>
      <c r="H1672" s="15"/>
      <c r="I1672" s="15"/>
      <c r="J1672" s="9"/>
      <c r="K1672" s="9"/>
      <c r="L1672" s="9"/>
      <c r="M1672" s="9"/>
      <c r="N1672" s="9"/>
      <c r="O1672" s="9"/>
      <c r="P1672" s="9"/>
      <c r="Q1672" s="9"/>
      <c r="R1672" s="9"/>
      <c r="S1672" s="9"/>
      <c r="T1672" s="9"/>
      <c r="U1672" s="9"/>
      <c r="V1672" s="9"/>
      <c r="W1672" s="9"/>
      <c r="X1672" s="17"/>
      <c r="Y1672" s="13"/>
      <c r="Z1672" s="13"/>
      <c r="AC1672" s="24"/>
      <c r="AD1672" s="23"/>
    </row>
    <row r="1673" spans="4:30" x14ac:dyDescent="0.25">
      <c r="D1673" s="3"/>
      <c r="E1673" s="15"/>
      <c r="F1673" s="15"/>
      <c r="G1673" s="15"/>
      <c r="H1673" s="15"/>
      <c r="I1673" s="15"/>
      <c r="J1673" s="9"/>
      <c r="K1673" s="9"/>
      <c r="L1673" s="9"/>
      <c r="M1673" s="9"/>
      <c r="N1673" s="9"/>
      <c r="O1673" s="9"/>
      <c r="P1673" s="9"/>
      <c r="Q1673" s="9"/>
      <c r="R1673" s="9"/>
      <c r="S1673" s="9"/>
      <c r="T1673" s="9"/>
      <c r="U1673" s="9"/>
      <c r="V1673" s="9"/>
      <c r="W1673" s="9"/>
      <c r="X1673" s="17"/>
      <c r="Y1673" s="13"/>
      <c r="Z1673" s="13"/>
      <c r="AC1673" s="24"/>
      <c r="AD1673" s="23"/>
    </row>
    <row r="1674" spans="4:30" x14ac:dyDescent="0.25">
      <c r="D1674" s="3"/>
      <c r="E1674" s="15"/>
      <c r="F1674" s="15"/>
      <c r="G1674" s="15"/>
      <c r="H1674" s="15"/>
      <c r="I1674" s="15"/>
      <c r="J1674" s="9"/>
      <c r="K1674" s="9"/>
      <c r="L1674" s="9"/>
      <c r="M1674" s="9"/>
      <c r="N1674" s="9"/>
      <c r="O1674" s="9"/>
      <c r="P1674" s="9"/>
      <c r="Q1674" s="9"/>
      <c r="R1674" s="9"/>
      <c r="S1674" s="9"/>
      <c r="T1674" s="9"/>
      <c r="U1674" s="9"/>
      <c r="V1674" s="9"/>
      <c r="W1674" s="9"/>
      <c r="X1674" s="17"/>
      <c r="Y1674" s="13"/>
      <c r="Z1674" s="13"/>
      <c r="AC1674" s="24"/>
      <c r="AD1674" s="23"/>
    </row>
    <row r="1675" spans="4:30" x14ac:dyDescent="0.25">
      <c r="D1675" s="3"/>
      <c r="E1675" s="15"/>
      <c r="F1675" s="15"/>
      <c r="G1675" s="15"/>
      <c r="H1675" s="15"/>
      <c r="I1675" s="15"/>
      <c r="J1675" s="9"/>
      <c r="K1675" s="9"/>
      <c r="L1675" s="9"/>
      <c r="M1675" s="9"/>
      <c r="N1675" s="9"/>
      <c r="O1675" s="9"/>
      <c r="P1675" s="9"/>
      <c r="Q1675" s="9"/>
      <c r="R1675" s="9"/>
      <c r="S1675" s="9"/>
      <c r="T1675" s="9"/>
      <c r="U1675" s="9"/>
      <c r="V1675" s="9"/>
      <c r="W1675" s="9"/>
      <c r="X1675" s="17"/>
      <c r="Y1675" s="13"/>
      <c r="Z1675" s="13"/>
      <c r="AC1675" s="24"/>
      <c r="AD1675" s="23"/>
    </row>
    <row r="1676" spans="4:30" x14ac:dyDescent="0.25">
      <c r="D1676" s="3"/>
      <c r="E1676" s="15"/>
      <c r="F1676" s="15"/>
      <c r="G1676" s="15"/>
      <c r="H1676" s="15"/>
      <c r="I1676" s="15"/>
      <c r="J1676" s="9"/>
      <c r="K1676" s="9"/>
      <c r="L1676" s="9"/>
      <c r="M1676" s="9"/>
      <c r="N1676" s="9"/>
      <c r="O1676" s="9"/>
      <c r="P1676" s="9"/>
      <c r="Q1676" s="9"/>
      <c r="R1676" s="9"/>
      <c r="S1676" s="9"/>
      <c r="T1676" s="9"/>
      <c r="U1676" s="9"/>
      <c r="V1676" s="9"/>
      <c r="W1676" s="9"/>
      <c r="X1676" s="17"/>
      <c r="Y1676" s="13"/>
      <c r="Z1676" s="13"/>
      <c r="AC1676" s="24"/>
      <c r="AD1676" s="23"/>
    </row>
    <row r="1677" spans="4:30" x14ac:dyDescent="0.25">
      <c r="D1677" s="3"/>
      <c r="E1677" s="15"/>
      <c r="F1677" s="15"/>
      <c r="G1677" s="15"/>
      <c r="H1677" s="15"/>
      <c r="I1677" s="15"/>
      <c r="J1677" s="9"/>
      <c r="K1677" s="9"/>
      <c r="L1677" s="9"/>
      <c r="M1677" s="9"/>
      <c r="N1677" s="9"/>
      <c r="O1677" s="9"/>
      <c r="P1677" s="9"/>
      <c r="Q1677" s="9"/>
      <c r="R1677" s="9"/>
      <c r="S1677" s="9"/>
      <c r="T1677" s="9"/>
      <c r="U1677" s="9"/>
      <c r="V1677" s="9"/>
      <c r="W1677" s="9"/>
      <c r="X1677" s="17"/>
      <c r="Y1677" s="13"/>
      <c r="Z1677" s="13"/>
      <c r="AC1677" s="24"/>
      <c r="AD1677" s="23"/>
    </row>
    <row r="1678" spans="4:30" x14ac:dyDescent="0.25">
      <c r="D1678" s="3"/>
      <c r="E1678" s="15"/>
      <c r="F1678" s="15"/>
      <c r="G1678" s="15"/>
      <c r="H1678" s="15"/>
      <c r="I1678" s="15"/>
      <c r="J1678" s="9"/>
      <c r="K1678" s="9"/>
      <c r="L1678" s="9"/>
      <c r="M1678" s="9"/>
      <c r="N1678" s="9"/>
      <c r="O1678" s="9"/>
      <c r="P1678" s="9"/>
      <c r="Q1678" s="9"/>
      <c r="R1678" s="9"/>
      <c r="S1678" s="9"/>
      <c r="T1678" s="9"/>
      <c r="U1678" s="9"/>
      <c r="V1678" s="9"/>
      <c r="W1678" s="9"/>
      <c r="X1678" s="17"/>
      <c r="Y1678" s="13"/>
      <c r="Z1678" s="13"/>
      <c r="AC1678" s="24"/>
      <c r="AD1678" s="23"/>
    </row>
    <row r="1679" spans="4:30" x14ac:dyDescent="0.25">
      <c r="D1679" s="3"/>
      <c r="E1679" s="15"/>
      <c r="F1679" s="15"/>
      <c r="G1679" s="15"/>
      <c r="H1679" s="15"/>
      <c r="I1679" s="15"/>
      <c r="J1679" s="9"/>
      <c r="K1679" s="9"/>
      <c r="L1679" s="9"/>
      <c r="M1679" s="9"/>
      <c r="N1679" s="9"/>
      <c r="O1679" s="9"/>
      <c r="P1679" s="9"/>
      <c r="Q1679" s="9"/>
      <c r="R1679" s="9"/>
      <c r="S1679" s="9"/>
      <c r="T1679" s="9"/>
      <c r="U1679" s="9"/>
      <c r="V1679" s="9"/>
      <c r="W1679" s="9"/>
      <c r="X1679" s="17"/>
      <c r="Y1679" s="13"/>
      <c r="Z1679" s="13"/>
      <c r="AC1679" s="24"/>
      <c r="AD1679" s="23"/>
    </row>
    <row r="1680" spans="4:30" x14ac:dyDescent="0.25">
      <c r="D1680" s="3"/>
      <c r="E1680" s="15"/>
      <c r="F1680" s="15"/>
      <c r="G1680" s="15"/>
      <c r="H1680" s="15"/>
      <c r="I1680" s="15"/>
      <c r="J1680" s="9"/>
      <c r="K1680" s="9"/>
      <c r="L1680" s="9"/>
      <c r="M1680" s="9"/>
      <c r="N1680" s="9"/>
      <c r="O1680" s="9"/>
      <c r="P1680" s="9"/>
      <c r="Q1680" s="9"/>
      <c r="R1680" s="9"/>
      <c r="S1680" s="9"/>
      <c r="T1680" s="9"/>
      <c r="U1680" s="9"/>
      <c r="V1680" s="9"/>
      <c r="W1680" s="9"/>
      <c r="X1680" s="17"/>
      <c r="Y1680" s="13"/>
      <c r="Z1680" s="13"/>
      <c r="AC1680" s="24"/>
      <c r="AD1680" s="23"/>
    </row>
    <row r="1681" spans="4:30" x14ac:dyDescent="0.25">
      <c r="D1681" s="3"/>
      <c r="E1681" s="15"/>
      <c r="F1681" s="15"/>
      <c r="G1681" s="15"/>
      <c r="H1681" s="15"/>
      <c r="I1681" s="15"/>
      <c r="J1681" s="9"/>
      <c r="K1681" s="9"/>
      <c r="L1681" s="9"/>
      <c r="M1681" s="9"/>
      <c r="N1681" s="9"/>
      <c r="O1681" s="9"/>
      <c r="P1681" s="9"/>
      <c r="Q1681" s="9"/>
      <c r="R1681" s="9"/>
      <c r="S1681" s="9"/>
      <c r="T1681" s="9"/>
      <c r="U1681" s="9"/>
      <c r="V1681" s="9"/>
      <c r="W1681" s="9"/>
      <c r="X1681" s="17"/>
      <c r="Y1681" s="13"/>
      <c r="Z1681" s="13"/>
      <c r="AC1681" s="24"/>
      <c r="AD1681" s="23"/>
    </row>
    <row r="1682" spans="4:30" x14ac:dyDescent="0.25">
      <c r="D1682" s="3"/>
      <c r="E1682" s="15"/>
      <c r="F1682" s="15"/>
      <c r="G1682" s="15"/>
      <c r="H1682" s="15"/>
      <c r="I1682" s="15"/>
      <c r="J1682" s="9"/>
      <c r="K1682" s="9"/>
      <c r="L1682" s="9"/>
      <c r="M1682" s="9"/>
      <c r="N1682" s="9"/>
      <c r="O1682" s="9"/>
      <c r="P1682" s="9"/>
      <c r="Q1682" s="9"/>
      <c r="R1682" s="9"/>
      <c r="S1682" s="9"/>
      <c r="T1682" s="9"/>
      <c r="U1682" s="9"/>
      <c r="V1682" s="9"/>
      <c r="W1682" s="9"/>
      <c r="X1682" s="17"/>
      <c r="Y1682" s="13"/>
      <c r="Z1682" s="13"/>
      <c r="AC1682" s="24"/>
      <c r="AD1682" s="23"/>
    </row>
    <row r="1683" spans="4:30" x14ac:dyDescent="0.25">
      <c r="D1683" s="3"/>
      <c r="E1683" s="15"/>
      <c r="F1683" s="15"/>
      <c r="G1683" s="15"/>
      <c r="H1683" s="15"/>
      <c r="I1683" s="15"/>
      <c r="J1683" s="9"/>
      <c r="K1683" s="9"/>
      <c r="L1683" s="9"/>
      <c r="M1683" s="9"/>
      <c r="N1683" s="9"/>
      <c r="O1683" s="9"/>
      <c r="P1683" s="9"/>
      <c r="Q1683" s="9"/>
      <c r="R1683" s="9"/>
      <c r="S1683" s="9"/>
      <c r="T1683" s="9"/>
      <c r="U1683" s="9"/>
      <c r="V1683" s="9"/>
      <c r="W1683" s="9"/>
      <c r="X1683" s="17"/>
      <c r="Y1683" s="13"/>
      <c r="Z1683" s="13"/>
      <c r="AC1683" s="24"/>
      <c r="AD1683" s="23"/>
    </row>
    <row r="1684" spans="4:30" x14ac:dyDescent="0.25">
      <c r="D1684" s="3"/>
      <c r="E1684" s="15"/>
      <c r="F1684" s="15"/>
      <c r="G1684" s="15"/>
      <c r="H1684" s="15"/>
      <c r="I1684" s="15"/>
      <c r="J1684" s="9"/>
      <c r="K1684" s="9"/>
      <c r="L1684" s="9"/>
      <c r="M1684" s="9"/>
      <c r="N1684" s="9"/>
      <c r="O1684" s="9"/>
      <c r="P1684" s="9"/>
      <c r="Q1684" s="9"/>
      <c r="R1684" s="9"/>
      <c r="S1684" s="9"/>
      <c r="T1684" s="9"/>
      <c r="U1684" s="9"/>
      <c r="V1684" s="9"/>
      <c r="W1684" s="9"/>
      <c r="X1684" s="17"/>
      <c r="Y1684" s="13"/>
      <c r="Z1684" s="13"/>
      <c r="AC1684" s="24"/>
      <c r="AD1684" s="23"/>
    </row>
    <row r="1685" spans="4:30" x14ac:dyDescent="0.25">
      <c r="D1685" s="3"/>
      <c r="E1685" s="15"/>
      <c r="F1685" s="15"/>
      <c r="G1685" s="15"/>
      <c r="H1685" s="15"/>
      <c r="I1685" s="15"/>
      <c r="J1685" s="9"/>
      <c r="K1685" s="9"/>
      <c r="L1685" s="9"/>
      <c r="M1685" s="9"/>
      <c r="N1685" s="9"/>
      <c r="O1685" s="9"/>
      <c r="P1685" s="9"/>
      <c r="Q1685" s="9"/>
      <c r="R1685" s="9"/>
      <c r="S1685" s="9"/>
      <c r="T1685" s="9"/>
      <c r="U1685" s="9"/>
      <c r="V1685" s="9"/>
      <c r="W1685" s="9"/>
      <c r="X1685" s="17"/>
      <c r="Y1685" s="13"/>
      <c r="Z1685" s="13"/>
      <c r="AC1685" s="24"/>
      <c r="AD1685" s="23"/>
    </row>
    <row r="1686" spans="4:30" x14ac:dyDescent="0.25">
      <c r="D1686" s="3"/>
      <c r="E1686" s="15"/>
      <c r="F1686" s="15"/>
      <c r="G1686" s="15"/>
      <c r="H1686" s="15"/>
      <c r="I1686" s="15"/>
      <c r="J1686" s="9"/>
      <c r="K1686" s="9"/>
      <c r="L1686" s="9"/>
      <c r="M1686" s="9"/>
      <c r="N1686" s="9"/>
      <c r="O1686" s="9"/>
      <c r="P1686" s="9"/>
      <c r="Q1686" s="9"/>
      <c r="R1686" s="9"/>
      <c r="S1686" s="9"/>
      <c r="T1686" s="9"/>
      <c r="U1686" s="9"/>
      <c r="V1686" s="9"/>
      <c r="W1686" s="9"/>
      <c r="X1686" s="17"/>
      <c r="Y1686" s="13"/>
      <c r="Z1686" s="13"/>
      <c r="AC1686" s="24"/>
      <c r="AD1686" s="23"/>
    </row>
    <row r="1687" spans="4:30" x14ac:dyDescent="0.25">
      <c r="D1687" s="3"/>
      <c r="E1687" s="15"/>
      <c r="F1687" s="15"/>
      <c r="G1687" s="15"/>
      <c r="H1687" s="15"/>
      <c r="I1687" s="15"/>
      <c r="J1687" s="9"/>
      <c r="K1687" s="9"/>
      <c r="L1687" s="9"/>
      <c r="M1687" s="9"/>
      <c r="N1687" s="9"/>
      <c r="O1687" s="9"/>
      <c r="P1687" s="9"/>
      <c r="Q1687" s="9"/>
      <c r="R1687" s="9"/>
      <c r="S1687" s="9"/>
      <c r="T1687" s="9"/>
      <c r="U1687" s="9"/>
      <c r="V1687" s="9"/>
      <c r="W1687" s="9"/>
      <c r="X1687" s="17"/>
      <c r="Y1687" s="13"/>
      <c r="Z1687" s="13"/>
      <c r="AC1687" s="24"/>
      <c r="AD1687" s="23"/>
    </row>
    <row r="1688" spans="4:30" x14ac:dyDescent="0.25">
      <c r="D1688" s="3"/>
      <c r="E1688" s="15"/>
      <c r="F1688" s="15"/>
      <c r="G1688" s="15"/>
      <c r="H1688" s="15"/>
      <c r="I1688" s="15"/>
      <c r="J1688" s="9"/>
      <c r="K1688" s="9"/>
      <c r="L1688" s="9"/>
      <c r="M1688" s="9"/>
      <c r="N1688" s="9"/>
      <c r="O1688" s="9"/>
      <c r="P1688" s="9"/>
      <c r="Q1688" s="9"/>
      <c r="R1688" s="9"/>
      <c r="S1688" s="9"/>
      <c r="T1688" s="9"/>
      <c r="U1688" s="9"/>
      <c r="V1688" s="9"/>
      <c r="W1688" s="9"/>
      <c r="X1688" s="17"/>
      <c r="Y1688" s="13"/>
      <c r="Z1688" s="13"/>
      <c r="AC1688" s="24"/>
      <c r="AD1688" s="23"/>
    </row>
    <row r="1689" spans="4:30" x14ac:dyDescent="0.25">
      <c r="D1689" s="3"/>
      <c r="E1689" s="15"/>
      <c r="F1689" s="15"/>
      <c r="G1689" s="15"/>
      <c r="H1689" s="15"/>
      <c r="I1689" s="15"/>
      <c r="J1689" s="9"/>
      <c r="K1689" s="9"/>
      <c r="L1689" s="9"/>
      <c r="M1689" s="9"/>
      <c r="N1689" s="9"/>
      <c r="O1689" s="9"/>
      <c r="P1689" s="9"/>
      <c r="Q1689" s="9"/>
      <c r="R1689" s="9"/>
      <c r="S1689" s="9"/>
      <c r="T1689" s="9"/>
      <c r="U1689" s="9"/>
      <c r="V1689" s="9"/>
      <c r="W1689" s="9"/>
      <c r="X1689" s="17"/>
      <c r="Y1689" s="13"/>
      <c r="Z1689" s="13"/>
      <c r="AC1689" s="24"/>
      <c r="AD1689" s="23"/>
    </row>
    <row r="1690" spans="4:30" x14ac:dyDescent="0.25">
      <c r="D1690" s="3"/>
      <c r="E1690" s="15"/>
      <c r="F1690" s="15"/>
      <c r="G1690" s="15"/>
      <c r="H1690" s="15"/>
      <c r="I1690" s="15"/>
      <c r="J1690" s="9"/>
      <c r="K1690" s="9"/>
      <c r="L1690" s="9"/>
      <c r="M1690" s="9"/>
      <c r="N1690" s="9"/>
      <c r="O1690" s="9"/>
      <c r="P1690" s="9"/>
      <c r="Q1690" s="9"/>
      <c r="R1690" s="9"/>
      <c r="S1690" s="9"/>
      <c r="T1690" s="9"/>
      <c r="U1690" s="9"/>
      <c r="V1690" s="9"/>
      <c r="W1690" s="9"/>
      <c r="X1690" s="17"/>
      <c r="Y1690" s="13"/>
      <c r="Z1690" s="13"/>
      <c r="AC1690" s="24"/>
      <c r="AD1690" s="23"/>
    </row>
    <row r="1691" spans="4:30" x14ac:dyDescent="0.25">
      <c r="D1691" s="3"/>
      <c r="E1691" s="15"/>
      <c r="F1691" s="15"/>
      <c r="G1691" s="15"/>
      <c r="H1691" s="15"/>
      <c r="I1691" s="15"/>
      <c r="J1691" s="9"/>
      <c r="K1691" s="9"/>
      <c r="L1691" s="9"/>
      <c r="M1691" s="9"/>
      <c r="N1691" s="9"/>
      <c r="O1691" s="9"/>
      <c r="P1691" s="9"/>
      <c r="Q1691" s="9"/>
      <c r="R1691" s="9"/>
      <c r="S1691" s="9"/>
      <c r="T1691" s="9"/>
      <c r="U1691" s="9"/>
      <c r="V1691" s="9"/>
      <c r="W1691" s="9"/>
      <c r="X1691" s="17"/>
      <c r="Y1691" s="13"/>
      <c r="Z1691" s="13"/>
      <c r="AC1691" s="24"/>
      <c r="AD1691" s="23"/>
    </row>
    <row r="1692" spans="4:30" x14ac:dyDescent="0.25">
      <c r="D1692" s="3"/>
      <c r="E1692" s="15"/>
      <c r="F1692" s="15"/>
      <c r="G1692" s="15"/>
      <c r="H1692" s="15"/>
      <c r="I1692" s="15"/>
      <c r="J1692" s="9"/>
      <c r="K1692" s="9"/>
      <c r="L1692" s="9"/>
      <c r="M1692" s="9"/>
      <c r="N1692" s="9"/>
      <c r="O1692" s="9"/>
      <c r="P1692" s="9"/>
      <c r="Q1692" s="9"/>
      <c r="R1692" s="9"/>
      <c r="S1692" s="9"/>
      <c r="T1692" s="9"/>
      <c r="U1692" s="9"/>
      <c r="V1692" s="9"/>
      <c r="W1692" s="9"/>
      <c r="X1692" s="17"/>
      <c r="Y1692" s="13"/>
      <c r="Z1692" s="13"/>
      <c r="AC1692" s="24"/>
      <c r="AD1692" s="23"/>
    </row>
    <row r="1693" spans="4:30" x14ac:dyDescent="0.25">
      <c r="D1693" s="3"/>
      <c r="E1693" s="15"/>
      <c r="F1693" s="15"/>
      <c r="G1693" s="15"/>
      <c r="H1693" s="15"/>
      <c r="I1693" s="15"/>
      <c r="J1693" s="9"/>
      <c r="K1693" s="9"/>
      <c r="L1693" s="9"/>
      <c r="M1693" s="9"/>
      <c r="N1693" s="9"/>
      <c r="O1693" s="9"/>
      <c r="P1693" s="9"/>
      <c r="Q1693" s="9"/>
      <c r="R1693" s="9"/>
      <c r="S1693" s="9"/>
      <c r="T1693" s="9"/>
      <c r="U1693" s="9"/>
      <c r="V1693" s="9"/>
      <c r="W1693" s="9"/>
      <c r="X1693" s="17"/>
      <c r="Y1693" s="13"/>
      <c r="Z1693" s="13"/>
      <c r="AC1693" s="24"/>
      <c r="AD1693" s="23"/>
    </row>
    <row r="1694" spans="4:30" x14ac:dyDescent="0.25">
      <c r="D1694" s="3"/>
      <c r="E1694" s="15"/>
      <c r="F1694" s="15"/>
      <c r="G1694" s="15"/>
      <c r="H1694" s="15"/>
      <c r="I1694" s="15"/>
      <c r="J1694" s="9"/>
      <c r="K1694" s="9"/>
      <c r="L1694" s="9"/>
      <c r="M1694" s="9"/>
      <c r="N1694" s="9"/>
      <c r="O1694" s="9"/>
      <c r="P1694" s="9"/>
      <c r="Q1694" s="9"/>
      <c r="R1694" s="9"/>
      <c r="S1694" s="9"/>
      <c r="T1694" s="9"/>
      <c r="U1694" s="9"/>
      <c r="V1694" s="9"/>
      <c r="W1694" s="9"/>
      <c r="X1694" s="17"/>
      <c r="Y1694" s="13"/>
      <c r="Z1694" s="13"/>
      <c r="AC1694" s="24"/>
      <c r="AD1694" s="23"/>
    </row>
    <row r="1695" spans="4:30" x14ac:dyDescent="0.25">
      <c r="D1695" s="3"/>
      <c r="E1695" s="15"/>
      <c r="F1695" s="15"/>
      <c r="G1695" s="15"/>
      <c r="H1695" s="15"/>
      <c r="I1695" s="15"/>
      <c r="J1695" s="9"/>
      <c r="K1695" s="9"/>
      <c r="L1695" s="9"/>
      <c r="M1695" s="9"/>
      <c r="N1695" s="9"/>
      <c r="O1695" s="9"/>
      <c r="P1695" s="9"/>
      <c r="Q1695" s="9"/>
      <c r="R1695" s="9"/>
      <c r="S1695" s="9"/>
      <c r="T1695" s="9"/>
      <c r="U1695" s="9"/>
      <c r="V1695" s="9"/>
      <c r="W1695" s="9"/>
      <c r="X1695" s="17"/>
      <c r="Y1695" s="13"/>
      <c r="Z1695" s="13"/>
      <c r="AC1695" s="24"/>
      <c r="AD1695" s="23"/>
    </row>
    <row r="1696" spans="4:30" x14ac:dyDescent="0.25">
      <c r="D1696" s="3"/>
      <c r="E1696" s="15"/>
      <c r="F1696" s="15"/>
      <c r="G1696" s="15"/>
      <c r="H1696" s="15"/>
      <c r="I1696" s="15"/>
      <c r="J1696" s="9"/>
      <c r="K1696" s="9"/>
      <c r="L1696" s="9"/>
      <c r="M1696" s="9"/>
      <c r="N1696" s="9"/>
      <c r="O1696" s="9"/>
      <c r="P1696" s="9"/>
      <c r="Q1696" s="9"/>
      <c r="R1696" s="9"/>
      <c r="S1696" s="9"/>
      <c r="T1696" s="9"/>
      <c r="U1696" s="9"/>
      <c r="V1696" s="9"/>
      <c r="W1696" s="9"/>
      <c r="X1696" s="17"/>
      <c r="Y1696" s="13"/>
      <c r="Z1696" s="13"/>
      <c r="AC1696" s="24"/>
      <c r="AD1696" s="23"/>
    </row>
    <row r="1697" spans="4:30" x14ac:dyDescent="0.25">
      <c r="D1697" s="3"/>
      <c r="E1697" s="15"/>
      <c r="F1697" s="15"/>
      <c r="G1697" s="15"/>
      <c r="H1697" s="15"/>
      <c r="I1697" s="15"/>
      <c r="J1697" s="9"/>
      <c r="K1697" s="9"/>
      <c r="L1697" s="9"/>
      <c r="M1697" s="9"/>
      <c r="N1697" s="9"/>
      <c r="O1697" s="9"/>
      <c r="P1697" s="9"/>
      <c r="Q1697" s="9"/>
      <c r="R1697" s="9"/>
      <c r="S1697" s="9"/>
      <c r="T1697" s="9"/>
      <c r="U1697" s="9"/>
      <c r="V1697" s="9"/>
      <c r="W1697" s="9"/>
      <c r="X1697" s="17"/>
      <c r="Y1697" s="13"/>
      <c r="Z1697" s="13"/>
      <c r="AC1697" s="24"/>
      <c r="AD1697" s="23"/>
    </row>
    <row r="1698" spans="4:30" x14ac:dyDescent="0.25">
      <c r="D1698" s="3"/>
      <c r="E1698" s="15"/>
      <c r="F1698" s="15"/>
      <c r="G1698" s="15"/>
      <c r="H1698" s="15"/>
      <c r="I1698" s="15"/>
      <c r="J1698" s="9"/>
      <c r="K1698" s="9"/>
      <c r="L1698" s="9"/>
      <c r="M1698" s="9"/>
      <c r="N1698" s="9"/>
      <c r="O1698" s="9"/>
      <c r="P1698" s="9"/>
      <c r="Q1698" s="9"/>
      <c r="R1698" s="9"/>
      <c r="S1698" s="9"/>
      <c r="T1698" s="9"/>
      <c r="U1698" s="9"/>
      <c r="V1698" s="9"/>
      <c r="W1698" s="9"/>
      <c r="X1698" s="17"/>
      <c r="Y1698" s="13"/>
      <c r="Z1698" s="13"/>
      <c r="AC1698" s="24"/>
      <c r="AD1698" s="23"/>
    </row>
    <row r="1699" spans="4:30" x14ac:dyDescent="0.25">
      <c r="D1699" s="3"/>
      <c r="E1699" s="15"/>
      <c r="F1699" s="15"/>
      <c r="G1699" s="15"/>
      <c r="H1699" s="15"/>
      <c r="I1699" s="15"/>
      <c r="J1699" s="9"/>
      <c r="K1699" s="9"/>
      <c r="L1699" s="9"/>
      <c r="M1699" s="9"/>
      <c r="N1699" s="9"/>
      <c r="O1699" s="9"/>
      <c r="P1699" s="9"/>
      <c r="Q1699" s="9"/>
      <c r="R1699" s="9"/>
      <c r="S1699" s="9"/>
      <c r="T1699" s="9"/>
      <c r="U1699" s="9"/>
      <c r="V1699" s="9"/>
      <c r="W1699" s="9"/>
      <c r="X1699" s="17"/>
      <c r="Y1699" s="13"/>
      <c r="Z1699" s="13"/>
      <c r="AC1699" s="24"/>
      <c r="AD1699" s="23"/>
    </row>
    <row r="1700" spans="4:30" x14ac:dyDescent="0.25">
      <c r="D1700" s="3"/>
      <c r="E1700" s="15"/>
      <c r="F1700" s="15"/>
      <c r="G1700" s="15"/>
      <c r="H1700" s="15"/>
      <c r="I1700" s="15"/>
      <c r="J1700" s="9"/>
      <c r="K1700" s="9"/>
      <c r="L1700" s="9"/>
      <c r="M1700" s="9"/>
      <c r="N1700" s="9"/>
      <c r="O1700" s="9"/>
      <c r="P1700" s="9"/>
      <c r="Q1700" s="9"/>
      <c r="R1700" s="9"/>
      <c r="S1700" s="9"/>
      <c r="T1700" s="9"/>
      <c r="U1700" s="9"/>
      <c r="V1700" s="9"/>
      <c r="W1700" s="9"/>
      <c r="X1700" s="17"/>
      <c r="Y1700" s="13"/>
      <c r="Z1700" s="13"/>
      <c r="AC1700" s="24"/>
      <c r="AD1700" s="23"/>
    </row>
    <row r="1701" spans="4:30" x14ac:dyDescent="0.25">
      <c r="D1701" s="3"/>
      <c r="E1701" s="15"/>
      <c r="F1701" s="15"/>
      <c r="G1701" s="15"/>
      <c r="H1701" s="15"/>
      <c r="I1701" s="15"/>
      <c r="J1701" s="9"/>
      <c r="K1701" s="9"/>
      <c r="L1701" s="9"/>
      <c r="M1701" s="9"/>
      <c r="N1701" s="9"/>
      <c r="O1701" s="9"/>
      <c r="P1701" s="9"/>
      <c r="Q1701" s="9"/>
      <c r="R1701" s="9"/>
      <c r="S1701" s="9"/>
      <c r="T1701" s="9"/>
      <c r="U1701" s="9"/>
      <c r="V1701" s="9"/>
      <c r="W1701" s="9"/>
      <c r="X1701" s="17"/>
      <c r="Y1701" s="13"/>
      <c r="Z1701" s="13"/>
      <c r="AC1701" s="24"/>
      <c r="AD1701" s="23"/>
    </row>
    <row r="1702" spans="4:30" x14ac:dyDescent="0.25">
      <c r="D1702" s="3"/>
      <c r="E1702" s="15"/>
      <c r="F1702" s="15"/>
      <c r="G1702" s="15"/>
      <c r="H1702" s="15"/>
      <c r="I1702" s="15"/>
      <c r="J1702" s="9"/>
      <c r="K1702" s="9"/>
      <c r="L1702" s="9"/>
      <c r="M1702" s="9"/>
      <c r="N1702" s="9"/>
      <c r="O1702" s="9"/>
      <c r="P1702" s="9"/>
      <c r="Q1702" s="9"/>
      <c r="R1702" s="9"/>
      <c r="S1702" s="9"/>
      <c r="T1702" s="9"/>
      <c r="U1702" s="9"/>
      <c r="V1702" s="9"/>
      <c r="W1702" s="9"/>
      <c r="X1702" s="17"/>
      <c r="Y1702" s="13"/>
      <c r="Z1702" s="13"/>
      <c r="AC1702" s="24"/>
      <c r="AD1702" s="23"/>
    </row>
    <row r="1703" spans="4:30" x14ac:dyDescent="0.25">
      <c r="D1703" s="3"/>
      <c r="E1703" s="15"/>
      <c r="F1703" s="15"/>
      <c r="G1703" s="15"/>
      <c r="H1703" s="15"/>
      <c r="I1703" s="15"/>
      <c r="J1703" s="9"/>
      <c r="K1703" s="9"/>
      <c r="L1703" s="9"/>
      <c r="M1703" s="9"/>
      <c r="N1703" s="9"/>
      <c r="O1703" s="9"/>
      <c r="P1703" s="9"/>
      <c r="Q1703" s="9"/>
      <c r="R1703" s="9"/>
      <c r="S1703" s="9"/>
      <c r="T1703" s="9"/>
      <c r="U1703" s="9"/>
      <c r="V1703" s="9"/>
      <c r="W1703" s="9"/>
      <c r="X1703" s="17"/>
      <c r="Y1703" s="13"/>
      <c r="Z1703" s="13"/>
      <c r="AC1703" s="24"/>
      <c r="AD1703" s="23"/>
    </row>
    <row r="1704" spans="4:30" x14ac:dyDescent="0.25">
      <c r="D1704" s="3"/>
      <c r="E1704" s="15"/>
      <c r="F1704" s="15"/>
      <c r="G1704" s="15"/>
      <c r="H1704" s="15"/>
      <c r="I1704" s="15"/>
      <c r="J1704" s="9"/>
      <c r="K1704" s="9"/>
      <c r="L1704" s="9"/>
      <c r="M1704" s="9"/>
      <c r="N1704" s="9"/>
      <c r="O1704" s="9"/>
      <c r="P1704" s="9"/>
      <c r="Q1704" s="9"/>
      <c r="R1704" s="9"/>
      <c r="S1704" s="9"/>
      <c r="T1704" s="9"/>
      <c r="U1704" s="9"/>
      <c r="V1704" s="9"/>
      <c r="W1704" s="9"/>
      <c r="X1704" s="17"/>
      <c r="Y1704" s="13"/>
      <c r="Z1704" s="13"/>
      <c r="AC1704" s="24"/>
      <c r="AD1704" s="23"/>
    </row>
    <row r="1705" spans="4:30" x14ac:dyDescent="0.25">
      <c r="D1705" s="3"/>
      <c r="E1705" s="15"/>
      <c r="F1705" s="15"/>
      <c r="G1705" s="15"/>
      <c r="H1705" s="15"/>
      <c r="I1705" s="15"/>
      <c r="J1705" s="9"/>
      <c r="K1705" s="9"/>
      <c r="L1705" s="9"/>
      <c r="M1705" s="9"/>
      <c r="N1705" s="9"/>
      <c r="O1705" s="9"/>
      <c r="P1705" s="9"/>
      <c r="Q1705" s="9"/>
      <c r="R1705" s="9"/>
      <c r="S1705" s="9"/>
      <c r="T1705" s="9"/>
      <c r="U1705" s="9"/>
      <c r="V1705" s="9"/>
      <c r="W1705" s="9"/>
      <c r="X1705" s="17"/>
      <c r="Y1705" s="13"/>
      <c r="Z1705" s="13"/>
      <c r="AC1705" s="24"/>
      <c r="AD1705" s="23"/>
    </row>
    <row r="1706" spans="4:30" x14ac:dyDescent="0.25">
      <c r="D1706" s="3"/>
      <c r="E1706" s="15"/>
      <c r="F1706" s="15"/>
      <c r="G1706" s="15"/>
      <c r="H1706" s="15"/>
      <c r="I1706" s="15"/>
      <c r="J1706" s="9"/>
      <c r="K1706" s="9"/>
      <c r="L1706" s="9"/>
      <c r="M1706" s="9"/>
      <c r="N1706" s="9"/>
      <c r="O1706" s="9"/>
      <c r="P1706" s="9"/>
      <c r="Q1706" s="9"/>
      <c r="R1706" s="9"/>
      <c r="S1706" s="9"/>
      <c r="T1706" s="9"/>
      <c r="U1706" s="9"/>
      <c r="V1706" s="9"/>
      <c r="W1706" s="9"/>
      <c r="X1706" s="17"/>
      <c r="Y1706" s="13"/>
      <c r="Z1706" s="13"/>
      <c r="AC1706" s="24"/>
      <c r="AD1706" s="23"/>
    </row>
    <row r="1707" spans="4:30" x14ac:dyDescent="0.25">
      <c r="D1707" s="3"/>
      <c r="E1707" s="15"/>
      <c r="F1707" s="15"/>
      <c r="G1707" s="15"/>
      <c r="H1707" s="15"/>
      <c r="I1707" s="15"/>
      <c r="J1707" s="9"/>
      <c r="K1707" s="9"/>
      <c r="L1707" s="9"/>
      <c r="M1707" s="9"/>
      <c r="N1707" s="9"/>
      <c r="O1707" s="9"/>
      <c r="P1707" s="9"/>
      <c r="Q1707" s="9"/>
      <c r="R1707" s="9"/>
      <c r="S1707" s="9"/>
      <c r="T1707" s="9"/>
      <c r="U1707" s="9"/>
      <c r="V1707" s="9"/>
      <c r="W1707" s="9"/>
      <c r="X1707" s="17"/>
      <c r="Y1707" s="13"/>
      <c r="Z1707" s="13"/>
      <c r="AC1707" s="24"/>
      <c r="AD1707" s="23"/>
    </row>
    <row r="1708" spans="4:30" x14ac:dyDescent="0.25">
      <c r="D1708" s="3"/>
      <c r="E1708" s="15"/>
      <c r="F1708" s="15"/>
      <c r="G1708" s="15"/>
      <c r="H1708" s="15"/>
      <c r="I1708" s="15"/>
      <c r="J1708" s="9"/>
      <c r="K1708" s="9"/>
      <c r="L1708" s="9"/>
      <c r="M1708" s="9"/>
      <c r="N1708" s="9"/>
      <c r="O1708" s="9"/>
      <c r="P1708" s="9"/>
      <c r="Q1708" s="9"/>
      <c r="R1708" s="9"/>
      <c r="S1708" s="9"/>
      <c r="T1708" s="9"/>
      <c r="U1708" s="9"/>
      <c r="V1708" s="9"/>
      <c r="W1708" s="9"/>
      <c r="X1708" s="17"/>
      <c r="Y1708" s="13"/>
      <c r="Z1708" s="13"/>
      <c r="AC1708" s="24"/>
      <c r="AD1708" s="23"/>
    </row>
    <row r="1709" spans="4:30" x14ac:dyDescent="0.25">
      <c r="D1709" s="3"/>
      <c r="E1709" s="15"/>
      <c r="F1709" s="15"/>
      <c r="G1709" s="15"/>
      <c r="H1709" s="15"/>
      <c r="I1709" s="15"/>
      <c r="J1709" s="9"/>
      <c r="K1709" s="9"/>
      <c r="L1709" s="9"/>
      <c r="M1709" s="9"/>
      <c r="N1709" s="9"/>
      <c r="O1709" s="9"/>
      <c r="P1709" s="9"/>
      <c r="Q1709" s="9"/>
      <c r="R1709" s="9"/>
      <c r="S1709" s="9"/>
      <c r="T1709" s="9"/>
      <c r="U1709" s="9"/>
      <c r="V1709" s="9"/>
      <c r="W1709" s="9"/>
      <c r="X1709" s="17"/>
      <c r="Y1709" s="13"/>
      <c r="Z1709" s="13"/>
      <c r="AC1709" s="24"/>
      <c r="AD1709" s="23"/>
    </row>
    <row r="1710" spans="4:30" x14ac:dyDescent="0.25">
      <c r="D1710" s="3"/>
      <c r="E1710" s="15"/>
      <c r="F1710" s="15"/>
      <c r="G1710" s="15"/>
      <c r="H1710" s="15"/>
      <c r="I1710" s="15"/>
      <c r="J1710" s="9"/>
      <c r="K1710" s="9"/>
      <c r="L1710" s="9"/>
      <c r="M1710" s="9"/>
      <c r="N1710" s="9"/>
      <c r="O1710" s="9"/>
      <c r="P1710" s="9"/>
      <c r="Q1710" s="9"/>
      <c r="R1710" s="9"/>
      <c r="S1710" s="9"/>
      <c r="T1710" s="9"/>
      <c r="U1710" s="9"/>
      <c r="V1710" s="9"/>
      <c r="W1710" s="9"/>
      <c r="X1710" s="17"/>
      <c r="Y1710" s="13"/>
      <c r="Z1710" s="13"/>
      <c r="AC1710" s="24"/>
      <c r="AD1710" s="23"/>
    </row>
    <row r="1711" spans="4:30" x14ac:dyDescent="0.25">
      <c r="D1711" s="3"/>
      <c r="E1711" s="15"/>
      <c r="F1711" s="15"/>
      <c r="G1711" s="15"/>
      <c r="H1711" s="15"/>
      <c r="I1711" s="15"/>
      <c r="J1711" s="9"/>
      <c r="K1711" s="9"/>
      <c r="L1711" s="9"/>
      <c r="M1711" s="9"/>
      <c r="N1711" s="9"/>
      <c r="O1711" s="9"/>
      <c r="P1711" s="9"/>
      <c r="Q1711" s="9"/>
      <c r="R1711" s="9"/>
      <c r="S1711" s="9"/>
      <c r="T1711" s="9"/>
      <c r="U1711" s="9"/>
      <c r="V1711" s="9"/>
      <c r="W1711" s="9"/>
      <c r="X1711" s="17"/>
      <c r="Y1711" s="13"/>
      <c r="Z1711" s="13"/>
      <c r="AC1711" s="24"/>
      <c r="AD1711" s="23"/>
    </row>
    <row r="1712" spans="4:30" x14ac:dyDescent="0.25">
      <c r="D1712" s="3"/>
      <c r="E1712" s="15"/>
      <c r="F1712" s="15"/>
      <c r="G1712" s="15"/>
      <c r="H1712" s="15"/>
      <c r="I1712" s="15"/>
      <c r="J1712" s="9"/>
      <c r="K1712" s="9"/>
      <c r="L1712" s="9"/>
      <c r="M1712" s="9"/>
      <c r="N1712" s="9"/>
      <c r="O1712" s="9"/>
      <c r="P1712" s="9"/>
      <c r="Q1712" s="9"/>
      <c r="R1712" s="9"/>
      <c r="S1712" s="9"/>
      <c r="T1712" s="9"/>
      <c r="U1712" s="9"/>
      <c r="V1712" s="9"/>
      <c r="W1712" s="9"/>
      <c r="X1712" s="17"/>
      <c r="Y1712" s="13"/>
      <c r="Z1712" s="13"/>
      <c r="AC1712" s="24"/>
      <c r="AD1712" s="23"/>
    </row>
    <row r="1713" spans="4:30" x14ac:dyDescent="0.25">
      <c r="D1713" s="3"/>
      <c r="E1713" s="15"/>
      <c r="F1713" s="15"/>
      <c r="G1713" s="15"/>
      <c r="H1713" s="15"/>
      <c r="I1713" s="15"/>
      <c r="J1713" s="9"/>
      <c r="K1713" s="9"/>
      <c r="L1713" s="9"/>
      <c r="M1713" s="9"/>
      <c r="N1713" s="9"/>
      <c r="O1713" s="9"/>
      <c r="P1713" s="9"/>
      <c r="Q1713" s="9"/>
      <c r="R1713" s="9"/>
      <c r="S1713" s="9"/>
      <c r="T1713" s="9"/>
      <c r="U1713" s="9"/>
      <c r="V1713" s="9"/>
      <c r="W1713" s="9"/>
      <c r="X1713" s="17"/>
      <c r="Y1713" s="13"/>
      <c r="Z1713" s="13"/>
      <c r="AC1713" s="24"/>
      <c r="AD1713" s="23"/>
    </row>
    <row r="1714" spans="4:30" x14ac:dyDescent="0.25">
      <c r="D1714" s="3"/>
      <c r="E1714" s="15"/>
      <c r="F1714" s="15"/>
      <c r="G1714" s="15"/>
      <c r="H1714" s="15"/>
      <c r="I1714" s="15"/>
      <c r="J1714" s="9"/>
      <c r="K1714" s="9"/>
      <c r="L1714" s="9"/>
      <c r="M1714" s="9"/>
      <c r="N1714" s="9"/>
      <c r="O1714" s="9"/>
      <c r="P1714" s="9"/>
      <c r="Q1714" s="9"/>
      <c r="R1714" s="9"/>
      <c r="S1714" s="9"/>
      <c r="T1714" s="9"/>
      <c r="U1714" s="9"/>
      <c r="V1714" s="9"/>
      <c r="W1714" s="9"/>
      <c r="X1714" s="17"/>
      <c r="Y1714" s="13"/>
      <c r="Z1714" s="13"/>
      <c r="AC1714" s="24"/>
      <c r="AD1714" s="23"/>
    </row>
    <row r="1715" spans="4:30" x14ac:dyDescent="0.25">
      <c r="D1715" s="3"/>
      <c r="E1715" s="15"/>
      <c r="F1715" s="15"/>
      <c r="G1715" s="15"/>
      <c r="H1715" s="15"/>
      <c r="I1715" s="15"/>
      <c r="J1715" s="9"/>
      <c r="K1715" s="9"/>
      <c r="L1715" s="9"/>
      <c r="M1715" s="9"/>
      <c r="N1715" s="9"/>
      <c r="O1715" s="9"/>
      <c r="P1715" s="9"/>
      <c r="Q1715" s="9"/>
      <c r="R1715" s="9"/>
      <c r="S1715" s="9"/>
      <c r="T1715" s="9"/>
      <c r="U1715" s="9"/>
      <c r="V1715" s="9"/>
      <c r="W1715" s="9"/>
      <c r="X1715" s="17"/>
      <c r="Y1715" s="13"/>
      <c r="Z1715" s="13"/>
      <c r="AC1715" s="24"/>
      <c r="AD1715" s="23"/>
    </row>
    <row r="1716" spans="4:30" x14ac:dyDescent="0.25">
      <c r="D1716" s="3"/>
      <c r="E1716" s="15"/>
      <c r="F1716" s="15"/>
      <c r="G1716" s="15"/>
      <c r="H1716" s="15"/>
      <c r="I1716" s="15"/>
      <c r="J1716" s="9"/>
      <c r="K1716" s="9"/>
      <c r="L1716" s="9"/>
      <c r="M1716" s="9"/>
      <c r="N1716" s="9"/>
      <c r="O1716" s="9"/>
      <c r="P1716" s="9"/>
      <c r="Q1716" s="9"/>
      <c r="R1716" s="9"/>
      <c r="S1716" s="9"/>
      <c r="T1716" s="9"/>
      <c r="U1716" s="9"/>
      <c r="V1716" s="9"/>
      <c r="W1716" s="9"/>
      <c r="X1716" s="17"/>
      <c r="Y1716" s="13"/>
      <c r="Z1716" s="13"/>
      <c r="AC1716" s="24"/>
      <c r="AD1716" s="23"/>
    </row>
    <row r="1717" spans="4:30" x14ac:dyDescent="0.25">
      <c r="D1717" s="3"/>
      <c r="E1717" s="15"/>
      <c r="F1717" s="15"/>
      <c r="G1717" s="15"/>
      <c r="H1717" s="15"/>
      <c r="I1717" s="15"/>
      <c r="J1717" s="9"/>
      <c r="K1717" s="9"/>
      <c r="L1717" s="9"/>
      <c r="M1717" s="9"/>
      <c r="N1717" s="9"/>
      <c r="O1717" s="9"/>
      <c r="P1717" s="9"/>
      <c r="Q1717" s="9"/>
      <c r="R1717" s="9"/>
      <c r="S1717" s="9"/>
      <c r="T1717" s="9"/>
      <c r="U1717" s="9"/>
      <c r="V1717" s="9"/>
      <c r="W1717" s="9"/>
      <c r="X1717" s="17"/>
      <c r="Y1717" s="13"/>
      <c r="Z1717" s="13"/>
      <c r="AC1717" s="24"/>
      <c r="AD1717" s="23"/>
    </row>
    <row r="1718" spans="4:30" x14ac:dyDescent="0.25">
      <c r="D1718" s="3"/>
      <c r="E1718" s="15"/>
      <c r="F1718" s="15"/>
      <c r="G1718" s="15"/>
      <c r="H1718" s="15"/>
      <c r="I1718" s="15"/>
      <c r="J1718" s="9"/>
      <c r="K1718" s="9"/>
      <c r="L1718" s="9"/>
      <c r="M1718" s="9"/>
      <c r="N1718" s="9"/>
      <c r="O1718" s="9"/>
      <c r="P1718" s="9"/>
      <c r="Q1718" s="9"/>
      <c r="R1718" s="9"/>
      <c r="S1718" s="9"/>
      <c r="T1718" s="9"/>
      <c r="U1718" s="9"/>
      <c r="V1718" s="9"/>
      <c r="W1718" s="9"/>
      <c r="X1718" s="17"/>
      <c r="Y1718" s="13"/>
      <c r="Z1718" s="13"/>
      <c r="AC1718" s="24"/>
      <c r="AD1718" s="23"/>
    </row>
    <row r="1719" spans="4:30" x14ac:dyDescent="0.25">
      <c r="D1719" s="3"/>
      <c r="E1719" s="15"/>
      <c r="F1719" s="15"/>
      <c r="G1719" s="15"/>
      <c r="H1719" s="15"/>
      <c r="I1719" s="15"/>
      <c r="J1719" s="9"/>
      <c r="K1719" s="9"/>
      <c r="L1719" s="9"/>
      <c r="M1719" s="9"/>
      <c r="N1719" s="9"/>
      <c r="O1719" s="9"/>
      <c r="P1719" s="9"/>
      <c r="Q1719" s="9"/>
      <c r="R1719" s="9"/>
      <c r="S1719" s="9"/>
      <c r="T1719" s="9"/>
      <c r="U1719" s="9"/>
      <c r="V1719" s="9"/>
      <c r="W1719" s="9"/>
      <c r="X1719" s="17"/>
      <c r="Y1719" s="13"/>
      <c r="Z1719" s="13"/>
      <c r="AC1719" s="24"/>
      <c r="AD1719" s="23"/>
    </row>
    <row r="1720" spans="4:30" x14ac:dyDescent="0.25">
      <c r="D1720" s="3"/>
      <c r="E1720" s="15"/>
      <c r="F1720" s="15"/>
      <c r="G1720" s="15"/>
      <c r="H1720" s="15"/>
      <c r="I1720" s="15"/>
      <c r="J1720" s="9"/>
      <c r="K1720" s="9"/>
      <c r="L1720" s="9"/>
      <c r="M1720" s="9"/>
      <c r="N1720" s="9"/>
      <c r="O1720" s="9"/>
      <c r="P1720" s="9"/>
      <c r="Q1720" s="9"/>
      <c r="R1720" s="9"/>
      <c r="S1720" s="9"/>
      <c r="T1720" s="9"/>
      <c r="U1720" s="9"/>
      <c r="V1720" s="9"/>
      <c r="W1720" s="9"/>
      <c r="X1720" s="17"/>
      <c r="Y1720" s="13"/>
      <c r="Z1720" s="13"/>
      <c r="AC1720" s="24"/>
      <c r="AD1720" s="23"/>
    </row>
    <row r="1721" spans="4:30" x14ac:dyDescent="0.25">
      <c r="D1721" s="3"/>
      <c r="E1721" s="15"/>
      <c r="F1721" s="15"/>
      <c r="G1721" s="15"/>
      <c r="H1721" s="15"/>
      <c r="I1721" s="15"/>
      <c r="J1721" s="9"/>
      <c r="K1721" s="9"/>
      <c r="L1721" s="9"/>
      <c r="M1721" s="9"/>
      <c r="N1721" s="9"/>
      <c r="O1721" s="9"/>
      <c r="P1721" s="9"/>
      <c r="Q1721" s="9"/>
      <c r="R1721" s="9"/>
      <c r="S1721" s="9"/>
      <c r="T1721" s="9"/>
      <c r="U1721" s="9"/>
      <c r="V1721" s="9"/>
      <c r="W1721" s="9"/>
      <c r="X1721" s="17"/>
      <c r="Y1721" s="13"/>
      <c r="Z1721" s="13"/>
      <c r="AC1721" s="24"/>
      <c r="AD1721" s="23"/>
    </row>
    <row r="1722" spans="4:30" x14ac:dyDescent="0.25">
      <c r="D1722" s="3"/>
      <c r="E1722" s="15"/>
      <c r="F1722" s="15"/>
      <c r="G1722" s="15"/>
      <c r="H1722" s="15"/>
      <c r="I1722" s="15"/>
      <c r="J1722" s="9"/>
      <c r="K1722" s="9"/>
      <c r="L1722" s="9"/>
      <c r="M1722" s="9"/>
      <c r="N1722" s="9"/>
      <c r="O1722" s="9"/>
      <c r="P1722" s="9"/>
      <c r="Q1722" s="9"/>
      <c r="R1722" s="9"/>
      <c r="S1722" s="9"/>
      <c r="T1722" s="9"/>
      <c r="U1722" s="9"/>
      <c r="V1722" s="9"/>
      <c r="W1722" s="9"/>
      <c r="X1722" s="17"/>
      <c r="Y1722" s="13"/>
      <c r="Z1722" s="13"/>
      <c r="AC1722" s="24"/>
      <c r="AD1722" s="23"/>
    </row>
    <row r="1723" spans="4:30" x14ac:dyDescent="0.25">
      <c r="D1723" s="3"/>
      <c r="E1723" s="15"/>
      <c r="F1723" s="15"/>
      <c r="G1723" s="15"/>
      <c r="H1723" s="15"/>
      <c r="I1723" s="15"/>
      <c r="J1723" s="9"/>
      <c r="K1723" s="9"/>
      <c r="L1723" s="9"/>
      <c r="M1723" s="9"/>
      <c r="N1723" s="9"/>
      <c r="O1723" s="9"/>
      <c r="P1723" s="9"/>
      <c r="Q1723" s="9"/>
      <c r="R1723" s="9"/>
      <c r="S1723" s="9"/>
      <c r="T1723" s="9"/>
      <c r="U1723" s="9"/>
      <c r="V1723" s="9"/>
      <c r="W1723" s="9"/>
      <c r="X1723" s="17"/>
      <c r="Y1723" s="13"/>
      <c r="Z1723" s="13"/>
      <c r="AC1723" s="24"/>
      <c r="AD1723" s="23"/>
    </row>
    <row r="1724" spans="4:30" x14ac:dyDescent="0.25">
      <c r="D1724" s="3"/>
      <c r="E1724" s="15"/>
      <c r="F1724" s="15"/>
      <c r="G1724" s="15"/>
      <c r="H1724" s="15"/>
      <c r="I1724" s="15"/>
      <c r="J1724" s="9"/>
      <c r="K1724" s="9"/>
      <c r="L1724" s="9"/>
      <c r="M1724" s="9"/>
      <c r="N1724" s="9"/>
      <c r="O1724" s="9"/>
      <c r="P1724" s="9"/>
      <c r="Q1724" s="9"/>
      <c r="R1724" s="9"/>
      <c r="S1724" s="9"/>
      <c r="T1724" s="9"/>
      <c r="U1724" s="9"/>
      <c r="V1724" s="9"/>
      <c r="W1724" s="9"/>
      <c r="X1724" s="17"/>
      <c r="Y1724" s="13"/>
      <c r="Z1724" s="13"/>
      <c r="AC1724" s="24"/>
      <c r="AD1724" s="23"/>
    </row>
    <row r="1725" spans="4:30" x14ac:dyDescent="0.25">
      <c r="D1725" s="3"/>
      <c r="E1725" s="15"/>
      <c r="F1725" s="15"/>
      <c r="G1725" s="15"/>
      <c r="H1725" s="15"/>
      <c r="I1725" s="15"/>
      <c r="J1725" s="9"/>
      <c r="K1725" s="9"/>
      <c r="L1725" s="9"/>
      <c r="M1725" s="9"/>
      <c r="N1725" s="9"/>
      <c r="O1725" s="9"/>
      <c r="P1725" s="9"/>
      <c r="Q1725" s="9"/>
      <c r="R1725" s="9"/>
      <c r="S1725" s="9"/>
      <c r="T1725" s="9"/>
      <c r="U1725" s="9"/>
      <c r="V1725" s="9"/>
      <c r="W1725" s="9"/>
      <c r="X1725" s="17"/>
      <c r="Y1725" s="13"/>
      <c r="Z1725" s="13"/>
      <c r="AC1725" s="24"/>
      <c r="AD1725" s="23"/>
    </row>
    <row r="1726" spans="4:30" x14ac:dyDescent="0.25">
      <c r="D1726" s="3"/>
      <c r="E1726" s="15"/>
      <c r="F1726" s="15"/>
      <c r="G1726" s="15"/>
      <c r="H1726" s="15"/>
      <c r="I1726" s="15"/>
      <c r="J1726" s="9"/>
      <c r="K1726" s="9"/>
      <c r="L1726" s="9"/>
      <c r="M1726" s="9"/>
      <c r="N1726" s="9"/>
      <c r="O1726" s="9"/>
      <c r="P1726" s="9"/>
      <c r="Q1726" s="9"/>
      <c r="R1726" s="9"/>
      <c r="S1726" s="9"/>
      <c r="T1726" s="9"/>
      <c r="U1726" s="9"/>
      <c r="V1726" s="9"/>
      <c r="W1726" s="9"/>
      <c r="X1726" s="17"/>
      <c r="Y1726" s="13"/>
      <c r="Z1726" s="13"/>
      <c r="AC1726" s="24"/>
      <c r="AD1726" s="23"/>
    </row>
    <row r="1727" spans="4:30" x14ac:dyDescent="0.25">
      <c r="D1727" s="3"/>
      <c r="E1727" s="15"/>
      <c r="F1727" s="15"/>
      <c r="G1727" s="15"/>
      <c r="H1727" s="15"/>
      <c r="I1727" s="15"/>
      <c r="J1727" s="9"/>
      <c r="K1727" s="9"/>
      <c r="L1727" s="9"/>
      <c r="M1727" s="9"/>
      <c r="N1727" s="9"/>
      <c r="O1727" s="9"/>
      <c r="P1727" s="9"/>
      <c r="Q1727" s="9"/>
      <c r="R1727" s="9"/>
      <c r="S1727" s="9"/>
      <c r="T1727" s="9"/>
      <c r="U1727" s="9"/>
      <c r="V1727" s="9"/>
      <c r="W1727" s="9"/>
      <c r="X1727" s="17"/>
      <c r="Y1727" s="13"/>
      <c r="Z1727" s="13"/>
      <c r="AC1727" s="24"/>
      <c r="AD1727" s="23"/>
    </row>
    <row r="1728" spans="4:30" x14ac:dyDescent="0.25">
      <c r="D1728" s="3"/>
      <c r="E1728" s="15"/>
      <c r="F1728" s="15"/>
      <c r="G1728" s="15"/>
      <c r="H1728" s="15"/>
      <c r="I1728" s="15"/>
      <c r="J1728" s="9"/>
      <c r="K1728" s="9"/>
      <c r="L1728" s="9"/>
      <c r="M1728" s="9"/>
      <c r="N1728" s="9"/>
      <c r="O1728" s="9"/>
      <c r="P1728" s="9"/>
      <c r="Q1728" s="9"/>
      <c r="R1728" s="9"/>
      <c r="S1728" s="9"/>
      <c r="T1728" s="9"/>
      <c r="U1728" s="9"/>
      <c r="V1728" s="9"/>
      <c r="W1728" s="9"/>
      <c r="X1728" s="17"/>
      <c r="Y1728" s="13"/>
      <c r="Z1728" s="13"/>
      <c r="AC1728" s="24"/>
      <c r="AD1728" s="23"/>
    </row>
    <row r="1729" spans="4:30" x14ac:dyDescent="0.25">
      <c r="D1729" s="3"/>
      <c r="E1729" s="15"/>
      <c r="F1729" s="15"/>
      <c r="G1729" s="15"/>
      <c r="H1729" s="15"/>
      <c r="I1729" s="15"/>
      <c r="J1729" s="9"/>
      <c r="K1729" s="9"/>
      <c r="L1729" s="9"/>
      <c r="M1729" s="9"/>
      <c r="N1729" s="9"/>
      <c r="O1729" s="9"/>
      <c r="P1729" s="9"/>
      <c r="Q1729" s="9"/>
      <c r="R1729" s="9"/>
      <c r="S1729" s="9"/>
      <c r="T1729" s="9"/>
      <c r="U1729" s="9"/>
      <c r="V1729" s="9"/>
      <c r="W1729" s="9"/>
      <c r="X1729" s="17"/>
      <c r="Y1729" s="13"/>
      <c r="Z1729" s="13"/>
      <c r="AC1729" s="24"/>
      <c r="AD1729" s="23"/>
    </row>
    <row r="1730" spans="4:30" x14ac:dyDescent="0.25">
      <c r="D1730" s="3"/>
      <c r="E1730" s="15"/>
      <c r="F1730" s="15"/>
      <c r="G1730" s="15"/>
      <c r="H1730" s="15"/>
      <c r="I1730" s="15"/>
      <c r="J1730" s="9"/>
      <c r="K1730" s="9"/>
      <c r="L1730" s="9"/>
      <c r="M1730" s="9"/>
      <c r="N1730" s="9"/>
      <c r="O1730" s="9"/>
      <c r="P1730" s="9"/>
      <c r="Q1730" s="9"/>
      <c r="R1730" s="9"/>
      <c r="S1730" s="9"/>
      <c r="T1730" s="9"/>
      <c r="U1730" s="9"/>
      <c r="V1730" s="9"/>
      <c r="W1730" s="9"/>
      <c r="X1730" s="17"/>
      <c r="Y1730" s="13"/>
      <c r="Z1730" s="13"/>
      <c r="AC1730" s="24"/>
      <c r="AD1730" s="23"/>
    </row>
    <row r="1731" spans="4:30" x14ac:dyDescent="0.25">
      <c r="D1731" s="3"/>
      <c r="E1731" s="15"/>
      <c r="F1731" s="15"/>
      <c r="G1731" s="15"/>
      <c r="H1731" s="15"/>
      <c r="I1731" s="15"/>
      <c r="J1731" s="9"/>
      <c r="K1731" s="9"/>
      <c r="L1731" s="9"/>
      <c r="M1731" s="9"/>
      <c r="N1731" s="9"/>
      <c r="O1731" s="9"/>
      <c r="P1731" s="9"/>
      <c r="Q1731" s="9"/>
      <c r="R1731" s="9"/>
      <c r="S1731" s="9"/>
      <c r="T1731" s="9"/>
      <c r="U1731" s="9"/>
      <c r="V1731" s="9"/>
      <c r="W1731" s="9"/>
      <c r="X1731" s="17"/>
      <c r="Y1731" s="13"/>
      <c r="Z1731" s="13"/>
      <c r="AC1731" s="24"/>
      <c r="AD1731" s="23"/>
    </row>
    <row r="1732" spans="4:30" x14ac:dyDescent="0.25">
      <c r="D1732" s="3"/>
      <c r="E1732" s="15"/>
      <c r="F1732" s="15"/>
      <c r="G1732" s="15"/>
      <c r="H1732" s="15"/>
      <c r="I1732" s="15"/>
      <c r="J1732" s="9"/>
      <c r="K1732" s="9"/>
      <c r="L1732" s="9"/>
      <c r="M1732" s="9"/>
      <c r="N1732" s="9"/>
      <c r="O1732" s="9"/>
      <c r="P1732" s="9"/>
      <c r="Q1732" s="9"/>
      <c r="R1732" s="9"/>
      <c r="S1732" s="9"/>
      <c r="T1732" s="9"/>
      <c r="U1732" s="9"/>
      <c r="V1732" s="9"/>
      <c r="W1732" s="9"/>
      <c r="X1732" s="17"/>
      <c r="Y1732" s="13"/>
      <c r="Z1732" s="13"/>
      <c r="AC1732" s="24"/>
      <c r="AD1732" s="23"/>
    </row>
    <row r="1733" spans="4:30" x14ac:dyDescent="0.25">
      <c r="D1733" s="3"/>
      <c r="E1733" s="15"/>
      <c r="F1733" s="15"/>
      <c r="G1733" s="15"/>
      <c r="H1733" s="15"/>
      <c r="I1733" s="15"/>
      <c r="J1733" s="9"/>
      <c r="K1733" s="9"/>
      <c r="L1733" s="9"/>
      <c r="M1733" s="9"/>
      <c r="N1733" s="9"/>
      <c r="O1733" s="9"/>
      <c r="P1733" s="9"/>
      <c r="Q1733" s="9"/>
      <c r="R1733" s="9"/>
      <c r="S1733" s="9"/>
      <c r="T1733" s="9"/>
      <c r="U1733" s="9"/>
      <c r="V1733" s="9"/>
      <c r="W1733" s="9"/>
      <c r="X1733" s="17"/>
      <c r="Y1733" s="13"/>
      <c r="Z1733" s="13"/>
      <c r="AC1733" s="24"/>
      <c r="AD1733" s="23"/>
    </row>
    <row r="1734" spans="4:30" x14ac:dyDescent="0.25">
      <c r="D1734" s="3"/>
      <c r="E1734" s="15"/>
      <c r="F1734" s="15"/>
      <c r="G1734" s="15"/>
      <c r="H1734" s="15"/>
      <c r="I1734" s="15"/>
      <c r="J1734" s="9"/>
      <c r="K1734" s="9"/>
      <c r="L1734" s="9"/>
      <c r="M1734" s="9"/>
      <c r="N1734" s="9"/>
      <c r="O1734" s="9"/>
      <c r="P1734" s="9"/>
      <c r="Q1734" s="9"/>
      <c r="R1734" s="9"/>
      <c r="S1734" s="9"/>
      <c r="T1734" s="9"/>
      <c r="U1734" s="9"/>
      <c r="V1734" s="9"/>
      <c r="W1734" s="9"/>
      <c r="X1734" s="17"/>
      <c r="Y1734" s="13"/>
      <c r="Z1734" s="13"/>
      <c r="AC1734" s="24"/>
      <c r="AD1734" s="23"/>
    </row>
    <row r="1735" spans="4:30" x14ac:dyDescent="0.25">
      <c r="D1735" s="3"/>
      <c r="E1735" s="15"/>
      <c r="F1735" s="15"/>
      <c r="G1735" s="15"/>
      <c r="H1735" s="15"/>
      <c r="I1735" s="15"/>
      <c r="J1735" s="9"/>
      <c r="K1735" s="9"/>
      <c r="L1735" s="9"/>
      <c r="M1735" s="9"/>
      <c r="N1735" s="9"/>
      <c r="O1735" s="9"/>
      <c r="P1735" s="9"/>
      <c r="Q1735" s="9"/>
      <c r="R1735" s="9"/>
      <c r="S1735" s="9"/>
      <c r="T1735" s="9"/>
      <c r="U1735" s="9"/>
      <c r="V1735" s="9"/>
      <c r="W1735" s="9"/>
      <c r="X1735" s="17"/>
      <c r="Y1735" s="13"/>
      <c r="Z1735" s="13"/>
      <c r="AC1735" s="24"/>
      <c r="AD1735" s="23"/>
    </row>
    <row r="1736" spans="4:30" x14ac:dyDescent="0.25">
      <c r="D1736" s="3"/>
      <c r="E1736" s="15"/>
      <c r="F1736" s="15"/>
      <c r="G1736" s="15"/>
      <c r="H1736" s="15"/>
      <c r="I1736" s="15"/>
      <c r="J1736" s="9"/>
      <c r="K1736" s="9"/>
      <c r="L1736" s="9"/>
      <c r="M1736" s="9"/>
      <c r="N1736" s="9"/>
      <c r="O1736" s="9"/>
      <c r="P1736" s="9"/>
      <c r="Q1736" s="9"/>
      <c r="R1736" s="9"/>
      <c r="S1736" s="9"/>
      <c r="T1736" s="9"/>
      <c r="U1736" s="9"/>
      <c r="V1736" s="9"/>
      <c r="W1736" s="9"/>
      <c r="X1736" s="17"/>
      <c r="Y1736" s="13"/>
      <c r="Z1736" s="13"/>
      <c r="AC1736" s="24"/>
      <c r="AD1736" s="23"/>
    </row>
    <row r="1737" spans="4:30" x14ac:dyDescent="0.25">
      <c r="D1737" s="3"/>
      <c r="E1737" s="15"/>
      <c r="F1737" s="15"/>
      <c r="G1737" s="15"/>
      <c r="H1737" s="15"/>
      <c r="I1737" s="15"/>
      <c r="J1737" s="9"/>
      <c r="K1737" s="9"/>
      <c r="L1737" s="9"/>
      <c r="M1737" s="9"/>
      <c r="N1737" s="9"/>
      <c r="O1737" s="9"/>
      <c r="P1737" s="9"/>
      <c r="Q1737" s="9"/>
      <c r="R1737" s="9"/>
      <c r="S1737" s="9"/>
      <c r="T1737" s="9"/>
      <c r="U1737" s="9"/>
      <c r="V1737" s="9"/>
      <c r="W1737" s="9"/>
      <c r="X1737" s="17"/>
      <c r="Y1737" s="13"/>
      <c r="Z1737" s="13"/>
      <c r="AC1737" s="24"/>
      <c r="AD1737" s="23"/>
    </row>
    <row r="1738" spans="4:30" x14ac:dyDescent="0.25">
      <c r="D1738" s="3"/>
      <c r="E1738" s="15"/>
      <c r="F1738" s="15"/>
      <c r="G1738" s="15"/>
      <c r="H1738" s="15"/>
      <c r="I1738" s="15"/>
      <c r="J1738" s="9"/>
      <c r="K1738" s="9"/>
      <c r="L1738" s="9"/>
      <c r="M1738" s="9"/>
      <c r="N1738" s="9"/>
      <c r="O1738" s="9"/>
      <c r="P1738" s="9"/>
      <c r="Q1738" s="9"/>
      <c r="R1738" s="9"/>
      <c r="S1738" s="9"/>
      <c r="T1738" s="9"/>
      <c r="U1738" s="9"/>
      <c r="V1738" s="9"/>
      <c r="W1738" s="9"/>
      <c r="X1738" s="17"/>
      <c r="Y1738" s="13"/>
      <c r="Z1738" s="13"/>
      <c r="AC1738" s="24"/>
      <c r="AD1738" s="23"/>
    </row>
    <row r="1739" spans="4:30" x14ac:dyDescent="0.25">
      <c r="D1739" s="3"/>
      <c r="E1739" s="15"/>
      <c r="F1739" s="15"/>
      <c r="G1739" s="15"/>
      <c r="H1739" s="15"/>
      <c r="I1739" s="15"/>
      <c r="J1739" s="9"/>
      <c r="K1739" s="9"/>
      <c r="L1739" s="9"/>
      <c r="M1739" s="9"/>
      <c r="N1739" s="9"/>
      <c r="O1739" s="9"/>
      <c r="P1739" s="9"/>
      <c r="Q1739" s="9"/>
      <c r="R1739" s="9"/>
      <c r="S1739" s="9"/>
      <c r="T1739" s="9"/>
      <c r="U1739" s="9"/>
      <c r="V1739" s="9"/>
      <c r="W1739" s="9"/>
      <c r="X1739" s="17"/>
      <c r="Y1739" s="13"/>
      <c r="Z1739" s="13"/>
      <c r="AC1739" s="24"/>
      <c r="AD1739" s="23"/>
    </row>
    <row r="1740" spans="4:30" x14ac:dyDescent="0.25">
      <c r="D1740" s="3"/>
      <c r="E1740" s="15"/>
      <c r="F1740" s="15"/>
      <c r="G1740" s="15"/>
      <c r="H1740" s="15"/>
      <c r="I1740" s="15"/>
      <c r="J1740" s="9"/>
      <c r="K1740" s="9"/>
      <c r="L1740" s="9"/>
      <c r="M1740" s="9"/>
      <c r="N1740" s="9"/>
      <c r="O1740" s="9"/>
      <c r="P1740" s="9"/>
      <c r="Q1740" s="9"/>
      <c r="R1740" s="9"/>
      <c r="S1740" s="9"/>
      <c r="T1740" s="9"/>
      <c r="U1740" s="9"/>
      <c r="V1740" s="9"/>
      <c r="W1740" s="9"/>
      <c r="X1740" s="17"/>
      <c r="Y1740" s="13"/>
      <c r="Z1740" s="13"/>
      <c r="AC1740" s="24"/>
      <c r="AD1740" s="23"/>
    </row>
    <row r="1741" spans="4:30" x14ac:dyDescent="0.25">
      <c r="D1741" s="3"/>
      <c r="E1741" s="15"/>
      <c r="F1741" s="15"/>
      <c r="G1741" s="15"/>
      <c r="H1741" s="15"/>
      <c r="I1741" s="15"/>
      <c r="J1741" s="9"/>
      <c r="K1741" s="9"/>
      <c r="L1741" s="9"/>
      <c r="M1741" s="9"/>
      <c r="N1741" s="9"/>
      <c r="O1741" s="9"/>
      <c r="P1741" s="9"/>
      <c r="Q1741" s="9"/>
      <c r="R1741" s="9"/>
      <c r="S1741" s="9"/>
      <c r="T1741" s="9"/>
      <c r="U1741" s="9"/>
      <c r="V1741" s="9"/>
      <c r="W1741" s="9"/>
      <c r="X1741" s="17"/>
      <c r="Y1741" s="13"/>
      <c r="Z1741" s="13"/>
      <c r="AC1741" s="24"/>
      <c r="AD1741" s="23"/>
    </row>
    <row r="1742" spans="4:30" x14ac:dyDescent="0.25">
      <c r="D1742" s="3"/>
      <c r="E1742" s="15"/>
      <c r="F1742" s="15"/>
      <c r="G1742" s="15"/>
      <c r="H1742" s="15"/>
      <c r="I1742" s="15"/>
      <c r="J1742" s="9"/>
      <c r="K1742" s="9"/>
      <c r="L1742" s="9"/>
      <c r="M1742" s="9"/>
      <c r="N1742" s="9"/>
      <c r="O1742" s="9"/>
      <c r="P1742" s="9"/>
      <c r="Q1742" s="9"/>
      <c r="R1742" s="9"/>
      <c r="S1742" s="9"/>
      <c r="T1742" s="9"/>
      <c r="U1742" s="9"/>
      <c r="V1742" s="9"/>
      <c r="W1742" s="9"/>
      <c r="X1742" s="17"/>
      <c r="Y1742" s="13"/>
      <c r="Z1742" s="13"/>
      <c r="AC1742" s="24"/>
      <c r="AD1742" s="23"/>
    </row>
    <row r="1743" spans="4:30" x14ac:dyDescent="0.25">
      <c r="D1743" s="3"/>
      <c r="E1743" s="15"/>
      <c r="F1743" s="15"/>
      <c r="G1743" s="15"/>
      <c r="H1743" s="15"/>
      <c r="I1743" s="15"/>
      <c r="J1743" s="9"/>
      <c r="K1743" s="9"/>
      <c r="L1743" s="9"/>
      <c r="M1743" s="9"/>
      <c r="N1743" s="9"/>
      <c r="O1743" s="9"/>
      <c r="P1743" s="9"/>
      <c r="Q1743" s="9"/>
      <c r="R1743" s="9"/>
      <c r="S1743" s="9"/>
      <c r="T1743" s="9"/>
      <c r="U1743" s="9"/>
      <c r="V1743" s="9"/>
      <c r="W1743" s="9"/>
      <c r="X1743" s="17"/>
      <c r="Y1743" s="13"/>
      <c r="Z1743" s="13"/>
      <c r="AC1743" s="24"/>
      <c r="AD1743" s="23"/>
    </row>
    <row r="1744" spans="4:30" x14ac:dyDescent="0.25">
      <c r="D1744" s="3"/>
      <c r="E1744" s="15"/>
      <c r="F1744" s="15"/>
      <c r="G1744" s="15"/>
      <c r="H1744" s="15"/>
      <c r="I1744" s="15"/>
      <c r="J1744" s="9"/>
      <c r="K1744" s="9"/>
      <c r="L1744" s="9"/>
      <c r="M1744" s="9"/>
      <c r="N1744" s="9"/>
      <c r="O1744" s="9"/>
      <c r="P1744" s="9"/>
      <c r="Q1744" s="9"/>
      <c r="R1744" s="9"/>
      <c r="S1744" s="9"/>
      <c r="T1744" s="9"/>
      <c r="U1744" s="9"/>
      <c r="V1744" s="9"/>
      <c r="W1744" s="9"/>
      <c r="X1744" s="17"/>
      <c r="Y1744" s="13"/>
      <c r="Z1744" s="13"/>
      <c r="AC1744" s="24"/>
      <c r="AD1744" s="23"/>
    </row>
    <row r="1745" spans="4:30" x14ac:dyDescent="0.25">
      <c r="D1745" s="3"/>
      <c r="E1745" s="15"/>
      <c r="F1745" s="15"/>
      <c r="G1745" s="15"/>
      <c r="H1745" s="15"/>
      <c r="I1745" s="15"/>
      <c r="J1745" s="9"/>
      <c r="K1745" s="9"/>
      <c r="L1745" s="9"/>
      <c r="M1745" s="9"/>
      <c r="N1745" s="9"/>
      <c r="O1745" s="9"/>
      <c r="P1745" s="9"/>
      <c r="Q1745" s="9"/>
      <c r="R1745" s="9"/>
      <c r="S1745" s="9"/>
      <c r="T1745" s="9"/>
      <c r="U1745" s="9"/>
      <c r="V1745" s="9"/>
      <c r="W1745" s="9"/>
      <c r="X1745" s="17"/>
      <c r="Y1745" s="13"/>
      <c r="Z1745" s="13"/>
      <c r="AC1745" s="24"/>
      <c r="AD1745" s="23"/>
    </row>
    <row r="1746" spans="4:30" x14ac:dyDescent="0.25">
      <c r="D1746" s="3"/>
      <c r="E1746" s="15"/>
      <c r="F1746" s="15"/>
      <c r="G1746" s="15"/>
      <c r="H1746" s="15"/>
      <c r="I1746" s="15"/>
      <c r="J1746" s="9"/>
      <c r="K1746" s="9"/>
      <c r="L1746" s="9"/>
      <c r="M1746" s="9"/>
      <c r="N1746" s="9"/>
      <c r="O1746" s="9"/>
      <c r="P1746" s="9"/>
      <c r="Q1746" s="9"/>
      <c r="R1746" s="9"/>
      <c r="S1746" s="9"/>
      <c r="T1746" s="9"/>
      <c r="U1746" s="9"/>
      <c r="V1746" s="9"/>
      <c r="W1746" s="9"/>
      <c r="X1746" s="17"/>
      <c r="Y1746" s="13"/>
      <c r="Z1746" s="13"/>
      <c r="AC1746" s="24"/>
      <c r="AD1746" s="23"/>
    </row>
    <row r="1747" spans="4:30" x14ac:dyDescent="0.25">
      <c r="D1747" s="3"/>
      <c r="E1747" s="15"/>
      <c r="F1747" s="15"/>
      <c r="G1747" s="15"/>
      <c r="H1747" s="15"/>
      <c r="I1747" s="15"/>
      <c r="J1747" s="9"/>
      <c r="K1747" s="9"/>
      <c r="L1747" s="9"/>
      <c r="M1747" s="9"/>
      <c r="N1747" s="9"/>
      <c r="O1747" s="9"/>
      <c r="P1747" s="9"/>
      <c r="Q1747" s="9"/>
      <c r="R1747" s="9"/>
      <c r="S1747" s="9"/>
      <c r="T1747" s="9"/>
      <c r="U1747" s="9"/>
      <c r="V1747" s="9"/>
      <c r="W1747" s="9"/>
      <c r="X1747" s="17"/>
      <c r="Y1747" s="13"/>
      <c r="Z1747" s="13"/>
      <c r="AC1747" s="24"/>
      <c r="AD1747" s="23"/>
    </row>
    <row r="1748" spans="4:30" x14ac:dyDescent="0.25">
      <c r="D1748" s="3"/>
      <c r="E1748" s="15"/>
      <c r="F1748" s="15"/>
      <c r="G1748" s="15"/>
      <c r="H1748" s="15"/>
      <c r="I1748" s="15"/>
      <c r="J1748" s="9"/>
      <c r="K1748" s="9"/>
      <c r="L1748" s="9"/>
      <c r="M1748" s="9"/>
      <c r="N1748" s="9"/>
      <c r="O1748" s="9"/>
      <c r="P1748" s="9"/>
      <c r="Q1748" s="9"/>
      <c r="R1748" s="9"/>
      <c r="S1748" s="9"/>
      <c r="T1748" s="9"/>
      <c r="U1748" s="9"/>
      <c r="V1748" s="9"/>
      <c r="W1748" s="9"/>
      <c r="X1748" s="17"/>
      <c r="Y1748" s="13"/>
      <c r="Z1748" s="13"/>
      <c r="AC1748" s="24"/>
      <c r="AD1748" s="23"/>
    </row>
    <row r="1749" spans="4:30" x14ac:dyDescent="0.25">
      <c r="D1749" s="3"/>
      <c r="E1749" s="15"/>
      <c r="F1749" s="15"/>
      <c r="G1749" s="15"/>
      <c r="H1749" s="15"/>
      <c r="I1749" s="15"/>
      <c r="J1749" s="9"/>
      <c r="K1749" s="9"/>
      <c r="L1749" s="9"/>
      <c r="M1749" s="9"/>
      <c r="N1749" s="9"/>
      <c r="O1749" s="9"/>
      <c r="P1749" s="9"/>
      <c r="Q1749" s="9"/>
      <c r="R1749" s="9"/>
      <c r="S1749" s="9"/>
      <c r="T1749" s="9"/>
      <c r="U1749" s="9"/>
      <c r="V1749" s="9"/>
      <c r="W1749" s="9"/>
      <c r="X1749" s="17"/>
      <c r="Y1749" s="13"/>
      <c r="Z1749" s="13"/>
      <c r="AC1749" s="24"/>
      <c r="AD1749" s="23"/>
    </row>
    <row r="1750" spans="4:30" x14ac:dyDescent="0.25">
      <c r="D1750" s="3"/>
      <c r="E1750" s="15"/>
      <c r="F1750" s="15"/>
      <c r="G1750" s="15"/>
      <c r="H1750" s="15"/>
      <c r="I1750" s="15"/>
      <c r="J1750" s="9"/>
      <c r="K1750" s="9"/>
      <c r="L1750" s="9"/>
      <c r="M1750" s="9"/>
      <c r="N1750" s="9"/>
      <c r="O1750" s="9"/>
      <c r="P1750" s="9"/>
      <c r="Q1750" s="9"/>
      <c r="R1750" s="9"/>
      <c r="S1750" s="9"/>
      <c r="T1750" s="9"/>
      <c r="U1750" s="9"/>
      <c r="V1750" s="9"/>
      <c r="W1750" s="9"/>
      <c r="X1750" s="17"/>
      <c r="Y1750" s="13"/>
      <c r="Z1750" s="13"/>
      <c r="AC1750" s="24"/>
      <c r="AD1750" s="23"/>
    </row>
    <row r="1751" spans="4:30" x14ac:dyDescent="0.25">
      <c r="D1751" s="3"/>
      <c r="E1751" s="15"/>
      <c r="F1751" s="15"/>
      <c r="G1751" s="15"/>
      <c r="H1751" s="15"/>
      <c r="I1751" s="15"/>
      <c r="J1751" s="9"/>
      <c r="K1751" s="9"/>
      <c r="L1751" s="9"/>
      <c r="M1751" s="9"/>
      <c r="N1751" s="9"/>
      <c r="O1751" s="9"/>
      <c r="P1751" s="9"/>
      <c r="Q1751" s="9"/>
      <c r="R1751" s="9"/>
      <c r="S1751" s="9"/>
      <c r="T1751" s="9"/>
      <c r="U1751" s="9"/>
      <c r="V1751" s="9"/>
      <c r="W1751" s="9"/>
      <c r="X1751" s="17"/>
      <c r="Y1751" s="13"/>
      <c r="Z1751" s="13"/>
      <c r="AC1751" s="24"/>
      <c r="AD1751" s="23"/>
    </row>
    <row r="1752" spans="4:30" x14ac:dyDescent="0.25">
      <c r="D1752" s="3"/>
      <c r="E1752" s="15"/>
      <c r="F1752" s="15"/>
      <c r="G1752" s="15"/>
      <c r="H1752" s="15"/>
      <c r="I1752" s="15"/>
      <c r="J1752" s="9"/>
      <c r="K1752" s="9"/>
      <c r="L1752" s="9"/>
      <c r="M1752" s="9"/>
      <c r="N1752" s="9"/>
      <c r="O1752" s="9"/>
      <c r="P1752" s="9"/>
      <c r="Q1752" s="9"/>
      <c r="R1752" s="9"/>
      <c r="S1752" s="9"/>
      <c r="T1752" s="9"/>
      <c r="U1752" s="9"/>
      <c r="V1752" s="9"/>
      <c r="W1752" s="9"/>
      <c r="X1752" s="17"/>
      <c r="Y1752" s="13"/>
      <c r="Z1752" s="13"/>
      <c r="AC1752" s="24"/>
      <c r="AD1752" s="23"/>
    </row>
    <row r="1753" spans="4:30" x14ac:dyDescent="0.25">
      <c r="D1753" s="3"/>
      <c r="E1753" s="15"/>
      <c r="F1753" s="15"/>
      <c r="G1753" s="15"/>
      <c r="H1753" s="15"/>
      <c r="I1753" s="15"/>
      <c r="J1753" s="9"/>
      <c r="K1753" s="9"/>
      <c r="L1753" s="9"/>
      <c r="M1753" s="9"/>
      <c r="N1753" s="9"/>
      <c r="O1753" s="9"/>
      <c r="P1753" s="9"/>
      <c r="Q1753" s="9"/>
      <c r="R1753" s="9"/>
      <c r="S1753" s="9"/>
      <c r="T1753" s="9"/>
      <c r="U1753" s="9"/>
      <c r="V1753" s="9"/>
      <c r="W1753" s="9"/>
      <c r="X1753" s="17"/>
      <c r="Y1753" s="13"/>
      <c r="Z1753" s="13"/>
      <c r="AC1753" s="24"/>
      <c r="AD1753" s="23"/>
    </row>
    <row r="1754" spans="4:30" x14ac:dyDescent="0.25">
      <c r="D1754" s="3"/>
      <c r="E1754" s="15"/>
      <c r="F1754" s="15"/>
      <c r="G1754" s="15"/>
      <c r="H1754" s="15"/>
      <c r="I1754" s="15"/>
      <c r="J1754" s="9"/>
      <c r="K1754" s="9"/>
      <c r="L1754" s="9"/>
      <c r="M1754" s="9"/>
      <c r="N1754" s="9"/>
      <c r="O1754" s="9"/>
      <c r="P1754" s="9"/>
      <c r="Q1754" s="9"/>
      <c r="R1754" s="9"/>
      <c r="S1754" s="9"/>
      <c r="T1754" s="9"/>
      <c r="U1754" s="9"/>
      <c r="V1754" s="9"/>
      <c r="W1754" s="9"/>
      <c r="X1754" s="17"/>
      <c r="Y1754" s="13"/>
      <c r="Z1754" s="13"/>
      <c r="AC1754" s="24"/>
      <c r="AD1754" s="23"/>
    </row>
    <row r="1755" spans="4:30" x14ac:dyDescent="0.25">
      <c r="D1755" s="3"/>
      <c r="E1755" s="15"/>
      <c r="F1755" s="15"/>
      <c r="G1755" s="15"/>
      <c r="H1755" s="15"/>
      <c r="I1755" s="15"/>
      <c r="J1755" s="9"/>
      <c r="K1755" s="9"/>
      <c r="L1755" s="9"/>
      <c r="M1755" s="9"/>
      <c r="N1755" s="9"/>
      <c r="O1755" s="9"/>
      <c r="P1755" s="9"/>
      <c r="Q1755" s="9"/>
      <c r="R1755" s="9"/>
      <c r="S1755" s="9"/>
      <c r="T1755" s="9"/>
      <c r="U1755" s="9"/>
      <c r="V1755" s="9"/>
      <c r="W1755" s="9"/>
      <c r="X1755" s="17"/>
      <c r="Y1755" s="13"/>
      <c r="Z1755" s="13"/>
      <c r="AC1755" s="24"/>
      <c r="AD1755" s="23"/>
    </row>
    <row r="1756" spans="4:30" x14ac:dyDescent="0.25">
      <c r="D1756" s="3"/>
      <c r="E1756" s="15"/>
      <c r="F1756" s="15"/>
      <c r="G1756" s="15"/>
      <c r="H1756" s="15"/>
      <c r="I1756" s="15"/>
      <c r="J1756" s="9"/>
      <c r="K1756" s="9"/>
      <c r="L1756" s="9"/>
      <c r="M1756" s="9"/>
      <c r="N1756" s="9"/>
      <c r="O1756" s="9"/>
      <c r="P1756" s="9"/>
      <c r="Q1756" s="9"/>
      <c r="R1756" s="9"/>
      <c r="S1756" s="9"/>
      <c r="T1756" s="9"/>
      <c r="U1756" s="9"/>
      <c r="V1756" s="9"/>
      <c r="W1756" s="9"/>
      <c r="X1756" s="17"/>
      <c r="Y1756" s="13"/>
      <c r="Z1756" s="13"/>
      <c r="AC1756" s="24"/>
      <c r="AD1756" s="23"/>
    </row>
    <row r="1757" spans="4:30" x14ac:dyDescent="0.25">
      <c r="D1757" s="3"/>
      <c r="E1757" s="15"/>
      <c r="F1757" s="15"/>
      <c r="G1757" s="15"/>
      <c r="H1757" s="15"/>
      <c r="I1757" s="15"/>
      <c r="J1757" s="9"/>
      <c r="K1757" s="9"/>
      <c r="L1757" s="9"/>
      <c r="M1757" s="9"/>
      <c r="N1757" s="9"/>
      <c r="O1757" s="9"/>
      <c r="P1757" s="9"/>
      <c r="Q1757" s="9"/>
      <c r="R1757" s="9"/>
      <c r="S1757" s="9"/>
      <c r="T1757" s="9"/>
      <c r="U1757" s="9"/>
      <c r="V1757" s="9"/>
      <c r="W1757" s="9"/>
      <c r="X1757" s="17"/>
      <c r="Y1757" s="13"/>
      <c r="Z1757" s="13"/>
      <c r="AC1757" s="24"/>
      <c r="AD1757" s="23"/>
    </row>
    <row r="1758" spans="4:30" x14ac:dyDescent="0.25">
      <c r="D1758" s="3"/>
      <c r="E1758" s="15"/>
      <c r="F1758" s="15"/>
      <c r="G1758" s="15"/>
      <c r="H1758" s="15"/>
      <c r="I1758" s="15"/>
      <c r="J1758" s="9"/>
      <c r="K1758" s="9"/>
      <c r="L1758" s="9"/>
      <c r="M1758" s="9"/>
      <c r="N1758" s="9"/>
      <c r="O1758" s="9"/>
      <c r="P1758" s="9"/>
      <c r="Q1758" s="9"/>
      <c r="R1758" s="9"/>
      <c r="S1758" s="9"/>
      <c r="T1758" s="9"/>
      <c r="U1758" s="9"/>
      <c r="V1758" s="9"/>
      <c r="W1758" s="9"/>
      <c r="X1758" s="17"/>
      <c r="Y1758" s="13"/>
      <c r="Z1758" s="13"/>
      <c r="AC1758" s="24"/>
      <c r="AD1758" s="23"/>
    </row>
    <row r="1759" spans="4:30" x14ac:dyDescent="0.25">
      <c r="D1759" s="3"/>
      <c r="E1759" s="15"/>
      <c r="F1759" s="15"/>
      <c r="G1759" s="15"/>
      <c r="H1759" s="15"/>
      <c r="I1759" s="15"/>
      <c r="J1759" s="9"/>
      <c r="K1759" s="9"/>
      <c r="L1759" s="9"/>
      <c r="M1759" s="9"/>
      <c r="N1759" s="9"/>
      <c r="O1759" s="9"/>
      <c r="P1759" s="9"/>
      <c r="Q1759" s="9"/>
      <c r="R1759" s="9"/>
      <c r="S1759" s="9"/>
      <c r="T1759" s="9"/>
      <c r="U1759" s="9"/>
      <c r="V1759" s="9"/>
      <c r="W1759" s="9"/>
      <c r="X1759" s="17"/>
      <c r="Y1759" s="13"/>
      <c r="Z1759" s="13"/>
      <c r="AC1759" s="24"/>
      <c r="AD1759" s="23"/>
    </row>
    <row r="1760" spans="4:30" x14ac:dyDescent="0.25">
      <c r="D1760" s="3"/>
      <c r="E1760" s="15"/>
      <c r="F1760" s="15"/>
      <c r="G1760" s="15"/>
      <c r="H1760" s="15"/>
      <c r="I1760" s="15"/>
      <c r="J1760" s="9"/>
      <c r="K1760" s="9"/>
      <c r="L1760" s="9"/>
      <c r="M1760" s="9"/>
      <c r="N1760" s="9"/>
      <c r="O1760" s="9"/>
      <c r="P1760" s="9"/>
      <c r="Q1760" s="9"/>
      <c r="R1760" s="9"/>
      <c r="S1760" s="9"/>
      <c r="T1760" s="9"/>
      <c r="U1760" s="9"/>
      <c r="V1760" s="9"/>
      <c r="W1760" s="9"/>
      <c r="X1760" s="17"/>
      <c r="Y1760" s="13"/>
      <c r="Z1760" s="13"/>
      <c r="AC1760" s="24"/>
      <c r="AD1760" s="23"/>
    </row>
    <row r="1761" spans="4:30" x14ac:dyDescent="0.25">
      <c r="D1761" s="3"/>
      <c r="E1761" s="15"/>
      <c r="F1761" s="15"/>
      <c r="G1761" s="15"/>
      <c r="H1761" s="15"/>
      <c r="I1761" s="15"/>
      <c r="J1761" s="9"/>
      <c r="K1761" s="9"/>
      <c r="L1761" s="9"/>
      <c r="M1761" s="9"/>
      <c r="N1761" s="9"/>
      <c r="O1761" s="9"/>
      <c r="P1761" s="9"/>
      <c r="Q1761" s="9"/>
      <c r="R1761" s="9"/>
      <c r="S1761" s="9"/>
      <c r="T1761" s="9"/>
      <c r="U1761" s="9"/>
      <c r="V1761" s="9"/>
      <c r="W1761" s="9"/>
      <c r="X1761" s="17"/>
      <c r="Y1761" s="13"/>
      <c r="Z1761" s="13"/>
      <c r="AC1761" s="24"/>
      <c r="AD1761" s="23"/>
    </row>
    <row r="1762" spans="4:30" x14ac:dyDescent="0.25">
      <c r="D1762" s="3"/>
      <c r="E1762" s="15"/>
      <c r="F1762" s="15"/>
      <c r="G1762" s="15"/>
      <c r="H1762" s="15"/>
      <c r="I1762" s="15"/>
      <c r="J1762" s="9"/>
      <c r="K1762" s="9"/>
      <c r="L1762" s="9"/>
      <c r="M1762" s="9"/>
      <c r="N1762" s="9"/>
      <c r="O1762" s="9"/>
      <c r="P1762" s="9"/>
      <c r="Q1762" s="9"/>
      <c r="R1762" s="9"/>
      <c r="S1762" s="9"/>
      <c r="T1762" s="9"/>
      <c r="U1762" s="9"/>
      <c r="V1762" s="9"/>
      <c r="W1762" s="9"/>
      <c r="X1762" s="17"/>
      <c r="Y1762" s="13"/>
      <c r="Z1762" s="13"/>
      <c r="AC1762" s="24"/>
      <c r="AD1762" s="23"/>
    </row>
    <row r="1763" spans="4:30" x14ac:dyDescent="0.25">
      <c r="D1763" s="3"/>
      <c r="E1763" s="15"/>
      <c r="F1763" s="15"/>
      <c r="G1763" s="15"/>
      <c r="H1763" s="15"/>
      <c r="I1763" s="15"/>
      <c r="J1763" s="9"/>
      <c r="K1763" s="9"/>
      <c r="L1763" s="9"/>
      <c r="M1763" s="9"/>
      <c r="N1763" s="9"/>
      <c r="O1763" s="9"/>
      <c r="P1763" s="9"/>
      <c r="Q1763" s="9"/>
      <c r="R1763" s="9"/>
      <c r="S1763" s="9"/>
      <c r="T1763" s="9"/>
      <c r="U1763" s="9"/>
      <c r="V1763" s="9"/>
      <c r="W1763" s="9"/>
      <c r="X1763" s="17"/>
      <c r="Y1763" s="13"/>
      <c r="Z1763" s="13"/>
      <c r="AC1763" s="24"/>
      <c r="AD1763" s="23"/>
    </row>
    <row r="1764" spans="4:30" x14ac:dyDescent="0.25">
      <c r="D1764" s="3"/>
      <c r="E1764" s="15"/>
      <c r="F1764" s="15"/>
      <c r="G1764" s="15"/>
      <c r="H1764" s="15"/>
      <c r="I1764" s="15"/>
      <c r="J1764" s="9"/>
      <c r="K1764" s="9"/>
      <c r="L1764" s="9"/>
      <c r="M1764" s="9"/>
      <c r="N1764" s="9"/>
      <c r="O1764" s="9"/>
      <c r="P1764" s="9"/>
      <c r="Q1764" s="9"/>
      <c r="R1764" s="9"/>
      <c r="S1764" s="9"/>
      <c r="T1764" s="9"/>
      <c r="U1764" s="9"/>
      <c r="V1764" s="9"/>
      <c r="W1764" s="9"/>
      <c r="X1764" s="17"/>
      <c r="Y1764" s="13"/>
      <c r="Z1764" s="13"/>
      <c r="AC1764" s="24"/>
      <c r="AD1764" s="23"/>
    </row>
    <row r="1765" spans="4:30" x14ac:dyDescent="0.25">
      <c r="D1765" s="3"/>
      <c r="E1765" s="15"/>
      <c r="F1765" s="15"/>
      <c r="G1765" s="15"/>
      <c r="H1765" s="15"/>
      <c r="I1765" s="15"/>
      <c r="J1765" s="9"/>
      <c r="K1765" s="9"/>
      <c r="L1765" s="9"/>
      <c r="M1765" s="9"/>
      <c r="N1765" s="9"/>
      <c r="O1765" s="9"/>
      <c r="P1765" s="9"/>
      <c r="Q1765" s="9"/>
      <c r="R1765" s="9"/>
      <c r="S1765" s="9"/>
      <c r="T1765" s="9"/>
      <c r="U1765" s="9"/>
      <c r="V1765" s="9"/>
      <c r="W1765" s="9"/>
      <c r="X1765" s="17"/>
      <c r="Y1765" s="13"/>
      <c r="Z1765" s="13"/>
      <c r="AC1765" s="24"/>
      <c r="AD1765" s="23"/>
    </row>
    <row r="1766" spans="4:30" x14ac:dyDescent="0.25">
      <c r="D1766" s="3"/>
      <c r="E1766" s="15"/>
      <c r="F1766" s="15"/>
      <c r="G1766" s="15"/>
      <c r="H1766" s="15"/>
      <c r="I1766" s="15"/>
      <c r="J1766" s="9"/>
      <c r="K1766" s="9"/>
      <c r="L1766" s="9"/>
      <c r="M1766" s="9"/>
      <c r="N1766" s="9"/>
      <c r="O1766" s="9"/>
      <c r="P1766" s="9"/>
      <c r="Q1766" s="9"/>
      <c r="R1766" s="9"/>
      <c r="S1766" s="9"/>
      <c r="T1766" s="9"/>
      <c r="U1766" s="9"/>
      <c r="V1766" s="9"/>
      <c r="W1766" s="9"/>
      <c r="X1766" s="17"/>
      <c r="Y1766" s="13"/>
      <c r="Z1766" s="13"/>
      <c r="AC1766" s="24"/>
      <c r="AD1766" s="23"/>
    </row>
    <row r="1767" spans="4:30" x14ac:dyDescent="0.25">
      <c r="D1767" s="3"/>
      <c r="E1767" s="15"/>
      <c r="F1767" s="15"/>
      <c r="G1767" s="15"/>
      <c r="H1767" s="15"/>
      <c r="I1767" s="15"/>
      <c r="J1767" s="9"/>
      <c r="K1767" s="9"/>
      <c r="L1767" s="9"/>
      <c r="M1767" s="9"/>
      <c r="N1767" s="9"/>
      <c r="O1767" s="9"/>
      <c r="P1767" s="9"/>
      <c r="Q1767" s="9"/>
      <c r="R1767" s="9"/>
      <c r="S1767" s="9"/>
      <c r="T1767" s="9"/>
      <c r="U1767" s="9"/>
      <c r="V1767" s="9"/>
      <c r="W1767" s="9"/>
      <c r="X1767" s="17"/>
      <c r="Y1767" s="13"/>
      <c r="Z1767" s="13"/>
      <c r="AC1767" s="24"/>
      <c r="AD1767" s="23"/>
    </row>
    <row r="1768" spans="4:30" x14ac:dyDescent="0.25">
      <c r="D1768" s="3"/>
      <c r="E1768" s="15"/>
      <c r="F1768" s="15"/>
      <c r="G1768" s="15"/>
      <c r="H1768" s="15"/>
      <c r="I1768" s="15"/>
      <c r="J1768" s="9"/>
      <c r="K1768" s="9"/>
      <c r="L1768" s="9"/>
      <c r="M1768" s="9"/>
      <c r="N1768" s="9"/>
      <c r="O1768" s="9"/>
      <c r="P1768" s="9"/>
      <c r="Q1768" s="9"/>
      <c r="R1768" s="9"/>
      <c r="S1768" s="9"/>
      <c r="T1768" s="9"/>
      <c r="U1768" s="9"/>
      <c r="V1768" s="9"/>
      <c r="W1768" s="9"/>
      <c r="X1768" s="17"/>
      <c r="Y1768" s="13"/>
      <c r="Z1768" s="13"/>
      <c r="AC1768" s="24"/>
      <c r="AD1768" s="23"/>
    </row>
    <row r="1769" spans="4:30" x14ac:dyDescent="0.25">
      <c r="D1769" s="3"/>
      <c r="E1769" s="15"/>
      <c r="F1769" s="15"/>
      <c r="G1769" s="15"/>
      <c r="H1769" s="15"/>
      <c r="I1769" s="15"/>
      <c r="J1769" s="9"/>
      <c r="K1769" s="9"/>
      <c r="L1769" s="9"/>
      <c r="M1769" s="9"/>
      <c r="N1769" s="9"/>
      <c r="O1769" s="9"/>
      <c r="P1769" s="9"/>
      <c r="Q1769" s="9"/>
      <c r="R1769" s="9"/>
      <c r="S1769" s="9"/>
      <c r="T1769" s="9"/>
      <c r="U1769" s="9"/>
      <c r="V1769" s="9"/>
      <c r="W1769" s="9"/>
      <c r="X1769" s="17"/>
      <c r="Y1769" s="13"/>
      <c r="Z1769" s="13"/>
      <c r="AC1769" s="24"/>
      <c r="AD1769" s="23"/>
    </row>
    <row r="1770" spans="4:30" x14ac:dyDescent="0.25">
      <c r="D1770" s="3"/>
      <c r="E1770" s="15"/>
      <c r="F1770" s="15"/>
      <c r="G1770" s="15"/>
      <c r="H1770" s="15"/>
      <c r="I1770" s="15"/>
      <c r="J1770" s="9"/>
      <c r="K1770" s="9"/>
      <c r="L1770" s="9"/>
      <c r="M1770" s="9"/>
      <c r="N1770" s="9"/>
      <c r="O1770" s="9"/>
      <c r="P1770" s="9"/>
      <c r="Q1770" s="9"/>
      <c r="R1770" s="9"/>
      <c r="S1770" s="9"/>
      <c r="T1770" s="9"/>
      <c r="U1770" s="9"/>
      <c r="V1770" s="9"/>
      <c r="W1770" s="9"/>
      <c r="X1770" s="17"/>
      <c r="Y1770" s="13"/>
      <c r="Z1770" s="13"/>
      <c r="AC1770" s="24"/>
      <c r="AD1770" s="23"/>
    </row>
    <row r="1771" spans="4:30" x14ac:dyDescent="0.25">
      <c r="D1771" s="3"/>
      <c r="E1771" s="15"/>
      <c r="F1771" s="15"/>
      <c r="G1771" s="15"/>
      <c r="H1771" s="15"/>
      <c r="I1771" s="15"/>
      <c r="J1771" s="9"/>
      <c r="K1771" s="9"/>
      <c r="L1771" s="9"/>
      <c r="M1771" s="9"/>
      <c r="N1771" s="9"/>
      <c r="O1771" s="9"/>
      <c r="P1771" s="9"/>
      <c r="Q1771" s="9"/>
      <c r="R1771" s="9"/>
      <c r="S1771" s="9"/>
      <c r="T1771" s="9"/>
      <c r="U1771" s="9"/>
      <c r="V1771" s="9"/>
      <c r="W1771" s="9"/>
      <c r="X1771" s="17"/>
      <c r="Y1771" s="13"/>
      <c r="Z1771" s="13"/>
      <c r="AC1771" s="24"/>
      <c r="AD1771" s="23"/>
    </row>
    <row r="1772" spans="4:30" x14ac:dyDescent="0.25">
      <c r="D1772" s="3"/>
      <c r="E1772" s="15"/>
      <c r="F1772" s="15"/>
      <c r="G1772" s="15"/>
      <c r="H1772" s="15"/>
      <c r="I1772" s="15"/>
      <c r="J1772" s="9"/>
      <c r="K1772" s="9"/>
      <c r="L1772" s="9"/>
      <c r="M1772" s="9"/>
      <c r="N1772" s="9"/>
      <c r="O1772" s="9"/>
      <c r="P1772" s="9"/>
      <c r="Q1772" s="9"/>
      <c r="R1772" s="9"/>
      <c r="S1772" s="9"/>
      <c r="T1772" s="9"/>
      <c r="U1772" s="9"/>
      <c r="V1772" s="9"/>
      <c r="W1772" s="9"/>
      <c r="X1772" s="17"/>
      <c r="Y1772" s="13"/>
      <c r="Z1772" s="13"/>
      <c r="AC1772" s="24"/>
      <c r="AD1772" s="23"/>
    </row>
    <row r="1773" spans="4:30" x14ac:dyDescent="0.25">
      <c r="D1773" s="3"/>
      <c r="E1773" s="15"/>
      <c r="F1773" s="15"/>
      <c r="G1773" s="15"/>
      <c r="H1773" s="15"/>
      <c r="I1773" s="15"/>
      <c r="J1773" s="9"/>
      <c r="K1773" s="9"/>
      <c r="L1773" s="9"/>
      <c r="M1773" s="9"/>
      <c r="N1773" s="9"/>
      <c r="O1773" s="9"/>
      <c r="P1773" s="9"/>
      <c r="Q1773" s="9"/>
      <c r="R1773" s="9"/>
      <c r="S1773" s="9"/>
      <c r="T1773" s="9"/>
      <c r="U1773" s="9"/>
      <c r="V1773" s="9"/>
      <c r="W1773" s="9"/>
      <c r="X1773" s="17"/>
      <c r="Y1773" s="13"/>
      <c r="Z1773" s="13"/>
      <c r="AC1773" s="24"/>
      <c r="AD1773" s="23"/>
    </row>
    <row r="1774" spans="4:30" x14ac:dyDescent="0.25">
      <c r="D1774" s="3"/>
      <c r="E1774" s="15"/>
      <c r="F1774" s="15"/>
      <c r="G1774" s="15"/>
      <c r="H1774" s="15"/>
      <c r="I1774" s="15"/>
      <c r="J1774" s="9"/>
      <c r="K1774" s="9"/>
      <c r="L1774" s="9"/>
      <c r="M1774" s="9"/>
      <c r="N1774" s="9"/>
      <c r="O1774" s="9"/>
      <c r="P1774" s="9"/>
      <c r="Q1774" s="9"/>
      <c r="R1774" s="9"/>
      <c r="S1774" s="9"/>
      <c r="T1774" s="9"/>
      <c r="U1774" s="9"/>
      <c r="V1774" s="9"/>
      <c r="W1774" s="9"/>
      <c r="X1774" s="17"/>
      <c r="Y1774" s="13"/>
      <c r="Z1774" s="13"/>
      <c r="AC1774" s="24"/>
      <c r="AD1774" s="23"/>
    </row>
    <row r="1775" spans="4:30" x14ac:dyDescent="0.25">
      <c r="D1775" s="3"/>
      <c r="E1775" s="15"/>
      <c r="F1775" s="15"/>
      <c r="G1775" s="15"/>
      <c r="H1775" s="15"/>
      <c r="I1775" s="15"/>
      <c r="J1775" s="9"/>
      <c r="K1775" s="9"/>
      <c r="L1775" s="9"/>
      <c r="M1775" s="9"/>
      <c r="N1775" s="9"/>
      <c r="O1775" s="9"/>
      <c r="P1775" s="9"/>
      <c r="Q1775" s="9"/>
      <c r="R1775" s="9"/>
      <c r="S1775" s="9"/>
      <c r="T1775" s="9"/>
      <c r="U1775" s="9"/>
      <c r="V1775" s="9"/>
      <c r="W1775" s="9"/>
      <c r="X1775" s="17"/>
      <c r="Y1775" s="13"/>
      <c r="Z1775" s="13"/>
      <c r="AC1775" s="24"/>
      <c r="AD1775" s="23"/>
    </row>
    <row r="1776" spans="4:30" x14ac:dyDescent="0.25">
      <c r="D1776" s="3"/>
      <c r="E1776" s="15"/>
      <c r="F1776" s="15"/>
      <c r="G1776" s="15"/>
      <c r="H1776" s="15"/>
      <c r="I1776" s="15"/>
      <c r="J1776" s="9"/>
      <c r="K1776" s="9"/>
      <c r="L1776" s="9"/>
      <c r="M1776" s="9"/>
      <c r="N1776" s="9"/>
      <c r="O1776" s="9"/>
      <c r="P1776" s="9"/>
      <c r="Q1776" s="9"/>
      <c r="R1776" s="9"/>
      <c r="S1776" s="9"/>
      <c r="T1776" s="9"/>
      <c r="U1776" s="9"/>
      <c r="V1776" s="9"/>
      <c r="W1776" s="9"/>
      <c r="X1776" s="17"/>
      <c r="Y1776" s="13"/>
      <c r="Z1776" s="13"/>
      <c r="AC1776" s="24"/>
      <c r="AD1776" s="23"/>
    </row>
    <row r="1777" spans="4:30" x14ac:dyDescent="0.25">
      <c r="D1777" s="3"/>
      <c r="E1777" s="15"/>
      <c r="F1777" s="15"/>
      <c r="G1777" s="15"/>
      <c r="H1777" s="15"/>
      <c r="I1777" s="15"/>
      <c r="J1777" s="9"/>
      <c r="K1777" s="9"/>
      <c r="L1777" s="9"/>
      <c r="M1777" s="9"/>
      <c r="N1777" s="9"/>
      <c r="O1777" s="9"/>
      <c r="P1777" s="9"/>
      <c r="Q1777" s="9"/>
      <c r="R1777" s="9"/>
      <c r="S1777" s="9"/>
      <c r="T1777" s="9"/>
      <c r="U1777" s="9"/>
      <c r="V1777" s="9"/>
      <c r="W1777" s="9"/>
      <c r="X1777" s="17"/>
      <c r="Y1777" s="13"/>
      <c r="Z1777" s="13"/>
      <c r="AC1777" s="24"/>
      <c r="AD1777" s="23"/>
    </row>
    <row r="1778" spans="4:30" x14ac:dyDescent="0.25">
      <c r="D1778" s="3"/>
      <c r="E1778" s="15"/>
      <c r="F1778" s="15"/>
      <c r="G1778" s="15"/>
      <c r="H1778" s="15"/>
      <c r="I1778" s="15"/>
      <c r="J1778" s="9"/>
      <c r="K1778" s="9"/>
      <c r="L1778" s="9"/>
      <c r="M1778" s="9"/>
      <c r="N1778" s="9"/>
      <c r="O1778" s="9"/>
      <c r="P1778" s="9"/>
      <c r="Q1778" s="9"/>
      <c r="R1778" s="9"/>
      <c r="S1778" s="9"/>
      <c r="T1778" s="9"/>
      <c r="U1778" s="9"/>
      <c r="V1778" s="9"/>
      <c r="W1778" s="9"/>
      <c r="X1778" s="17"/>
      <c r="Y1778" s="13"/>
      <c r="Z1778" s="13"/>
      <c r="AC1778" s="24"/>
      <c r="AD1778" s="23"/>
    </row>
    <row r="1779" spans="4:30" x14ac:dyDescent="0.25">
      <c r="D1779" s="3"/>
      <c r="E1779" s="15"/>
      <c r="F1779" s="15"/>
      <c r="G1779" s="15"/>
      <c r="H1779" s="15"/>
      <c r="I1779" s="15"/>
      <c r="J1779" s="9"/>
      <c r="K1779" s="9"/>
      <c r="L1779" s="9"/>
      <c r="M1779" s="9"/>
      <c r="N1779" s="9"/>
      <c r="O1779" s="9"/>
      <c r="P1779" s="9"/>
      <c r="Q1779" s="9"/>
      <c r="R1779" s="9"/>
      <c r="S1779" s="9"/>
      <c r="T1779" s="9"/>
      <c r="U1779" s="9"/>
      <c r="V1779" s="9"/>
      <c r="W1779" s="9"/>
      <c r="X1779" s="17"/>
      <c r="Y1779" s="13"/>
      <c r="Z1779" s="13"/>
      <c r="AC1779" s="24"/>
      <c r="AD1779" s="23"/>
    </row>
    <row r="1780" spans="4:30" x14ac:dyDescent="0.25">
      <c r="D1780" s="3"/>
      <c r="E1780" s="15"/>
      <c r="F1780" s="15"/>
      <c r="G1780" s="15"/>
      <c r="H1780" s="15"/>
      <c r="I1780" s="15"/>
      <c r="J1780" s="9"/>
      <c r="K1780" s="9"/>
      <c r="L1780" s="9"/>
      <c r="M1780" s="9"/>
      <c r="N1780" s="9"/>
      <c r="O1780" s="9"/>
      <c r="P1780" s="9"/>
      <c r="Q1780" s="9"/>
      <c r="R1780" s="9"/>
      <c r="S1780" s="9"/>
      <c r="T1780" s="9"/>
      <c r="U1780" s="9"/>
      <c r="V1780" s="9"/>
      <c r="W1780" s="9"/>
      <c r="X1780" s="17"/>
      <c r="Y1780" s="13"/>
      <c r="Z1780" s="13"/>
      <c r="AC1780" s="24"/>
      <c r="AD1780" s="23"/>
    </row>
    <row r="1781" spans="4:30" x14ac:dyDescent="0.25">
      <c r="D1781" s="3"/>
      <c r="E1781" s="15"/>
      <c r="F1781" s="15"/>
      <c r="G1781" s="15"/>
      <c r="H1781" s="15"/>
      <c r="I1781" s="15"/>
      <c r="J1781" s="9"/>
      <c r="K1781" s="9"/>
      <c r="L1781" s="9"/>
      <c r="M1781" s="9"/>
      <c r="N1781" s="9"/>
      <c r="O1781" s="9"/>
      <c r="P1781" s="9"/>
      <c r="Q1781" s="9"/>
      <c r="R1781" s="9"/>
      <c r="S1781" s="9"/>
      <c r="T1781" s="9"/>
      <c r="U1781" s="9"/>
      <c r="V1781" s="9"/>
      <c r="W1781" s="9"/>
      <c r="X1781" s="17"/>
      <c r="Y1781" s="13"/>
      <c r="Z1781" s="13"/>
      <c r="AC1781" s="24"/>
      <c r="AD1781" s="23"/>
    </row>
    <row r="1782" spans="4:30" x14ac:dyDescent="0.25">
      <c r="D1782" s="3"/>
      <c r="E1782" s="15"/>
      <c r="F1782" s="15"/>
      <c r="G1782" s="15"/>
      <c r="H1782" s="15"/>
      <c r="I1782" s="15"/>
      <c r="J1782" s="9"/>
      <c r="K1782" s="9"/>
      <c r="L1782" s="9"/>
      <c r="M1782" s="9"/>
      <c r="N1782" s="9"/>
      <c r="O1782" s="9"/>
      <c r="P1782" s="9"/>
      <c r="Q1782" s="9"/>
      <c r="R1782" s="9"/>
      <c r="S1782" s="9"/>
      <c r="T1782" s="9"/>
      <c r="U1782" s="9"/>
      <c r="V1782" s="9"/>
      <c r="W1782" s="9"/>
      <c r="X1782" s="17"/>
      <c r="Y1782" s="13"/>
      <c r="Z1782" s="13"/>
      <c r="AC1782" s="24"/>
      <c r="AD1782" s="23"/>
    </row>
    <row r="1783" spans="4:30" x14ac:dyDescent="0.25">
      <c r="D1783" s="3"/>
      <c r="E1783" s="15"/>
      <c r="F1783" s="15"/>
      <c r="G1783" s="15"/>
      <c r="H1783" s="15"/>
      <c r="I1783" s="15"/>
      <c r="J1783" s="9"/>
      <c r="K1783" s="9"/>
      <c r="L1783" s="9"/>
      <c r="M1783" s="9"/>
      <c r="N1783" s="9"/>
      <c r="O1783" s="9"/>
      <c r="P1783" s="9"/>
      <c r="Q1783" s="9"/>
      <c r="R1783" s="9"/>
      <c r="S1783" s="9"/>
      <c r="T1783" s="9"/>
      <c r="U1783" s="9"/>
      <c r="V1783" s="9"/>
      <c r="W1783" s="9"/>
      <c r="X1783" s="17"/>
      <c r="Y1783" s="13"/>
      <c r="Z1783" s="13"/>
      <c r="AC1783" s="24"/>
      <c r="AD1783" s="23"/>
    </row>
    <row r="1784" spans="4:30" x14ac:dyDescent="0.25">
      <c r="D1784" s="3"/>
      <c r="E1784" s="15"/>
      <c r="F1784" s="15"/>
      <c r="G1784" s="15"/>
      <c r="H1784" s="15"/>
      <c r="I1784" s="15"/>
      <c r="J1784" s="9"/>
      <c r="K1784" s="9"/>
      <c r="L1784" s="9"/>
      <c r="M1784" s="9"/>
      <c r="N1784" s="9"/>
      <c r="O1784" s="9"/>
      <c r="P1784" s="9"/>
      <c r="Q1784" s="9"/>
      <c r="R1784" s="9"/>
      <c r="S1784" s="9"/>
      <c r="T1784" s="9"/>
      <c r="U1784" s="9"/>
      <c r="V1784" s="9"/>
      <c r="W1784" s="9"/>
      <c r="X1784" s="17"/>
      <c r="Y1784" s="13"/>
      <c r="Z1784" s="13"/>
      <c r="AC1784" s="24"/>
      <c r="AD1784" s="23"/>
    </row>
    <row r="1785" spans="4:30" x14ac:dyDescent="0.25">
      <c r="D1785" s="3"/>
      <c r="E1785" s="15"/>
      <c r="F1785" s="15"/>
      <c r="G1785" s="15"/>
      <c r="H1785" s="15"/>
      <c r="I1785" s="15"/>
      <c r="J1785" s="9"/>
      <c r="K1785" s="9"/>
      <c r="L1785" s="9"/>
      <c r="M1785" s="9"/>
      <c r="N1785" s="9"/>
      <c r="O1785" s="9"/>
      <c r="P1785" s="9"/>
      <c r="Q1785" s="9"/>
      <c r="R1785" s="9"/>
      <c r="S1785" s="9"/>
      <c r="T1785" s="9"/>
      <c r="U1785" s="9"/>
      <c r="V1785" s="9"/>
      <c r="W1785" s="9"/>
      <c r="X1785" s="17"/>
      <c r="Y1785" s="13"/>
      <c r="Z1785" s="13"/>
      <c r="AC1785" s="24"/>
      <c r="AD1785" s="23"/>
    </row>
    <row r="1786" spans="4:30" x14ac:dyDescent="0.25">
      <c r="D1786" s="3"/>
      <c r="E1786" s="15"/>
      <c r="F1786" s="15"/>
      <c r="G1786" s="15"/>
      <c r="H1786" s="15"/>
      <c r="I1786" s="15"/>
      <c r="J1786" s="9"/>
      <c r="K1786" s="9"/>
      <c r="L1786" s="9"/>
      <c r="M1786" s="9"/>
      <c r="N1786" s="9"/>
      <c r="O1786" s="9"/>
      <c r="P1786" s="9"/>
      <c r="Q1786" s="9"/>
      <c r="R1786" s="9"/>
      <c r="S1786" s="9"/>
      <c r="T1786" s="9"/>
      <c r="U1786" s="9"/>
      <c r="V1786" s="9"/>
      <c r="W1786" s="9"/>
      <c r="X1786" s="17"/>
      <c r="Y1786" s="13"/>
      <c r="Z1786" s="13"/>
      <c r="AC1786" s="24"/>
      <c r="AD1786" s="23"/>
    </row>
    <row r="1787" spans="4:30" x14ac:dyDescent="0.25">
      <c r="D1787" s="3"/>
      <c r="E1787" s="15"/>
      <c r="F1787" s="15"/>
      <c r="G1787" s="15"/>
      <c r="H1787" s="15"/>
      <c r="I1787" s="15"/>
      <c r="J1787" s="9"/>
      <c r="K1787" s="9"/>
      <c r="L1787" s="9"/>
      <c r="M1787" s="9"/>
      <c r="N1787" s="9"/>
      <c r="O1787" s="9"/>
      <c r="P1787" s="9"/>
      <c r="Q1787" s="9"/>
      <c r="R1787" s="9"/>
      <c r="S1787" s="9"/>
      <c r="T1787" s="9"/>
      <c r="U1787" s="9"/>
      <c r="V1787" s="9"/>
      <c r="W1787" s="9"/>
      <c r="X1787" s="17"/>
      <c r="Y1787" s="13"/>
      <c r="Z1787" s="13"/>
      <c r="AC1787" s="24"/>
      <c r="AD1787" s="23"/>
    </row>
    <row r="1788" spans="4:30" x14ac:dyDescent="0.25">
      <c r="D1788" s="3"/>
      <c r="E1788" s="15"/>
      <c r="F1788" s="15"/>
      <c r="G1788" s="15"/>
      <c r="H1788" s="15"/>
      <c r="I1788" s="15"/>
      <c r="J1788" s="9"/>
      <c r="K1788" s="9"/>
      <c r="L1788" s="9"/>
      <c r="M1788" s="9"/>
      <c r="N1788" s="9"/>
      <c r="O1788" s="9"/>
      <c r="P1788" s="9"/>
      <c r="Q1788" s="9"/>
      <c r="R1788" s="9"/>
      <c r="S1788" s="9"/>
      <c r="T1788" s="9"/>
      <c r="U1788" s="9"/>
      <c r="V1788" s="9"/>
      <c r="W1788" s="9"/>
      <c r="X1788" s="17"/>
      <c r="Y1788" s="13"/>
      <c r="Z1788" s="13"/>
      <c r="AC1788" s="24"/>
      <c r="AD1788" s="23"/>
    </row>
    <row r="1789" spans="4:30" x14ac:dyDescent="0.25">
      <c r="D1789" s="3"/>
      <c r="E1789" s="15"/>
      <c r="F1789" s="15"/>
      <c r="G1789" s="15"/>
      <c r="H1789" s="15"/>
      <c r="I1789" s="15"/>
      <c r="J1789" s="9"/>
      <c r="K1789" s="9"/>
      <c r="L1789" s="9"/>
      <c r="M1789" s="9"/>
      <c r="N1789" s="9"/>
      <c r="O1789" s="9"/>
      <c r="P1789" s="9"/>
      <c r="Q1789" s="9"/>
      <c r="R1789" s="9"/>
      <c r="S1789" s="9"/>
      <c r="T1789" s="9"/>
      <c r="U1789" s="9"/>
      <c r="V1789" s="9"/>
      <c r="W1789" s="9"/>
      <c r="X1789" s="17"/>
      <c r="Y1789" s="13"/>
      <c r="Z1789" s="13"/>
      <c r="AC1789" s="24"/>
      <c r="AD1789" s="23"/>
    </row>
    <row r="1790" spans="4:30" x14ac:dyDescent="0.25">
      <c r="D1790" s="3"/>
      <c r="E1790" s="15"/>
      <c r="F1790" s="15"/>
      <c r="G1790" s="15"/>
      <c r="H1790" s="15"/>
      <c r="I1790" s="15"/>
      <c r="J1790" s="9"/>
      <c r="K1790" s="9"/>
      <c r="L1790" s="9"/>
      <c r="M1790" s="9"/>
      <c r="N1790" s="9"/>
      <c r="O1790" s="9"/>
      <c r="P1790" s="9"/>
      <c r="Q1790" s="9"/>
      <c r="R1790" s="9"/>
      <c r="S1790" s="9"/>
      <c r="T1790" s="9"/>
      <c r="U1790" s="9"/>
      <c r="V1790" s="9"/>
      <c r="W1790" s="9"/>
      <c r="X1790" s="17"/>
      <c r="Y1790" s="13"/>
      <c r="Z1790" s="13"/>
      <c r="AC1790" s="24"/>
      <c r="AD1790" s="23"/>
    </row>
    <row r="1791" spans="4:30" x14ac:dyDescent="0.25">
      <c r="D1791" s="3"/>
      <c r="E1791" s="15"/>
      <c r="F1791" s="15"/>
      <c r="G1791" s="15"/>
      <c r="H1791" s="15"/>
      <c r="I1791" s="15"/>
      <c r="J1791" s="9"/>
      <c r="K1791" s="9"/>
      <c r="L1791" s="9"/>
      <c r="M1791" s="9"/>
      <c r="N1791" s="9"/>
      <c r="O1791" s="9"/>
      <c r="P1791" s="9"/>
      <c r="Q1791" s="9"/>
      <c r="R1791" s="9"/>
      <c r="S1791" s="9"/>
      <c r="T1791" s="9"/>
      <c r="U1791" s="9"/>
      <c r="V1791" s="9"/>
      <c r="W1791" s="9"/>
      <c r="X1791" s="17"/>
      <c r="Y1791" s="13"/>
      <c r="Z1791" s="13"/>
      <c r="AC1791" s="24"/>
      <c r="AD1791" s="23"/>
    </row>
    <row r="1792" spans="4:30" x14ac:dyDescent="0.25">
      <c r="D1792" s="3"/>
      <c r="E1792" s="15"/>
      <c r="F1792" s="15"/>
      <c r="G1792" s="15"/>
      <c r="H1792" s="15"/>
      <c r="I1792" s="15"/>
      <c r="J1792" s="9"/>
      <c r="K1792" s="9"/>
      <c r="L1792" s="9"/>
      <c r="M1792" s="9"/>
      <c r="N1792" s="9"/>
      <c r="O1792" s="9"/>
      <c r="P1792" s="9"/>
      <c r="Q1792" s="9"/>
      <c r="R1792" s="9"/>
      <c r="S1792" s="9"/>
      <c r="T1792" s="9"/>
      <c r="U1792" s="9"/>
      <c r="V1792" s="9"/>
      <c r="W1792" s="9"/>
      <c r="X1792" s="17"/>
      <c r="Y1792" s="13"/>
      <c r="Z1792" s="13"/>
      <c r="AC1792" s="24"/>
      <c r="AD1792" s="23"/>
    </row>
    <row r="1793" spans="4:30" x14ac:dyDescent="0.25">
      <c r="D1793" s="3"/>
      <c r="E1793" s="15"/>
      <c r="F1793" s="15"/>
      <c r="G1793" s="15"/>
      <c r="H1793" s="15"/>
      <c r="I1793" s="15"/>
      <c r="J1793" s="9"/>
      <c r="K1793" s="9"/>
      <c r="L1793" s="9"/>
      <c r="M1793" s="9"/>
      <c r="N1793" s="9"/>
      <c r="O1793" s="9"/>
      <c r="P1793" s="9"/>
      <c r="Q1793" s="9"/>
      <c r="R1793" s="9"/>
      <c r="S1793" s="9"/>
      <c r="T1793" s="9"/>
      <c r="U1793" s="9"/>
      <c r="V1793" s="9"/>
      <c r="W1793" s="9"/>
      <c r="X1793" s="17"/>
      <c r="Y1793" s="13"/>
      <c r="Z1793" s="13"/>
      <c r="AC1793" s="24"/>
      <c r="AD1793" s="23"/>
    </row>
    <row r="1794" spans="4:30" x14ac:dyDescent="0.25">
      <c r="D1794" s="3"/>
      <c r="E1794" s="15"/>
      <c r="F1794" s="15"/>
      <c r="G1794" s="15"/>
      <c r="H1794" s="15"/>
      <c r="I1794" s="15"/>
      <c r="J1794" s="9"/>
      <c r="K1794" s="9"/>
      <c r="L1794" s="9"/>
      <c r="M1794" s="9"/>
      <c r="N1794" s="9"/>
      <c r="O1794" s="9"/>
      <c r="P1794" s="9"/>
      <c r="Q1794" s="9"/>
      <c r="R1794" s="9"/>
      <c r="S1794" s="9"/>
      <c r="T1794" s="9"/>
      <c r="U1794" s="9"/>
      <c r="V1794" s="9"/>
      <c r="W1794" s="9"/>
      <c r="X1794" s="17"/>
      <c r="Y1794" s="13"/>
      <c r="Z1794" s="13"/>
      <c r="AC1794" s="24"/>
      <c r="AD1794" s="23"/>
    </row>
    <row r="1795" spans="4:30" x14ac:dyDescent="0.25">
      <c r="D1795" s="3"/>
      <c r="E1795" s="15"/>
      <c r="F1795" s="15"/>
      <c r="G1795" s="15"/>
      <c r="H1795" s="15"/>
      <c r="I1795" s="15"/>
      <c r="J1795" s="9"/>
      <c r="K1795" s="9"/>
      <c r="L1795" s="9"/>
      <c r="M1795" s="9"/>
      <c r="N1795" s="9"/>
      <c r="O1795" s="9"/>
      <c r="P1795" s="9"/>
      <c r="Q1795" s="9"/>
      <c r="R1795" s="9"/>
      <c r="S1795" s="9"/>
      <c r="T1795" s="9"/>
      <c r="U1795" s="9"/>
      <c r="V1795" s="9"/>
      <c r="W1795" s="9"/>
      <c r="X1795" s="17"/>
      <c r="Y1795" s="13"/>
      <c r="Z1795" s="13"/>
      <c r="AC1795" s="24"/>
      <c r="AD1795" s="23"/>
    </row>
    <row r="1796" spans="4:30" x14ac:dyDescent="0.25">
      <c r="D1796" s="3"/>
      <c r="E1796" s="15"/>
      <c r="F1796" s="15"/>
      <c r="G1796" s="15"/>
      <c r="H1796" s="15"/>
      <c r="I1796" s="15"/>
      <c r="J1796" s="9"/>
      <c r="K1796" s="9"/>
      <c r="L1796" s="9"/>
      <c r="M1796" s="9"/>
      <c r="N1796" s="9"/>
      <c r="O1796" s="9"/>
      <c r="P1796" s="9"/>
      <c r="Q1796" s="9"/>
      <c r="R1796" s="9"/>
      <c r="S1796" s="9"/>
      <c r="T1796" s="9"/>
      <c r="U1796" s="9"/>
      <c r="V1796" s="9"/>
      <c r="W1796" s="9"/>
      <c r="X1796" s="17"/>
      <c r="Y1796" s="13"/>
      <c r="Z1796" s="13"/>
      <c r="AC1796" s="24"/>
      <c r="AD1796" s="23"/>
    </row>
    <row r="1797" spans="4:30" x14ac:dyDescent="0.25">
      <c r="D1797" s="3"/>
      <c r="E1797" s="15"/>
      <c r="F1797" s="15"/>
      <c r="G1797" s="15"/>
      <c r="H1797" s="15"/>
      <c r="I1797" s="15"/>
      <c r="J1797" s="9"/>
      <c r="K1797" s="9"/>
      <c r="L1797" s="9"/>
      <c r="M1797" s="9"/>
      <c r="N1797" s="9"/>
      <c r="O1797" s="9"/>
      <c r="P1797" s="9"/>
      <c r="Q1797" s="9"/>
      <c r="R1797" s="9"/>
      <c r="S1797" s="9"/>
      <c r="T1797" s="9"/>
      <c r="U1797" s="9"/>
      <c r="V1797" s="9"/>
      <c r="W1797" s="9"/>
      <c r="X1797" s="17"/>
      <c r="Y1797" s="13"/>
      <c r="Z1797" s="13"/>
      <c r="AC1797" s="24"/>
      <c r="AD1797" s="23"/>
    </row>
    <row r="1798" spans="4:30" x14ac:dyDescent="0.25">
      <c r="D1798" s="3"/>
      <c r="E1798" s="15"/>
      <c r="F1798" s="15"/>
      <c r="G1798" s="15"/>
      <c r="H1798" s="15"/>
      <c r="I1798" s="15"/>
      <c r="J1798" s="9"/>
      <c r="K1798" s="9"/>
      <c r="L1798" s="9"/>
      <c r="M1798" s="9"/>
      <c r="N1798" s="9"/>
      <c r="O1798" s="9"/>
      <c r="P1798" s="9"/>
      <c r="Q1798" s="9"/>
      <c r="R1798" s="9"/>
      <c r="S1798" s="9"/>
      <c r="T1798" s="9"/>
      <c r="U1798" s="9"/>
      <c r="V1798" s="9"/>
      <c r="W1798" s="9"/>
      <c r="X1798" s="17"/>
      <c r="Y1798" s="13"/>
      <c r="Z1798" s="13"/>
      <c r="AC1798" s="24"/>
      <c r="AD1798" s="23"/>
    </row>
    <row r="1799" spans="4:30" x14ac:dyDescent="0.25">
      <c r="D1799" s="3"/>
      <c r="E1799" s="15"/>
      <c r="F1799" s="15"/>
      <c r="G1799" s="15"/>
      <c r="H1799" s="15"/>
      <c r="I1799" s="15"/>
      <c r="J1799" s="9"/>
      <c r="K1799" s="9"/>
      <c r="L1799" s="9"/>
      <c r="M1799" s="9"/>
      <c r="N1799" s="9"/>
      <c r="O1799" s="9"/>
      <c r="P1799" s="9"/>
      <c r="Q1799" s="9"/>
      <c r="R1799" s="9"/>
      <c r="S1799" s="9"/>
      <c r="T1799" s="9"/>
      <c r="U1799" s="9"/>
      <c r="V1799" s="9"/>
      <c r="W1799" s="9"/>
      <c r="X1799" s="17"/>
      <c r="Y1799" s="13"/>
      <c r="Z1799" s="13"/>
      <c r="AC1799" s="24"/>
      <c r="AD1799" s="23"/>
    </row>
    <row r="1800" spans="4:30" x14ac:dyDescent="0.25">
      <c r="D1800" s="3"/>
      <c r="E1800" s="15"/>
      <c r="F1800" s="15"/>
      <c r="G1800" s="15"/>
      <c r="H1800" s="15"/>
      <c r="I1800" s="15"/>
      <c r="J1800" s="9"/>
      <c r="K1800" s="9"/>
      <c r="L1800" s="9"/>
      <c r="M1800" s="9"/>
      <c r="N1800" s="9"/>
      <c r="O1800" s="9"/>
      <c r="P1800" s="9"/>
      <c r="Q1800" s="9"/>
      <c r="R1800" s="9"/>
      <c r="S1800" s="9"/>
      <c r="T1800" s="9"/>
      <c r="U1800" s="9"/>
      <c r="V1800" s="9"/>
      <c r="W1800" s="9"/>
      <c r="X1800" s="17"/>
      <c r="Y1800" s="13"/>
      <c r="Z1800" s="13"/>
      <c r="AC1800" s="24"/>
      <c r="AD1800" s="23"/>
    </row>
    <row r="1801" spans="4:30" x14ac:dyDescent="0.25">
      <c r="D1801" s="3"/>
      <c r="E1801" s="15"/>
      <c r="F1801" s="15"/>
      <c r="G1801" s="15"/>
      <c r="H1801" s="15"/>
      <c r="I1801" s="15"/>
      <c r="J1801" s="9"/>
      <c r="K1801" s="9"/>
      <c r="L1801" s="9"/>
      <c r="M1801" s="9"/>
      <c r="N1801" s="9"/>
      <c r="O1801" s="9"/>
      <c r="P1801" s="9"/>
      <c r="Q1801" s="9"/>
      <c r="R1801" s="9"/>
      <c r="S1801" s="9"/>
      <c r="T1801" s="9"/>
      <c r="U1801" s="9"/>
      <c r="V1801" s="9"/>
      <c r="W1801" s="9"/>
      <c r="X1801" s="17"/>
      <c r="Y1801" s="13"/>
      <c r="Z1801" s="13"/>
      <c r="AC1801" s="24"/>
      <c r="AD1801" s="23"/>
    </row>
    <row r="1802" spans="4:30" x14ac:dyDescent="0.25">
      <c r="D1802" s="3"/>
      <c r="E1802" s="15"/>
      <c r="F1802" s="15"/>
      <c r="G1802" s="15"/>
      <c r="H1802" s="15"/>
      <c r="I1802" s="15"/>
      <c r="J1802" s="9"/>
      <c r="K1802" s="9"/>
      <c r="L1802" s="9"/>
      <c r="M1802" s="9"/>
      <c r="N1802" s="9"/>
      <c r="O1802" s="9"/>
      <c r="P1802" s="9"/>
      <c r="Q1802" s="9"/>
      <c r="R1802" s="9"/>
      <c r="S1802" s="9"/>
      <c r="T1802" s="9"/>
      <c r="U1802" s="9"/>
      <c r="V1802" s="9"/>
      <c r="W1802" s="9"/>
      <c r="X1802" s="17"/>
      <c r="Y1802" s="13"/>
      <c r="Z1802" s="13"/>
      <c r="AC1802" s="24"/>
      <c r="AD1802" s="23"/>
    </row>
    <row r="1803" spans="4:30" x14ac:dyDescent="0.25">
      <c r="D1803" s="3"/>
      <c r="E1803" s="15"/>
      <c r="F1803" s="15"/>
      <c r="G1803" s="15"/>
      <c r="H1803" s="15"/>
      <c r="I1803" s="15"/>
      <c r="J1803" s="9"/>
      <c r="K1803" s="9"/>
      <c r="L1803" s="9"/>
      <c r="M1803" s="9"/>
      <c r="N1803" s="9"/>
      <c r="O1803" s="9"/>
      <c r="P1803" s="9"/>
      <c r="Q1803" s="9"/>
      <c r="R1803" s="9"/>
      <c r="S1803" s="9"/>
      <c r="T1803" s="9"/>
      <c r="U1803" s="9"/>
      <c r="V1803" s="9"/>
      <c r="W1803" s="9"/>
      <c r="X1803" s="17"/>
      <c r="Y1803" s="13"/>
      <c r="Z1803" s="13"/>
      <c r="AC1803" s="24"/>
      <c r="AD1803" s="23"/>
    </row>
    <row r="1804" spans="4:30" x14ac:dyDescent="0.25">
      <c r="D1804" s="3"/>
      <c r="E1804" s="15"/>
      <c r="F1804" s="15"/>
      <c r="G1804" s="15"/>
      <c r="H1804" s="15"/>
      <c r="I1804" s="15"/>
      <c r="J1804" s="9"/>
      <c r="K1804" s="9"/>
      <c r="L1804" s="9"/>
      <c r="M1804" s="9"/>
      <c r="N1804" s="9"/>
      <c r="O1804" s="9"/>
      <c r="P1804" s="9"/>
      <c r="Q1804" s="9"/>
      <c r="R1804" s="9"/>
      <c r="S1804" s="9"/>
      <c r="T1804" s="9"/>
      <c r="U1804" s="9"/>
      <c r="V1804" s="9"/>
      <c r="W1804" s="9"/>
      <c r="X1804" s="17"/>
      <c r="Y1804" s="13"/>
      <c r="Z1804" s="13"/>
      <c r="AC1804" s="24"/>
      <c r="AD1804" s="23"/>
    </row>
    <row r="1805" spans="4:30" x14ac:dyDescent="0.25">
      <c r="D1805" s="3"/>
      <c r="E1805" s="15"/>
      <c r="F1805" s="15"/>
      <c r="G1805" s="15"/>
      <c r="H1805" s="15"/>
      <c r="I1805" s="15"/>
      <c r="J1805" s="9"/>
      <c r="K1805" s="9"/>
      <c r="L1805" s="9"/>
      <c r="M1805" s="9"/>
      <c r="N1805" s="9"/>
      <c r="O1805" s="9"/>
      <c r="P1805" s="9"/>
      <c r="Q1805" s="9"/>
      <c r="R1805" s="9"/>
      <c r="S1805" s="9"/>
      <c r="T1805" s="9"/>
      <c r="U1805" s="9"/>
      <c r="V1805" s="9"/>
      <c r="W1805" s="9"/>
      <c r="X1805" s="17"/>
      <c r="Y1805" s="13"/>
      <c r="Z1805" s="13"/>
      <c r="AC1805" s="24"/>
      <c r="AD1805" s="23"/>
    </row>
    <row r="1806" spans="4:30" x14ac:dyDescent="0.25">
      <c r="D1806" s="3"/>
      <c r="E1806" s="15"/>
      <c r="F1806" s="15"/>
      <c r="G1806" s="15"/>
      <c r="H1806" s="15"/>
      <c r="I1806" s="15"/>
      <c r="J1806" s="9"/>
      <c r="K1806" s="9"/>
      <c r="L1806" s="9"/>
      <c r="M1806" s="9"/>
      <c r="N1806" s="9"/>
      <c r="O1806" s="9"/>
      <c r="P1806" s="9"/>
      <c r="Q1806" s="9"/>
      <c r="R1806" s="9"/>
      <c r="S1806" s="9"/>
      <c r="T1806" s="9"/>
      <c r="U1806" s="9"/>
      <c r="V1806" s="9"/>
      <c r="W1806" s="9"/>
      <c r="X1806" s="17"/>
      <c r="Y1806" s="13"/>
      <c r="Z1806" s="13"/>
      <c r="AC1806" s="24"/>
      <c r="AD1806" s="23"/>
    </row>
    <row r="1807" spans="4:30" x14ac:dyDescent="0.25">
      <c r="D1807" s="3"/>
      <c r="E1807" s="15"/>
      <c r="F1807" s="15"/>
      <c r="G1807" s="15"/>
      <c r="H1807" s="15"/>
      <c r="I1807" s="15"/>
      <c r="J1807" s="9"/>
      <c r="K1807" s="9"/>
      <c r="L1807" s="9"/>
      <c r="M1807" s="9"/>
      <c r="N1807" s="9"/>
      <c r="O1807" s="9"/>
      <c r="P1807" s="9"/>
      <c r="Q1807" s="9"/>
      <c r="R1807" s="9"/>
      <c r="S1807" s="9"/>
      <c r="T1807" s="9"/>
      <c r="U1807" s="9"/>
      <c r="V1807" s="9"/>
      <c r="W1807" s="9"/>
      <c r="X1807" s="17"/>
      <c r="Y1807" s="13"/>
      <c r="Z1807" s="13"/>
      <c r="AC1807" s="24"/>
      <c r="AD1807" s="23"/>
    </row>
    <row r="1808" spans="4:30" x14ac:dyDescent="0.25">
      <c r="D1808" s="3"/>
      <c r="E1808" s="15"/>
      <c r="F1808" s="15"/>
      <c r="G1808" s="15"/>
      <c r="H1808" s="15"/>
      <c r="I1808" s="15"/>
      <c r="J1808" s="9"/>
      <c r="K1808" s="9"/>
      <c r="L1808" s="9"/>
      <c r="M1808" s="9"/>
      <c r="N1808" s="9"/>
      <c r="O1808" s="9"/>
      <c r="P1808" s="9"/>
      <c r="Q1808" s="9"/>
      <c r="R1808" s="9"/>
      <c r="S1808" s="9"/>
      <c r="T1808" s="9"/>
      <c r="U1808" s="9"/>
      <c r="V1808" s="9"/>
      <c r="W1808" s="9"/>
      <c r="X1808" s="17"/>
      <c r="Y1808" s="13"/>
      <c r="Z1808" s="13"/>
      <c r="AC1808" s="24"/>
      <c r="AD1808" s="23"/>
    </row>
    <row r="1809" spans="4:30" x14ac:dyDescent="0.25">
      <c r="D1809" s="3"/>
      <c r="E1809" s="15"/>
      <c r="F1809" s="15"/>
      <c r="G1809" s="15"/>
      <c r="H1809" s="15"/>
      <c r="I1809" s="15"/>
      <c r="J1809" s="9"/>
      <c r="K1809" s="9"/>
      <c r="L1809" s="9"/>
      <c r="M1809" s="9"/>
      <c r="N1809" s="9"/>
      <c r="O1809" s="9"/>
      <c r="P1809" s="9"/>
      <c r="Q1809" s="9"/>
      <c r="R1809" s="9"/>
      <c r="S1809" s="9"/>
      <c r="T1809" s="9"/>
      <c r="U1809" s="9"/>
      <c r="V1809" s="9"/>
      <c r="W1809" s="9"/>
      <c r="X1809" s="17"/>
      <c r="Y1809" s="13"/>
      <c r="Z1809" s="13"/>
      <c r="AC1809" s="24"/>
      <c r="AD1809" s="23"/>
    </row>
    <row r="1810" spans="4:30" x14ac:dyDescent="0.25">
      <c r="D1810" s="3"/>
      <c r="E1810" s="15"/>
      <c r="F1810" s="15"/>
      <c r="G1810" s="15"/>
      <c r="H1810" s="15"/>
      <c r="I1810" s="15"/>
      <c r="J1810" s="9"/>
      <c r="K1810" s="9"/>
      <c r="L1810" s="9"/>
      <c r="M1810" s="9"/>
      <c r="N1810" s="9"/>
      <c r="O1810" s="9"/>
      <c r="P1810" s="9"/>
      <c r="Q1810" s="9"/>
      <c r="R1810" s="9"/>
      <c r="S1810" s="9"/>
      <c r="T1810" s="9"/>
      <c r="U1810" s="9"/>
      <c r="V1810" s="9"/>
      <c r="W1810" s="9"/>
      <c r="X1810" s="17"/>
      <c r="Y1810" s="13"/>
      <c r="Z1810" s="13"/>
      <c r="AC1810" s="24"/>
      <c r="AD1810" s="23"/>
    </row>
    <row r="1811" spans="4:30" x14ac:dyDescent="0.25">
      <c r="D1811" s="3"/>
      <c r="E1811" s="15"/>
      <c r="F1811" s="15"/>
      <c r="G1811" s="15"/>
      <c r="H1811" s="15"/>
      <c r="I1811" s="15"/>
      <c r="J1811" s="9"/>
      <c r="K1811" s="9"/>
      <c r="L1811" s="9"/>
      <c r="M1811" s="9"/>
      <c r="N1811" s="9"/>
      <c r="O1811" s="9"/>
      <c r="P1811" s="9"/>
      <c r="Q1811" s="9"/>
      <c r="R1811" s="9"/>
      <c r="S1811" s="9"/>
      <c r="T1811" s="9"/>
      <c r="U1811" s="9"/>
      <c r="V1811" s="9"/>
      <c r="W1811" s="9"/>
      <c r="X1811" s="17"/>
      <c r="Y1811" s="13"/>
      <c r="Z1811" s="13"/>
      <c r="AC1811" s="24"/>
      <c r="AD1811" s="23"/>
    </row>
    <row r="1812" spans="4:30" x14ac:dyDescent="0.25">
      <c r="D1812" s="3"/>
      <c r="E1812" s="15"/>
      <c r="F1812" s="15"/>
      <c r="G1812" s="15"/>
      <c r="H1812" s="15"/>
      <c r="I1812" s="15"/>
      <c r="J1812" s="9"/>
      <c r="K1812" s="9"/>
      <c r="L1812" s="9"/>
      <c r="M1812" s="9"/>
      <c r="N1812" s="9"/>
      <c r="O1812" s="9"/>
      <c r="P1812" s="9"/>
      <c r="Q1812" s="9"/>
      <c r="R1812" s="9"/>
      <c r="S1812" s="9"/>
      <c r="T1812" s="9"/>
      <c r="U1812" s="9"/>
      <c r="V1812" s="9"/>
      <c r="W1812" s="9"/>
      <c r="X1812" s="17"/>
      <c r="Y1812" s="13"/>
      <c r="Z1812" s="13"/>
      <c r="AC1812" s="24"/>
      <c r="AD1812" s="23"/>
    </row>
    <row r="1813" spans="4:30" x14ac:dyDescent="0.25">
      <c r="D1813" s="3"/>
      <c r="E1813" s="15"/>
      <c r="F1813" s="15"/>
      <c r="G1813" s="15"/>
      <c r="H1813" s="15"/>
      <c r="I1813" s="15"/>
      <c r="J1813" s="9"/>
      <c r="K1813" s="9"/>
      <c r="L1813" s="9"/>
      <c r="M1813" s="9"/>
      <c r="N1813" s="9"/>
      <c r="O1813" s="9"/>
      <c r="P1813" s="9"/>
      <c r="Q1813" s="9"/>
      <c r="R1813" s="9"/>
      <c r="S1813" s="9"/>
      <c r="T1813" s="9"/>
      <c r="U1813" s="9"/>
      <c r="V1813" s="9"/>
      <c r="W1813" s="9"/>
      <c r="X1813" s="17"/>
      <c r="Y1813" s="13"/>
      <c r="Z1813" s="13"/>
      <c r="AC1813" s="24"/>
      <c r="AD1813" s="23"/>
    </row>
    <row r="1814" spans="4:30" x14ac:dyDescent="0.25">
      <c r="D1814" s="3"/>
      <c r="E1814" s="15"/>
      <c r="F1814" s="15"/>
      <c r="G1814" s="15"/>
      <c r="H1814" s="15"/>
      <c r="I1814" s="15"/>
      <c r="J1814" s="9"/>
      <c r="K1814" s="9"/>
      <c r="L1814" s="9"/>
      <c r="M1814" s="9"/>
      <c r="N1814" s="9"/>
      <c r="O1814" s="9"/>
      <c r="P1814" s="9"/>
      <c r="Q1814" s="9"/>
      <c r="R1814" s="9"/>
      <c r="S1814" s="9"/>
      <c r="T1814" s="9"/>
      <c r="U1814" s="9"/>
      <c r="V1814" s="9"/>
      <c r="W1814" s="9"/>
      <c r="X1814" s="17"/>
      <c r="Y1814" s="13"/>
      <c r="Z1814" s="13"/>
      <c r="AC1814" s="24"/>
      <c r="AD1814" s="23"/>
    </row>
    <row r="1815" spans="4:30" x14ac:dyDescent="0.25">
      <c r="D1815" s="3"/>
      <c r="E1815" s="15"/>
      <c r="F1815" s="15"/>
      <c r="G1815" s="15"/>
      <c r="H1815" s="15"/>
      <c r="I1815" s="15"/>
      <c r="J1815" s="9"/>
      <c r="K1815" s="9"/>
      <c r="L1815" s="9"/>
      <c r="M1815" s="9"/>
      <c r="N1815" s="9"/>
      <c r="O1815" s="9"/>
      <c r="P1815" s="9"/>
      <c r="Q1815" s="9"/>
      <c r="R1815" s="9"/>
      <c r="S1815" s="9"/>
      <c r="T1815" s="9"/>
      <c r="U1815" s="9"/>
      <c r="V1815" s="9"/>
      <c r="W1815" s="9"/>
      <c r="X1815" s="17"/>
      <c r="Y1815" s="13"/>
      <c r="Z1815" s="13"/>
      <c r="AC1815" s="24"/>
      <c r="AD1815" s="23"/>
    </row>
    <row r="1816" spans="4:30" x14ac:dyDescent="0.25">
      <c r="D1816" s="3"/>
      <c r="E1816" s="15"/>
      <c r="F1816" s="15"/>
      <c r="G1816" s="15"/>
      <c r="H1816" s="15"/>
      <c r="I1816" s="15"/>
      <c r="J1816" s="9"/>
      <c r="K1816" s="9"/>
      <c r="L1816" s="9"/>
      <c r="M1816" s="9"/>
      <c r="N1816" s="9"/>
      <c r="O1816" s="9"/>
      <c r="P1816" s="9"/>
      <c r="Q1816" s="9"/>
      <c r="R1816" s="9"/>
      <c r="S1816" s="9"/>
      <c r="T1816" s="9"/>
      <c r="U1816" s="9"/>
      <c r="V1816" s="9"/>
      <c r="W1816" s="9"/>
      <c r="X1816" s="17"/>
      <c r="Y1816" s="13"/>
      <c r="Z1816" s="13"/>
      <c r="AC1816" s="24"/>
      <c r="AD1816" s="23"/>
    </row>
    <row r="1817" spans="4:30" x14ac:dyDescent="0.25">
      <c r="D1817" s="3"/>
      <c r="E1817" s="15"/>
      <c r="F1817" s="15"/>
      <c r="G1817" s="15"/>
      <c r="H1817" s="15"/>
      <c r="I1817" s="15"/>
      <c r="J1817" s="9"/>
      <c r="K1817" s="9"/>
      <c r="L1817" s="9"/>
      <c r="M1817" s="9"/>
      <c r="N1817" s="9"/>
      <c r="O1817" s="9"/>
      <c r="P1817" s="9"/>
      <c r="Q1817" s="9"/>
      <c r="R1817" s="9"/>
      <c r="S1817" s="9"/>
      <c r="T1817" s="9"/>
      <c r="U1817" s="9"/>
      <c r="V1817" s="9"/>
      <c r="W1817" s="9"/>
      <c r="X1817" s="17"/>
      <c r="Y1817" s="13"/>
      <c r="Z1817" s="13"/>
      <c r="AC1817" s="24"/>
      <c r="AD1817" s="23"/>
    </row>
    <row r="1818" spans="4:30" x14ac:dyDescent="0.25">
      <c r="D1818" s="3"/>
      <c r="E1818" s="15"/>
      <c r="F1818" s="15"/>
      <c r="G1818" s="15"/>
      <c r="H1818" s="15"/>
      <c r="I1818" s="15"/>
      <c r="J1818" s="9"/>
      <c r="K1818" s="9"/>
      <c r="L1818" s="9"/>
      <c r="M1818" s="9"/>
      <c r="N1818" s="9"/>
      <c r="O1818" s="9"/>
      <c r="P1818" s="9"/>
      <c r="Q1818" s="9"/>
      <c r="R1818" s="9"/>
      <c r="S1818" s="9"/>
      <c r="T1818" s="9"/>
      <c r="U1818" s="9"/>
      <c r="V1818" s="9"/>
      <c r="W1818" s="9"/>
      <c r="X1818" s="17"/>
      <c r="Y1818" s="13"/>
      <c r="Z1818" s="13"/>
      <c r="AC1818" s="24"/>
      <c r="AD1818" s="23"/>
    </row>
    <row r="1819" spans="4:30" x14ac:dyDescent="0.25">
      <c r="D1819" s="3"/>
      <c r="E1819" s="15"/>
      <c r="F1819" s="15"/>
      <c r="G1819" s="15"/>
      <c r="H1819" s="15"/>
      <c r="I1819" s="15"/>
      <c r="J1819" s="9"/>
      <c r="K1819" s="9"/>
      <c r="L1819" s="9"/>
      <c r="M1819" s="9"/>
      <c r="N1819" s="9"/>
      <c r="O1819" s="9"/>
      <c r="P1819" s="9"/>
      <c r="Q1819" s="9"/>
      <c r="R1819" s="9"/>
      <c r="S1819" s="9"/>
      <c r="T1819" s="9"/>
      <c r="U1819" s="9"/>
      <c r="V1819" s="9"/>
      <c r="W1819" s="9"/>
      <c r="X1819" s="17"/>
      <c r="Y1819" s="13"/>
      <c r="Z1819" s="13"/>
      <c r="AC1819" s="24"/>
      <c r="AD1819" s="23"/>
    </row>
    <row r="1820" spans="4:30" x14ac:dyDescent="0.25">
      <c r="D1820" s="3"/>
      <c r="E1820" s="15"/>
      <c r="F1820" s="15"/>
      <c r="G1820" s="15"/>
      <c r="H1820" s="15"/>
      <c r="I1820" s="15"/>
      <c r="J1820" s="9"/>
      <c r="K1820" s="9"/>
      <c r="L1820" s="9"/>
      <c r="M1820" s="9"/>
      <c r="N1820" s="9"/>
      <c r="O1820" s="9"/>
      <c r="P1820" s="9"/>
      <c r="Q1820" s="9"/>
      <c r="R1820" s="9"/>
      <c r="S1820" s="9"/>
      <c r="T1820" s="9"/>
      <c r="U1820" s="9"/>
      <c r="V1820" s="9"/>
      <c r="W1820" s="9"/>
      <c r="X1820" s="17"/>
      <c r="Y1820" s="13"/>
      <c r="Z1820" s="13"/>
      <c r="AC1820" s="24"/>
      <c r="AD1820" s="23"/>
    </row>
    <row r="1821" spans="4:30" x14ac:dyDescent="0.25">
      <c r="D1821" s="3"/>
      <c r="E1821" s="15"/>
      <c r="F1821" s="15"/>
      <c r="G1821" s="15"/>
      <c r="H1821" s="15"/>
      <c r="I1821" s="15"/>
      <c r="J1821" s="9"/>
      <c r="K1821" s="9"/>
      <c r="L1821" s="9"/>
      <c r="M1821" s="9"/>
      <c r="N1821" s="9"/>
      <c r="O1821" s="9"/>
      <c r="P1821" s="9"/>
      <c r="Q1821" s="9"/>
      <c r="R1821" s="9"/>
      <c r="S1821" s="9"/>
      <c r="T1821" s="9"/>
      <c r="U1821" s="9"/>
      <c r="V1821" s="9"/>
      <c r="W1821" s="9"/>
      <c r="X1821" s="17"/>
      <c r="Y1821" s="13"/>
      <c r="Z1821" s="13"/>
      <c r="AC1821" s="24"/>
      <c r="AD1821" s="23"/>
    </row>
    <row r="1822" spans="4:30" x14ac:dyDescent="0.25">
      <c r="D1822" s="3"/>
      <c r="E1822" s="15"/>
      <c r="F1822" s="15"/>
      <c r="G1822" s="15"/>
      <c r="H1822" s="15"/>
      <c r="I1822" s="15"/>
      <c r="J1822" s="9"/>
      <c r="K1822" s="9"/>
      <c r="L1822" s="9"/>
      <c r="M1822" s="9"/>
      <c r="N1822" s="9"/>
      <c r="O1822" s="9"/>
      <c r="P1822" s="9"/>
      <c r="Q1822" s="9"/>
      <c r="R1822" s="9"/>
      <c r="S1822" s="9"/>
      <c r="T1822" s="9"/>
      <c r="U1822" s="9"/>
      <c r="V1822" s="9"/>
      <c r="W1822" s="9"/>
      <c r="X1822" s="17"/>
      <c r="Y1822" s="13"/>
      <c r="Z1822" s="13"/>
      <c r="AC1822" s="24"/>
      <c r="AD1822" s="23"/>
    </row>
    <row r="1823" spans="4:30" x14ac:dyDescent="0.25">
      <c r="D1823" s="3"/>
      <c r="E1823" s="15"/>
      <c r="F1823" s="15"/>
      <c r="G1823" s="15"/>
      <c r="H1823" s="15"/>
      <c r="I1823" s="15"/>
      <c r="J1823" s="9"/>
      <c r="K1823" s="9"/>
      <c r="L1823" s="9"/>
      <c r="M1823" s="9"/>
      <c r="N1823" s="9"/>
      <c r="O1823" s="9"/>
      <c r="P1823" s="9"/>
      <c r="Q1823" s="9"/>
      <c r="R1823" s="9"/>
      <c r="S1823" s="9"/>
      <c r="T1823" s="9"/>
      <c r="U1823" s="9"/>
      <c r="V1823" s="9"/>
      <c r="W1823" s="9"/>
      <c r="X1823" s="17"/>
      <c r="Y1823" s="13"/>
      <c r="Z1823" s="13"/>
      <c r="AC1823" s="24"/>
      <c r="AD1823" s="23"/>
    </row>
    <row r="1824" spans="4:30" x14ac:dyDescent="0.25">
      <c r="D1824" s="3"/>
      <c r="E1824" s="15"/>
      <c r="F1824" s="15"/>
      <c r="G1824" s="15"/>
      <c r="H1824" s="15"/>
      <c r="I1824" s="15"/>
      <c r="J1824" s="9"/>
      <c r="K1824" s="9"/>
      <c r="L1824" s="9"/>
      <c r="M1824" s="9"/>
      <c r="N1824" s="9"/>
      <c r="O1824" s="9"/>
      <c r="P1824" s="9"/>
      <c r="Q1824" s="9"/>
      <c r="R1824" s="9"/>
      <c r="S1824" s="9"/>
      <c r="T1824" s="9"/>
      <c r="U1824" s="9"/>
      <c r="V1824" s="9"/>
      <c r="W1824" s="9"/>
      <c r="X1824" s="17"/>
      <c r="Y1824" s="13"/>
      <c r="Z1824" s="13"/>
      <c r="AC1824" s="24"/>
      <c r="AD1824" s="23"/>
    </row>
    <row r="1825" spans="4:30" x14ac:dyDescent="0.25">
      <c r="D1825" s="3"/>
      <c r="E1825" s="15"/>
      <c r="F1825" s="15"/>
      <c r="G1825" s="15"/>
      <c r="H1825" s="15"/>
      <c r="I1825" s="15"/>
      <c r="J1825" s="9"/>
      <c r="K1825" s="9"/>
      <c r="L1825" s="9"/>
      <c r="M1825" s="9"/>
      <c r="N1825" s="9"/>
      <c r="O1825" s="9"/>
      <c r="P1825" s="9"/>
      <c r="Q1825" s="9"/>
      <c r="R1825" s="9"/>
      <c r="S1825" s="9"/>
      <c r="T1825" s="9"/>
      <c r="U1825" s="9"/>
      <c r="V1825" s="9"/>
      <c r="W1825" s="9"/>
      <c r="X1825" s="17"/>
      <c r="Y1825" s="13"/>
      <c r="Z1825" s="13"/>
      <c r="AC1825" s="24"/>
      <c r="AD1825" s="23"/>
    </row>
    <row r="1826" spans="4:30" x14ac:dyDescent="0.25">
      <c r="D1826" s="3"/>
      <c r="E1826" s="15"/>
      <c r="F1826" s="15"/>
      <c r="G1826" s="15"/>
      <c r="H1826" s="15"/>
      <c r="I1826" s="15"/>
      <c r="J1826" s="9"/>
      <c r="K1826" s="9"/>
      <c r="L1826" s="9"/>
      <c r="M1826" s="9"/>
      <c r="N1826" s="9"/>
      <c r="O1826" s="9"/>
      <c r="P1826" s="9"/>
      <c r="Q1826" s="9"/>
      <c r="R1826" s="9"/>
      <c r="S1826" s="9"/>
      <c r="T1826" s="9"/>
      <c r="U1826" s="9"/>
      <c r="V1826" s="9"/>
      <c r="W1826" s="9"/>
      <c r="X1826" s="17"/>
      <c r="Y1826" s="13"/>
      <c r="Z1826" s="13"/>
      <c r="AC1826" s="24"/>
      <c r="AD1826" s="23"/>
    </row>
    <row r="1827" spans="4:30" x14ac:dyDescent="0.25">
      <c r="D1827" s="3"/>
      <c r="E1827" s="15"/>
      <c r="F1827" s="15"/>
      <c r="G1827" s="15"/>
      <c r="H1827" s="15"/>
      <c r="I1827" s="15"/>
      <c r="J1827" s="9"/>
      <c r="K1827" s="9"/>
      <c r="L1827" s="9"/>
      <c r="M1827" s="9"/>
      <c r="N1827" s="9"/>
      <c r="O1827" s="9"/>
      <c r="P1827" s="9"/>
      <c r="Q1827" s="9"/>
      <c r="R1827" s="9"/>
      <c r="S1827" s="9"/>
      <c r="T1827" s="9"/>
      <c r="U1827" s="9"/>
      <c r="V1827" s="9"/>
      <c r="W1827" s="9"/>
      <c r="X1827" s="17"/>
      <c r="Y1827" s="13"/>
      <c r="Z1827" s="13"/>
      <c r="AC1827" s="24"/>
      <c r="AD1827" s="23"/>
    </row>
    <row r="1828" spans="4:30" x14ac:dyDescent="0.25">
      <c r="D1828" s="3"/>
      <c r="E1828" s="15"/>
      <c r="F1828" s="15"/>
      <c r="G1828" s="15"/>
      <c r="H1828" s="15"/>
      <c r="I1828" s="15"/>
      <c r="J1828" s="9"/>
      <c r="K1828" s="9"/>
      <c r="L1828" s="9"/>
      <c r="M1828" s="9"/>
      <c r="N1828" s="9"/>
      <c r="O1828" s="9"/>
      <c r="P1828" s="9"/>
      <c r="Q1828" s="9"/>
      <c r="R1828" s="9"/>
      <c r="S1828" s="9"/>
      <c r="T1828" s="9"/>
      <c r="U1828" s="9"/>
      <c r="V1828" s="9"/>
      <c r="W1828" s="9"/>
      <c r="X1828" s="17"/>
      <c r="Y1828" s="13"/>
      <c r="Z1828" s="13"/>
      <c r="AC1828" s="24"/>
      <c r="AD1828" s="23"/>
    </row>
    <row r="1829" spans="4:30" x14ac:dyDescent="0.25">
      <c r="D1829" s="3"/>
      <c r="E1829" s="15"/>
      <c r="F1829" s="15"/>
      <c r="G1829" s="15"/>
      <c r="H1829" s="15"/>
      <c r="I1829" s="15"/>
      <c r="J1829" s="9"/>
      <c r="K1829" s="9"/>
      <c r="L1829" s="9"/>
      <c r="M1829" s="9"/>
      <c r="N1829" s="9"/>
      <c r="O1829" s="9"/>
      <c r="P1829" s="9"/>
      <c r="Q1829" s="9"/>
      <c r="R1829" s="9"/>
      <c r="S1829" s="9"/>
      <c r="T1829" s="9"/>
      <c r="U1829" s="9"/>
      <c r="V1829" s="9"/>
      <c r="W1829" s="9"/>
      <c r="X1829" s="17"/>
      <c r="Y1829" s="13"/>
      <c r="Z1829" s="13"/>
      <c r="AC1829" s="24"/>
      <c r="AD1829" s="23"/>
    </row>
    <row r="1830" spans="4:30" x14ac:dyDescent="0.25">
      <c r="D1830" s="3"/>
      <c r="E1830" s="15"/>
      <c r="F1830" s="15"/>
      <c r="G1830" s="15"/>
      <c r="H1830" s="15"/>
      <c r="I1830" s="15"/>
      <c r="J1830" s="9"/>
      <c r="K1830" s="9"/>
      <c r="L1830" s="9"/>
      <c r="M1830" s="9"/>
      <c r="N1830" s="9"/>
      <c r="O1830" s="9"/>
      <c r="P1830" s="9"/>
      <c r="Q1830" s="9"/>
      <c r="R1830" s="9"/>
      <c r="S1830" s="9"/>
      <c r="T1830" s="9"/>
      <c r="U1830" s="9"/>
      <c r="V1830" s="9"/>
      <c r="W1830" s="9"/>
      <c r="X1830" s="17"/>
      <c r="Y1830" s="13"/>
      <c r="Z1830" s="13"/>
      <c r="AC1830" s="24"/>
      <c r="AD1830" s="23"/>
    </row>
    <row r="1831" spans="4:30" x14ac:dyDescent="0.25">
      <c r="D1831" s="3"/>
      <c r="E1831" s="15"/>
      <c r="F1831" s="15"/>
      <c r="G1831" s="15"/>
      <c r="H1831" s="15"/>
      <c r="I1831" s="15"/>
      <c r="J1831" s="9"/>
      <c r="K1831" s="9"/>
      <c r="L1831" s="9"/>
      <c r="M1831" s="9"/>
      <c r="N1831" s="9"/>
      <c r="O1831" s="9"/>
      <c r="P1831" s="9"/>
      <c r="Q1831" s="9"/>
      <c r="R1831" s="9"/>
      <c r="S1831" s="9"/>
      <c r="T1831" s="9"/>
      <c r="U1831" s="9"/>
      <c r="V1831" s="9"/>
      <c r="W1831" s="9"/>
      <c r="X1831" s="17"/>
      <c r="Y1831" s="13"/>
      <c r="Z1831" s="13"/>
      <c r="AC1831" s="24"/>
      <c r="AD1831" s="23"/>
    </row>
    <row r="1832" spans="4:30" x14ac:dyDescent="0.25">
      <c r="D1832" s="3"/>
      <c r="E1832" s="15"/>
      <c r="F1832" s="15"/>
      <c r="G1832" s="15"/>
      <c r="H1832" s="15"/>
      <c r="I1832" s="15"/>
      <c r="J1832" s="9"/>
      <c r="K1832" s="9"/>
      <c r="L1832" s="9"/>
      <c r="M1832" s="9"/>
      <c r="N1832" s="9"/>
      <c r="O1832" s="9"/>
      <c r="P1832" s="9"/>
      <c r="Q1832" s="9"/>
      <c r="R1832" s="9"/>
      <c r="S1832" s="9"/>
      <c r="T1832" s="9"/>
      <c r="U1832" s="9"/>
      <c r="V1832" s="9"/>
      <c r="W1832" s="9"/>
      <c r="X1832" s="17"/>
      <c r="Y1832" s="13"/>
      <c r="Z1832" s="13"/>
      <c r="AC1832" s="24"/>
      <c r="AD1832" s="23"/>
    </row>
    <row r="1833" spans="4:30" x14ac:dyDescent="0.25">
      <c r="D1833" s="3"/>
      <c r="E1833" s="15"/>
      <c r="F1833" s="15"/>
      <c r="G1833" s="15"/>
      <c r="H1833" s="15"/>
      <c r="I1833" s="15"/>
      <c r="J1833" s="9"/>
      <c r="K1833" s="9"/>
      <c r="L1833" s="9"/>
      <c r="M1833" s="9"/>
      <c r="N1833" s="9"/>
      <c r="O1833" s="9"/>
      <c r="P1833" s="9"/>
      <c r="Q1833" s="9"/>
      <c r="R1833" s="9"/>
      <c r="S1833" s="9"/>
      <c r="T1833" s="9"/>
      <c r="U1833" s="9"/>
      <c r="V1833" s="9"/>
      <c r="W1833" s="9"/>
      <c r="X1833" s="17"/>
      <c r="Y1833" s="13"/>
      <c r="Z1833" s="13"/>
      <c r="AC1833" s="24"/>
      <c r="AD1833" s="23"/>
    </row>
    <row r="1834" spans="4:30" x14ac:dyDescent="0.25">
      <c r="D1834" s="3"/>
      <c r="E1834" s="15"/>
      <c r="F1834" s="15"/>
      <c r="G1834" s="15"/>
      <c r="H1834" s="15"/>
      <c r="I1834" s="15"/>
      <c r="J1834" s="9"/>
      <c r="K1834" s="9"/>
      <c r="L1834" s="9"/>
      <c r="M1834" s="9"/>
      <c r="N1834" s="9"/>
      <c r="O1834" s="9"/>
      <c r="P1834" s="9"/>
      <c r="Q1834" s="9"/>
      <c r="R1834" s="9"/>
      <c r="S1834" s="9"/>
      <c r="T1834" s="9"/>
      <c r="U1834" s="9"/>
      <c r="V1834" s="9"/>
      <c r="W1834" s="9"/>
      <c r="X1834" s="17"/>
      <c r="Y1834" s="13"/>
      <c r="Z1834" s="13"/>
      <c r="AC1834" s="24"/>
      <c r="AD1834" s="23"/>
    </row>
    <row r="1835" spans="4:30" x14ac:dyDescent="0.25">
      <c r="D1835" s="3"/>
      <c r="E1835" s="15"/>
      <c r="F1835" s="15"/>
      <c r="G1835" s="15"/>
      <c r="H1835" s="15"/>
      <c r="I1835" s="15"/>
      <c r="J1835" s="9"/>
      <c r="K1835" s="9"/>
      <c r="L1835" s="9"/>
      <c r="M1835" s="9"/>
      <c r="N1835" s="9"/>
      <c r="O1835" s="9"/>
      <c r="P1835" s="9"/>
      <c r="Q1835" s="9"/>
      <c r="R1835" s="9"/>
      <c r="S1835" s="9"/>
      <c r="T1835" s="9"/>
      <c r="U1835" s="9"/>
      <c r="V1835" s="9"/>
      <c r="W1835" s="9"/>
      <c r="X1835" s="17"/>
      <c r="Y1835" s="13"/>
      <c r="Z1835" s="13"/>
      <c r="AC1835" s="24"/>
      <c r="AD1835" s="23"/>
    </row>
    <row r="1836" spans="4:30" x14ac:dyDescent="0.25">
      <c r="D1836" s="3"/>
      <c r="E1836" s="15"/>
      <c r="F1836" s="15"/>
      <c r="G1836" s="15"/>
      <c r="H1836" s="15"/>
      <c r="I1836" s="15"/>
      <c r="J1836" s="9"/>
      <c r="K1836" s="9"/>
      <c r="L1836" s="9"/>
      <c r="M1836" s="9"/>
      <c r="N1836" s="9"/>
      <c r="O1836" s="9"/>
      <c r="P1836" s="9"/>
      <c r="Q1836" s="9"/>
      <c r="R1836" s="9"/>
      <c r="S1836" s="9"/>
      <c r="T1836" s="9"/>
      <c r="U1836" s="9"/>
      <c r="V1836" s="9"/>
      <c r="W1836" s="9"/>
      <c r="X1836" s="17"/>
      <c r="Y1836" s="13"/>
      <c r="Z1836" s="13"/>
      <c r="AC1836" s="24"/>
      <c r="AD1836" s="23"/>
    </row>
    <row r="1837" spans="4:30" x14ac:dyDescent="0.25">
      <c r="D1837" s="3"/>
      <c r="E1837" s="15"/>
      <c r="F1837" s="15"/>
      <c r="G1837" s="15"/>
      <c r="H1837" s="15"/>
      <c r="I1837" s="15"/>
      <c r="J1837" s="9"/>
      <c r="K1837" s="9"/>
      <c r="L1837" s="9"/>
      <c r="M1837" s="9"/>
      <c r="N1837" s="9"/>
      <c r="O1837" s="9"/>
      <c r="P1837" s="9"/>
      <c r="Q1837" s="9"/>
      <c r="R1837" s="9"/>
      <c r="S1837" s="9"/>
      <c r="T1837" s="9"/>
      <c r="U1837" s="9"/>
      <c r="V1837" s="9"/>
      <c r="W1837" s="9"/>
      <c r="X1837" s="17"/>
      <c r="Y1837" s="13"/>
      <c r="Z1837" s="13"/>
      <c r="AC1837" s="24"/>
      <c r="AD1837" s="23"/>
    </row>
    <row r="1838" spans="4:30" x14ac:dyDescent="0.25">
      <c r="D1838" s="3"/>
      <c r="E1838" s="15"/>
      <c r="F1838" s="15"/>
      <c r="G1838" s="15"/>
      <c r="H1838" s="15"/>
      <c r="I1838" s="15"/>
      <c r="J1838" s="9"/>
      <c r="K1838" s="9"/>
      <c r="L1838" s="9"/>
      <c r="M1838" s="9"/>
      <c r="N1838" s="9"/>
      <c r="O1838" s="9"/>
      <c r="P1838" s="9"/>
      <c r="Q1838" s="9"/>
      <c r="R1838" s="9"/>
      <c r="S1838" s="9"/>
      <c r="T1838" s="9"/>
      <c r="U1838" s="9"/>
      <c r="V1838" s="9"/>
      <c r="W1838" s="9"/>
      <c r="X1838" s="17"/>
      <c r="Y1838" s="13"/>
      <c r="Z1838" s="13"/>
      <c r="AC1838" s="24"/>
      <c r="AD1838" s="23"/>
    </row>
    <row r="1839" spans="4:30" x14ac:dyDescent="0.25">
      <c r="D1839" s="3"/>
      <c r="E1839" s="15"/>
      <c r="F1839" s="15"/>
      <c r="G1839" s="15"/>
      <c r="H1839" s="15"/>
      <c r="I1839" s="15"/>
      <c r="J1839" s="9"/>
      <c r="K1839" s="9"/>
      <c r="L1839" s="9"/>
      <c r="M1839" s="9"/>
      <c r="N1839" s="9"/>
      <c r="O1839" s="9"/>
      <c r="P1839" s="9"/>
      <c r="Q1839" s="9"/>
      <c r="R1839" s="9"/>
      <c r="S1839" s="9"/>
      <c r="T1839" s="9"/>
      <c r="U1839" s="9"/>
      <c r="V1839" s="9"/>
      <c r="W1839" s="9"/>
      <c r="X1839" s="17"/>
      <c r="Y1839" s="13"/>
      <c r="Z1839" s="13"/>
      <c r="AC1839" s="24"/>
      <c r="AD1839" s="23"/>
    </row>
    <row r="1840" spans="4:30" x14ac:dyDescent="0.25">
      <c r="D1840" s="3"/>
      <c r="E1840" s="15"/>
      <c r="F1840" s="15"/>
      <c r="G1840" s="15"/>
      <c r="H1840" s="15"/>
      <c r="I1840" s="15"/>
      <c r="J1840" s="9"/>
      <c r="K1840" s="9"/>
      <c r="L1840" s="9"/>
      <c r="M1840" s="9"/>
      <c r="N1840" s="9"/>
      <c r="O1840" s="9"/>
      <c r="P1840" s="9"/>
      <c r="Q1840" s="9"/>
      <c r="R1840" s="9"/>
      <c r="S1840" s="9"/>
      <c r="T1840" s="9"/>
      <c r="U1840" s="9"/>
      <c r="V1840" s="9"/>
      <c r="W1840" s="9"/>
      <c r="X1840" s="17"/>
      <c r="Y1840" s="13"/>
      <c r="Z1840" s="13"/>
      <c r="AC1840" s="24"/>
      <c r="AD1840" s="23"/>
    </row>
    <row r="1841" spans="4:30" x14ac:dyDescent="0.25">
      <c r="D1841" s="3"/>
      <c r="E1841" s="15"/>
      <c r="F1841" s="15"/>
      <c r="G1841" s="15"/>
      <c r="H1841" s="15"/>
      <c r="I1841" s="15"/>
      <c r="J1841" s="9"/>
      <c r="K1841" s="9"/>
      <c r="L1841" s="9"/>
      <c r="M1841" s="9"/>
      <c r="N1841" s="9"/>
      <c r="O1841" s="9"/>
      <c r="P1841" s="9"/>
      <c r="Q1841" s="9"/>
      <c r="R1841" s="9"/>
      <c r="S1841" s="9"/>
      <c r="T1841" s="9"/>
      <c r="U1841" s="9"/>
      <c r="V1841" s="9"/>
      <c r="W1841" s="9"/>
      <c r="X1841" s="17"/>
      <c r="Y1841" s="13"/>
      <c r="Z1841" s="13"/>
      <c r="AC1841" s="24"/>
      <c r="AD1841" s="23"/>
    </row>
    <row r="1842" spans="4:30" x14ac:dyDescent="0.25">
      <c r="D1842" s="3"/>
      <c r="E1842" s="15"/>
      <c r="F1842" s="15"/>
      <c r="G1842" s="15"/>
      <c r="H1842" s="15"/>
      <c r="I1842" s="15"/>
      <c r="J1842" s="9"/>
      <c r="K1842" s="9"/>
      <c r="L1842" s="9"/>
      <c r="M1842" s="9"/>
      <c r="N1842" s="9"/>
      <c r="O1842" s="9"/>
      <c r="P1842" s="9"/>
      <c r="Q1842" s="9"/>
      <c r="R1842" s="9"/>
      <c r="S1842" s="9"/>
      <c r="T1842" s="9"/>
      <c r="U1842" s="9"/>
      <c r="V1842" s="9"/>
      <c r="W1842" s="9"/>
      <c r="X1842" s="17"/>
      <c r="Y1842" s="13"/>
      <c r="Z1842" s="13"/>
      <c r="AC1842" s="24"/>
      <c r="AD1842" s="23"/>
    </row>
    <row r="1843" spans="4:30" x14ac:dyDescent="0.25">
      <c r="D1843" s="3"/>
      <c r="E1843" s="15"/>
      <c r="F1843" s="15"/>
      <c r="G1843" s="15"/>
      <c r="H1843" s="15"/>
      <c r="I1843" s="15"/>
      <c r="J1843" s="9"/>
      <c r="K1843" s="9"/>
      <c r="L1843" s="9"/>
      <c r="M1843" s="9"/>
      <c r="N1843" s="9"/>
      <c r="O1843" s="9"/>
      <c r="P1843" s="9"/>
      <c r="Q1843" s="9"/>
      <c r="R1843" s="9"/>
      <c r="S1843" s="9"/>
      <c r="T1843" s="9"/>
      <c r="U1843" s="9"/>
      <c r="V1843" s="9"/>
      <c r="W1843" s="9"/>
      <c r="X1843" s="17"/>
      <c r="Y1843" s="13"/>
      <c r="Z1843" s="13"/>
      <c r="AC1843" s="24"/>
      <c r="AD1843" s="23"/>
    </row>
    <row r="1844" spans="4:30" x14ac:dyDescent="0.25">
      <c r="D1844" s="3"/>
      <c r="E1844" s="15"/>
      <c r="F1844" s="15"/>
      <c r="G1844" s="15"/>
      <c r="H1844" s="15"/>
      <c r="I1844" s="15"/>
      <c r="J1844" s="9"/>
      <c r="K1844" s="9"/>
      <c r="L1844" s="9"/>
      <c r="M1844" s="9"/>
      <c r="N1844" s="9"/>
      <c r="O1844" s="9"/>
      <c r="P1844" s="9"/>
      <c r="Q1844" s="9"/>
      <c r="R1844" s="9"/>
      <c r="S1844" s="9"/>
      <c r="T1844" s="9"/>
      <c r="U1844" s="9"/>
      <c r="V1844" s="9"/>
      <c r="W1844" s="9"/>
      <c r="X1844" s="17"/>
      <c r="Y1844" s="13"/>
      <c r="Z1844" s="13"/>
      <c r="AC1844" s="24"/>
      <c r="AD1844" s="23"/>
    </row>
    <row r="1845" spans="4:30" x14ac:dyDescent="0.25">
      <c r="D1845" s="3"/>
      <c r="E1845" s="15"/>
      <c r="F1845" s="15"/>
      <c r="G1845" s="15"/>
      <c r="H1845" s="15"/>
      <c r="I1845" s="15"/>
      <c r="J1845" s="9"/>
      <c r="K1845" s="9"/>
      <c r="L1845" s="9"/>
      <c r="M1845" s="9"/>
      <c r="N1845" s="9"/>
      <c r="O1845" s="9"/>
      <c r="P1845" s="9"/>
      <c r="Q1845" s="9"/>
      <c r="R1845" s="9"/>
      <c r="S1845" s="9"/>
      <c r="T1845" s="9"/>
      <c r="U1845" s="9"/>
      <c r="V1845" s="9"/>
      <c r="W1845" s="9"/>
      <c r="X1845" s="17"/>
      <c r="Y1845" s="13"/>
      <c r="Z1845" s="13"/>
      <c r="AC1845" s="24"/>
      <c r="AD1845" s="23"/>
    </row>
    <row r="1846" spans="4:30" x14ac:dyDescent="0.25">
      <c r="D1846" s="3"/>
      <c r="E1846" s="15"/>
      <c r="F1846" s="15"/>
      <c r="G1846" s="15"/>
      <c r="H1846" s="15"/>
      <c r="I1846" s="15"/>
      <c r="J1846" s="9"/>
      <c r="K1846" s="9"/>
      <c r="L1846" s="9"/>
      <c r="M1846" s="9"/>
      <c r="N1846" s="9"/>
      <c r="O1846" s="9"/>
      <c r="P1846" s="9"/>
      <c r="Q1846" s="9"/>
      <c r="R1846" s="9"/>
      <c r="S1846" s="9"/>
      <c r="T1846" s="9"/>
      <c r="U1846" s="9"/>
      <c r="V1846" s="9"/>
      <c r="W1846" s="9"/>
      <c r="X1846" s="17"/>
      <c r="Y1846" s="13"/>
      <c r="Z1846" s="13"/>
      <c r="AC1846" s="24"/>
      <c r="AD1846" s="23"/>
    </row>
    <row r="1847" spans="4:30" x14ac:dyDescent="0.25">
      <c r="D1847" s="3"/>
      <c r="E1847" s="15"/>
      <c r="F1847" s="15"/>
      <c r="G1847" s="15"/>
      <c r="H1847" s="15"/>
      <c r="I1847" s="15"/>
      <c r="J1847" s="9"/>
      <c r="K1847" s="9"/>
      <c r="L1847" s="9"/>
      <c r="M1847" s="9"/>
      <c r="N1847" s="9"/>
      <c r="O1847" s="9"/>
      <c r="P1847" s="9"/>
      <c r="Q1847" s="9"/>
      <c r="R1847" s="9"/>
      <c r="S1847" s="9"/>
      <c r="T1847" s="9"/>
      <c r="U1847" s="9"/>
      <c r="V1847" s="9"/>
      <c r="W1847" s="9"/>
      <c r="X1847" s="17"/>
      <c r="Y1847" s="13"/>
      <c r="Z1847" s="13"/>
      <c r="AC1847" s="24"/>
      <c r="AD1847" s="23"/>
    </row>
    <row r="1848" spans="4:30" x14ac:dyDescent="0.25">
      <c r="D1848" s="3"/>
      <c r="E1848" s="15"/>
      <c r="F1848" s="15"/>
      <c r="G1848" s="15"/>
      <c r="H1848" s="15"/>
      <c r="I1848" s="15"/>
      <c r="J1848" s="9"/>
      <c r="K1848" s="9"/>
      <c r="L1848" s="9"/>
      <c r="M1848" s="9"/>
      <c r="N1848" s="9"/>
      <c r="O1848" s="9"/>
      <c r="P1848" s="9"/>
      <c r="Q1848" s="9"/>
      <c r="R1848" s="9"/>
      <c r="S1848" s="9"/>
      <c r="T1848" s="9"/>
      <c r="U1848" s="9"/>
      <c r="V1848" s="9"/>
      <c r="W1848" s="9"/>
      <c r="X1848" s="17"/>
      <c r="Y1848" s="13"/>
      <c r="Z1848" s="13"/>
      <c r="AC1848" s="24"/>
      <c r="AD1848" s="23"/>
    </row>
    <row r="1849" spans="4:30" x14ac:dyDescent="0.25">
      <c r="D1849" s="3"/>
      <c r="E1849" s="15"/>
      <c r="F1849" s="15"/>
      <c r="G1849" s="15"/>
      <c r="H1849" s="15"/>
      <c r="I1849" s="15"/>
      <c r="J1849" s="9"/>
      <c r="K1849" s="9"/>
      <c r="L1849" s="9"/>
      <c r="M1849" s="9"/>
      <c r="N1849" s="9"/>
      <c r="O1849" s="9"/>
      <c r="P1849" s="9"/>
      <c r="Q1849" s="9"/>
      <c r="R1849" s="9"/>
      <c r="S1849" s="9"/>
      <c r="T1849" s="9"/>
      <c r="U1849" s="9"/>
      <c r="V1849" s="9"/>
      <c r="W1849" s="9"/>
      <c r="X1849" s="17"/>
      <c r="Y1849" s="13"/>
      <c r="Z1849" s="13"/>
      <c r="AC1849" s="24"/>
      <c r="AD1849" s="23"/>
    </row>
    <row r="1850" spans="4:30" x14ac:dyDescent="0.25">
      <c r="D1850" s="3"/>
      <c r="E1850" s="15"/>
      <c r="F1850" s="15"/>
      <c r="G1850" s="15"/>
      <c r="H1850" s="15"/>
      <c r="I1850" s="15"/>
      <c r="J1850" s="9"/>
      <c r="K1850" s="9"/>
      <c r="L1850" s="9"/>
      <c r="M1850" s="9"/>
      <c r="N1850" s="9"/>
      <c r="O1850" s="9"/>
      <c r="P1850" s="9"/>
      <c r="Q1850" s="9"/>
      <c r="R1850" s="9"/>
      <c r="S1850" s="9"/>
      <c r="T1850" s="9"/>
      <c r="U1850" s="9"/>
      <c r="V1850" s="9"/>
      <c r="W1850" s="9"/>
      <c r="X1850" s="17"/>
      <c r="Y1850" s="13"/>
      <c r="Z1850" s="13"/>
      <c r="AC1850" s="24"/>
      <c r="AD1850" s="23"/>
    </row>
    <row r="1851" spans="4:30" x14ac:dyDescent="0.25">
      <c r="D1851" s="3"/>
      <c r="E1851" s="15"/>
      <c r="F1851" s="15"/>
      <c r="G1851" s="15"/>
      <c r="H1851" s="15"/>
      <c r="I1851" s="15"/>
      <c r="J1851" s="9"/>
      <c r="K1851" s="9"/>
      <c r="L1851" s="9"/>
      <c r="M1851" s="9"/>
      <c r="N1851" s="9"/>
      <c r="O1851" s="9"/>
      <c r="P1851" s="9"/>
      <c r="Q1851" s="9"/>
      <c r="R1851" s="9"/>
      <c r="S1851" s="9"/>
      <c r="T1851" s="9"/>
      <c r="U1851" s="9"/>
      <c r="V1851" s="9"/>
      <c r="W1851" s="9"/>
      <c r="X1851" s="17"/>
      <c r="Y1851" s="13"/>
      <c r="Z1851" s="13"/>
      <c r="AC1851" s="24"/>
      <c r="AD1851" s="23"/>
    </row>
    <row r="1852" spans="4:30" x14ac:dyDescent="0.25">
      <c r="D1852" s="3"/>
      <c r="E1852" s="15"/>
      <c r="F1852" s="15"/>
      <c r="G1852" s="15"/>
      <c r="H1852" s="15"/>
      <c r="I1852" s="15"/>
      <c r="J1852" s="9"/>
      <c r="K1852" s="9"/>
      <c r="L1852" s="9"/>
      <c r="M1852" s="9"/>
      <c r="N1852" s="9"/>
      <c r="O1852" s="9"/>
      <c r="P1852" s="9"/>
      <c r="Q1852" s="9"/>
      <c r="R1852" s="9"/>
      <c r="S1852" s="9"/>
      <c r="T1852" s="9"/>
      <c r="U1852" s="9"/>
      <c r="V1852" s="9"/>
      <c r="W1852" s="9"/>
      <c r="X1852" s="17"/>
      <c r="Y1852" s="13"/>
      <c r="Z1852" s="13"/>
      <c r="AC1852" s="24"/>
      <c r="AD1852" s="23"/>
    </row>
    <row r="1853" spans="4:30" x14ac:dyDescent="0.25">
      <c r="D1853" s="3"/>
      <c r="E1853" s="15"/>
      <c r="F1853" s="15"/>
      <c r="G1853" s="15"/>
      <c r="H1853" s="15"/>
      <c r="I1853" s="15"/>
      <c r="J1853" s="9"/>
      <c r="K1853" s="9"/>
      <c r="L1853" s="9"/>
      <c r="M1853" s="9"/>
      <c r="N1853" s="9"/>
      <c r="O1853" s="9"/>
      <c r="P1853" s="9"/>
      <c r="Q1853" s="9"/>
      <c r="R1853" s="9"/>
      <c r="S1853" s="9"/>
      <c r="T1853" s="9"/>
      <c r="U1853" s="9"/>
      <c r="V1853" s="9"/>
      <c r="W1853" s="9"/>
      <c r="X1853" s="17"/>
      <c r="Y1853" s="13"/>
      <c r="Z1853" s="13"/>
      <c r="AC1853" s="24"/>
      <c r="AD1853" s="23"/>
    </row>
    <row r="1854" spans="4:30" x14ac:dyDescent="0.25">
      <c r="D1854" s="3"/>
      <c r="E1854" s="15"/>
      <c r="F1854" s="15"/>
      <c r="G1854" s="15"/>
      <c r="H1854" s="15"/>
      <c r="I1854" s="15"/>
      <c r="J1854" s="9"/>
      <c r="K1854" s="9"/>
      <c r="L1854" s="9"/>
      <c r="M1854" s="9"/>
      <c r="N1854" s="9"/>
      <c r="O1854" s="9"/>
      <c r="P1854" s="9"/>
      <c r="Q1854" s="9"/>
      <c r="R1854" s="9"/>
      <c r="S1854" s="9"/>
      <c r="T1854" s="9"/>
      <c r="U1854" s="9"/>
      <c r="V1854" s="9"/>
      <c r="W1854" s="9"/>
      <c r="X1854" s="17"/>
      <c r="Y1854" s="13"/>
      <c r="Z1854" s="13"/>
      <c r="AC1854" s="24"/>
      <c r="AD1854" s="23"/>
    </row>
    <row r="1855" spans="4:30" x14ac:dyDescent="0.25">
      <c r="D1855" s="3"/>
      <c r="E1855" s="15"/>
      <c r="F1855" s="15"/>
      <c r="G1855" s="15"/>
      <c r="H1855" s="15"/>
      <c r="I1855" s="15"/>
      <c r="J1855" s="9"/>
      <c r="K1855" s="9"/>
      <c r="L1855" s="9"/>
      <c r="M1855" s="9"/>
      <c r="N1855" s="9"/>
      <c r="O1855" s="9"/>
      <c r="P1855" s="9"/>
      <c r="Q1855" s="9"/>
      <c r="R1855" s="9"/>
      <c r="S1855" s="9"/>
      <c r="T1855" s="9"/>
      <c r="U1855" s="9"/>
      <c r="V1855" s="9"/>
      <c r="W1855" s="9"/>
      <c r="X1855" s="17"/>
      <c r="Y1855" s="13"/>
      <c r="Z1855" s="13"/>
      <c r="AC1855" s="24"/>
      <c r="AD1855" s="23"/>
    </row>
    <row r="1856" spans="4:30" x14ac:dyDescent="0.25">
      <c r="D1856" s="3"/>
      <c r="E1856" s="15"/>
      <c r="F1856" s="15"/>
      <c r="G1856" s="15"/>
      <c r="H1856" s="15"/>
      <c r="I1856" s="15"/>
      <c r="J1856" s="9"/>
      <c r="K1856" s="9"/>
      <c r="L1856" s="9"/>
      <c r="M1856" s="9"/>
      <c r="N1856" s="9"/>
      <c r="O1856" s="9"/>
      <c r="P1856" s="9"/>
      <c r="Q1856" s="9"/>
      <c r="R1856" s="9"/>
      <c r="S1856" s="9"/>
      <c r="T1856" s="9"/>
      <c r="U1856" s="9"/>
      <c r="V1856" s="9"/>
      <c r="W1856" s="9"/>
      <c r="X1856" s="17"/>
      <c r="Y1856" s="13"/>
      <c r="Z1856" s="13"/>
      <c r="AC1856" s="24"/>
      <c r="AD1856" s="23"/>
    </row>
    <row r="1857" spans="4:30" x14ac:dyDescent="0.25">
      <c r="D1857" s="3"/>
      <c r="E1857" s="15"/>
      <c r="F1857" s="15"/>
      <c r="G1857" s="15"/>
      <c r="H1857" s="15"/>
      <c r="I1857" s="15"/>
      <c r="J1857" s="9"/>
      <c r="K1857" s="9"/>
      <c r="L1857" s="9"/>
      <c r="M1857" s="9"/>
      <c r="N1857" s="9"/>
      <c r="O1857" s="9"/>
      <c r="P1857" s="9"/>
      <c r="Q1857" s="9"/>
      <c r="R1857" s="9"/>
      <c r="S1857" s="9"/>
      <c r="T1857" s="9"/>
      <c r="U1857" s="9"/>
      <c r="V1857" s="9"/>
      <c r="W1857" s="9"/>
      <c r="X1857" s="17"/>
      <c r="Y1857" s="13"/>
      <c r="Z1857" s="13"/>
      <c r="AC1857" s="24"/>
      <c r="AD1857" s="23"/>
    </row>
    <row r="1858" spans="4:30" x14ac:dyDescent="0.25">
      <c r="D1858" s="3"/>
      <c r="E1858" s="15"/>
      <c r="F1858" s="15"/>
      <c r="G1858" s="15"/>
      <c r="H1858" s="15"/>
      <c r="I1858" s="15"/>
      <c r="J1858" s="9"/>
      <c r="K1858" s="9"/>
      <c r="L1858" s="9"/>
      <c r="M1858" s="9"/>
      <c r="N1858" s="9"/>
      <c r="O1858" s="9"/>
      <c r="P1858" s="9"/>
      <c r="Q1858" s="9"/>
      <c r="R1858" s="9"/>
      <c r="S1858" s="9"/>
      <c r="T1858" s="9"/>
      <c r="U1858" s="9"/>
      <c r="V1858" s="9"/>
      <c r="W1858" s="9"/>
      <c r="X1858" s="17"/>
      <c r="Y1858" s="13"/>
      <c r="Z1858" s="13"/>
      <c r="AC1858" s="24"/>
      <c r="AD1858" s="23"/>
    </row>
    <row r="1859" spans="4:30" x14ac:dyDescent="0.25">
      <c r="D1859" s="3"/>
      <c r="E1859" s="15"/>
      <c r="F1859" s="15"/>
      <c r="G1859" s="15"/>
      <c r="H1859" s="15"/>
      <c r="I1859" s="15"/>
      <c r="J1859" s="9"/>
      <c r="K1859" s="9"/>
      <c r="L1859" s="9"/>
      <c r="M1859" s="9"/>
      <c r="N1859" s="9"/>
      <c r="O1859" s="9"/>
      <c r="P1859" s="9"/>
      <c r="Q1859" s="9"/>
      <c r="R1859" s="9"/>
      <c r="S1859" s="9"/>
      <c r="T1859" s="9"/>
      <c r="U1859" s="9"/>
      <c r="V1859" s="9"/>
      <c r="W1859" s="9"/>
      <c r="X1859" s="17"/>
      <c r="Y1859" s="13"/>
      <c r="Z1859" s="13"/>
      <c r="AC1859" s="24"/>
      <c r="AD1859" s="23"/>
    </row>
    <row r="1860" spans="4:30" x14ac:dyDescent="0.25">
      <c r="D1860" s="3"/>
      <c r="E1860" s="15"/>
      <c r="F1860" s="15"/>
      <c r="G1860" s="15"/>
      <c r="H1860" s="15"/>
      <c r="I1860" s="15"/>
      <c r="J1860" s="9"/>
      <c r="K1860" s="9"/>
      <c r="L1860" s="9"/>
      <c r="M1860" s="9"/>
      <c r="N1860" s="9"/>
      <c r="O1860" s="9"/>
      <c r="P1860" s="9"/>
      <c r="Q1860" s="9"/>
      <c r="R1860" s="9"/>
      <c r="S1860" s="9"/>
      <c r="T1860" s="9"/>
      <c r="U1860" s="9"/>
      <c r="V1860" s="9"/>
      <c r="W1860" s="9"/>
      <c r="X1860" s="17"/>
      <c r="Y1860" s="13"/>
      <c r="Z1860" s="13"/>
      <c r="AC1860" s="24"/>
      <c r="AD1860" s="23"/>
    </row>
    <row r="1861" spans="4:30" x14ac:dyDescent="0.25">
      <c r="D1861" s="3"/>
      <c r="E1861" s="15"/>
      <c r="F1861" s="15"/>
      <c r="G1861" s="15"/>
      <c r="H1861" s="15"/>
      <c r="I1861" s="15"/>
      <c r="J1861" s="9"/>
      <c r="K1861" s="9"/>
      <c r="L1861" s="9"/>
      <c r="M1861" s="9"/>
      <c r="N1861" s="9"/>
      <c r="O1861" s="9"/>
      <c r="P1861" s="9"/>
      <c r="Q1861" s="9"/>
      <c r="R1861" s="9"/>
      <c r="S1861" s="9"/>
      <c r="T1861" s="9"/>
      <c r="U1861" s="9"/>
      <c r="V1861" s="9"/>
      <c r="W1861" s="9"/>
      <c r="X1861" s="17"/>
      <c r="Y1861" s="13"/>
      <c r="Z1861" s="13"/>
      <c r="AC1861" s="24"/>
      <c r="AD1861" s="23"/>
    </row>
    <row r="1862" spans="4:30" x14ac:dyDescent="0.25">
      <c r="D1862" s="3"/>
      <c r="E1862" s="15"/>
      <c r="F1862" s="15"/>
      <c r="G1862" s="15"/>
      <c r="H1862" s="15"/>
      <c r="I1862" s="15"/>
      <c r="J1862" s="9"/>
      <c r="K1862" s="9"/>
      <c r="L1862" s="9"/>
      <c r="M1862" s="9"/>
      <c r="N1862" s="9"/>
      <c r="O1862" s="9"/>
      <c r="P1862" s="9"/>
      <c r="Q1862" s="9"/>
      <c r="R1862" s="9"/>
      <c r="S1862" s="9"/>
      <c r="T1862" s="9"/>
      <c r="U1862" s="9"/>
      <c r="V1862" s="9"/>
      <c r="W1862" s="9"/>
      <c r="X1862" s="17"/>
      <c r="Y1862" s="13"/>
      <c r="Z1862" s="13"/>
      <c r="AC1862" s="24"/>
      <c r="AD1862" s="23"/>
    </row>
    <row r="1863" spans="4:30" x14ac:dyDescent="0.25">
      <c r="D1863" s="3"/>
      <c r="E1863" s="15"/>
      <c r="F1863" s="15"/>
      <c r="G1863" s="15"/>
      <c r="H1863" s="15"/>
      <c r="I1863" s="15"/>
      <c r="J1863" s="9"/>
      <c r="K1863" s="9"/>
      <c r="L1863" s="9"/>
      <c r="M1863" s="9"/>
      <c r="N1863" s="9"/>
      <c r="O1863" s="9"/>
      <c r="P1863" s="9"/>
      <c r="Q1863" s="9"/>
      <c r="R1863" s="9"/>
      <c r="S1863" s="9"/>
      <c r="T1863" s="9"/>
      <c r="U1863" s="9"/>
      <c r="V1863" s="9"/>
      <c r="W1863" s="9"/>
      <c r="X1863" s="17"/>
      <c r="Y1863" s="13"/>
      <c r="Z1863" s="13"/>
      <c r="AC1863" s="24"/>
      <c r="AD1863" s="23"/>
    </row>
    <row r="1864" spans="4:30" x14ac:dyDescent="0.25">
      <c r="D1864" s="3"/>
      <c r="E1864" s="15"/>
      <c r="F1864" s="15"/>
      <c r="G1864" s="15"/>
      <c r="H1864" s="15"/>
      <c r="I1864" s="15"/>
      <c r="J1864" s="9"/>
      <c r="K1864" s="9"/>
      <c r="L1864" s="9"/>
      <c r="M1864" s="9"/>
      <c r="N1864" s="9"/>
      <c r="O1864" s="9"/>
      <c r="P1864" s="9"/>
      <c r="Q1864" s="9"/>
      <c r="R1864" s="9"/>
      <c r="S1864" s="9"/>
      <c r="T1864" s="9"/>
      <c r="U1864" s="9"/>
      <c r="V1864" s="9"/>
      <c r="W1864" s="9"/>
      <c r="X1864" s="17"/>
      <c r="Y1864" s="13"/>
      <c r="Z1864" s="13"/>
      <c r="AC1864" s="24"/>
      <c r="AD1864" s="23"/>
    </row>
    <row r="1865" spans="4:30" x14ac:dyDescent="0.25">
      <c r="D1865" s="3"/>
      <c r="E1865" s="15"/>
      <c r="F1865" s="15"/>
      <c r="G1865" s="15"/>
      <c r="H1865" s="15"/>
      <c r="I1865" s="15"/>
      <c r="J1865" s="9"/>
      <c r="K1865" s="9"/>
      <c r="L1865" s="9"/>
      <c r="M1865" s="9"/>
      <c r="N1865" s="9"/>
      <c r="O1865" s="9"/>
      <c r="P1865" s="9"/>
      <c r="Q1865" s="9"/>
      <c r="R1865" s="9"/>
      <c r="S1865" s="9"/>
      <c r="T1865" s="9"/>
      <c r="U1865" s="9"/>
      <c r="V1865" s="9"/>
      <c r="W1865" s="9"/>
      <c r="X1865" s="17"/>
      <c r="Y1865" s="13"/>
      <c r="Z1865" s="13"/>
      <c r="AC1865" s="24"/>
      <c r="AD1865" s="23"/>
    </row>
    <row r="1866" spans="4:30" x14ac:dyDescent="0.25">
      <c r="D1866" s="3"/>
      <c r="E1866" s="15"/>
      <c r="F1866" s="15"/>
      <c r="G1866" s="15"/>
      <c r="H1866" s="15"/>
      <c r="I1866" s="15"/>
      <c r="J1866" s="9"/>
      <c r="K1866" s="9"/>
      <c r="L1866" s="9"/>
      <c r="M1866" s="9"/>
      <c r="N1866" s="9"/>
      <c r="O1866" s="9"/>
      <c r="P1866" s="9"/>
      <c r="Q1866" s="9"/>
      <c r="R1866" s="9"/>
      <c r="S1866" s="9"/>
      <c r="T1866" s="9"/>
      <c r="U1866" s="9"/>
      <c r="V1866" s="9"/>
      <c r="W1866" s="9"/>
      <c r="X1866" s="17"/>
      <c r="Y1866" s="13"/>
      <c r="Z1866" s="13"/>
      <c r="AC1866" s="24"/>
      <c r="AD1866" s="23"/>
    </row>
    <row r="1867" spans="4:30" x14ac:dyDescent="0.25">
      <c r="D1867" s="3"/>
      <c r="E1867" s="15"/>
      <c r="F1867" s="15"/>
      <c r="G1867" s="15"/>
      <c r="H1867" s="15"/>
      <c r="I1867" s="15"/>
      <c r="J1867" s="9"/>
      <c r="K1867" s="9"/>
      <c r="L1867" s="9"/>
      <c r="M1867" s="9"/>
      <c r="N1867" s="9"/>
      <c r="O1867" s="9"/>
      <c r="P1867" s="9"/>
      <c r="Q1867" s="9"/>
      <c r="R1867" s="9"/>
      <c r="S1867" s="9"/>
      <c r="T1867" s="9"/>
      <c r="U1867" s="9"/>
      <c r="V1867" s="9"/>
      <c r="W1867" s="9"/>
      <c r="X1867" s="17"/>
      <c r="Y1867" s="13"/>
      <c r="Z1867" s="13"/>
      <c r="AC1867" s="24"/>
      <c r="AD1867" s="23"/>
    </row>
    <row r="1868" spans="4:30" x14ac:dyDescent="0.25">
      <c r="D1868" s="3"/>
      <c r="E1868" s="15"/>
      <c r="F1868" s="15"/>
      <c r="G1868" s="15"/>
      <c r="H1868" s="15"/>
      <c r="I1868" s="15"/>
      <c r="J1868" s="9"/>
      <c r="K1868" s="9"/>
      <c r="L1868" s="9"/>
      <c r="M1868" s="9"/>
      <c r="N1868" s="9"/>
      <c r="O1868" s="9"/>
      <c r="P1868" s="9"/>
      <c r="Q1868" s="9"/>
      <c r="R1868" s="9"/>
      <c r="S1868" s="9"/>
      <c r="T1868" s="9"/>
      <c r="U1868" s="9"/>
      <c r="V1868" s="9"/>
      <c r="W1868" s="9"/>
      <c r="X1868" s="17"/>
      <c r="Y1868" s="13"/>
      <c r="Z1868" s="13"/>
      <c r="AC1868" s="24"/>
      <c r="AD1868" s="23"/>
    </row>
    <row r="1869" spans="4:30" x14ac:dyDescent="0.25">
      <c r="D1869" s="3"/>
      <c r="E1869" s="15"/>
      <c r="F1869" s="15"/>
      <c r="G1869" s="15"/>
      <c r="H1869" s="15"/>
      <c r="I1869" s="15"/>
      <c r="J1869" s="9"/>
      <c r="K1869" s="9"/>
      <c r="L1869" s="9"/>
      <c r="M1869" s="9"/>
      <c r="N1869" s="9"/>
      <c r="O1869" s="9"/>
      <c r="P1869" s="9"/>
      <c r="Q1869" s="9"/>
      <c r="R1869" s="9"/>
      <c r="S1869" s="9"/>
      <c r="T1869" s="9"/>
      <c r="U1869" s="9"/>
      <c r="V1869" s="9"/>
      <c r="W1869" s="9"/>
      <c r="X1869" s="17"/>
      <c r="Y1869" s="13"/>
      <c r="Z1869" s="13"/>
      <c r="AC1869" s="24"/>
      <c r="AD1869" s="23"/>
    </row>
    <row r="1870" spans="4:30" x14ac:dyDescent="0.25">
      <c r="D1870" s="3"/>
      <c r="E1870" s="15"/>
      <c r="F1870" s="15"/>
      <c r="G1870" s="15"/>
      <c r="H1870" s="15"/>
      <c r="I1870" s="15"/>
      <c r="J1870" s="9"/>
      <c r="K1870" s="9"/>
      <c r="L1870" s="9"/>
      <c r="M1870" s="9"/>
      <c r="N1870" s="9"/>
      <c r="O1870" s="9"/>
      <c r="P1870" s="9"/>
      <c r="Q1870" s="9"/>
      <c r="R1870" s="9"/>
      <c r="S1870" s="9"/>
      <c r="T1870" s="9"/>
      <c r="U1870" s="9"/>
      <c r="V1870" s="9"/>
      <c r="W1870" s="9"/>
      <c r="X1870" s="17"/>
      <c r="Y1870" s="13"/>
      <c r="Z1870" s="13"/>
      <c r="AC1870" s="24"/>
      <c r="AD1870" s="23"/>
    </row>
    <row r="1871" spans="4:30" x14ac:dyDescent="0.25">
      <c r="D1871" s="3"/>
      <c r="E1871" s="15"/>
      <c r="F1871" s="15"/>
      <c r="G1871" s="15"/>
      <c r="H1871" s="15"/>
      <c r="I1871" s="15"/>
      <c r="J1871" s="9"/>
      <c r="K1871" s="9"/>
      <c r="L1871" s="9"/>
      <c r="M1871" s="9"/>
      <c r="N1871" s="9"/>
      <c r="O1871" s="9"/>
      <c r="P1871" s="9"/>
      <c r="Q1871" s="9"/>
      <c r="R1871" s="9"/>
      <c r="S1871" s="9"/>
      <c r="T1871" s="9"/>
      <c r="U1871" s="9"/>
      <c r="V1871" s="9"/>
      <c r="W1871" s="9"/>
      <c r="X1871" s="17"/>
      <c r="Y1871" s="13"/>
      <c r="Z1871" s="13"/>
      <c r="AC1871" s="24"/>
      <c r="AD1871" s="23"/>
    </row>
    <row r="1872" spans="4:30" x14ac:dyDescent="0.25">
      <c r="D1872" s="3"/>
      <c r="E1872" s="15"/>
      <c r="F1872" s="15"/>
      <c r="G1872" s="15"/>
      <c r="H1872" s="15"/>
      <c r="I1872" s="15"/>
      <c r="J1872" s="9"/>
      <c r="K1872" s="9"/>
      <c r="L1872" s="9"/>
      <c r="M1872" s="9"/>
      <c r="N1872" s="9"/>
      <c r="O1872" s="9"/>
      <c r="P1872" s="9"/>
      <c r="Q1872" s="9"/>
      <c r="R1872" s="9"/>
      <c r="S1872" s="9"/>
      <c r="T1872" s="9"/>
      <c r="U1872" s="9"/>
      <c r="V1872" s="9"/>
      <c r="W1872" s="9"/>
      <c r="X1872" s="17"/>
      <c r="Y1872" s="13"/>
      <c r="Z1872" s="13"/>
      <c r="AC1872" s="24"/>
      <c r="AD1872" s="23"/>
    </row>
    <row r="1873" spans="4:30" x14ac:dyDescent="0.25">
      <c r="D1873" s="3"/>
      <c r="E1873" s="15"/>
      <c r="F1873" s="15"/>
      <c r="G1873" s="15"/>
      <c r="H1873" s="15"/>
      <c r="I1873" s="15"/>
      <c r="J1873" s="9"/>
      <c r="K1873" s="9"/>
      <c r="L1873" s="9"/>
      <c r="M1873" s="9"/>
      <c r="N1873" s="9"/>
      <c r="O1873" s="9"/>
      <c r="P1873" s="9"/>
      <c r="Q1873" s="9"/>
      <c r="R1873" s="9"/>
      <c r="S1873" s="9"/>
      <c r="T1873" s="9"/>
      <c r="U1873" s="9"/>
      <c r="V1873" s="9"/>
      <c r="W1873" s="9"/>
      <c r="X1873" s="17"/>
      <c r="Y1873" s="13"/>
      <c r="Z1873" s="13"/>
      <c r="AC1873" s="24"/>
      <c r="AD1873" s="23"/>
    </row>
    <row r="1874" spans="4:30" x14ac:dyDescent="0.25">
      <c r="D1874" s="3"/>
      <c r="E1874" s="15"/>
      <c r="F1874" s="15"/>
      <c r="G1874" s="15"/>
      <c r="H1874" s="15"/>
      <c r="I1874" s="15"/>
      <c r="J1874" s="9"/>
      <c r="K1874" s="9"/>
      <c r="L1874" s="9"/>
      <c r="M1874" s="9"/>
      <c r="N1874" s="9"/>
      <c r="O1874" s="9"/>
      <c r="P1874" s="9"/>
      <c r="Q1874" s="9"/>
      <c r="R1874" s="9"/>
      <c r="S1874" s="9"/>
      <c r="T1874" s="9"/>
      <c r="U1874" s="9"/>
      <c r="V1874" s="9"/>
      <c r="W1874" s="9"/>
      <c r="X1874" s="17"/>
      <c r="Y1874" s="13"/>
      <c r="Z1874" s="13"/>
      <c r="AC1874" s="24"/>
      <c r="AD1874" s="23"/>
    </row>
    <row r="1875" spans="4:30" x14ac:dyDescent="0.25">
      <c r="D1875" s="3"/>
      <c r="E1875" s="15"/>
      <c r="F1875" s="15"/>
      <c r="G1875" s="15"/>
      <c r="H1875" s="15"/>
      <c r="I1875" s="15"/>
      <c r="J1875" s="9"/>
      <c r="K1875" s="9"/>
      <c r="L1875" s="9"/>
      <c r="M1875" s="9"/>
      <c r="N1875" s="9"/>
      <c r="O1875" s="9"/>
      <c r="P1875" s="9"/>
      <c r="Q1875" s="9"/>
      <c r="R1875" s="9"/>
      <c r="S1875" s="9"/>
      <c r="T1875" s="9"/>
      <c r="U1875" s="9"/>
      <c r="V1875" s="9"/>
      <c r="W1875" s="9"/>
      <c r="X1875" s="17"/>
      <c r="Y1875" s="13"/>
      <c r="Z1875" s="13"/>
      <c r="AC1875" s="24"/>
      <c r="AD1875" s="23"/>
    </row>
    <row r="1876" spans="4:30" x14ac:dyDescent="0.25">
      <c r="D1876" s="3"/>
      <c r="E1876" s="15"/>
      <c r="F1876" s="15"/>
      <c r="G1876" s="15"/>
      <c r="H1876" s="15"/>
      <c r="I1876" s="15"/>
      <c r="J1876" s="9"/>
      <c r="K1876" s="9"/>
      <c r="L1876" s="9"/>
      <c r="M1876" s="9"/>
      <c r="N1876" s="9"/>
      <c r="O1876" s="9"/>
      <c r="P1876" s="9"/>
      <c r="Q1876" s="9"/>
      <c r="R1876" s="9"/>
      <c r="S1876" s="9"/>
      <c r="T1876" s="9"/>
      <c r="U1876" s="9"/>
      <c r="V1876" s="9"/>
      <c r="W1876" s="9"/>
      <c r="X1876" s="17"/>
      <c r="Y1876" s="13"/>
      <c r="Z1876" s="13"/>
      <c r="AC1876" s="24"/>
      <c r="AD1876" s="23"/>
    </row>
    <row r="1877" spans="4:30" x14ac:dyDescent="0.25">
      <c r="D1877" s="3"/>
      <c r="E1877" s="15"/>
      <c r="F1877" s="15"/>
      <c r="G1877" s="15"/>
      <c r="H1877" s="15"/>
      <c r="I1877" s="15"/>
      <c r="J1877" s="9"/>
      <c r="K1877" s="9"/>
      <c r="L1877" s="9"/>
      <c r="M1877" s="9"/>
      <c r="N1877" s="9"/>
      <c r="O1877" s="9"/>
      <c r="P1877" s="9"/>
      <c r="Q1877" s="9"/>
      <c r="R1877" s="9"/>
      <c r="S1877" s="9"/>
      <c r="T1877" s="9"/>
      <c r="U1877" s="9"/>
      <c r="V1877" s="9"/>
      <c r="W1877" s="9"/>
      <c r="X1877" s="17"/>
      <c r="Y1877" s="13"/>
      <c r="Z1877" s="13"/>
      <c r="AC1877" s="24"/>
      <c r="AD1877" s="23"/>
    </row>
    <row r="1878" spans="4:30" x14ac:dyDescent="0.25">
      <c r="D1878" s="3"/>
      <c r="E1878" s="15"/>
      <c r="F1878" s="15"/>
      <c r="G1878" s="15"/>
      <c r="H1878" s="15"/>
      <c r="I1878" s="15"/>
      <c r="J1878" s="9"/>
      <c r="K1878" s="9"/>
      <c r="L1878" s="9"/>
      <c r="M1878" s="9"/>
      <c r="N1878" s="9"/>
      <c r="O1878" s="9"/>
      <c r="P1878" s="9"/>
      <c r="Q1878" s="9"/>
      <c r="R1878" s="9"/>
      <c r="S1878" s="9"/>
      <c r="T1878" s="9"/>
      <c r="U1878" s="9"/>
      <c r="V1878" s="9"/>
      <c r="W1878" s="9"/>
      <c r="X1878" s="17"/>
      <c r="Y1878" s="13"/>
      <c r="Z1878" s="13"/>
      <c r="AC1878" s="24"/>
      <c r="AD1878" s="23"/>
    </row>
    <row r="1879" spans="4:30" x14ac:dyDescent="0.25">
      <c r="D1879" s="3"/>
      <c r="E1879" s="15"/>
      <c r="F1879" s="15"/>
      <c r="G1879" s="15"/>
      <c r="H1879" s="15"/>
      <c r="I1879" s="15"/>
      <c r="J1879" s="9"/>
      <c r="K1879" s="9"/>
      <c r="L1879" s="9"/>
      <c r="M1879" s="9"/>
      <c r="N1879" s="9"/>
      <c r="O1879" s="9"/>
      <c r="P1879" s="9"/>
      <c r="Q1879" s="9"/>
      <c r="R1879" s="9"/>
      <c r="S1879" s="9"/>
      <c r="T1879" s="9"/>
      <c r="U1879" s="9"/>
      <c r="V1879" s="9"/>
      <c r="W1879" s="9"/>
      <c r="X1879" s="17"/>
      <c r="Y1879" s="13"/>
      <c r="Z1879" s="13"/>
      <c r="AC1879" s="24"/>
      <c r="AD1879" s="23"/>
    </row>
    <row r="1880" spans="4:30" x14ac:dyDescent="0.25">
      <c r="D1880" s="3"/>
      <c r="E1880" s="15"/>
      <c r="F1880" s="15"/>
      <c r="G1880" s="15"/>
      <c r="H1880" s="15"/>
      <c r="I1880" s="15"/>
      <c r="J1880" s="9"/>
      <c r="K1880" s="9"/>
      <c r="L1880" s="9"/>
      <c r="M1880" s="9"/>
      <c r="N1880" s="9"/>
      <c r="O1880" s="9"/>
      <c r="P1880" s="9"/>
      <c r="Q1880" s="9"/>
      <c r="R1880" s="9"/>
      <c r="S1880" s="9"/>
      <c r="T1880" s="9"/>
      <c r="U1880" s="9"/>
      <c r="V1880" s="9"/>
      <c r="W1880" s="9"/>
      <c r="X1880" s="17"/>
      <c r="Y1880" s="13"/>
      <c r="Z1880" s="13"/>
      <c r="AC1880" s="24"/>
      <c r="AD1880" s="23"/>
    </row>
    <row r="1881" spans="4:30" x14ac:dyDescent="0.25">
      <c r="D1881" s="3"/>
      <c r="E1881" s="15"/>
      <c r="F1881" s="15"/>
      <c r="G1881" s="15"/>
      <c r="H1881" s="15"/>
      <c r="I1881" s="15"/>
      <c r="J1881" s="9"/>
      <c r="K1881" s="9"/>
      <c r="L1881" s="9"/>
      <c r="M1881" s="9"/>
      <c r="N1881" s="9"/>
      <c r="O1881" s="9"/>
      <c r="P1881" s="9"/>
      <c r="Q1881" s="9"/>
      <c r="R1881" s="9"/>
      <c r="S1881" s="9"/>
      <c r="T1881" s="9"/>
      <c r="U1881" s="9"/>
      <c r="V1881" s="9"/>
      <c r="W1881" s="9"/>
      <c r="X1881" s="17"/>
      <c r="Y1881" s="13"/>
      <c r="Z1881" s="13"/>
      <c r="AC1881" s="24"/>
      <c r="AD1881" s="23"/>
    </row>
    <row r="1882" spans="4:30" x14ac:dyDescent="0.25">
      <c r="D1882" s="3"/>
      <c r="E1882" s="15"/>
      <c r="F1882" s="15"/>
      <c r="G1882" s="15"/>
      <c r="H1882" s="15"/>
      <c r="I1882" s="15"/>
      <c r="J1882" s="9"/>
      <c r="K1882" s="9"/>
      <c r="L1882" s="9"/>
      <c r="M1882" s="9"/>
      <c r="N1882" s="9"/>
      <c r="O1882" s="9"/>
      <c r="P1882" s="9"/>
      <c r="Q1882" s="9"/>
      <c r="R1882" s="9"/>
      <c r="S1882" s="9"/>
      <c r="T1882" s="9"/>
      <c r="U1882" s="9"/>
      <c r="V1882" s="9"/>
      <c r="W1882" s="9"/>
      <c r="X1882" s="17"/>
      <c r="Y1882" s="13"/>
      <c r="Z1882" s="13"/>
      <c r="AC1882" s="24"/>
      <c r="AD1882" s="23"/>
    </row>
    <row r="1883" spans="4:30" x14ac:dyDescent="0.25">
      <c r="D1883" s="3"/>
      <c r="E1883" s="15"/>
      <c r="F1883" s="15"/>
      <c r="G1883" s="15"/>
      <c r="H1883" s="15"/>
      <c r="I1883" s="15"/>
      <c r="J1883" s="9"/>
      <c r="K1883" s="9"/>
      <c r="L1883" s="9"/>
      <c r="M1883" s="9"/>
      <c r="N1883" s="9"/>
      <c r="O1883" s="9"/>
      <c r="P1883" s="9"/>
      <c r="Q1883" s="9"/>
      <c r="R1883" s="9"/>
      <c r="S1883" s="9"/>
      <c r="T1883" s="9"/>
      <c r="U1883" s="9"/>
      <c r="V1883" s="9"/>
      <c r="W1883" s="9"/>
      <c r="X1883" s="17"/>
      <c r="Y1883" s="13"/>
      <c r="Z1883" s="13"/>
      <c r="AC1883" s="24"/>
      <c r="AD1883" s="23"/>
    </row>
    <row r="1884" spans="4:30" x14ac:dyDescent="0.25">
      <c r="D1884" s="3"/>
      <c r="E1884" s="15"/>
      <c r="F1884" s="15"/>
      <c r="G1884" s="15"/>
      <c r="H1884" s="15"/>
      <c r="I1884" s="15"/>
      <c r="J1884" s="9"/>
      <c r="K1884" s="9"/>
      <c r="L1884" s="9"/>
      <c r="M1884" s="9"/>
      <c r="N1884" s="9"/>
      <c r="O1884" s="9"/>
      <c r="P1884" s="9"/>
      <c r="Q1884" s="9"/>
      <c r="R1884" s="9"/>
      <c r="S1884" s="9"/>
      <c r="T1884" s="9"/>
      <c r="U1884" s="9"/>
      <c r="V1884" s="9"/>
      <c r="W1884" s="9"/>
      <c r="X1884" s="17"/>
      <c r="Y1884" s="13"/>
      <c r="Z1884" s="13"/>
      <c r="AC1884" s="24"/>
      <c r="AD1884" s="23"/>
    </row>
    <row r="1885" spans="4:30" x14ac:dyDescent="0.25">
      <c r="D1885" s="3"/>
      <c r="E1885" s="15"/>
      <c r="F1885" s="15"/>
      <c r="G1885" s="15"/>
      <c r="H1885" s="15"/>
      <c r="I1885" s="15"/>
      <c r="J1885" s="9"/>
      <c r="K1885" s="9"/>
      <c r="L1885" s="9"/>
      <c r="M1885" s="9"/>
      <c r="N1885" s="9"/>
      <c r="O1885" s="9"/>
      <c r="P1885" s="9"/>
      <c r="Q1885" s="9"/>
      <c r="R1885" s="9"/>
      <c r="S1885" s="9"/>
      <c r="T1885" s="9"/>
      <c r="U1885" s="9"/>
      <c r="V1885" s="9"/>
      <c r="W1885" s="9"/>
      <c r="X1885" s="17"/>
      <c r="Y1885" s="13"/>
      <c r="Z1885" s="13"/>
      <c r="AC1885" s="24"/>
      <c r="AD1885" s="23"/>
    </row>
    <row r="1886" spans="4:30" x14ac:dyDescent="0.25">
      <c r="D1886" s="3"/>
      <c r="E1886" s="15"/>
      <c r="F1886" s="15"/>
      <c r="G1886" s="15"/>
      <c r="H1886" s="15"/>
      <c r="I1886" s="15"/>
      <c r="J1886" s="9"/>
      <c r="K1886" s="9"/>
      <c r="L1886" s="9"/>
      <c r="M1886" s="9"/>
      <c r="N1886" s="9"/>
      <c r="O1886" s="9"/>
      <c r="P1886" s="9"/>
      <c r="Q1886" s="9"/>
      <c r="R1886" s="9"/>
      <c r="S1886" s="9"/>
      <c r="T1886" s="9"/>
      <c r="U1886" s="9"/>
      <c r="V1886" s="9"/>
      <c r="W1886" s="9"/>
      <c r="X1886" s="17"/>
      <c r="Y1886" s="13"/>
      <c r="Z1886" s="13"/>
      <c r="AC1886" s="24"/>
      <c r="AD1886" s="23"/>
    </row>
    <row r="1887" spans="4:30" x14ac:dyDescent="0.25">
      <c r="D1887" s="3"/>
      <c r="E1887" s="15"/>
      <c r="F1887" s="15"/>
      <c r="G1887" s="15"/>
      <c r="H1887" s="15"/>
      <c r="I1887" s="15"/>
      <c r="J1887" s="9"/>
      <c r="K1887" s="9"/>
      <c r="L1887" s="9"/>
      <c r="M1887" s="9"/>
      <c r="N1887" s="9"/>
      <c r="O1887" s="9"/>
      <c r="P1887" s="9"/>
      <c r="Q1887" s="9"/>
      <c r="R1887" s="9"/>
      <c r="S1887" s="9"/>
      <c r="T1887" s="9"/>
      <c r="U1887" s="9"/>
      <c r="V1887" s="9"/>
      <c r="W1887" s="9"/>
      <c r="X1887" s="17"/>
      <c r="Y1887" s="13"/>
      <c r="Z1887" s="13"/>
      <c r="AC1887" s="24"/>
      <c r="AD1887" s="23"/>
    </row>
    <row r="1888" spans="4:30" x14ac:dyDescent="0.25">
      <c r="D1888" s="3"/>
      <c r="E1888" s="15"/>
      <c r="F1888" s="15"/>
      <c r="G1888" s="15"/>
      <c r="H1888" s="15"/>
      <c r="I1888" s="15"/>
      <c r="J1888" s="9"/>
      <c r="K1888" s="9"/>
      <c r="L1888" s="9"/>
      <c r="M1888" s="9"/>
      <c r="N1888" s="9"/>
      <c r="O1888" s="9"/>
      <c r="P1888" s="9"/>
      <c r="Q1888" s="9"/>
      <c r="R1888" s="9"/>
      <c r="S1888" s="9"/>
      <c r="T1888" s="9"/>
      <c r="U1888" s="9"/>
      <c r="V1888" s="9"/>
      <c r="W1888" s="9"/>
      <c r="X1888" s="17"/>
      <c r="Y1888" s="13"/>
      <c r="Z1888" s="13"/>
      <c r="AC1888" s="24"/>
      <c r="AD1888" s="23"/>
    </row>
    <row r="1889" spans="4:30" x14ac:dyDescent="0.25">
      <c r="D1889" s="3"/>
      <c r="E1889" s="15"/>
      <c r="F1889" s="15"/>
      <c r="G1889" s="15"/>
      <c r="H1889" s="15"/>
      <c r="I1889" s="15"/>
      <c r="J1889" s="9"/>
      <c r="K1889" s="9"/>
      <c r="L1889" s="9"/>
      <c r="M1889" s="9"/>
      <c r="N1889" s="9"/>
      <c r="O1889" s="9"/>
      <c r="P1889" s="9"/>
      <c r="Q1889" s="9"/>
      <c r="R1889" s="9"/>
      <c r="S1889" s="9"/>
      <c r="T1889" s="9"/>
      <c r="U1889" s="9"/>
      <c r="V1889" s="9"/>
      <c r="W1889" s="9"/>
      <c r="X1889" s="17"/>
      <c r="Y1889" s="13"/>
      <c r="Z1889" s="13"/>
      <c r="AC1889" s="24"/>
      <c r="AD1889" s="23"/>
    </row>
    <row r="1890" spans="4:30" x14ac:dyDescent="0.25">
      <c r="D1890" s="3"/>
      <c r="E1890" s="15"/>
      <c r="F1890" s="15"/>
      <c r="G1890" s="15"/>
      <c r="H1890" s="15"/>
      <c r="I1890" s="15"/>
      <c r="J1890" s="9"/>
      <c r="K1890" s="9"/>
      <c r="L1890" s="9"/>
      <c r="M1890" s="9"/>
      <c r="N1890" s="9"/>
      <c r="O1890" s="9"/>
      <c r="P1890" s="9"/>
      <c r="Q1890" s="9"/>
      <c r="R1890" s="9"/>
      <c r="S1890" s="9"/>
      <c r="T1890" s="9"/>
      <c r="U1890" s="9"/>
      <c r="V1890" s="9"/>
      <c r="W1890" s="9"/>
      <c r="X1890" s="17"/>
      <c r="Y1890" s="13"/>
      <c r="Z1890" s="13"/>
      <c r="AC1890" s="24"/>
      <c r="AD1890" s="23"/>
    </row>
    <row r="1891" spans="4:30" x14ac:dyDescent="0.25">
      <c r="D1891" s="3"/>
      <c r="E1891" s="15"/>
      <c r="F1891" s="15"/>
      <c r="G1891" s="15"/>
      <c r="H1891" s="15"/>
      <c r="I1891" s="15"/>
      <c r="J1891" s="9"/>
      <c r="K1891" s="9"/>
      <c r="L1891" s="9"/>
      <c r="M1891" s="9"/>
      <c r="N1891" s="9"/>
      <c r="O1891" s="9"/>
      <c r="P1891" s="9"/>
      <c r="Q1891" s="9"/>
      <c r="R1891" s="9"/>
      <c r="S1891" s="9"/>
      <c r="T1891" s="9"/>
      <c r="U1891" s="9"/>
      <c r="V1891" s="9"/>
      <c r="W1891" s="9"/>
      <c r="X1891" s="17"/>
      <c r="Y1891" s="13"/>
      <c r="Z1891" s="13"/>
      <c r="AC1891" s="24"/>
      <c r="AD1891" s="23"/>
    </row>
    <row r="1892" spans="4:30" x14ac:dyDescent="0.25">
      <c r="D1892" s="3"/>
      <c r="E1892" s="15"/>
      <c r="F1892" s="15"/>
      <c r="G1892" s="15"/>
      <c r="H1892" s="15"/>
      <c r="I1892" s="15"/>
      <c r="J1892" s="9"/>
      <c r="K1892" s="9"/>
      <c r="L1892" s="9"/>
      <c r="M1892" s="9"/>
      <c r="N1892" s="9"/>
      <c r="O1892" s="9"/>
      <c r="P1892" s="9"/>
      <c r="Q1892" s="9"/>
      <c r="R1892" s="9"/>
      <c r="S1892" s="9"/>
      <c r="T1892" s="9"/>
      <c r="U1892" s="9"/>
      <c r="V1892" s="9"/>
      <c r="W1892" s="9"/>
      <c r="X1892" s="17"/>
      <c r="Y1892" s="13"/>
      <c r="Z1892" s="13"/>
      <c r="AC1892" s="24"/>
      <c r="AD1892" s="23"/>
    </row>
    <row r="1893" spans="4:30" x14ac:dyDescent="0.25">
      <c r="D1893" s="3"/>
      <c r="E1893" s="15"/>
      <c r="F1893" s="15"/>
      <c r="G1893" s="15"/>
      <c r="H1893" s="15"/>
      <c r="I1893" s="15"/>
      <c r="J1893" s="9"/>
      <c r="K1893" s="9"/>
      <c r="L1893" s="9"/>
      <c r="M1893" s="9"/>
      <c r="N1893" s="9"/>
      <c r="O1893" s="9"/>
      <c r="P1893" s="9"/>
      <c r="Q1893" s="9"/>
      <c r="R1893" s="9"/>
      <c r="S1893" s="9"/>
      <c r="T1893" s="9"/>
      <c r="U1893" s="9"/>
      <c r="V1893" s="9"/>
      <c r="W1893" s="9"/>
      <c r="X1893" s="17"/>
      <c r="Y1893" s="13"/>
      <c r="Z1893" s="13"/>
      <c r="AC1893" s="24"/>
      <c r="AD1893" s="23"/>
    </row>
    <row r="1894" spans="4:30" x14ac:dyDescent="0.25">
      <c r="D1894" s="3"/>
      <c r="E1894" s="15"/>
      <c r="F1894" s="15"/>
      <c r="G1894" s="15"/>
      <c r="H1894" s="15"/>
      <c r="I1894" s="15"/>
      <c r="J1894" s="9"/>
      <c r="K1894" s="9"/>
      <c r="L1894" s="9"/>
      <c r="M1894" s="9"/>
      <c r="N1894" s="9"/>
      <c r="O1894" s="9"/>
      <c r="P1894" s="9"/>
      <c r="Q1894" s="9"/>
      <c r="R1894" s="9"/>
      <c r="S1894" s="9"/>
      <c r="T1894" s="9"/>
      <c r="U1894" s="9"/>
      <c r="V1894" s="9"/>
      <c r="W1894" s="9"/>
      <c r="X1894" s="17"/>
      <c r="Y1894" s="13"/>
      <c r="Z1894" s="13"/>
      <c r="AC1894" s="24"/>
      <c r="AD1894" s="23"/>
    </row>
    <row r="1895" spans="4:30" x14ac:dyDescent="0.25">
      <c r="D1895" s="3"/>
      <c r="E1895" s="15"/>
      <c r="F1895" s="15"/>
      <c r="G1895" s="15"/>
      <c r="H1895" s="15"/>
      <c r="I1895" s="15"/>
      <c r="J1895" s="9"/>
      <c r="K1895" s="9"/>
      <c r="L1895" s="9"/>
      <c r="M1895" s="9"/>
      <c r="N1895" s="9"/>
      <c r="O1895" s="9"/>
      <c r="P1895" s="9"/>
      <c r="Q1895" s="9"/>
      <c r="R1895" s="9"/>
      <c r="S1895" s="9"/>
      <c r="T1895" s="9"/>
      <c r="U1895" s="9"/>
      <c r="V1895" s="9"/>
      <c r="W1895" s="9"/>
      <c r="X1895" s="17"/>
      <c r="Y1895" s="13"/>
      <c r="Z1895" s="13"/>
      <c r="AC1895" s="24"/>
      <c r="AD1895" s="23"/>
    </row>
    <row r="1896" spans="4:30" x14ac:dyDescent="0.25">
      <c r="D1896" s="3"/>
      <c r="E1896" s="15"/>
      <c r="F1896" s="15"/>
      <c r="G1896" s="15"/>
      <c r="H1896" s="15"/>
      <c r="I1896" s="15"/>
      <c r="J1896" s="9"/>
      <c r="K1896" s="9"/>
      <c r="L1896" s="9"/>
      <c r="M1896" s="9"/>
      <c r="N1896" s="9"/>
      <c r="O1896" s="9"/>
      <c r="P1896" s="9"/>
      <c r="Q1896" s="9"/>
      <c r="R1896" s="9"/>
      <c r="S1896" s="9"/>
      <c r="T1896" s="9"/>
      <c r="U1896" s="9"/>
      <c r="V1896" s="9"/>
      <c r="W1896" s="9"/>
      <c r="X1896" s="17"/>
      <c r="Y1896" s="13"/>
      <c r="Z1896" s="13"/>
      <c r="AC1896" s="24"/>
      <c r="AD1896" s="23"/>
    </row>
    <row r="1897" spans="4:30" x14ac:dyDescent="0.25">
      <c r="D1897" s="3"/>
      <c r="E1897" s="15"/>
      <c r="F1897" s="15"/>
      <c r="G1897" s="15"/>
      <c r="H1897" s="15"/>
      <c r="I1897" s="15"/>
      <c r="J1897" s="9"/>
      <c r="K1897" s="9"/>
      <c r="L1897" s="9"/>
      <c r="M1897" s="9"/>
      <c r="N1897" s="9"/>
      <c r="O1897" s="9"/>
      <c r="P1897" s="9"/>
      <c r="Q1897" s="9"/>
      <c r="R1897" s="9"/>
      <c r="S1897" s="9"/>
      <c r="T1897" s="9"/>
      <c r="U1897" s="9"/>
      <c r="V1897" s="9"/>
      <c r="W1897" s="9"/>
      <c r="X1897" s="17"/>
      <c r="Y1897" s="13"/>
      <c r="Z1897" s="13"/>
      <c r="AC1897" s="24"/>
      <c r="AD1897" s="23"/>
    </row>
    <row r="1898" spans="4:30" x14ac:dyDescent="0.25">
      <c r="D1898" s="3"/>
      <c r="E1898" s="15"/>
      <c r="F1898" s="15"/>
      <c r="G1898" s="15"/>
      <c r="H1898" s="15"/>
      <c r="I1898" s="15"/>
      <c r="J1898" s="9"/>
      <c r="K1898" s="9"/>
      <c r="L1898" s="9"/>
      <c r="M1898" s="9"/>
      <c r="N1898" s="9"/>
      <c r="O1898" s="9"/>
      <c r="P1898" s="9"/>
      <c r="Q1898" s="9"/>
      <c r="R1898" s="9"/>
      <c r="S1898" s="9"/>
      <c r="T1898" s="9"/>
      <c r="U1898" s="9"/>
      <c r="V1898" s="9"/>
      <c r="W1898" s="9"/>
      <c r="X1898" s="17"/>
      <c r="Y1898" s="13"/>
      <c r="Z1898" s="13"/>
      <c r="AC1898" s="24"/>
      <c r="AD1898" s="23"/>
    </row>
    <row r="1899" spans="4:30" x14ac:dyDescent="0.25">
      <c r="D1899" s="3"/>
      <c r="E1899" s="15"/>
      <c r="F1899" s="15"/>
      <c r="G1899" s="15"/>
      <c r="H1899" s="15"/>
      <c r="I1899" s="15"/>
      <c r="J1899" s="9"/>
      <c r="K1899" s="9"/>
      <c r="L1899" s="9"/>
      <c r="M1899" s="9"/>
      <c r="N1899" s="9"/>
      <c r="O1899" s="9"/>
      <c r="P1899" s="9"/>
      <c r="Q1899" s="9"/>
      <c r="R1899" s="9"/>
      <c r="S1899" s="9"/>
      <c r="T1899" s="9"/>
      <c r="U1899" s="9"/>
      <c r="V1899" s="9"/>
      <c r="W1899" s="9"/>
      <c r="X1899" s="17"/>
      <c r="Y1899" s="13"/>
      <c r="Z1899" s="13"/>
      <c r="AC1899" s="24"/>
      <c r="AD1899" s="23"/>
    </row>
    <row r="1900" spans="4:30" x14ac:dyDescent="0.25">
      <c r="D1900" s="3"/>
      <c r="E1900" s="15"/>
      <c r="F1900" s="15"/>
      <c r="G1900" s="15"/>
      <c r="H1900" s="15"/>
      <c r="I1900" s="15"/>
      <c r="J1900" s="9"/>
      <c r="K1900" s="9"/>
      <c r="L1900" s="9"/>
      <c r="M1900" s="9"/>
      <c r="N1900" s="9"/>
      <c r="O1900" s="9"/>
      <c r="P1900" s="9"/>
      <c r="Q1900" s="9"/>
      <c r="R1900" s="9"/>
      <c r="S1900" s="9"/>
      <c r="T1900" s="9"/>
      <c r="U1900" s="9"/>
      <c r="V1900" s="9"/>
      <c r="W1900" s="9"/>
      <c r="X1900" s="17"/>
      <c r="Y1900" s="13"/>
      <c r="Z1900" s="13"/>
      <c r="AC1900" s="24"/>
      <c r="AD1900" s="23"/>
    </row>
    <row r="1901" spans="4:30" x14ac:dyDescent="0.25">
      <c r="D1901" s="3"/>
      <c r="E1901" s="15"/>
      <c r="F1901" s="15"/>
      <c r="G1901" s="15"/>
      <c r="H1901" s="15"/>
      <c r="I1901" s="15"/>
      <c r="J1901" s="9"/>
      <c r="K1901" s="9"/>
      <c r="L1901" s="9"/>
      <c r="M1901" s="9"/>
      <c r="N1901" s="9"/>
      <c r="O1901" s="9"/>
      <c r="P1901" s="9"/>
      <c r="Q1901" s="9"/>
      <c r="R1901" s="9"/>
      <c r="S1901" s="9"/>
      <c r="T1901" s="9"/>
      <c r="U1901" s="9"/>
      <c r="V1901" s="9"/>
      <c r="W1901" s="9"/>
      <c r="X1901" s="17"/>
      <c r="Y1901" s="13"/>
      <c r="Z1901" s="13"/>
      <c r="AC1901" s="24"/>
      <c r="AD1901" s="23"/>
    </row>
    <row r="1902" spans="4:30" x14ac:dyDescent="0.25">
      <c r="D1902" s="3"/>
      <c r="E1902" s="15"/>
      <c r="F1902" s="15"/>
      <c r="G1902" s="15"/>
      <c r="H1902" s="15"/>
      <c r="I1902" s="15"/>
      <c r="J1902" s="9"/>
      <c r="K1902" s="9"/>
      <c r="L1902" s="9"/>
      <c r="M1902" s="9"/>
      <c r="N1902" s="9"/>
      <c r="O1902" s="9"/>
      <c r="P1902" s="9"/>
      <c r="Q1902" s="9"/>
      <c r="R1902" s="9"/>
      <c r="S1902" s="9"/>
      <c r="T1902" s="9"/>
      <c r="U1902" s="9"/>
      <c r="V1902" s="9"/>
      <c r="W1902" s="9"/>
      <c r="X1902" s="17"/>
      <c r="Y1902" s="13"/>
      <c r="Z1902" s="13"/>
      <c r="AC1902" s="24"/>
      <c r="AD1902" s="23"/>
    </row>
    <row r="1903" spans="4:30" x14ac:dyDescent="0.25">
      <c r="D1903" s="3"/>
      <c r="E1903" s="15"/>
      <c r="F1903" s="15"/>
      <c r="G1903" s="15"/>
      <c r="H1903" s="15"/>
      <c r="I1903" s="15"/>
      <c r="J1903" s="9"/>
      <c r="K1903" s="9"/>
      <c r="L1903" s="9"/>
      <c r="M1903" s="9"/>
      <c r="N1903" s="9"/>
      <c r="O1903" s="9"/>
      <c r="P1903" s="9"/>
      <c r="Q1903" s="9"/>
      <c r="R1903" s="9"/>
      <c r="S1903" s="9"/>
      <c r="T1903" s="9"/>
      <c r="U1903" s="9"/>
      <c r="V1903" s="9"/>
      <c r="W1903" s="9"/>
      <c r="X1903" s="17"/>
      <c r="Y1903" s="13"/>
      <c r="Z1903" s="13"/>
      <c r="AC1903" s="24"/>
      <c r="AD1903" s="23"/>
    </row>
    <row r="1904" spans="4:30" x14ac:dyDescent="0.25">
      <c r="D1904" s="3"/>
      <c r="E1904" s="15"/>
      <c r="F1904" s="15"/>
      <c r="G1904" s="15"/>
      <c r="H1904" s="15"/>
      <c r="I1904" s="15"/>
      <c r="J1904" s="9"/>
      <c r="K1904" s="9"/>
      <c r="L1904" s="9"/>
      <c r="M1904" s="9"/>
      <c r="N1904" s="9"/>
      <c r="O1904" s="9"/>
      <c r="P1904" s="9"/>
      <c r="Q1904" s="9"/>
      <c r="R1904" s="9"/>
      <c r="S1904" s="9"/>
      <c r="T1904" s="9"/>
      <c r="U1904" s="9"/>
      <c r="V1904" s="9"/>
      <c r="W1904" s="9"/>
      <c r="X1904" s="17"/>
      <c r="Y1904" s="13"/>
      <c r="Z1904" s="13"/>
      <c r="AC1904" s="24"/>
      <c r="AD1904" s="23"/>
    </row>
    <row r="1905" spans="4:30" x14ac:dyDescent="0.25">
      <c r="D1905" s="3"/>
      <c r="E1905" s="15"/>
      <c r="F1905" s="15"/>
      <c r="G1905" s="15"/>
      <c r="H1905" s="15"/>
      <c r="I1905" s="15"/>
      <c r="J1905" s="9"/>
      <c r="K1905" s="9"/>
      <c r="L1905" s="9"/>
      <c r="M1905" s="9"/>
      <c r="N1905" s="9"/>
      <c r="O1905" s="9"/>
      <c r="P1905" s="9"/>
      <c r="Q1905" s="9"/>
      <c r="R1905" s="9"/>
      <c r="S1905" s="9"/>
      <c r="T1905" s="9"/>
      <c r="U1905" s="9"/>
      <c r="V1905" s="9"/>
      <c r="W1905" s="9"/>
      <c r="X1905" s="17"/>
      <c r="Y1905" s="13"/>
      <c r="Z1905" s="13"/>
      <c r="AC1905" s="24"/>
      <c r="AD1905" s="23"/>
    </row>
    <row r="1906" spans="4:30" x14ac:dyDescent="0.25">
      <c r="D1906" s="3"/>
      <c r="E1906" s="15"/>
      <c r="F1906" s="15"/>
      <c r="G1906" s="15"/>
      <c r="H1906" s="15"/>
      <c r="I1906" s="15"/>
      <c r="J1906" s="9"/>
      <c r="K1906" s="9"/>
      <c r="L1906" s="9"/>
      <c r="M1906" s="9"/>
      <c r="N1906" s="9"/>
      <c r="O1906" s="9"/>
      <c r="P1906" s="9"/>
      <c r="Q1906" s="9"/>
      <c r="R1906" s="9"/>
      <c r="S1906" s="9"/>
      <c r="T1906" s="9"/>
      <c r="U1906" s="9"/>
      <c r="V1906" s="9"/>
      <c r="W1906" s="9"/>
      <c r="X1906" s="17"/>
      <c r="Y1906" s="13"/>
      <c r="Z1906" s="13"/>
      <c r="AC1906" s="24"/>
      <c r="AD1906" s="23"/>
    </row>
    <row r="1907" spans="4:30" x14ac:dyDescent="0.25">
      <c r="D1907" s="3"/>
      <c r="E1907" s="15"/>
      <c r="F1907" s="15"/>
      <c r="G1907" s="15"/>
      <c r="H1907" s="15"/>
      <c r="I1907" s="15"/>
      <c r="J1907" s="9"/>
      <c r="K1907" s="9"/>
      <c r="L1907" s="9"/>
      <c r="M1907" s="9"/>
      <c r="N1907" s="9"/>
      <c r="O1907" s="9"/>
      <c r="P1907" s="9"/>
      <c r="Q1907" s="9"/>
      <c r="R1907" s="9"/>
      <c r="S1907" s="9"/>
      <c r="T1907" s="9"/>
      <c r="U1907" s="9"/>
      <c r="V1907" s="9"/>
      <c r="W1907" s="9"/>
      <c r="X1907" s="17"/>
      <c r="Y1907" s="13"/>
      <c r="Z1907" s="13"/>
      <c r="AC1907" s="24"/>
      <c r="AD1907" s="23"/>
    </row>
    <row r="1908" spans="4:30" x14ac:dyDescent="0.25">
      <c r="D1908" s="3"/>
      <c r="E1908" s="15"/>
      <c r="F1908" s="15"/>
      <c r="G1908" s="15"/>
      <c r="H1908" s="15"/>
      <c r="I1908" s="15"/>
      <c r="J1908" s="9"/>
      <c r="K1908" s="9"/>
      <c r="L1908" s="9"/>
      <c r="M1908" s="9"/>
      <c r="N1908" s="9"/>
      <c r="O1908" s="9"/>
      <c r="P1908" s="9"/>
      <c r="Q1908" s="9"/>
      <c r="R1908" s="9"/>
      <c r="S1908" s="9"/>
      <c r="T1908" s="9"/>
      <c r="U1908" s="9"/>
      <c r="V1908" s="9"/>
      <c r="W1908" s="9"/>
      <c r="X1908" s="17"/>
      <c r="Y1908" s="13"/>
      <c r="Z1908" s="13"/>
      <c r="AC1908" s="24"/>
      <c r="AD1908" s="23"/>
    </row>
    <row r="1909" spans="4:30" x14ac:dyDescent="0.25">
      <c r="D1909" s="3"/>
      <c r="E1909" s="15"/>
      <c r="F1909" s="15"/>
      <c r="G1909" s="15"/>
      <c r="H1909" s="15"/>
      <c r="I1909" s="15"/>
      <c r="J1909" s="9"/>
      <c r="K1909" s="9"/>
      <c r="L1909" s="9"/>
      <c r="M1909" s="9"/>
      <c r="N1909" s="9"/>
      <c r="O1909" s="9"/>
      <c r="P1909" s="9"/>
      <c r="Q1909" s="9"/>
      <c r="R1909" s="9"/>
      <c r="S1909" s="9"/>
      <c r="T1909" s="9"/>
      <c r="U1909" s="9"/>
      <c r="V1909" s="9"/>
      <c r="W1909" s="9"/>
      <c r="X1909" s="17"/>
      <c r="Y1909" s="13"/>
      <c r="Z1909" s="13"/>
      <c r="AC1909" s="24"/>
      <c r="AD1909" s="23"/>
    </row>
    <row r="1910" spans="4:30" x14ac:dyDescent="0.25">
      <c r="D1910" s="3"/>
      <c r="E1910" s="15"/>
      <c r="F1910" s="15"/>
      <c r="G1910" s="15"/>
      <c r="H1910" s="15"/>
      <c r="I1910" s="15"/>
      <c r="J1910" s="9"/>
      <c r="K1910" s="9"/>
      <c r="L1910" s="9"/>
      <c r="M1910" s="9"/>
      <c r="N1910" s="9"/>
      <c r="O1910" s="9"/>
      <c r="P1910" s="9"/>
      <c r="Q1910" s="9"/>
      <c r="R1910" s="9"/>
      <c r="S1910" s="9"/>
      <c r="T1910" s="9"/>
      <c r="U1910" s="9"/>
      <c r="V1910" s="9"/>
      <c r="W1910" s="9"/>
      <c r="X1910" s="17"/>
      <c r="Y1910" s="13"/>
      <c r="Z1910" s="13"/>
      <c r="AC1910" s="24"/>
      <c r="AD1910" s="23"/>
    </row>
    <row r="1911" spans="4:30" x14ac:dyDescent="0.25">
      <c r="D1911" s="3"/>
      <c r="E1911" s="15"/>
      <c r="F1911" s="15"/>
      <c r="G1911" s="15"/>
      <c r="H1911" s="15"/>
      <c r="I1911" s="15"/>
      <c r="J1911" s="9"/>
      <c r="K1911" s="9"/>
      <c r="L1911" s="9"/>
      <c r="M1911" s="9"/>
      <c r="N1911" s="9"/>
      <c r="O1911" s="9"/>
      <c r="P1911" s="9"/>
      <c r="Q1911" s="9"/>
      <c r="R1911" s="9"/>
      <c r="S1911" s="9"/>
      <c r="T1911" s="9"/>
      <c r="U1911" s="9"/>
      <c r="V1911" s="9"/>
      <c r="W1911" s="9"/>
      <c r="X1911" s="17"/>
      <c r="Y1911" s="13"/>
      <c r="Z1911" s="13"/>
      <c r="AC1911" s="24"/>
      <c r="AD1911" s="23"/>
    </row>
    <row r="1912" spans="4:30" x14ac:dyDescent="0.25">
      <c r="D1912" s="3"/>
      <c r="E1912" s="15"/>
      <c r="F1912" s="15"/>
      <c r="G1912" s="15"/>
      <c r="H1912" s="15"/>
      <c r="I1912" s="15"/>
      <c r="J1912" s="9"/>
      <c r="K1912" s="9"/>
      <c r="L1912" s="9"/>
      <c r="M1912" s="9"/>
      <c r="N1912" s="9"/>
      <c r="O1912" s="9"/>
      <c r="P1912" s="9"/>
      <c r="Q1912" s="9"/>
      <c r="R1912" s="9"/>
      <c r="S1912" s="9"/>
      <c r="T1912" s="9"/>
      <c r="U1912" s="9"/>
      <c r="V1912" s="9"/>
      <c r="W1912" s="9"/>
      <c r="X1912" s="17"/>
      <c r="Y1912" s="13"/>
      <c r="Z1912" s="13"/>
      <c r="AC1912" s="24"/>
      <c r="AD1912" s="23"/>
    </row>
    <row r="1913" spans="4:30" x14ac:dyDescent="0.25">
      <c r="D1913" s="3"/>
      <c r="E1913" s="15"/>
      <c r="F1913" s="15"/>
      <c r="G1913" s="15"/>
      <c r="H1913" s="15"/>
      <c r="I1913" s="15"/>
      <c r="J1913" s="9"/>
      <c r="K1913" s="9"/>
      <c r="L1913" s="9"/>
      <c r="M1913" s="9"/>
      <c r="N1913" s="9"/>
      <c r="O1913" s="9"/>
      <c r="P1913" s="9"/>
      <c r="Q1913" s="9"/>
      <c r="R1913" s="9"/>
      <c r="S1913" s="9"/>
      <c r="T1913" s="9"/>
      <c r="U1913" s="9"/>
      <c r="V1913" s="9"/>
      <c r="W1913" s="9"/>
      <c r="X1913" s="17"/>
      <c r="Y1913" s="13"/>
      <c r="Z1913" s="13"/>
      <c r="AC1913" s="24"/>
      <c r="AD1913" s="23"/>
    </row>
    <row r="1914" spans="4:30" x14ac:dyDescent="0.25">
      <c r="D1914" s="3"/>
      <c r="E1914" s="15"/>
      <c r="F1914" s="15"/>
      <c r="G1914" s="15"/>
      <c r="H1914" s="15"/>
      <c r="I1914" s="15"/>
      <c r="J1914" s="9"/>
      <c r="K1914" s="9"/>
      <c r="L1914" s="9"/>
      <c r="M1914" s="9"/>
      <c r="N1914" s="9"/>
      <c r="O1914" s="9"/>
      <c r="P1914" s="9"/>
      <c r="Q1914" s="9"/>
      <c r="R1914" s="9"/>
      <c r="S1914" s="9"/>
      <c r="T1914" s="9"/>
      <c r="U1914" s="9"/>
      <c r="V1914" s="9"/>
      <c r="W1914" s="9"/>
      <c r="X1914" s="17"/>
      <c r="Y1914" s="13"/>
      <c r="Z1914" s="13"/>
      <c r="AC1914" s="24"/>
      <c r="AD1914" s="23"/>
    </row>
    <row r="1915" spans="4:30" x14ac:dyDescent="0.25">
      <c r="D1915" s="3"/>
      <c r="E1915" s="15"/>
      <c r="F1915" s="15"/>
      <c r="G1915" s="15"/>
      <c r="H1915" s="15"/>
      <c r="I1915" s="15"/>
      <c r="J1915" s="9"/>
      <c r="K1915" s="9"/>
      <c r="L1915" s="9"/>
      <c r="M1915" s="9"/>
      <c r="N1915" s="9"/>
      <c r="O1915" s="9"/>
      <c r="P1915" s="9"/>
      <c r="Q1915" s="9"/>
      <c r="R1915" s="9"/>
      <c r="S1915" s="9"/>
      <c r="T1915" s="9"/>
      <c r="U1915" s="9"/>
      <c r="V1915" s="9"/>
      <c r="W1915" s="9"/>
      <c r="X1915" s="17"/>
      <c r="Y1915" s="13"/>
      <c r="Z1915" s="13"/>
      <c r="AC1915" s="24"/>
      <c r="AD1915" s="23"/>
    </row>
    <row r="1916" spans="4:30" x14ac:dyDescent="0.25">
      <c r="D1916" s="3"/>
      <c r="E1916" s="15"/>
      <c r="F1916" s="15"/>
      <c r="G1916" s="15"/>
      <c r="H1916" s="15"/>
      <c r="I1916" s="15"/>
      <c r="J1916" s="9"/>
      <c r="K1916" s="9"/>
      <c r="L1916" s="9"/>
      <c r="M1916" s="9"/>
      <c r="N1916" s="9"/>
      <c r="O1916" s="9"/>
      <c r="P1916" s="9"/>
      <c r="Q1916" s="9"/>
      <c r="R1916" s="9"/>
      <c r="S1916" s="9"/>
      <c r="T1916" s="9"/>
      <c r="U1916" s="9"/>
      <c r="V1916" s="9"/>
      <c r="W1916" s="9"/>
      <c r="X1916" s="17"/>
      <c r="Y1916" s="13"/>
      <c r="Z1916" s="13"/>
      <c r="AC1916" s="24"/>
      <c r="AD1916" s="23"/>
    </row>
    <row r="1917" spans="4:30" x14ac:dyDescent="0.25">
      <c r="D1917" s="3"/>
      <c r="E1917" s="15"/>
      <c r="F1917" s="15"/>
      <c r="G1917" s="15"/>
      <c r="H1917" s="15"/>
      <c r="I1917" s="15"/>
      <c r="J1917" s="9"/>
      <c r="K1917" s="9"/>
      <c r="L1917" s="9"/>
      <c r="M1917" s="9"/>
      <c r="N1917" s="9"/>
      <c r="O1917" s="9"/>
      <c r="P1917" s="9"/>
      <c r="Q1917" s="9"/>
      <c r="R1917" s="9"/>
      <c r="S1917" s="9"/>
      <c r="T1917" s="9"/>
      <c r="U1917" s="9"/>
      <c r="V1917" s="9"/>
      <c r="W1917" s="9"/>
      <c r="X1917" s="17"/>
      <c r="Y1917" s="13"/>
      <c r="Z1917" s="13"/>
      <c r="AC1917" s="24"/>
      <c r="AD1917" s="23"/>
    </row>
    <row r="1918" spans="4:30" x14ac:dyDescent="0.25">
      <c r="D1918" s="3"/>
      <c r="E1918" s="15"/>
      <c r="F1918" s="15"/>
      <c r="G1918" s="15"/>
      <c r="H1918" s="15"/>
      <c r="I1918" s="15"/>
      <c r="J1918" s="9"/>
      <c r="K1918" s="9"/>
      <c r="L1918" s="9"/>
      <c r="M1918" s="9"/>
      <c r="N1918" s="9"/>
      <c r="O1918" s="9"/>
      <c r="P1918" s="9"/>
      <c r="Q1918" s="9"/>
      <c r="R1918" s="9"/>
      <c r="S1918" s="9"/>
      <c r="T1918" s="9"/>
      <c r="U1918" s="9"/>
      <c r="V1918" s="9"/>
      <c r="W1918" s="9"/>
      <c r="X1918" s="17"/>
      <c r="Y1918" s="13"/>
      <c r="Z1918" s="13"/>
      <c r="AC1918" s="24"/>
      <c r="AD1918" s="23"/>
    </row>
    <row r="1919" spans="4:30" x14ac:dyDescent="0.25">
      <c r="D1919" s="3"/>
      <c r="E1919" s="15"/>
      <c r="F1919" s="15"/>
      <c r="G1919" s="15"/>
      <c r="H1919" s="15"/>
      <c r="I1919" s="15"/>
      <c r="J1919" s="9"/>
      <c r="K1919" s="9"/>
      <c r="L1919" s="9"/>
      <c r="M1919" s="9"/>
      <c r="N1919" s="9"/>
      <c r="O1919" s="9"/>
      <c r="P1919" s="9"/>
      <c r="Q1919" s="9"/>
      <c r="R1919" s="9"/>
      <c r="S1919" s="9"/>
      <c r="T1919" s="9"/>
      <c r="U1919" s="9"/>
      <c r="V1919" s="9"/>
      <c r="W1919" s="9"/>
      <c r="X1919" s="17"/>
      <c r="Y1919" s="13"/>
      <c r="Z1919" s="13"/>
      <c r="AC1919" s="24"/>
      <c r="AD1919" s="23"/>
    </row>
    <row r="1920" spans="4:30" x14ac:dyDescent="0.25">
      <c r="D1920" s="3"/>
      <c r="E1920" s="15"/>
      <c r="F1920" s="15"/>
      <c r="G1920" s="15"/>
      <c r="H1920" s="15"/>
      <c r="I1920" s="15"/>
      <c r="J1920" s="9"/>
      <c r="K1920" s="9"/>
      <c r="L1920" s="9"/>
      <c r="M1920" s="9"/>
      <c r="N1920" s="9"/>
      <c r="O1920" s="9"/>
      <c r="P1920" s="9"/>
      <c r="Q1920" s="9"/>
      <c r="R1920" s="9"/>
      <c r="S1920" s="9"/>
      <c r="T1920" s="9"/>
      <c r="U1920" s="9"/>
      <c r="V1920" s="9"/>
      <c r="W1920" s="9"/>
      <c r="X1920" s="17"/>
      <c r="Y1920" s="13"/>
      <c r="Z1920" s="13"/>
      <c r="AC1920" s="24"/>
      <c r="AD1920" s="23"/>
    </row>
    <row r="1921" spans="4:30" x14ac:dyDescent="0.25">
      <c r="D1921" s="3"/>
      <c r="E1921" s="15"/>
      <c r="F1921" s="15"/>
      <c r="G1921" s="15"/>
      <c r="H1921" s="15"/>
      <c r="I1921" s="15"/>
      <c r="J1921" s="9"/>
      <c r="K1921" s="9"/>
      <c r="L1921" s="9"/>
      <c r="M1921" s="9"/>
      <c r="N1921" s="9"/>
      <c r="O1921" s="9"/>
      <c r="P1921" s="9"/>
      <c r="Q1921" s="9"/>
      <c r="R1921" s="9"/>
      <c r="S1921" s="9"/>
      <c r="T1921" s="9"/>
      <c r="U1921" s="9"/>
      <c r="V1921" s="9"/>
      <c r="W1921" s="9"/>
      <c r="X1921" s="17"/>
      <c r="Y1921" s="13"/>
      <c r="Z1921" s="13"/>
      <c r="AC1921" s="24"/>
      <c r="AD1921" s="23"/>
    </row>
    <row r="1922" spans="4:30" x14ac:dyDescent="0.25">
      <c r="D1922" s="3"/>
      <c r="E1922" s="15"/>
      <c r="F1922" s="15"/>
      <c r="G1922" s="15"/>
      <c r="H1922" s="15"/>
      <c r="I1922" s="15"/>
      <c r="J1922" s="9"/>
      <c r="K1922" s="9"/>
      <c r="L1922" s="9"/>
      <c r="M1922" s="9"/>
      <c r="N1922" s="9"/>
      <c r="O1922" s="9"/>
      <c r="P1922" s="9"/>
      <c r="Q1922" s="9"/>
      <c r="R1922" s="9"/>
      <c r="S1922" s="9"/>
      <c r="T1922" s="9"/>
      <c r="U1922" s="9"/>
      <c r="V1922" s="9"/>
      <c r="W1922" s="9"/>
      <c r="X1922" s="17"/>
      <c r="Y1922" s="13"/>
      <c r="Z1922" s="13"/>
      <c r="AC1922" s="24"/>
      <c r="AD1922" s="23"/>
    </row>
    <row r="1923" spans="4:30" x14ac:dyDescent="0.25">
      <c r="D1923" s="3"/>
      <c r="E1923" s="15"/>
      <c r="F1923" s="15"/>
      <c r="G1923" s="15"/>
      <c r="H1923" s="15"/>
      <c r="I1923" s="15"/>
      <c r="J1923" s="9"/>
      <c r="K1923" s="9"/>
      <c r="L1923" s="9"/>
      <c r="M1923" s="9"/>
      <c r="N1923" s="9"/>
      <c r="O1923" s="9"/>
      <c r="P1923" s="9"/>
      <c r="Q1923" s="9"/>
      <c r="R1923" s="9"/>
      <c r="S1923" s="9"/>
      <c r="T1923" s="9"/>
      <c r="U1923" s="9"/>
      <c r="V1923" s="9"/>
      <c r="W1923" s="9"/>
      <c r="X1923" s="17"/>
      <c r="Y1923" s="13"/>
      <c r="Z1923" s="13"/>
      <c r="AC1923" s="24"/>
      <c r="AD1923" s="23"/>
    </row>
    <row r="1924" spans="4:30" x14ac:dyDescent="0.25">
      <c r="D1924" s="3"/>
      <c r="E1924" s="15"/>
      <c r="F1924" s="15"/>
      <c r="G1924" s="15"/>
      <c r="H1924" s="15"/>
      <c r="I1924" s="15"/>
      <c r="J1924" s="9"/>
      <c r="K1924" s="9"/>
      <c r="L1924" s="9"/>
      <c r="M1924" s="9"/>
      <c r="N1924" s="9"/>
      <c r="O1924" s="9"/>
      <c r="P1924" s="9"/>
      <c r="Q1924" s="9"/>
      <c r="R1924" s="9"/>
      <c r="S1924" s="9"/>
      <c r="T1924" s="9"/>
      <c r="U1924" s="9"/>
      <c r="V1924" s="9"/>
      <c r="W1924" s="9"/>
      <c r="X1924" s="17"/>
      <c r="Y1924" s="13"/>
      <c r="Z1924" s="13"/>
      <c r="AC1924" s="24"/>
      <c r="AD1924" s="23"/>
    </row>
    <row r="1925" spans="4:30" x14ac:dyDescent="0.25">
      <c r="D1925" s="3"/>
      <c r="E1925" s="15"/>
      <c r="F1925" s="15"/>
      <c r="G1925" s="15"/>
      <c r="H1925" s="15"/>
      <c r="I1925" s="15"/>
      <c r="J1925" s="9"/>
      <c r="K1925" s="9"/>
      <c r="L1925" s="9"/>
      <c r="M1925" s="9"/>
      <c r="N1925" s="9"/>
      <c r="O1925" s="9"/>
      <c r="P1925" s="9"/>
      <c r="Q1925" s="9"/>
      <c r="R1925" s="9"/>
      <c r="S1925" s="9"/>
      <c r="T1925" s="9"/>
      <c r="U1925" s="9"/>
      <c r="V1925" s="9"/>
      <c r="W1925" s="9"/>
      <c r="X1925" s="17"/>
      <c r="Y1925" s="13"/>
      <c r="Z1925" s="13"/>
      <c r="AC1925" s="24"/>
      <c r="AD1925" s="23"/>
    </row>
    <row r="1926" spans="4:30" x14ac:dyDescent="0.25">
      <c r="D1926" s="3"/>
      <c r="E1926" s="15"/>
      <c r="F1926" s="15"/>
      <c r="G1926" s="15"/>
      <c r="H1926" s="15"/>
      <c r="I1926" s="15"/>
      <c r="J1926" s="9"/>
      <c r="K1926" s="9"/>
      <c r="L1926" s="9"/>
      <c r="M1926" s="9"/>
      <c r="N1926" s="9"/>
      <c r="O1926" s="9"/>
      <c r="P1926" s="9"/>
      <c r="Q1926" s="9"/>
      <c r="R1926" s="9"/>
      <c r="S1926" s="9"/>
      <c r="T1926" s="9"/>
      <c r="U1926" s="9"/>
      <c r="V1926" s="9"/>
      <c r="W1926" s="9"/>
      <c r="X1926" s="17"/>
      <c r="Y1926" s="13"/>
      <c r="Z1926" s="13"/>
      <c r="AC1926" s="24"/>
      <c r="AD1926" s="23"/>
    </row>
    <row r="1927" spans="4:30" x14ac:dyDescent="0.25">
      <c r="D1927" s="3"/>
      <c r="E1927" s="15"/>
      <c r="F1927" s="15"/>
      <c r="G1927" s="15"/>
      <c r="H1927" s="15"/>
      <c r="I1927" s="15"/>
      <c r="J1927" s="9"/>
      <c r="K1927" s="9"/>
      <c r="L1927" s="9"/>
      <c r="M1927" s="9"/>
      <c r="N1927" s="9"/>
      <c r="O1927" s="9"/>
      <c r="P1927" s="9"/>
      <c r="Q1927" s="9"/>
      <c r="R1927" s="9"/>
      <c r="S1927" s="9"/>
      <c r="T1927" s="9"/>
      <c r="U1927" s="9"/>
      <c r="V1927" s="9"/>
      <c r="W1927" s="9"/>
      <c r="X1927" s="17"/>
      <c r="Y1927" s="13"/>
      <c r="Z1927" s="13"/>
      <c r="AC1927" s="24"/>
      <c r="AD1927" s="23"/>
    </row>
    <row r="1928" spans="4:30" x14ac:dyDescent="0.25">
      <c r="D1928" s="3"/>
      <c r="E1928" s="15"/>
      <c r="F1928" s="15"/>
      <c r="G1928" s="15"/>
      <c r="H1928" s="15"/>
      <c r="I1928" s="15"/>
      <c r="J1928" s="9"/>
      <c r="K1928" s="9"/>
      <c r="L1928" s="9"/>
      <c r="M1928" s="9"/>
      <c r="N1928" s="9"/>
      <c r="O1928" s="9"/>
      <c r="P1928" s="9"/>
      <c r="Q1928" s="9"/>
      <c r="R1928" s="9"/>
      <c r="S1928" s="9"/>
      <c r="T1928" s="9"/>
      <c r="U1928" s="9"/>
      <c r="V1928" s="9"/>
      <c r="W1928" s="9"/>
      <c r="X1928" s="17"/>
      <c r="Y1928" s="13"/>
      <c r="Z1928" s="13"/>
      <c r="AC1928" s="24"/>
      <c r="AD1928" s="23"/>
    </row>
    <row r="1929" spans="4:30" x14ac:dyDescent="0.25">
      <c r="D1929" s="3"/>
      <c r="E1929" s="15"/>
      <c r="F1929" s="15"/>
      <c r="G1929" s="15"/>
      <c r="H1929" s="15"/>
      <c r="I1929" s="15"/>
      <c r="J1929" s="9"/>
      <c r="K1929" s="9"/>
      <c r="L1929" s="9"/>
      <c r="M1929" s="9"/>
      <c r="N1929" s="9"/>
      <c r="O1929" s="9"/>
      <c r="P1929" s="9"/>
      <c r="Q1929" s="9"/>
      <c r="R1929" s="9"/>
      <c r="S1929" s="9"/>
      <c r="T1929" s="9"/>
      <c r="U1929" s="9"/>
      <c r="V1929" s="9"/>
      <c r="W1929" s="9"/>
      <c r="X1929" s="17"/>
      <c r="Y1929" s="13"/>
      <c r="Z1929" s="13"/>
      <c r="AC1929" s="24"/>
      <c r="AD1929" s="23"/>
    </row>
    <row r="1930" spans="4:30" x14ac:dyDescent="0.25">
      <c r="D1930" s="3"/>
      <c r="E1930" s="15"/>
      <c r="F1930" s="15"/>
      <c r="G1930" s="15"/>
      <c r="H1930" s="15"/>
      <c r="I1930" s="15"/>
      <c r="J1930" s="9"/>
      <c r="K1930" s="9"/>
      <c r="L1930" s="9"/>
      <c r="M1930" s="9"/>
      <c r="N1930" s="9"/>
      <c r="O1930" s="9"/>
      <c r="P1930" s="9"/>
      <c r="Q1930" s="9"/>
      <c r="R1930" s="9"/>
      <c r="S1930" s="9"/>
      <c r="T1930" s="9"/>
      <c r="U1930" s="9"/>
      <c r="V1930" s="9"/>
      <c r="W1930" s="9"/>
      <c r="X1930" s="17"/>
      <c r="Y1930" s="13"/>
      <c r="Z1930" s="13"/>
      <c r="AC1930" s="24"/>
      <c r="AD1930" s="23"/>
    </row>
    <row r="1931" spans="4:30" x14ac:dyDescent="0.25">
      <c r="D1931" s="3"/>
      <c r="E1931" s="15"/>
      <c r="F1931" s="15"/>
      <c r="G1931" s="15"/>
      <c r="H1931" s="15"/>
      <c r="I1931" s="15"/>
      <c r="J1931" s="9"/>
      <c r="K1931" s="9"/>
      <c r="L1931" s="9"/>
      <c r="M1931" s="9"/>
      <c r="N1931" s="9"/>
      <c r="O1931" s="9"/>
      <c r="P1931" s="9"/>
      <c r="Q1931" s="9"/>
      <c r="R1931" s="9"/>
      <c r="S1931" s="9"/>
      <c r="T1931" s="9"/>
      <c r="U1931" s="9"/>
      <c r="V1931" s="9"/>
      <c r="W1931" s="9"/>
      <c r="X1931" s="17"/>
      <c r="Y1931" s="13"/>
      <c r="Z1931" s="13"/>
      <c r="AC1931" s="24"/>
      <c r="AD1931" s="23"/>
    </row>
    <row r="1932" spans="4:30" x14ac:dyDescent="0.25">
      <c r="D1932" s="3"/>
      <c r="E1932" s="15"/>
      <c r="F1932" s="15"/>
      <c r="G1932" s="15"/>
      <c r="H1932" s="15"/>
      <c r="I1932" s="15"/>
      <c r="J1932" s="9"/>
      <c r="K1932" s="9"/>
      <c r="L1932" s="9"/>
      <c r="M1932" s="9"/>
      <c r="N1932" s="9"/>
      <c r="O1932" s="9"/>
      <c r="P1932" s="9"/>
      <c r="Q1932" s="9"/>
      <c r="R1932" s="9"/>
      <c r="S1932" s="9"/>
      <c r="T1932" s="9"/>
      <c r="U1932" s="9"/>
      <c r="V1932" s="9"/>
      <c r="W1932" s="9"/>
      <c r="X1932" s="17"/>
      <c r="Y1932" s="13"/>
      <c r="Z1932" s="13"/>
      <c r="AC1932" s="24"/>
      <c r="AD1932" s="23"/>
    </row>
    <row r="1933" spans="4:30" x14ac:dyDescent="0.25">
      <c r="D1933" s="3"/>
      <c r="E1933" s="15"/>
      <c r="F1933" s="15"/>
      <c r="G1933" s="15"/>
      <c r="H1933" s="15"/>
      <c r="I1933" s="15"/>
      <c r="J1933" s="9"/>
      <c r="K1933" s="9"/>
      <c r="L1933" s="9"/>
      <c r="M1933" s="9"/>
      <c r="N1933" s="9"/>
      <c r="O1933" s="9"/>
      <c r="P1933" s="9"/>
      <c r="Q1933" s="9"/>
      <c r="R1933" s="9"/>
      <c r="S1933" s="9"/>
      <c r="T1933" s="9"/>
      <c r="U1933" s="9"/>
      <c r="V1933" s="9"/>
      <c r="W1933" s="9"/>
      <c r="X1933" s="17"/>
      <c r="Y1933" s="13"/>
      <c r="Z1933" s="13"/>
      <c r="AC1933" s="24"/>
      <c r="AD1933" s="23"/>
    </row>
    <row r="1934" spans="4:30" x14ac:dyDescent="0.25">
      <c r="D1934" s="3"/>
      <c r="E1934" s="15"/>
      <c r="F1934" s="15"/>
      <c r="G1934" s="15"/>
      <c r="H1934" s="15"/>
      <c r="I1934" s="15"/>
      <c r="J1934" s="9"/>
      <c r="K1934" s="9"/>
      <c r="L1934" s="9"/>
      <c r="M1934" s="9"/>
      <c r="N1934" s="9"/>
      <c r="O1934" s="9"/>
      <c r="P1934" s="9"/>
      <c r="Q1934" s="9"/>
      <c r="R1934" s="9"/>
      <c r="S1934" s="9"/>
      <c r="T1934" s="9"/>
      <c r="U1934" s="9"/>
      <c r="V1934" s="9"/>
      <c r="W1934" s="9"/>
      <c r="X1934" s="17"/>
      <c r="Y1934" s="13"/>
      <c r="Z1934" s="13"/>
      <c r="AC1934" s="24"/>
      <c r="AD1934" s="23"/>
    </row>
    <row r="1935" spans="4:30" x14ac:dyDescent="0.25">
      <c r="D1935" s="3"/>
      <c r="E1935" s="15"/>
      <c r="F1935" s="15"/>
      <c r="G1935" s="15"/>
      <c r="H1935" s="15"/>
      <c r="I1935" s="15"/>
      <c r="J1935" s="9"/>
      <c r="K1935" s="9"/>
      <c r="L1935" s="9"/>
      <c r="M1935" s="9"/>
      <c r="N1935" s="9"/>
      <c r="O1935" s="9"/>
      <c r="P1935" s="9"/>
      <c r="Q1935" s="9"/>
      <c r="R1935" s="9"/>
      <c r="S1935" s="9"/>
      <c r="T1935" s="9"/>
      <c r="U1935" s="9"/>
      <c r="V1935" s="9"/>
      <c r="W1935" s="9"/>
      <c r="X1935" s="17"/>
      <c r="Y1935" s="13"/>
      <c r="Z1935" s="13"/>
      <c r="AC1935" s="24"/>
      <c r="AD1935" s="23"/>
    </row>
    <row r="1936" spans="4:30" x14ac:dyDescent="0.25">
      <c r="D1936" s="3"/>
      <c r="E1936" s="15"/>
      <c r="F1936" s="15"/>
      <c r="G1936" s="15"/>
      <c r="H1936" s="15"/>
      <c r="I1936" s="15"/>
      <c r="J1936" s="9"/>
      <c r="K1936" s="9"/>
      <c r="L1936" s="9"/>
      <c r="M1936" s="9"/>
      <c r="N1936" s="9"/>
      <c r="O1936" s="9"/>
      <c r="P1936" s="9"/>
      <c r="Q1936" s="9"/>
      <c r="R1936" s="9"/>
      <c r="S1936" s="9"/>
      <c r="T1936" s="9"/>
      <c r="U1936" s="9"/>
      <c r="V1936" s="9"/>
      <c r="W1936" s="9"/>
      <c r="X1936" s="17"/>
      <c r="Y1936" s="13"/>
      <c r="Z1936" s="13"/>
      <c r="AC1936" s="24"/>
      <c r="AD1936" s="23"/>
    </row>
    <row r="1937" spans="4:30" x14ac:dyDescent="0.25">
      <c r="D1937" s="3"/>
      <c r="E1937" s="15"/>
      <c r="F1937" s="15"/>
      <c r="G1937" s="15"/>
      <c r="H1937" s="15"/>
      <c r="I1937" s="15"/>
      <c r="J1937" s="9"/>
      <c r="K1937" s="9"/>
      <c r="L1937" s="9"/>
      <c r="M1937" s="9"/>
      <c r="N1937" s="9"/>
      <c r="O1937" s="9"/>
      <c r="P1937" s="9"/>
      <c r="Q1937" s="9"/>
      <c r="R1937" s="9"/>
      <c r="S1937" s="9"/>
      <c r="T1937" s="9"/>
      <c r="U1937" s="9"/>
      <c r="V1937" s="9"/>
      <c r="W1937" s="9"/>
      <c r="X1937" s="17"/>
      <c r="Y1937" s="13"/>
      <c r="Z1937" s="13"/>
      <c r="AC1937" s="24"/>
      <c r="AD1937" s="23"/>
    </row>
    <row r="1938" spans="4:30" x14ac:dyDescent="0.25">
      <c r="D1938" s="3"/>
      <c r="E1938" s="15"/>
      <c r="F1938" s="15"/>
      <c r="G1938" s="15"/>
      <c r="H1938" s="15"/>
      <c r="I1938" s="15"/>
      <c r="J1938" s="9"/>
      <c r="K1938" s="9"/>
      <c r="L1938" s="9"/>
      <c r="M1938" s="9"/>
      <c r="N1938" s="9"/>
      <c r="O1938" s="9"/>
      <c r="P1938" s="9"/>
      <c r="Q1938" s="9"/>
      <c r="R1938" s="9"/>
      <c r="S1938" s="9"/>
      <c r="T1938" s="9"/>
      <c r="U1938" s="9"/>
      <c r="V1938" s="9"/>
      <c r="W1938" s="9"/>
      <c r="X1938" s="17"/>
      <c r="Y1938" s="13"/>
      <c r="Z1938" s="13"/>
      <c r="AC1938" s="24"/>
      <c r="AD1938" s="23"/>
    </row>
    <row r="1939" spans="4:30" x14ac:dyDescent="0.25">
      <c r="D1939" s="3"/>
      <c r="E1939" s="15"/>
      <c r="F1939" s="15"/>
      <c r="G1939" s="15"/>
      <c r="H1939" s="15"/>
      <c r="I1939" s="15"/>
      <c r="J1939" s="9"/>
      <c r="K1939" s="9"/>
      <c r="L1939" s="9"/>
      <c r="M1939" s="9"/>
      <c r="N1939" s="9"/>
      <c r="O1939" s="9"/>
      <c r="P1939" s="9"/>
      <c r="Q1939" s="9"/>
      <c r="R1939" s="9"/>
      <c r="S1939" s="9"/>
      <c r="T1939" s="9"/>
      <c r="U1939" s="9"/>
      <c r="V1939" s="9"/>
      <c r="W1939" s="9"/>
      <c r="X1939" s="17"/>
      <c r="Y1939" s="13"/>
      <c r="Z1939" s="13"/>
      <c r="AC1939" s="24"/>
      <c r="AD1939" s="23"/>
    </row>
    <row r="1940" spans="4:30" x14ac:dyDescent="0.25">
      <c r="D1940" s="3"/>
      <c r="E1940" s="15"/>
      <c r="F1940" s="15"/>
      <c r="G1940" s="15"/>
      <c r="H1940" s="15"/>
      <c r="I1940" s="15"/>
      <c r="J1940" s="9"/>
      <c r="K1940" s="9"/>
      <c r="L1940" s="9"/>
      <c r="M1940" s="9"/>
      <c r="N1940" s="9"/>
      <c r="O1940" s="9"/>
      <c r="P1940" s="9"/>
      <c r="Q1940" s="9"/>
      <c r="R1940" s="9"/>
      <c r="S1940" s="9"/>
      <c r="T1940" s="9"/>
      <c r="U1940" s="9"/>
      <c r="V1940" s="9"/>
      <c r="W1940" s="9"/>
      <c r="X1940" s="17"/>
      <c r="Y1940" s="13"/>
      <c r="Z1940" s="13"/>
      <c r="AC1940" s="24"/>
      <c r="AD1940" s="23"/>
    </row>
    <row r="1941" spans="4:30" x14ac:dyDescent="0.25">
      <c r="D1941" s="3"/>
      <c r="E1941" s="15"/>
      <c r="F1941" s="15"/>
      <c r="G1941" s="15"/>
      <c r="H1941" s="15"/>
      <c r="I1941" s="15"/>
      <c r="J1941" s="9"/>
      <c r="K1941" s="9"/>
      <c r="L1941" s="9"/>
      <c r="M1941" s="9"/>
      <c r="N1941" s="9"/>
      <c r="O1941" s="9"/>
      <c r="P1941" s="9"/>
      <c r="Q1941" s="9"/>
      <c r="R1941" s="9"/>
      <c r="S1941" s="9"/>
      <c r="T1941" s="9"/>
      <c r="U1941" s="9"/>
      <c r="V1941" s="9"/>
      <c r="W1941" s="9"/>
      <c r="X1941" s="17"/>
      <c r="Y1941" s="13"/>
      <c r="Z1941" s="13"/>
      <c r="AC1941" s="24"/>
      <c r="AD1941" s="23"/>
    </row>
    <row r="1942" spans="4:30" x14ac:dyDescent="0.25">
      <c r="D1942" s="3"/>
      <c r="E1942" s="15"/>
      <c r="F1942" s="15"/>
      <c r="G1942" s="15"/>
      <c r="H1942" s="15"/>
      <c r="I1942" s="15"/>
      <c r="J1942" s="9"/>
      <c r="K1942" s="9"/>
      <c r="L1942" s="9"/>
      <c r="M1942" s="9"/>
      <c r="N1942" s="9"/>
      <c r="O1942" s="9"/>
      <c r="P1942" s="9"/>
      <c r="Q1942" s="9"/>
      <c r="R1942" s="9"/>
      <c r="S1942" s="9"/>
      <c r="T1942" s="9"/>
      <c r="U1942" s="9"/>
      <c r="V1942" s="9"/>
      <c r="W1942" s="9"/>
      <c r="X1942" s="17"/>
      <c r="Y1942" s="13"/>
      <c r="Z1942" s="13"/>
      <c r="AC1942" s="24"/>
      <c r="AD1942" s="23"/>
    </row>
    <row r="1943" spans="4:30" x14ac:dyDescent="0.25">
      <c r="D1943" s="3"/>
      <c r="E1943" s="15"/>
      <c r="F1943" s="15"/>
      <c r="G1943" s="15"/>
      <c r="H1943" s="15"/>
      <c r="I1943" s="15"/>
      <c r="J1943" s="9"/>
      <c r="K1943" s="9"/>
      <c r="L1943" s="9"/>
      <c r="M1943" s="9"/>
      <c r="N1943" s="9"/>
      <c r="O1943" s="9"/>
      <c r="P1943" s="9"/>
      <c r="Q1943" s="9"/>
      <c r="R1943" s="9"/>
      <c r="S1943" s="9"/>
      <c r="T1943" s="9"/>
      <c r="U1943" s="9"/>
      <c r="V1943" s="9"/>
      <c r="W1943" s="9"/>
      <c r="X1943" s="17"/>
      <c r="Y1943" s="13"/>
      <c r="Z1943" s="13"/>
      <c r="AC1943" s="24"/>
      <c r="AD1943" s="23"/>
    </row>
    <row r="1944" spans="4:30" x14ac:dyDescent="0.25">
      <c r="D1944" s="3"/>
      <c r="E1944" s="15"/>
      <c r="F1944" s="15"/>
      <c r="G1944" s="15"/>
      <c r="H1944" s="15"/>
      <c r="I1944" s="15"/>
      <c r="J1944" s="9"/>
      <c r="K1944" s="9"/>
      <c r="L1944" s="9"/>
      <c r="M1944" s="9"/>
      <c r="N1944" s="9"/>
      <c r="O1944" s="9"/>
      <c r="P1944" s="9"/>
      <c r="Q1944" s="9"/>
      <c r="R1944" s="9"/>
      <c r="S1944" s="9"/>
      <c r="T1944" s="9"/>
      <c r="U1944" s="9"/>
      <c r="V1944" s="9"/>
      <c r="W1944" s="9"/>
      <c r="X1944" s="17"/>
      <c r="Y1944" s="13"/>
      <c r="Z1944" s="13"/>
      <c r="AC1944" s="24"/>
      <c r="AD1944" s="23"/>
    </row>
    <row r="1945" spans="4:30" x14ac:dyDescent="0.25">
      <c r="D1945" s="3"/>
      <c r="E1945" s="15"/>
      <c r="F1945" s="15"/>
      <c r="G1945" s="15"/>
      <c r="H1945" s="15"/>
      <c r="I1945" s="15"/>
      <c r="J1945" s="9"/>
      <c r="K1945" s="9"/>
      <c r="L1945" s="9"/>
      <c r="M1945" s="9"/>
      <c r="N1945" s="9"/>
      <c r="O1945" s="9"/>
      <c r="P1945" s="9"/>
      <c r="Q1945" s="9"/>
      <c r="R1945" s="9"/>
      <c r="S1945" s="9"/>
      <c r="T1945" s="9"/>
      <c r="U1945" s="9"/>
      <c r="V1945" s="9"/>
      <c r="W1945" s="9"/>
      <c r="X1945" s="17"/>
      <c r="Y1945" s="13"/>
      <c r="Z1945" s="13"/>
      <c r="AC1945" s="24"/>
      <c r="AD1945" s="23"/>
    </row>
    <row r="1946" spans="4:30" x14ac:dyDescent="0.25">
      <c r="D1946" s="3"/>
      <c r="E1946" s="15"/>
      <c r="F1946" s="15"/>
      <c r="G1946" s="15"/>
      <c r="H1946" s="15"/>
      <c r="I1946" s="15"/>
      <c r="J1946" s="9"/>
      <c r="K1946" s="9"/>
      <c r="L1946" s="9"/>
      <c r="M1946" s="9"/>
      <c r="N1946" s="9"/>
      <c r="O1946" s="9"/>
      <c r="P1946" s="9"/>
      <c r="Q1946" s="9"/>
      <c r="R1946" s="9"/>
      <c r="S1946" s="9"/>
      <c r="T1946" s="9"/>
      <c r="U1946" s="9"/>
      <c r="V1946" s="9"/>
      <c r="W1946" s="9"/>
      <c r="X1946" s="17"/>
      <c r="Y1946" s="13"/>
      <c r="Z1946" s="13"/>
      <c r="AC1946" s="24"/>
      <c r="AD1946" s="23"/>
    </row>
    <row r="1947" spans="4:30" x14ac:dyDescent="0.25">
      <c r="D1947" s="3"/>
      <c r="E1947" s="15"/>
      <c r="F1947" s="15"/>
      <c r="G1947" s="15"/>
      <c r="H1947" s="15"/>
      <c r="I1947" s="15"/>
      <c r="J1947" s="9"/>
      <c r="K1947" s="9"/>
      <c r="L1947" s="9"/>
      <c r="M1947" s="9"/>
      <c r="N1947" s="9"/>
      <c r="O1947" s="9"/>
      <c r="P1947" s="9"/>
      <c r="Q1947" s="9"/>
      <c r="R1947" s="9"/>
      <c r="S1947" s="9"/>
      <c r="T1947" s="9"/>
      <c r="U1947" s="9"/>
      <c r="V1947" s="9"/>
      <c r="W1947" s="9"/>
      <c r="X1947" s="17"/>
      <c r="Y1947" s="13"/>
      <c r="Z1947" s="13"/>
      <c r="AC1947" s="24"/>
      <c r="AD1947" s="23"/>
    </row>
    <row r="1948" spans="4:30" x14ac:dyDescent="0.25">
      <c r="D1948" s="3"/>
      <c r="E1948" s="15"/>
      <c r="F1948" s="15"/>
      <c r="G1948" s="15"/>
      <c r="H1948" s="15"/>
      <c r="I1948" s="15"/>
      <c r="J1948" s="9"/>
      <c r="K1948" s="9"/>
      <c r="L1948" s="9"/>
      <c r="M1948" s="9"/>
      <c r="N1948" s="9"/>
      <c r="O1948" s="9"/>
      <c r="P1948" s="9"/>
      <c r="Q1948" s="9"/>
      <c r="R1948" s="9"/>
      <c r="S1948" s="9"/>
      <c r="T1948" s="9"/>
      <c r="U1948" s="9"/>
      <c r="V1948" s="9"/>
      <c r="W1948" s="9"/>
      <c r="X1948" s="17"/>
      <c r="Y1948" s="13"/>
      <c r="Z1948" s="13"/>
      <c r="AC1948" s="24"/>
      <c r="AD1948" s="23"/>
    </row>
    <row r="1949" spans="4:30" x14ac:dyDescent="0.25">
      <c r="D1949" s="3"/>
      <c r="E1949" s="15"/>
      <c r="F1949" s="15"/>
      <c r="G1949" s="15"/>
      <c r="H1949" s="15"/>
      <c r="I1949" s="15"/>
      <c r="J1949" s="9"/>
      <c r="K1949" s="9"/>
      <c r="L1949" s="9"/>
      <c r="M1949" s="9"/>
      <c r="N1949" s="9"/>
      <c r="O1949" s="9"/>
      <c r="P1949" s="9"/>
      <c r="Q1949" s="9"/>
      <c r="R1949" s="9"/>
      <c r="S1949" s="9"/>
      <c r="T1949" s="9"/>
      <c r="U1949" s="9"/>
      <c r="V1949" s="9"/>
      <c r="W1949" s="9"/>
      <c r="X1949" s="17"/>
      <c r="Y1949" s="13"/>
      <c r="Z1949" s="13"/>
      <c r="AC1949" s="24"/>
      <c r="AD1949" s="23"/>
    </row>
    <row r="1950" spans="4:30" x14ac:dyDescent="0.25">
      <c r="D1950" s="3"/>
      <c r="E1950" s="15"/>
      <c r="F1950" s="15"/>
      <c r="G1950" s="15"/>
      <c r="H1950" s="15"/>
      <c r="I1950" s="15"/>
      <c r="J1950" s="9"/>
      <c r="K1950" s="9"/>
      <c r="L1950" s="9"/>
      <c r="M1950" s="9"/>
      <c r="N1950" s="9"/>
      <c r="O1950" s="9"/>
      <c r="P1950" s="9"/>
      <c r="Q1950" s="9"/>
      <c r="R1950" s="9"/>
      <c r="S1950" s="9"/>
      <c r="T1950" s="9"/>
      <c r="U1950" s="9"/>
      <c r="V1950" s="9"/>
      <c r="W1950" s="9"/>
      <c r="X1950" s="17"/>
      <c r="Y1950" s="13"/>
      <c r="Z1950" s="13"/>
      <c r="AC1950" s="24"/>
      <c r="AD1950" s="23"/>
    </row>
    <row r="1951" spans="4:30" x14ac:dyDescent="0.25">
      <c r="D1951" s="3"/>
      <c r="E1951" s="15"/>
      <c r="F1951" s="15"/>
      <c r="G1951" s="15"/>
      <c r="H1951" s="15"/>
      <c r="I1951" s="15"/>
      <c r="J1951" s="9"/>
      <c r="K1951" s="9"/>
      <c r="L1951" s="9"/>
      <c r="M1951" s="9"/>
      <c r="N1951" s="9"/>
      <c r="O1951" s="9"/>
      <c r="P1951" s="9"/>
      <c r="Q1951" s="9"/>
      <c r="R1951" s="9"/>
      <c r="S1951" s="9"/>
      <c r="T1951" s="9"/>
      <c r="U1951" s="9"/>
      <c r="V1951" s="9"/>
      <c r="W1951" s="9"/>
      <c r="X1951" s="17"/>
      <c r="Y1951" s="13"/>
      <c r="Z1951" s="13"/>
      <c r="AC1951" s="24"/>
      <c r="AD1951" s="23"/>
    </row>
    <row r="1952" spans="4:30" x14ac:dyDescent="0.25">
      <c r="D1952" s="3"/>
      <c r="E1952" s="15"/>
      <c r="F1952" s="15"/>
      <c r="G1952" s="15"/>
      <c r="H1952" s="15"/>
      <c r="I1952" s="15"/>
      <c r="J1952" s="9"/>
      <c r="K1952" s="9"/>
      <c r="L1952" s="9"/>
      <c r="M1952" s="9"/>
      <c r="N1952" s="9"/>
      <c r="O1952" s="9"/>
      <c r="P1952" s="9"/>
      <c r="Q1952" s="9"/>
      <c r="R1952" s="9"/>
      <c r="S1952" s="9"/>
      <c r="T1952" s="9"/>
      <c r="U1952" s="9"/>
      <c r="V1952" s="9"/>
      <c r="W1952" s="9"/>
      <c r="X1952" s="17"/>
      <c r="Y1952" s="13"/>
      <c r="Z1952" s="13"/>
      <c r="AC1952" s="24"/>
      <c r="AD1952" s="23"/>
    </row>
    <row r="1953" spans="4:30" x14ac:dyDescent="0.25">
      <c r="D1953" s="3"/>
      <c r="E1953" s="15"/>
      <c r="F1953" s="15"/>
      <c r="G1953" s="15"/>
      <c r="H1953" s="15"/>
      <c r="I1953" s="15"/>
      <c r="J1953" s="9"/>
      <c r="K1953" s="9"/>
      <c r="L1953" s="9"/>
      <c r="M1953" s="9"/>
      <c r="N1953" s="9"/>
      <c r="O1953" s="9"/>
      <c r="P1953" s="9"/>
      <c r="Q1953" s="9"/>
      <c r="R1953" s="9"/>
      <c r="S1953" s="9"/>
      <c r="T1953" s="9"/>
      <c r="U1953" s="9"/>
      <c r="V1953" s="9"/>
      <c r="W1953" s="9"/>
      <c r="X1953" s="17"/>
      <c r="Y1953" s="13"/>
      <c r="Z1953" s="13"/>
      <c r="AC1953" s="24"/>
      <c r="AD1953" s="23"/>
    </row>
    <row r="1954" spans="4:30" x14ac:dyDescent="0.25">
      <c r="D1954" s="3"/>
      <c r="E1954" s="15"/>
      <c r="F1954" s="15"/>
      <c r="G1954" s="15"/>
      <c r="H1954" s="15"/>
      <c r="I1954" s="15"/>
      <c r="J1954" s="9"/>
      <c r="K1954" s="9"/>
      <c r="L1954" s="9"/>
      <c r="M1954" s="9"/>
      <c r="N1954" s="9"/>
      <c r="O1954" s="9"/>
      <c r="P1954" s="9"/>
      <c r="Q1954" s="9"/>
      <c r="R1954" s="9"/>
      <c r="S1954" s="9"/>
      <c r="T1954" s="9"/>
      <c r="U1954" s="9"/>
      <c r="V1954" s="9"/>
      <c r="W1954" s="9"/>
      <c r="X1954" s="17"/>
      <c r="Y1954" s="13"/>
      <c r="Z1954" s="13"/>
      <c r="AC1954" s="24"/>
      <c r="AD1954" s="23"/>
    </row>
    <row r="1955" spans="4:30" x14ac:dyDescent="0.25">
      <c r="D1955" s="3"/>
      <c r="E1955" s="15"/>
      <c r="F1955" s="15"/>
      <c r="G1955" s="15"/>
      <c r="H1955" s="15"/>
      <c r="I1955" s="15"/>
      <c r="J1955" s="9"/>
      <c r="K1955" s="9"/>
      <c r="L1955" s="9"/>
      <c r="M1955" s="9"/>
      <c r="N1955" s="9"/>
      <c r="O1955" s="9"/>
      <c r="P1955" s="9"/>
      <c r="Q1955" s="9"/>
      <c r="R1955" s="9"/>
      <c r="S1955" s="9"/>
      <c r="T1955" s="9"/>
      <c r="U1955" s="9"/>
      <c r="V1955" s="9"/>
      <c r="W1955" s="9"/>
      <c r="X1955" s="17"/>
      <c r="Y1955" s="13"/>
      <c r="Z1955" s="13"/>
      <c r="AC1955" s="24"/>
      <c r="AD1955" s="23"/>
    </row>
    <row r="1956" spans="4:30" x14ac:dyDescent="0.25">
      <c r="D1956" s="3"/>
      <c r="E1956" s="15"/>
      <c r="F1956" s="15"/>
      <c r="G1956" s="15"/>
      <c r="H1956" s="15"/>
      <c r="I1956" s="15"/>
      <c r="J1956" s="9"/>
      <c r="K1956" s="9"/>
      <c r="L1956" s="9"/>
      <c r="M1956" s="9"/>
      <c r="N1956" s="9"/>
      <c r="O1956" s="9"/>
      <c r="P1956" s="9"/>
      <c r="Q1956" s="9"/>
      <c r="R1956" s="9"/>
      <c r="S1956" s="9"/>
      <c r="T1956" s="9"/>
      <c r="U1956" s="9"/>
      <c r="V1956" s="9"/>
      <c r="W1956" s="9"/>
      <c r="X1956" s="17"/>
      <c r="Y1956" s="13"/>
      <c r="Z1956" s="13"/>
      <c r="AC1956" s="24"/>
      <c r="AD1956" s="23"/>
    </row>
    <row r="1957" spans="4:30" x14ac:dyDescent="0.25">
      <c r="D1957" s="3"/>
      <c r="E1957" s="15"/>
      <c r="F1957" s="15"/>
      <c r="G1957" s="15"/>
      <c r="H1957" s="15"/>
      <c r="I1957" s="15"/>
      <c r="J1957" s="9"/>
      <c r="K1957" s="9"/>
      <c r="L1957" s="9"/>
      <c r="M1957" s="9"/>
      <c r="N1957" s="9"/>
      <c r="O1957" s="9"/>
      <c r="P1957" s="9"/>
      <c r="Q1957" s="9"/>
      <c r="R1957" s="9"/>
      <c r="S1957" s="9"/>
      <c r="T1957" s="9"/>
      <c r="U1957" s="9"/>
      <c r="V1957" s="9"/>
      <c r="W1957" s="9"/>
      <c r="X1957" s="17"/>
      <c r="Y1957" s="13"/>
      <c r="Z1957" s="13"/>
      <c r="AC1957" s="24"/>
      <c r="AD1957" s="23"/>
    </row>
    <row r="1958" spans="4:30" x14ac:dyDescent="0.25">
      <c r="D1958" s="3"/>
      <c r="E1958" s="15"/>
      <c r="F1958" s="15"/>
      <c r="G1958" s="15"/>
      <c r="H1958" s="15"/>
      <c r="I1958" s="15"/>
      <c r="J1958" s="9"/>
      <c r="K1958" s="9"/>
      <c r="L1958" s="9"/>
      <c r="M1958" s="9"/>
      <c r="N1958" s="9"/>
      <c r="O1958" s="9"/>
      <c r="P1958" s="9"/>
      <c r="Q1958" s="9"/>
      <c r="R1958" s="9"/>
      <c r="S1958" s="9"/>
      <c r="T1958" s="9"/>
      <c r="U1958" s="9"/>
      <c r="V1958" s="9"/>
      <c r="W1958" s="9"/>
      <c r="X1958" s="17"/>
      <c r="Y1958" s="13"/>
      <c r="Z1958" s="13"/>
      <c r="AC1958" s="24"/>
      <c r="AD1958" s="23"/>
    </row>
    <row r="1959" spans="4:30" x14ac:dyDescent="0.25">
      <c r="D1959" s="3"/>
      <c r="E1959" s="15"/>
      <c r="F1959" s="15"/>
      <c r="G1959" s="15"/>
      <c r="H1959" s="15"/>
      <c r="I1959" s="15"/>
      <c r="J1959" s="9"/>
      <c r="K1959" s="9"/>
      <c r="L1959" s="9"/>
      <c r="M1959" s="9"/>
      <c r="N1959" s="9"/>
      <c r="O1959" s="9"/>
      <c r="P1959" s="9"/>
      <c r="Q1959" s="9"/>
      <c r="R1959" s="9"/>
      <c r="S1959" s="9"/>
      <c r="T1959" s="9"/>
      <c r="U1959" s="9"/>
      <c r="V1959" s="9"/>
      <c r="W1959" s="9"/>
      <c r="X1959" s="17"/>
      <c r="Y1959" s="13"/>
      <c r="Z1959" s="13"/>
      <c r="AC1959" s="24"/>
      <c r="AD1959" s="23"/>
    </row>
    <row r="1960" spans="4:30" x14ac:dyDescent="0.25">
      <c r="D1960" s="3"/>
      <c r="E1960" s="15"/>
      <c r="F1960" s="15"/>
      <c r="G1960" s="15"/>
      <c r="H1960" s="15"/>
      <c r="I1960" s="15"/>
      <c r="J1960" s="9"/>
      <c r="K1960" s="9"/>
      <c r="L1960" s="9"/>
      <c r="M1960" s="9"/>
      <c r="N1960" s="9"/>
      <c r="O1960" s="9"/>
      <c r="P1960" s="9"/>
      <c r="Q1960" s="9"/>
      <c r="R1960" s="9"/>
      <c r="S1960" s="9"/>
      <c r="T1960" s="9"/>
      <c r="U1960" s="9"/>
      <c r="V1960" s="9"/>
      <c r="W1960" s="9"/>
      <c r="X1960" s="17"/>
      <c r="Y1960" s="13"/>
      <c r="Z1960" s="13"/>
      <c r="AC1960" s="24"/>
      <c r="AD1960" s="23"/>
    </row>
    <row r="1961" spans="4:30" x14ac:dyDescent="0.25">
      <c r="D1961" s="3"/>
      <c r="E1961" s="15"/>
      <c r="F1961" s="15"/>
      <c r="G1961" s="15"/>
      <c r="H1961" s="15"/>
      <c r="I1961" s="15"/>
      <c r="J1961" s="9"/>
      <c r="K1961" s="9"/>
      <c r="L1961" s="9"/>
      <c r="M1961" s="9"/>
      <c r="N1961" s="9"/>
      <c r="O1961" s="9"/>
      <c r="P1961" s="9"/>
      <c r="Q1961" s="9"/>
      <c r="R1961" s="9"/>
      <c r="S1961" s="9"/>
      <c r="T1961" s="9"/>
      <c r="U1961" s="9"/>
      <c r="V1961" s="9"/>
      <c r="W1961" s="9"/>
      <c r="X1961" s="17"/>
      <c r="Y1961" s="13"/>
      <c r="Z1961" s="13"/>
      <c r="AC1961" s="24"/>
      <c r="AD1961" s="23"/>
    </row>
    <row r="1962" spans="4:30" x14ac:dyDescent="0.25">
      <c r="D1962" s="3"/>
      <c r="E1962" s="15"/>
      <c r="F1962" s="15"/>
      <c r="G1962" s="15"/>
      <c r="H1962" s="15"/>
      <c r="I1962" s="15"/>
      <c r="J1962" s="9"/>
      <c r="K1962" s="9"/>
      <c r="L1962" s="9"/>
      <c r="M1962" s="9"/>
      <c r="N1962" s="9"/>
      <c r="O1962" s="9"/>
      <c r="P1962" s="9"/>
      <c r="Q1962" s="9"/>
      <c r="R1962" s="9"/>
      <c r="S1962" s="9"/>
      <c r="T1962" s="9"/>
      <c r="U1962" s="9"/>
      <c r="V1962" s="9"/>
      <c r="W1962" s="9"/>
      <c r="X1962" s="17"/>
      <c r="Y1962" s="13"/>
      <c r="Z1962" s="13"/>
      <c r="AC1962" s="24"/>
      <c r="AD1962" s="23"/>
    </row>
    <row r="1963" spans="4:30" x14ac:dyDescent="0.25">
      <c r="D1963" s="3"/>
      <c r="E1963" s="15"/>
      <c r="F1963" s="15"/>
      <c r="G1963" s="15"/>
      <c r="H1963" s="15"/>
      <c r="I1963" s="15"/>
      <c r="J1963" s="9"/>
      <c r="K1963" s="9"/>
      <c r="L1963" s="9"/>
      <c r="M1963" s="9"/>
      <c r="N1963" s="9"/>
      <c r="O1963" s="9"/>
      <c r="P1963" s="9"/>
      <c r="Q1963" s="9"/>
      <c r="R1963" s="9"/>
      <c r="S1963" s="9"/>
      <c r="T1963" s="9"/>
      <c r="U1963" s="9"/>
      <c r="V1963" s="9"/>
      <c r="W1963" s="9"/>
      <c r="X1963" s="17"/>
      <c r="Y1963" s="13"/>
      <c r="Z1963" s="13"/>
      <c r="AC1963" s="24"/>
      <c r="AD1963" s="23"/>
    </row>
    <row r="1964" spans="4:30" x14ac:dyDescent="0.25">
      <c r="D1964" s="3"/>
      <c r="E1964" s="15"/>
      <c r="F1964" s="15"/>
      <c r="G1964" s="15"/>
      <c r="H1964" s="15"/>
      <c r="I1964" s="15"/>
      <c r="J1964" s="9"/>
      <c r="K1964" s="9"/>
      <c r="L1964" s="9"/>
      <c r="M1964" s="9"/>
      <c r="N1964" s="9"/>
      <c r="O1964" s="9"/>
      <c r="P1964" s="9"/>
      <c r="Q1964" s="9"/>
      <c r="R1964" s="9"/>
      <c r="S1964" s="9"/>
      <c r="T1964" s="9"/>
      <c r="U1964" s="9"/>
      <c r="V1964" s="9"/>
      <c r="W1964" s="9"/>
      <c r="X1964" s="17"/>
      <c r="Y1964" s="13"/>
      <c r="Z1964" s="13"/>
      <c r="AC1964" s="24"/>
      <c r="AD1964" s="23"/>
    </row>
    <row r="1965" spans="4:30" x14ac:dyDescent="0.25">
      <c r="D1965" s="3"/>
      <c r="E1965" s="15"/>
      <c r="F1965" s="15"/>
      <c r="G1965" s="15"/>
      <c r="H1965" s="15"/>
      <c r="I1965" s="15"/>
      <c r="J1965" s="9"/>
      <c r="K1965" s="9"/>
      <c r="L1965" s="9"/>
      <c r="M1965" s="9"/>
      <c r="N1965" s="9"/>
      <c r="O1965" s="9"/>
      <c r="P1965" s="9"/>
      <c r="Q1965" s="9"/>
      <c r="R1965" s="9"/>
      <c r="S1965" s="9"/>
      <c r="T1965" s="9"/>
      <c r="U1965" s="9"/>
      <c r="V1965" s="9"/>
      <c r="W1965" s="9"/>
      <c r="X1965" s="17"/>
      <c r="Y1965" s="13"/>
      <c r="Z1965" s="13"/>
      <c r="AC1965" s="24"/>
      <c r="AD1965" s="23"/>
    </row>
    <row r="1966" spans="4:30" x14ac:dyDescent="0.25">
      <c r="D1966" s="3"/>
      <c r="E1966" s="15"/>
      <c r="F1966" s="15"/>
      <c r="G1966" s="15"/>
      <c r="H1966" s="15"/>
      <c r="I1966" s="15"/>
      <c r="J1966" s="9"/>
      <c r="K1966" s="9"/>
      <c r="L1966" s="9"/>
      <c r="M1966" s="9"/>
      <c r="N1966" s="9"/>
      <c r="O1966" s="9"/>
      <c r="P1966" s="9"/>
      <c r="Q1966" s="9"/>
      <c r="R1966" s="9"/>
      <c r="S1966" s="9"/>
      <c r="T1966" s="9"/>
      <c r="U1966" s="9"/>
      <c r="V1966" s="9"/>
      <c r="W1966" s="9"/>
      <c r="X1966" s="17"/>
      <c r="Y1966" s="13"/>
      <c r="Z1966" s="13"/>
      <c r="AC1966" s="24"/>
      <c r="AD1966" s="23"/>
    </row>
    <row r="1967" spans="4:30" x14ac:dyDescent="0.25">
      <c r="D1967" s="3"/>
      <c r="E1967" s="15"/>
      <c r="F1967" s="15"/>
      <c r="G1967" s="15"/>
      <c r="H1967" s="15"/>
      <c r="I1967" s="15"/>
      <c r="J1967" s="9"/>
      <c r="K1967" s="9"/>
      <c r="L1967" s="9"/>
      <c r="M1967" s="9"/>
      <c r="N1967" s="9"/>
      <c r="O1967" s="9"/>
      <c r="P1967" s="9"/>
      <c r="Q1967" s="9"/>
      <c r="R1967" s="9"/>
      <c r="S1967" s="9"/>
      <c r="T1967" s="9"/>
      <c r="U1967" s="9"/>
      <c r="V1967" s="9"/>
      <c r="W1967" s="9"/>
      <c r="X1967" s="17"/>
      <c r="Y1967" s="13"/>
      <c r="Z1967" s="13"/>
      <c r="AC1967" s="24"/>
      <c r="AD1967" s="23"/>
    </row>
    <row r="1968" spans="4:30" x14ac:dyDescent="0.25">
      <c r="D1968" s="3"/>
      <c r="E1968" s="15"/>
      <c r="F1968" s="15"/>
      <c r="G1968" s="15"/>
      <c r="H1968" s="15"/>
      <c r="I1968" s="15"/>
      <c r="J1968" s="9"/>
      <c r="K1968" s="9"/>
      <c r="L1968" s="9"/>
      <c r="M1968" s="9"/>
      <c r="N1968" s="9"/>
      <c r="O1968" s="9"/>
      <c r="P1968" s="9"/>
      <c r="Q1968" s="9"/>
      <c r="R1968" s="9"/>
      <c r="S1968" s="9"/>
      <c r="T1968" s="9"/>
      <c r="U1968" s="9"/>
      <c r="V1968" s="9"/>
      <c r="W1968" s="9"/>
      <c r="X1968" s="17"/>
      <c r="Y1968" s="13"/>
      <c r="Z1968" s="13"/>
      <c r="AC1968" s="24"/>
      <c r="AD1968" s="23"/>
    </row>
    <row r="1969" spans="4:30" x14ac:dyDescent="0.25">
      <c r="D1969" s="3"/>
      <c r="E1969" s="15"/>
      <c r="F1969" s="15"/>
      <c r="G1969" s="15"/>
      <c r="H1969" s="15"/>
      <c r="I1969" s="15"/>
      <c r="J1969" s="9"/>
      <c r="K1969" s="9"/>
      <c r="L1969" s="9"/>
      <c r="M1969" s="9"/>
      <c r="N1969" s="9"/>
      <c r="O1969" s="9"/>
      <c r="P1969" s="9"/>
      <c r="Q1969" s="9"/>
      <c r="R1969" s="9"/>
      <c r="S1969" s="9"/>
      <c r="T1969" s="9"/>
      <c r="U1969" s="9"/>
      <c r="V1969" s="9"/>
      <c r="W1969" s="9"/>
      <c r="X1969" s="17"/>
      <c r="Y1969" s="13"/>
      <c r="Z1969" s="13"/>
      <c r="AC1969" s="24"/>
      <c r="AD1969" s="23"/>
    </row>
    <row r="1970" spans="4:30" x14ac:dyDescent="0.25">
      <c r="D1970" s="3"/>
      <c r="E1970" s="15"/>
      <c r="F1970" s="15"/>
      <c r="G1970" s="15"/>
      <c r="H1970" s="15"/>
      <c r="I1970" s="15"/>
      <c r="J1970" s="9"/>
      <c r="K1970" s="9"/>
      <c r="L1970" s="9"/>
      <c r="M1970" s="9"/>
      <c r="N1970" s="9"/>
      <c r="O1970" s="9"/>
      <c r="P1970" s="9"/>
      <c r="Q1970" s="9"/>
      <c r="R1970" s="9"/>
      <c r="S1970" s="9"/>
      <c r="T1970" s="9"/>
      <c r="U1970" s="9"/>
      <c r="V1970" s="9"/>
      <c r="W1970" s="9"/>
      <c r="X1970" s="17"/>
      <c r="Y1970" s="13"/>
      <c r="Z1970" s="13"/>
      <c r="AC1970" s="24"/>
      <c r="AD1970" s="23"/>
    </row>
    <row r="1971" spans="4:30" x14ac:dyDescent="0.25">
      <c r="D1971" s="3"/>
      <c r="E1971" s="15"/>
      <c r="F1971" s="15"/>
      <c r="G1971" s="15"/>
      <c r="H1971" s="15"/>
      <c r="I1971" s="15"/>
      <c r="J1971" s="9"/>
      <c r="K1971" s="9"/>
      <c r="L1971" s="9"/>
      <c r="M1971" s="9"/>
      <c r="N1971" s="9"/>
      <c r="O1971" s="9"/>
      <c r="P1971" s="9"/>
      <c r="Q1971" s="9"/>
      <c r="R1971" s="9"/>
      <c r="S1971" s="9"/>
      <c r="T1971" s="9"/>
      <c r="U1971" s="9"/>
      <c r="V1971" s="9"/>
      <c r="W1971" s="9"/>
      <c r="X1971" s="17"/>
      <c r="Y1971" s="13"/>
      <c r="Z1971" s="13"/>
      <c r="AC1971" s="24"/>
      <c r="AD1971" s="23"/>
    </row>
    <row r="1972" spans="4:30" x14ac:dyDescent="0.25">
      <c r="D1972" s="3"/>
      <c r="E1972" s="15"/>
      <c r="F1972" s="15"/>
      <c r="G1972" s="15"/>
      <c r="H1972" s="15"/>
      <c r="I1972" s="15"/>
      <c r="J1972" s="9"/>
      <c r="K1972" s="9"/>
      <c r="L1972" s="9"/>
      <c r="M1972" s="9"/>
      <c r="N1972" s="9"/>
      <c r="O1972" s="9"/>
      <c r="P1972" s="9"/>
      <c r="Q1972" s="9"/>
      <c r="R1972" s="9"/>
      <c r="S1972" s="9"/>
      <c r="T1972" s="9"/>
      <c r="U1972" s="9"/>
      <c r="V1972" s="9"/>
      <c r="W1972" s="9"/>
      <c r="X1972" s="17"/>
      <c r="Y1972" s="13"/>
      <c r="Z1972" s="13"/>
      <c r="AC1972" s="24"/>
      <c r="AD1972" s="23"/>
    </row>
    <row r="1973" spans="4:30" x14ac:dyDescent="0.25">
      <c r="D1973" s="3"/>
      <c r="E1973" s="15"/>
      <c r="F1973" s="15"/>
      <c r="G1973" s="15"/>
      <c r="H1973" s="15"/>
      <c r="I1973" s="15"/>
      <c r="J1973" s="9"/>
      <c r="K1973" s="9"/>
      <c r="L1973" s="9"/>
      <c r="M1973" s="9"/>
      <c r="N1973" s="9"/>
      <c r="O1973" s="9"/>
      <c r="P1973" s="9"/>
      <c r="Q1973" s="9"/>
      <c r="R1973" s="9"/>
      <c r="S1973" s="9"/>
      <c r="T1973" s="9"/>
      <c r="U1973" s="9"/>
      <c r="V1973" s="9"/>
      <c r="W1973" s="9"/>
      <c r="X1973" s="17"/>
      <c r="Y1973" s="13"/>
      <c r="Z1973" s="13"/>
      <c r="AC1973" s="24"/>
      <c r="AD1973" s="23"/>
    </row>
    <row r="1974" spans="4:30" x14ac:dyDescent="0.25">
      <c r="D1974" s="3"/>
      <c r="E1974" s="15"/>
      <c r="F1974" s="15"/>
      <c r="G1974" s="15"/>
      <c r="H1974" s="15"/>
      <c r="I1974" s="15"/>
      <c r="J1974" s="9"/>
      <c r="K1974" s="9"/>
      <c r="L1974" s="9"/>
      <c r="M1974" s="9"/>
      <c r="N1974" s="9"/>
      <c r="O1974" s="9"/>
      <c r="P1974" s="9"/>
      <c r="Q1974" s="9"/>
      <c r="R1974" s="9"/>
      <c r="S1974" s="9"/>
      <c r="T1974" s="9"/>
      <c r="U1974" s="9"/>
      <c r="V1974" s="9"/>
      <c r="W1974" s="9"/>
      <c r="X1974" s="17"/>
      <c r="Y1974" s="13"/>
      <c r="Z1974" s="13"/>
      <c r="AC1974" s="24"/>
      <c r="AD1974" s="23"/>
    </row>
    <row r="1975" spans="4:30" x14ac:dyDescent="0.25">
      <c r="D1975" s="3"/>
      <c r="E1975" s="15"/>
      <c r="F1975" s="15"/>
      <c r="G1975" s="15"/>
      <c r="H1975" s="15"/>
      <c r="I1975" s="15"/>
      <c r="J1975" s="9"/>
      <c r="K1975" s="9"/>
      <c r="L1975" s="9"/>
      <c r="M1975" s="9"/>
      <c r="N1975" s="9"/>
      <c r="O1975" s="9"/>
      <c r="P1975" s="9"/>
      <c r="Q1975" s="9"/>
      <c r="R1975" s="9"/>
      <c r="S1975" s="9"/>
      <c r="T1975" s="9"/>
      <c r="U1975" s="9"/>
      <c r="V1975" s="9"/>
      <c r="W1975" s="9"/>
      <c r="X1975" s="17"/>
      <c r="Y1975" s="13"/>
      <c r="Z1975" s="13"/>
      <c r="AC1975" s="24"/>
      <c r="AD1975" s="23"/>
    </row>
    <row r="1976" spans="4:30" x14ac:dyDescent="0.25">
      <c r="D1976" s="3"/>
      <c r="E1976" s="15"/>
      <c r="F1976" s="15"/>
      <c r="G1976" s="15"/>
      <c r="H1976" s="15"/>
      <c r="I1976" s="15"/>
      <c r="J1976" s="9"/>
      <c r="K1976" s="9"/>
      <c r="L1976" s="9"/>
      <c r="M1976" s="9"/>
      <c r="N1976" s="9"/>
      <c r="O1976" s="9"/>
      <c r="P1976" s="9"/>
      <c r="Q1976" s="9"/>
      <c r="R1976" s="9"/>
      <c r="S1976" s="9"/>
      <c r="T1976" s="9"/>
      <c r="U1976" s="9"/>
      <c r="V1976" s="9"/>
      <c r="W1976" s="9"/>
      <c r="X1976" s="17"/>
      <c r="Y1976" s="13"/>
      <c r="Z1976" s="13"/>
      <c r="AC1976" s="24"/>
      <c r="AD1976" s="23"/>
    </row>
    <row r="1977" spans="4:30" x14ac:dyDescent="0.25">
      <c r="D1977" s="3"/>
      <c r="E1977" s="15"/>
      <c r="F1977" s="15"/>
      <c r="G1977" s="15"/>
      <c r="H1977" s="15"/>
      <c r="I1977" s="15"/>
      <c r="J1977" s="9"/>
      <c r="K1977" s="9"/>
      <c r="L1977" s="9"/>
      <c r="M1977" s="9"/>
      <c r="N1977" s="9"/>
      <c r="O1977" s="9"/>
      <c r="P1977" s="9"/>
      <c r="Q1977" s="9"/>
      <c r="R1977" s="9"/>
      <c r="S1977" s="9"/>
      <c r="T1977" s="9"/>
      <c r="U1977" s="9"/>
      <c r="V1977" s="9"/>
      <c r="W1977" s="9"/>
      <c r="X1977" s="17"/>
      <c r="Y1977" s="13"/>
      <c r="Z1977" s="13"/>
      <c r="AC1977" s="24"/>
      <c r="AD1977" s="23"/>
    </row>
    <row r="1978" spans="4:30" x14ac:dyDescent="0.25">
      <c r="D1978" s="3"/>
      <c r="E1978" s="15"/>
      <c r="F1978" s="15"/>
      <c r="G1978" s="15"/>
      <c r="H1978" s="15"/>
      <c r="I1978" s="15"/>
      <c r="J1978" s="9"/>
      <c r="K1978" s="9"/>
      <c r="L1978" s="9"/>
      <c r="M1978" s="9"/>
      <c r="N1978" s="9"/>
      <c r="O1978" s="9"/>
      <c r="P1978" s="9"/>
      <c r="Q1978" s="9"/>
      <c r="R1978" s="9"/>
      <c r="S1978" s="9"/>
      <c r="T1978" s="9"/>
      <c r="U1978" s="9"/>
      <c r="V1978" s="9"/>
      <c r="W1978" s="9"/>
      <c r="X1978" s="17"/>
      <c r="Y1978" s="13"/>
      <c r="Z1978" s="13"/>
      <c r="AC1978" s="24"/>
      <c r="AD1978" s="23"/>
    </row>
    <row r="1979" spans="4:30" x14ac:dyDescent="0.25">
      <c r="D1979" s="3"/>
      <c r="E1979" s="15"/>
      <c r="F1979" s="15"/>
      <c r="G1979" s="15"/>
      <c r="H1979" s="15"/>
      <c r="I1979" s="15"/>
      <c r="J1979" s="9"/>
      <c r="K1979" s="9"/>
      <c r="L1979" s="9"/>
      <c r="M1979" s="9"/>
      <c r="N1979" s="9"/>
      <c r="O1979" s="9"/>
      <c r="P1979" s="9"/>
      <c r="Q1979" s="9"/>
      <c r="R1979" s="9"/>
      <c r="S1979" s="9"/>
      <c r="T1979" s="9"/>
      <c r="U1979" s="9"/>
      <c r="V1979" s="9"/>
      <c r="W1979" s="9"/>
      <c r="X1979" s="17"/>
      <c r="Y1979" s="13"/>
      <c r="Z1979" s="13"/>
      <c r="AC1979" s="24"/>
      <c r="AD1979" s="23"/>
    </row>
    <row r="1980" spans="4:30" x14ac:dyDescent="0.25">
      <c r="D1980" s="3"/>
      <c r="E1980" s="15"/>
      <c r="F1980" s="15"/>
      <c r="G1980" s="15"/>
      <c r="H1980" s="15"/>
      <c r="I1980" s="15"/>
      <c r="J1980" s="9"/>
      <c r="K1980" s="9"/>
      <c r="L1980" s="9"/>
      <c r="M1980" s="9"/>
      <c r="N1980" s="9"/>
      <c r="O1980" s="9"/>
      <c r="P1980" s="9"/>
      <c r="Q1980" s="9"/>
      <c r="R1980" s="9"/>
      <c r="S1980" s="9"/>
      <c r="T1980" s="9"/>
      <c r="U1980" s="9"/>
      <c r="V1980" s="9"/>
      <c r="W1980" s="9"/>
      <c r="X1980" s="17"/>
      <c r="Y1980" s="13"/>
      <c r="Z1980" s="13"/>
      <c r="AC1980" s="24"/>
      <c r="AD1980" s="23"/>
    </row>
    <row r="1981" spans="4:30" x14ac:dyDescent="0.25">
      <c r="D1981" s="3"/>
      <c r="E1981" s="15"/>
      <c r="F1981" s="15"/>
      <c r="G1981" s="15"/>
      <c r="H1981" s="15"/>
      <c r="I1981" s="15"/>
      <c r="J1981" s="9"/>
      <c r="K1981" s="9"/>
      <c r="L1981" s="9"/>
      <c r="M1981" s="9"/>
      <c r="N1981" s="9"/>
      <c r="O1981" s="9"/>
      <c r="P1981" s="9"/>
      <c r="Q1981" s="9"/>
      <c r="R1981" s="9"/>
      <c r="S1981" s="9"/>
      <c r="T1981" s="9"/>
      <c r="U1981" s="9"/>
      <c r="V1981" s="9"/>
      <c r="W1981" s="9"/>
      <c r="X1981" s="17"/>
      <c r="Y1981" s="13"/>
      <c r="Z1981" s="13"/>
      <c r="AC1981" s="24"/>
      <c r="AD1981" s="23"/>
    </row>
    <row r="1982" spans="4:30" x14ac:dyDescent="0.25">
      <c r="D1982" s="3"/>
      <c r="E1982" s="15"/>
      <c r="F1982" s="15"/>
      <c r="G1982" s="15"/>
      <c r="H1982" s="15"/>
      <c r="I1982" s="15"/>
      <c r="J1982" s="9"/>
      <c r="K1982" s="9"/>
      <c r="L1982" s="9"/>
      <c r="M1982" s="9"/>
      <c r="N1982" s="9"/>
      <c r="O1982" s="9"/>
      <c r="P1982" s="9"/>
      <c r="Q1982" s="9"/>
      <c r="R1982" s="9"/>
      <c r="S1982" s="9"/>
      <c r="T1982" s="9"/>
      <c r="U1982" s="9"/>
      <c r="V1982" s="9"/>
      <c r="W1982" s="9"/>
      <c r="X1982" s="17"/>
      <c r="Y1982" s="13"/>
      <c r="Z1982" s="13"/>
      <c r="AC1982" s="24"/>
      <c r="AD1982" s="23"/>
    </row>
    <row r="1983" spans="4:30" x14ac:dyDescent="0.25">
      <c r="D1983" s="3"/>
      <c r="E1983" s="15"/>
      <c r="F1983" s="15"/>
      <c r="G1983" s="15"/>
      <c r="H1983" s="15"/>
      <c r="I1983" s="15"/>
      <c r="J1983" s="9"/>
      <c r="K1983" s="9"/>
      <c r="L1983" s="9"/>
      <c r="M1983" s="9"/>
      <c r="N1983" s="9"/>
      <c r="O1983" s="9"/>
      <c r="P1983" s="9"/>
      <c r="Q1983" s="9"/>
      <c r="R1983" s="9"/>
      <c r="S1983" s="9"/>
      <c r="T1983" s="9"/>
      <c r="U1983" s="9"/>
      <c r="V1983" s="9"/>
      <c r="W1983" s="9"/>
      <c r="X1983" s="17"/>
      <c r="Y1983" s="13"/>
      <c r="Z1983" s="13"/>
      <c r="AC1983" s="24"/>
      <c r="AD1983" s="23"/>
    </row>
    <row r="1984" spans="4:30" x14ac:dyDescent="0.25">
      <c r="D1984" s="3"/>
      <c r="E1984" s="15"/>
      <c r="F1984" s="15"/>
      <c r="G1984" s="15"/>
      <c r="H1984" s="15"/>
      <c r="I1984" s="15"/>
      <c r="J1984" s="9"/>
      <c r="K1984" s="9"/>
      <c r="L1984" s="9"/>
      <c r="M1984" s="9"/>
      <c r="N1984" s="9"/>
      <c r="O1984" s="9"/>
      <c r="P1984" s="9"/>
      <c r="Q1984" s="9"/>
      <c r="R1984" s="9"/>
      <c r="S1984" s="9"/>
      <c r="T1984" s="9"/>
      <c r="U1984" s="9"/>
      <c r="V1984" s="9"/>
      <c r="W1984" s="9"/>
      <c r="X1984" s="17"/>
      <c r="Y1984" s="13"/>
      <c r="Z1984" s="13"/>
      <c r="AC1984" s="24"/>
      <c r="AD1984" s="23"/>
    </row>
    <row r="1985" spans="4:30" x14ac:dyDescent="0.25">
      <c r="D1985" s="3"/>
      <c r="E1985" s="15"/>
      <c r="F1985" s="15"/>
      <c r="G1985" s="15"/>
      <c r="H1985" s="15"/>
      <c r="I1985" s="15"/>
      <c r="J1985" s="9"/>
      <c r="K1985" s="9"/>
      <c r="L1985" s="9"/>
      <c r="M1985" s="9"/>
      <c r="N1985" s="9"/>
      <c r="O1985" s="9"/>
      <c r="P1985" s="9"/>
      <c r="Q1985" s="9"/>
      <c r="R1985" s="9"/>
      <c r="S1985" s="9"/>
      <c r="T1985" s="9"/>
      <c r="U1985" s="9"/>
      <c r="V1985" s="9"/>
      <c r="W1985" s="9"/>
      <c r="X1985" s="17"/>
      <c r="Y1985" s="13"/>
      <c r="Z1985" s="13"/>
      <c r="AC1985" s="24"/>
      <c r="AD1985" s="23"/>
    </row>
    <row r="1986" spans="4:30" x14ac:dyDescent="0.25">
      <c r="D1986" s="3"/>
      <c r="E1986" s="15"/>
      <c r="F1986" s="15"/>
      <c r="G1986" s="15"/>
      <c r="H1986" s="15"/>
      <c r="I1986" s="15"/>
      <c r="J1986" s="9"/>
      <c r="K1986" s="9"/>
      <c r="L1986" s="9"/>
      <c r="M1986" s="9"/>
      <c r="N1986" s="9"/>
      <c r="O1986" s="9"/>
      <c r="P1986" s="9"/>
      <c r="Q1986" s="9"/>
      <c r="R1986" s="9"/>
      <c r="S1986" s="9"/>
      <c r="T1986" s="9"/>
      <c r="U1986" s="9"/>
      <c r="V1986" s="9"/>
      <c r="W1986" s="9"/>
      <c r="X1986" s="17"/>
      <c r="Y1986" s="13"/>
      <c r="Z1986" s="13"/>
      <c r="AC1986" s="24"/>
      <c r="AD1986" s="23"/>
    </row>
    <row r="1987" spans="4:30" x14ac:dyDescent="0.25">
      <c r="D1987" s="3"/>
      <c r="E1987" s="15"/>
      <c r="F1987" s="15"/>
      <c r="G1987" s="15"/>
      <c r="H1987" s="15"/>
      <c r="I1987" s="15"/>
      <c r="J1987" s="9"/>
      <c r="K1987" s="9"/>
      <c r="L1987" s="9"/>
      <c r="M1987" s="9"/>
      <c r="N1987" s="9"/>
      <c r="O1987" s="9"/>
      <c r="P1987" s="9"/>
      <c r="Q1987" s="9"/>
      <c r="R1987" s="9"/>
      <c r="S1987" s="9"/>
      <c r="T1987" s="9"/>
      <c r="U1987" s="9"/>
      <c r="V1987" s="9"/>
      <c r="W1987" s="9"/>
      <c r="X1987" s="17"/>
      <c r="Y1987" s="13"/>
      <c r="Z1987" s="13"/>
      <c r="AC1987" s="24"/>
      <c r="AD1987" s="23"/>
    </row>
    <row r="1988" spans="4:30" x14ac:dyDescent="0.25">
      <c r="D1988" s="3"/>
      <c r="E1988" s="15"/>
      <c r="F1988" s="15"/>
      <c r="G1988" s="15"/>
      <c r="H1988" s="15"/>
      <c r="I1988" s="15"/>
      <c r="J1988" s="9"/>
      <c r="K1988" s="9"/>
      <c r="L1988" s="9"/>
      <c r="M1988" s="9"/>
      <c r="N1988" s="9"/>
      <c r="O1988" s="9"/>
      <c r="P1988" s="9"/>
      <c r="Q1988" s="9"/>
      <c r="R1988" s="9"/>
      <c r="S1988" s="9"/>
      <c r="T1988" s="9"/>
      <c r="U1988" s="9"/>
      <c r="V1988" s="9"/>
      <c r="W1988" s="9"/>
      <c r="X1988" s="17"/>
      <c r="Y1988" s="13"/>
      <c r="Z1988" s="13"/>
      <c r="AC1988" s="24"/>
      <c r="AD1988" s="23"/>
    </row>
    <row r="1989" spans="4:30" x14ac:dyDescent="0.25">
      <c r="D1989" s="3"/>
      <c r="E1989" s="15"/>
      <c r="F1989" s="15"/>
      <c r="G1989" s="15"/>
      <c r="H1989" s="15"/>
      <c r="I1989" s="15"/>
      <c r="J1989" s="9"/>
      <c r="K1989" s="9"/>
      <c r="L1989" s="9"/>
      <c r="M1989" s="9"/>
      <c r="N1989" s="9"/>
      <c r="O1989" s="9"/>
      <c r="P1989" s="9"/>
      <c r="Q1989" s="9"/>
      <c r="R1989" s="9"/>
      <c r="S1989" s="9"/>
      <c r="T1989" s="9"/>
      <c r="U1989" s="9"/>
      <c r="V1989" s="9"/>
      <c r="W1989" s="9"/>
      <c r="X1989" s="17"/>
      <c r="Y1989" s="13"/>
      <c r="Z1989" s="13"/>
      <c r="AC1989" s="24"/>
      <c r="AD1989" s="23"/>
    </row>
    <row r="1990" spans="4:30" x14ac:dyDescent="0.25">
      <c r="D1990" s="3"/>
      <c r="E1990" s="15"/>
      <c r="F1990" s="15"/>
      <c r="G1990" s="15"/>
      <c r="H1990" s="15"/>
      <c r="I1990" s="15"/>
      <c r="J1990" s="9"/>
      <c r="K1990" s="9"/>
      <c r="L1990" s="9"/>
      <c r="M1990" s="9"/>
      <c r="N1990" s="9"/>
      <c r="O1990" s="9"/>
      <c r="P1990" s="9"/>
      <c r="Q1990" s="9"/>
      <c r="R1990" s="9"/>
      <c r="S1990" s="9"/>
      <c r="T1990" s="9"/>
      <c r="U1990" s="9"/>
      <c r="V1990" s="9"/>
      <c r="W1990" s="9"/>
      <c r="X1990" s="17"/>
      <c r="Y1990" s="13"/>
      <c r="Z1990" s="13"/>
      <c r="AC1990" s="24"/>
      <c r="AD1990" s="23"/>
    </row>
    <row r="1991" spans="4:30" x14ac:dyDescent="0.25">
      <c r="D1991" s="3"/>
      <c r="E1991" s="15"/>
      <c r="F1991" s="15"/>
      <c r="G1991" s="15"/>
      <c r="H1991" s="15"/>
      <c r="I1991" s="15"/>
      <c r="J1991" s="9"/>
      <c r="K1991" s="9"/>
      <c r="L1991" s="9"/>
      <c r="M1991" s="9"/>
      <c r="N1991" s="9"/>
      <c r="O1991" s="9"/>
      <c r="P1991" s="9"/>
      <c r="Q1991" s="9"/>
      <c r="R1991" s="9"/>
      <c r="S1991" s="9"/>
      <c r="T1991" s="9"/>
      <c r="U1991" s="9"/>
      <c r="V1991" s="9"/>
      <c r="W1991" s="9"/>
      <c r="X1991" s="17"/>
      <c r="Y1991" s="13"/>
      <c r="Z1991" s="13"/>
      <c r="AC1991" s="24"/>
      <c r="AD1991" s="23"/>
    </row>
    <row r="1992" spans="4:30" x14ac:dyDescent="0.25">
      <c r="D1992" s="3"/>
      <c r="E1992" s="15"/>
      <c r="F1992" s="15"/>
      <c r="G1992" s="15"/>
      <c r="H1992" s="15"/>
      <c r="I1992" s="15"/>
      <c r="J1992" s="9"/>
      <c r="K1992" s="9"/>
      <c r="L1992" s="9"/>
      <c r="M1992" s="9"/>
      <c r="N1992" s="9"/>
      <c r="O1992" s="9"/>
      <c r="P1992" s="9"/>
      <c r="Q1992" s="9"/>
      <c r="R1992" s="9"/>
      <c r="S1992" s="9"/>
      <c r="T1992" s="9"/>
      <c r="U1992" s="9"/>
      <c r="V1992" s="9"/>
      <c r="W1992" s="9"/>
      <c r="X1992" s="17"/>
      <c r="Y1992" s="13"/>
      <c r="Z1992" s="13"/>
      <c r="AC1992" s="24"/>
      <c r="AD1992" s="23"/>
    </row>
    <row r="1993" spans="4:30" x14ac:dyDescent="0.25">
      <c r="D1993" s="3"/>
      <c r="E1993" s="15"/>
      <c r="F1993" s="15"/>
      <c r="G1993" s="15"/>
      <c r="H1993" s="15"/>
      <c r="I1993" s="15"/>
      <c r="J1993" s="9"/>
      <c r="K1993" s="9"/>
      <c r="L1993" s="9"/>
      <c r="M1993" s="9"/>
      <c r="N1993" s="9"/>
      <c r="O1993" s="9"/>
      <c r="P1993" s="9"/>
      <c r="Q1993" s="9"/>
      <c r="R1993" s="9"/>
      <c r="S1993" s="9"/>
      <c r="T1993" s="9"/>
      <c r="U1993" s="9"/>
      <c r="V1993" s="9"/>
      <c r="W1993" s="9"/>
      <c r="X1993" s="17"/>
      <c r="Y1993" s="13"/>
      <c r="Z1993" s="13"/>
      <c r="AC1993" s="24"/>
      <c r="AD1993" s="23"/>
    </row>
    <row r="1994" spans="4:30" x14ac:dyDescent="0.25">
      <c r="D1994" s="3"/>
      <c r="E1994" s="15"/>
      <c r="F1994" s="15"/>
      <c r="G1994" s="15"/>
      <c r="H1994" s="15"/>
      <c r="I1994" s="15"/>
      <c r="J1994" s="9"/>
      <c r="K1994" s="9"/>
      <c r="L1994" s="9"/>
      <c r="M1994" s="9"/>
      <c r="N1994" s="9"/>
      <c r="O1994" s="9"/>
      <c r="P1994" s="9"/>
      <c r="Q1994" s="9"/>
      <c r="R1994" s="9"/>
      <c r="S1994" s="9"/>
      <c r="T1994" s="9"/>
      <c r="U1994" s="9"/>
      <c r="V1994" s="9"/>
      <c r="W1994" s="9"/>
      <c r="X1994" s="17"/>
      <c r="Y1994" s="13"/>
      <c r="Z1994" s="13"/>
      <c r="AC1994" s="24"/>
      <c r="AD1994" s="23"/>
    </row>
    <row r="1995" spans="4:30" x14ac:dyDescent="0.25">
      <c r="D1995" s="3"/>
      <c r="E1995" s="15"/>
      <c r="F1995" s="15"/>
      <c r="G1995" s="15"/>
      <c r="H1995" s="15"/>
      <c r="I1995" s="15"/>
      <c r="J1995" s="9"/>
      <c r="K1995" s="9"/>
      <c r="L1995" s="9"/>
      <c r="M1995" s="9"/>
      <c r="N1995" s="9"/>
      <c r="O1995" s="9"/>
      <c r="P1995" s="9"/>
      <c r="Q1995" s="9"/>
      <c r="R1995" s="9"/>
      <c r="S1995" s="9"/>
      <c r="T1995" s="9"/>
      <c r="U1995" s="9"/>
      <c r="V1995" s="9"/>
      <c r="W1995" s="9"/>
      <c r="X1995" s="17"/>
      <c r="Y1995" s="13"/>
      <c r="Z1995" s="13"/>
      <c r="AC1995" s="24"/>
      <c r="AD1995" s="23"/>
    </row>
    <row r="1996" spans="4:30" x14ac:dyDescent="0.25">
      <c r="D1996" s="3"/>
      <c r="E1996" s="15"/>
      <c r="F1996" s="15"/>
      <c r="G1996" s="15"/>
      <c r="H1996" s="15"/>
      <c r="I1996" s="15"/>
      <c r="J1996" s="9"/>
      <c r="K1996" s="9"/>
      <c r="L1996" s="9"/>
      <c r="M1996" s="9"/>
      <c r="N1996" s="9"/>
      <c r="O1996" s="9"/>
      <c r="P1996" s="9"/>
      <c r="Q1996" s="9"/>
      <c r="R1996" s="9"/>
      <c r="S1996" s="9"/>
      <c r="T1996" s="9"/>
      <c r="U1996" s="9"/>
      <c r="V1996" s="9"/>
      <c r="W1996" s="9"/>
      <c r="X1996" s="17"/>
      <c r="Y1996" s="13"/>
      <c r="Z1996" s="13"/>
      <c r="AC1996" s="24"/>
      <c r="AD1996" s="23"/>
    </row>
    <row r="1997" spans="4:30" x14ac:dyDescent="0.25">
      <c r="D1997" s="3"/>
      <c r="E1997" s="15"/>
      <c r="F1997" s="15"/>
      <c r="G1997" s="15"/>
      <c r="H1997" s="15"/>
      <c r="I1997" s="15"/>
      <c r="J1997" s="9"/>
      <c r="K1997" s="9"/>
      <c r="L1997" s="9"/>
      <c r="M1997" s="9"/>
      <c r="N1997" s="9"/>
      <c r="O1997" s="9"/>
      <c r="P1997" s="9"/>
      <c r="Q1997" s="9"/>
      <c r="R1997" s="9"/>
      <c r="S1997" s="9"/>
      <c r="T1997" s="9"/>
      <c r="U1997" s="9"/>
      <c r="V1997" s="9"/>
      <c r="W1997" s="9"/>
      <c r="X1997" s="17"/>
      <c r="Y1997" s="13"/>
      <c r="Z1997" s="13"/>
      <c r="AC1997" s="24"/>
      <c r="AD1997" s="23"/>
    </row>
    <row r="1998" spans="4:30" x14ac:dyDescent="0.25">
      <c r="D1998" s="3"/>
      <c r="E1998" s="15"/>
      <c r="F1998" s="15"/>
      <c r="G1998" s="15"/>
      <c r="H1998" s="15"/>
      <c r="I1998" s="15"/>
      <c r="J1998" s="9"/>
      <c r="K1998" s="9"/>
      <c r="L1998" s="9"/>
      <c r="M1998" s="9"/>
      <c r="N1998" s="9"/>
      <c r="O1998" s="9"/>
      <c r="P1998" s="9"/>
      <c r="Q1998" s="9"/>
      <c r="R1998" s="9"/>
      <c r="S1998" s="9"/>
      <c r="T1998" s="9"/>
      <c r="U1998" s="9"/>
      <c r="V1998" s="9"/>
      <c r="W1998" s="9"/>
      <c r="X1998" s="17"/>
      <c r="Y1998" s="13"/>
      <c r="Z1998" s="13"/>
      <c r="AC1998" s="24"/>
      <c r="AD1998" s="23"/>
    </row>
    <row r="1999" spans="4:30" x14ac:dyDescent="0.25">
      <c r="D1999" s="3"/>
      <c r="E1999" s="15"/>
      <c r="F1999" s="15"/>
      <c r="G1999" s="15"/>
      <c r="H1999" s="15"/>
      <c r="I1999" s="15"/>
      <c r="J1999" s="9"/>
      <c r="K1999" s="9"/>
      <c r="L1999" s="9"/>
      <c r="M1999" s="9"/>
      <c r="N1999" s="9"/>
      <c r="O1999" s="9"/>
      <c r="P1999" s="9"/>
      <c r="Q1999" s="9"/>
      <c r="R1999" s="9"/>
      <c r="S1999" s="9"/>
      <c r="T1999" s="9"/>
      <c r="U1999" s="9"/>
      <c r="V1999" s="9"/>
      <c r="W1999" s="9"/>
      <c r="X1999" s="17"/>
      <c r="Y1999" s="13"/>
      <c r="Z1999" s="13"/>
      <c r="AC1999" s="24"/>
      <c r="AD1999" s="23"/>
    </row>
    <row r="2000" spans="4:30" x14ac:dyDescent="0.25">
      <c r="D2000" s="3"/>
      <c r="E2000" s="15"/>
      <c r="F2000" s="15"/>
      <c r="G2000" s="15"/>
      <c r="H2000" s="15"/>
      <c r="I2000" s="15"/>
      <c r="J2000" s="9"/>
      <c r="K2000" s="9"/>
      <c r="L2000" s="9"/>
      <c r="M2000" s="9"/>
      <c r="N2000" s="9"/>
      <c r="O2000" s="9"/>
      <c r="P2000" s="9"/>
      <c r="Q2000" s="9"/>
      <c r="R2000" s="9"/>
      <c r="S2000" s="9"/>
      <c r="T2000" s="9"/>
      <c r="U2000" s="9"/>
      <c r="V2000" s="9"/>
      <c r="W2000" s="9"/>
      <c r="X2000" s="17"/>
      <c r="Y2000" s="13"/>
      <c r="Z2000" s="13"/>
      <c r="AC2000" s="24"/>
      <c r="AD2000" s="23"/>
    </row>
    <row r="2001" spans="4:30" x14ac:dyDescent="0.25">
      <c r="D2001" s="3"/>
      <c r="E2001" s="15"/>
      <c r="F2001" s="15"/>
      <c r="G2001" s="15"/>
      <c r="H2001" s="15"/>
      <c r="I2001" s="15"/>
      <c r="J2001" s="9"/>
      <c r="K2001" s="9"/>
      <c r="L2001" s="9"/>
      <c r="M2001" s="9"/>
      <c r="N2001" s="9"/>
      <c r="O2001" s="9"/>
      <c r="P2001" s="9"/>
      <c r="Q2001" s="9"/>
      <c r="R2001" s="9"/>
      <c r="S2001" s="9"/>
      <c r="T2001" s="9"/>
      <c r="U2001" s="9"/>
      <c r="V2001" s="9"/>
      <c r="W2001" s="9"/>
      <c r="X2001" s="17"/>
      <c r="Y2001" s="13"/>
      <c r="Z2001" s="13"/>
      <c r="AC2001" s="24"/>
      <c r="AD2001" s="23"/>
    </row>
    <row r="2002" spans="4:30" x14ac:dyDescent="0.25">
      <c r="D2002" s="3"/>
      <c r="E2002" s="15"/>
      <c r="F2002" s="15"/>
      <c r="G2002" s="15"/>
      <c r="H2002" s="15"/>
      <c r="I2002" s="15"/>
      <c r="J2002" s="9"/>
      <c r="K2002" s="9"/>
      <c r="L2002" s="9"/>
      <c r="M2002" s="9"/>
      <c r="N2002" s="9"/>
      <c r="O2002" s="9"/>
      <c r="P2002" s="9"/>
      <c r="Q2002" s="9"/>
      <c r="R2002" s="9"/>
      <c r="S2002" s="9"/>
      <c r="T2002" s="9"/>
      <c r="U2002" s="9"/>
      <c r="V2002" s="9"/>
      <c r="W2002" s="9"/>
      <c r="X2002" s="17"/>
      <c r="Y2002" s="13"/>
      <c r="Z2002" s="13"/>
      <c r="AC2002" s="24"/>
      <c r="AD2002" s="23"/>
    </row>
    <row r="2003" spans="4:30" x14ac:dyDescent="0.25">
      <c r="D2003" s="3"/>
      <c r="E2003" s="15"/>
      <c r="F2003" s="15"/>
      <c r="G2003" s="15"/>
      <c r="H2003" s="15"/>
      <c r="I2003" s="15"/>
      <c r="J2003" s="9"/>
      <c r="K2003" s="9"/>
      <c r="L2003" s="9"/>
      <c r="M2003" s="9"/>
      <c r="N2003" s="9"/>
      <c r="O2003" s="9"/>
      <c r="P2003" s="9"/>
      <c r="Q2003" s="9"/>
      <c r="R2003" s="9"/>
      <c r="S2003" s="9"/>
      <c r="T2003" s="9"/>
      <c r="U2003" s="9"/>
      <c r="V2003" s="9"/>
      <c r="W2003" s="9"/>
      <c r="X2003" s="17"/>
      <c r="Y2003" s="13"/>
      <c r="Z2003" s="13"/>
      <c r="AC2003" s="24"/>
      <c r="AD2003" s="23"/>
    </row>
    <row r="2004" spans="4:30" x14ac:dyDescent="0.25">
      <c r="D2004" s="3"/>
      <c r="E2004" s="15"/>
      <c r="F2004" s="15"/>
      <c r="G2004" s="15"/>
      <c r="H2004" s="15"/>
      <c r="I2004" s="15"/>
      <c r="J2004" s="9"/>
      <c r="K2004" s="9"/>
      <c r="L2004" s="9"/>
      <c r="M2004" s="9"/>
      <c r="N2004" s="9"/>
      <c r="O2004" s="9"/>
      <c r="P2004" s="9"/>
      <c r="Q2004" s="9"/>
      <c r="R2004" s="9"/>
      <c r="S2004" s="9"/>
      <c r="T2004" s="9"/>
      <c r="U2004" s="9"/>
      <c r="V2004" s="9"/>
      <c r="W2004" s="9"/>
      <c r="X2004" s="17"/>
      <c r="Y2004" s="13"/>
      <c r="Z2004" s="13"/>
      <c r="AC2004" s="24"/>
      <c r="AD2004" s="23"/>
    </row>
    <row r="2005" spans="4:30" x14ac:dyDescent="0.25">
      <c r="D2005" s="3"/>
      <c r="E2005" s="15"/>
      <c r="F2005" s="15"/>
      <c r="G2005" s="15"/>
      <c r="H2005" s="15"/>
      <c r="I2005" s="15"/>
      <c r="J2005" s="9"/>
      <c r="K2005" s="9"/>
      <c r="L2005" s="9"/>
      <c r="M2005" s="9"/>
      <c r="N2005" s="9"/>
      <c r="O2005" s="9"/>
      <c r="P2005" s="9"/>
      <c r="Q2005" s="9"/>
      <c r="R2005" s="9"/>
      <c r="S2005" s="9"/>
      <c r="T2005" s="9"/>
      <c r="U2005" s="9"/>
      <c r="V2005" s="9"/>
      <c r="W2005" s="9"/>
      <c r="X2005" s="17"/>
      <c r="Y2005" s="13"/>
      <c r="Z2005" s="13"/>
      <c r="AC2005" s="24"/>
      <c r="AD2005" s="23"/>
    </row>
    <row r="2006" spans="4:30" x14ac:dyDescent="0.25">
      <c r="D2006" s="3"/>
      <c r="E2006" s="15"/>
      <c r="F2006" s="15"/>
      <c r="G2006" s="15"/>
      <c r="H2006" s="15"/>
      <c r="I2006" s="15"/>
      <c r="J2006" s="9"/>
      <c r="K2006" s="9"/>
      <c r="L2006" s="9"/>
      <c r="M2006" s="9"/>
      <c r="N2006" s="9"/>
      <c r="O2006" s="9"/>
      <c r="P2006" s="9"/>
      <c r="Q2006" s="9"/>
      <c r="R2006" s="9"/>
      <c r="S2006" s="9"/>
      <c r="T2006" s="9"/>
      <c r="U2006" s="9"/>
      <c r="V2006" s="9"/>
      <c r="W2006" s="9"/>
      <c r="X2006" s="17"/>
      <c r="Y2006" s="13"/>
      <c r="Z2006" s="13"/>
      <c r="AC2006" s="24"/>
      <c r="AD2006" s="23"/>
    </row>
    <row r="2007" spans="4:30" x14ac:dyDescent="0.25">
      <c r="D2007" s="3"/>
      <c r="E2007" s="15"/>
      <c r="F2007" s="15"/>
      <c r="G2007" s="15"/>
      <c r="H2007" s="15"/>
      <c r="I2007" s="15"/>
      <c r="J2007" s="9"/>
      <c r="K2007" s="9"/>
      <c r="L2007" s="9"/>
      <c r="M2007" s="9"/>
      <c r="N2007" s="9"/>
      <c r="O2007" s="9"/>
      <c r="P2007" s="9"/>
      <c r="Q2007" s="9"/>
      <c r="R2007" s="9"/>
      <c r="S2007" s="9"/>
      <c r="T2007" s="9"/>
      <c r="U2007" s="9"/>
      <c r="V2007" s="9"/>
      <c r="W2007" s="9"/>
      <c r="X2007" s="17"/>
      <c r="Y2007" s="13"/>
      <c r="Z2007" s="13"/>
      <c r="AC2007" s="24"/>
      <c r="AD2007" s="23"/>
    </row>
    <row r="2008" spans="4:30" x14ac:dyDescent="0.25">
      <c r="D2008" s="3"/>
      <c r="E2008" s="15"/>
      <c r="F2008" s="15"/>
      <c r="G2008" s="15"/>
      <c r="H2008" s="15"/>
      <c r="I2008" s="15"/>
      <c r="J2008" s="9"/>
      <c r="K2008" s="9"/>
      <c r="L2008" s="9"/>
      <c r="M2008" s="9"/>
      <c r="N2008" s="9"/>
      <c r="O2008" s="9"/>
      <c r="P2008" s="9"/>
      <c r="Q2008" s="9"/>
      <c r="R2008" s="9"/>
      <c r="S2008" s="9"/>
      <c r="T2008" s="9"/>
      <c r="U2008" s="9"/>
      <c r="V2008" s="9"/>
      <c r="W2008" s="9"/>
      <c r="X2008" s="17"/>
      <c r="Y2008" s="13"/>
      <c r="Z2008" s="13"/>
      <c r="AC2008" s="24"/>
      <c r="AD2008" s="23"/>
    </row>
    <row r="2009" spans="4:30" x14ac:dyDescent="0.25">
      <c r="D2009" s="3"/>
      <c r="E2009" s="15"/>
      <c r="F2009" s="15"/>
      <c r="G2009" s="15"/>
      <c r="H2009" s="15"/>
      <c r="I2009" s="15"/>
      <c r="J2009" s="9"/>
      <c r="K2009" s="9"/>
      <c r="L2009" s="9"/>
      <c r="M2009" s="9"/>
      <c r="N2009" s="9"/>
      <c r="O2009" s="9"/>
      <c r="P2009" s="9"/>
      <c r="Q2009" s="9"/>
      <c r="R2009" s="9"/>
      <c r="S2009" s="9"/>
      <c r="T2009" s="9"/>
      <c r="U2009" s="9"/>
      <c r="V2009" s="9"/>
      <c r="W2009" s="9"/>
      <c r="X2009" s="17"/>
      <c r="Y2009" s="13"/>
      <c r="Z2009" s="13"/>
      <c r="AC2009" s="24"/>
      <c r="AD2009" s="23"/>
    </row>
    <row r="2010" spans="4:30" x14ac:dyDescent="0.25">
      <c r="D2010" s="3"/>
      <c r="E2010" s="15"/>
      <c r="F2010" s="15"/>
      <c r="G2010" s="15"/>
      <c r="H2010" s="15"/>
      <c r="I2010" s="15"/>
      <c r="J2010" s="9"/>
      <c r="K2010" s="9"/>
      <c r="L2010" s="9"/>
      <c r="M2010" s="9"/>
      <c r="N2010" s="9"/>
      <c r="O2010" s="9"/>
      <c r="P2010" s="9"/>
      <c r="Q2010" s="9"/>
      <c r="R2010" s="9"/>
      <c r="S2010" s="9"/>
      <c r="T2010" s="9"/>
      <c r="U2010" s="9"/>
      <c r="V2010" s="9"/>
      <c r="W2010" s="9"/>
      <c r="X2010" s="17"/>
      <c r="Y2010" s="13"/>
      <c r="Z2010" s="13"/>
      <c r="AC2010" s="24"/>
      <c r="AD2010" s="23"/>
    </row>
    <row r="2011" spans="4:30" x14ac:dyDescent="0.25">
      <c r="D2011" s="3"/>
      <c r="E2011" s="15"/>
      <c r="F2011" s="15"/>
      <c r="G2011" s="15"/>
      <c r="H2011" s="15"/>
      <c r="I2011" s="15"/>
      <c r="J2011" s="9"/>
      <c r="K2011" s="9"/>
      <c r="L2011" s="9"/>
      <c r="M2011" s="9"/>
      <c r="N2011" s="9"/>
      <c r="O2011" s="9"/>
      <c r="P2011" s="9"/>
      <c r="Q2011" s="9"/>
      <c r="R2011" s="9"/>
      <c r="S2011" s="9"/>
      <c r="T2011" s="9"/>
      <c r="U2011" s="9"/>
      <c r="V2011" s="9"/>
      <c r="W2011" s="9"/>
      <c r="X2011" s="17"/>
      <c r="Y2011" s="13"/>
      <c r="Z2011" s="13"/>
      <c r="AC2011" s="24"/>
      <c r="AD2011" s="23"/>
    </row>
    <row r="2012" spans="4:30" x14ac:dyDescent="0.25">
      <c r="D2012" s="3"/>
      <c r="E2012" s="15"/>
      <c r="F2012" s="15"/>
      <c r="G2012" s="15"/>
      <c r="H2012" s="15"/>
      <c r="I2012" s="15"/>
      <c r="J2012" s="9"/>
      <c r="K2012" s="9"/>
      <c r="L2012" s="9"/>
      <c r="M2012" s="9"/>
      <c r="N2012" s="9"/>
      <c r="O2012" s="9"/>
      <c r="P2012" s="9"/>
      <c r="Q2012" s="9"/>
      <c r="R2012" s="9"/>
      <c r="S2012" s="9"/>
      <c r="T2012" s="9"/>
      <c r="U2012" s="9"/>
      <c r="V2012" s="9"/>
      <c r="W2012" s="9"/>
      <c r="X2012" s="17"/>
      <c r="Y2012" s="13"/>
      <c r="Z2012" s="13"/>
      <c r="AC2012" s="24"/>
      <c r="AD2012" s="23"/>
    </row>
    <row r="2013" spans="4:30" x14ac:dyDescent="0.25">
      <c r="D2013" s="3"/>
      <c r="E2013" s="15"/>
      <c r="F2013" s="15"/>
      <c r="G2013" s="15"/>
      <c r="H2013" s="15"/>
      <c r="I2013" s="15"/>
      <c r="J2013" s="9"/>
      <c r="K2013" s="9"/>
      <c r="L2013" s="9"/>
      <c r="M2013" s="9"/>
      <c r="N2013" s="9"/>
      <c r="O2013" s="9"/>
      <c r="P2013" s="9"/>
      <c r="Q2013" s="9"/>
      <c r="R2013" s="9"/>
      <c r="S2013" s="9"/>
      <c r="T2013" s="9"/>
      <c r="U2013" s="9"/>
      <c r="V2013" s="9"/>
      <c r="W2013" s="9"/>
      <c r="X2013" s="17"/>
      <c r="Y2013" s="13"/>
      <c r="Z2013" s="13"/>
      <c r="AC2013" s="24"/>
      <c r="AD2013" s="23"/>
    </row>
    <row r="2014" spans="4:30" x14ac:dyDescent="0.25">
      <c r="D2014" s="3"/>
      <c r="E2014" s="15"/>
      <c r="F2014" s="15"/>
      <c r="G2014" s="15"/>
      <c r="H2014" s="15"/>
      <c r="I2014" s="15"/>
      <c r="J2014" s="9"/>
      <c r="K2014" s="9"/>
      <c r="L2014" s="9"/>
      <c r="M2014" s="9"/>
      <c r="N2014" s="9"/>
      <c r="O2014" s="9"/>
      <c r="P2014" s="9"/>
      <c r="Q2014" s="9"/>
      <c r="R2014" s="9"/>
      <c r="S2014" s="9"/>
      <c r="T2014" s="9"/>
      <c r="U2014" s="9"/>
      <c r="V2014" s="9"/>
      <c r="W2014" s="9"/>
      <c r="X2014" s="17"/>
      <c r="Y2014" s="13"/>
      <c r="Z2014" s="13"/>
      <c r="AC2014" s="24"/>
      <c r="AD2014" s="23"/>
    </row>
    <row r="2015" spans="4:30" x14ac:dyDescent="0.25">
      <c r="D2015" s="3"/>
      <c r="E2015" s="15"/>
      <c r="F2015" s="15"/>
      <c r="G2015" s="15"/>
      <c r="H2015" s="15"/>
      <c r="I2015" s="15"/>
      <c r="J2015" s="9"/>
      <c r="K2015" s="9"/>
      <c r="L2015" s="9"/>
      <c r="M2015" s="9"/>
      <c r="N2015" s="9"/>
      <c r="O2015" s="9"/>
      <c r="P2015" s="9"/>
      <c r="Q2015" s="9"/>
      <c r="R2015" s="9"/>
      <c r="S2015" s="9"/>
      <c r="T2015" s="9"/>
      <c r="U2015" s="9"/>
      <c r="V2015" s="9"/>
      <c r="W2015" s="9"/>
      <c r="X2015" s="17"/>
      <c r="Y2015" s="13"/>
      <c r="Z2015" s="13"/>
      <c r="AC2015" s="24"/>
      <c r="AD2015" s="23"/>
    </row>
    <row r="2016" spans="4:30" x14ac:dyDescent="0.25">
      <c r="D2016" s="3"/>
      <c r="E2016" s="15"/>
      <c r="F2016" s="15"/>
      <c r="G2016" s="15"/>
      <c r="H2016" s="15"/>
      <c r="I2016" s="15"/>
      <c r="J2016" s="9"/>
      <c r="K2016" s="9"/>
      <c r="L2016" s="9"/>
      <c r="M2016" s="9"/>
      <c r="N2016" s="9"/>
      <c r="O2016" s="9"/>
      <c r="P2016" s="9"/>
      <c r="Q2016" s="9"/>
      <c r="R2016" s="9"/>
      <c r="S2016" s="9"/>
      <c r="T2016" s="9"/>
      <c r="U2016" s="9"/>
      <c r="V2016" s="9"/>
      <c r="W2016" s="9"/>
      <c r="X2016" s="17"/>
      <c r="Y2016" s="13"/>
      <c r="Z2016" s="13"/>
      <c r="AC2016" s="24"/>
      <c r="AD2016" s="23"/>
    </row>
    <row r="2017" spans="4:30" x14ac:dyDescent="0.25">
      <c r="D2017" s="3"/>
      <c r="E2017" s="15"/>
      <c r="F2017" s="15"/>
      <c r="G2017" s="15"/>
      <c r="H2017" s="15"/>
      <c r="I2017" s="15"/>
      <c r="J2017" s="9"/>
      <c r="K2017" s="9"/>
      <c r="L2017" s="9"/>
      <c r="M2017" s="9"/>
      <c r="N2017" s="9"/>
      <c r="O2017" s="9"/>
      <c r="P2017" s="9"/>
      <c r="Q2017" s="9"/>
      <c r="R2017" s="9"/>
      <c r="S2017" s="9"/>
      <c r="T2017" s="9"/>
      <c r="U2017" s="9"/>
      <c r="V2017" s="9"/>
      <c r="W2017" s="9"/>
      <c r="X2017" s="17"/>
      <c r="Y2017" s="13"/>
      <c r="Z2017" s="13"/>
      <c r="AC2017" s="24"/>
      <c r="AD2017" s="23"/>
    </row>
    <row r="2018" spans="4:30" x14ac:dyDescent="0.25">
      <c r="D2018" s="3"/>
      <c r="E2018" s="15"/>
      <c r="F2018" s="15"/>
      <c r="G2018" s="15"/>
      <c r="H2018" s="15"/>
      <c r="I2018" s="15"/>
      <c r="J2018" s="9"/>
      <c r="K2018" s="9"/>
      <c r="L2018" s="9"/>
      <c r="M2018" s="9"/>
      <c r="N2018" s="9"/>
      <c r="O2018" s="9"/>
      <c r="P2018" s="9"/>
      <c r="Q2018" s="9"/>
      <c r="R2018" s="9"/>
      <c r="S2018" s="9"/>
      <c r="T2018" s="9"/>
      <c r="U2018" s="9"/>
      <c r="V2018" s="9"/>
      <c r="W2018" s="9"/>
      <c r="X2018" s="17"/>
      <c r="Y2018" s="13"/>
      <c r="Z2018" s="13"/>
      <c r="AC2018" s="24"/>
      <c r="AD2018" s="23"/>
    </row>
    <row r="2019" spans="4:30" x14ac:dyDescent="0.25">
      <c r="D2019" s="3"/>
      <c r="E2019" s="15"/>
      <c r="F2019" s="15"/>
      <c r="G2019" s="15"/>
      <c r="H2019" s="15"/>
      <c r="I2019" s="15"/>
      <c r="J2019" s="9"/>
      <c r="K2019" s="9"/>
      <c r="L2019" s="9"/>
      <c r="M2019" s="9"/>
      <c r="N2019" s="9"/>
      <c r="O2019" s="9"/>
      <c r="P2019" s="9"/>
      <c r="Q2019" s="9"/>
      <c r="R2019" s="9"/>
      <c r="S2019" s="9"/>
      <c r="T2019" s="9"/>
      <c r="U2019" s="9"/>
      <c r="V2019" s="9"/>
      <c r="W2019" s="9"/>
      <c r="X2019" s="17"/>
      <c r="Y2019" s="13"/>
      <c r="Z2019" s="13"/>
      <c r="AC2019" s="24"/>
      <c r="AD2019" s="23"/>
    </row>
    <row r="2020" spans="4:30" x14ac:dyDescent="0.25">
      <c r="D2020" s="3"/>
      <c r="E2020" s="15"/>
      <c r="F2020" s="15"/>
      <c r="G2020" s="15"/>
      <c r="H2020" s="15"/>
      <c r="I2020" s="15"/>
      <c r="J2020" s="9"/>
      <c r="K2020" s="9"/>
      <c r="L2020" s="9"/>
      <c r="M2020" s="9"/>
      <c r="N2020" s="9"/>
      <c r="O2020" s="9"/>
      <c r="P2020" s="9"/>
      <c r="Q2020" s="9"/>
      <c r="R2020" s="9"/>
      <c r="S2020" s="9"/>
      <c r="T2020" s="9"/>
      <c r="U2020" s="9"/>
      <c r="V2020" s="9"/>
      <c r="W2020" s="9"/>
      <c r="X2020" s="17"/>
      <c r="Y2020" s="13"/>
      <c r="Z2020" s="13"/>
      <c r="AC2020" s="24"/>
      <c r="AD2020" s="23"/>
    </row>
    <row r="2021" spans="4:30" x14ac:dyDescent="0.25">
      <c r="D2021" s="3"/>
      <c r="E2021" s="15"/>
      <c r="F2021" s="15"/>
      <c r="G2021" s="15"/>
      <c r="H2021" s="15"/>
      <c r="I2021" s="15"/>
      <c r="J2021" s="9"/>
      <c r="K2021" s="9"/>
      <c r="L2021" s="9"/>
      <c r="M2021" s="9"/>
      <c r="N2021" s="9"/>
      <c r="O2021" s="9"/>
      <c r="P2021" s="9"/>
      <c r="Q2021" s="9"/>
      <c r="R2021" s="9"/>
      <c r="S2021" s="9"/>
      <c r="T2021" s="9"/>
      <c r="U2021" s="9"/>
      <c r="V2021" s="9"/>
      <c r="W2021" s="9"/>
      <c r="X2021" s="17"/>
      <c r="Y2021" s="13"/>
      <c r="Z2021" s="13"/>
      <c r="AC2021" s="24"/>
      <c r="AD2021" s="23"/>
    </row>
    <row r="2022" spans="4:30" x14ac:dyDescent="0.25">
      <c r="D2022" s="3"/>
      <c r="E2022" s="15"/>
      <c r="F2022" s="15"/>
      <c r="G2022" s="15"/>
      <c r="H2022" s="15"/>
      <c r="I2022" s="15"/>
      <c r="J2022" s="9"/>
      <c r="K2022" s="9"/>
      <c r="L2022" s="9"/>
      <c r="M2022" s="9"/>
      <c r="N2022" s="9"/>
      <c r="O2022" s="9"/>
      <c r="P2022" s="9"/>
      <c r="Q2022" s="9"/>
      <c r="R2022" s="9"/>
      <c r="S2022" s="9"/>
      <c r="T2022" s="9"/>
      <c r="U2022" s="9"/>
      <c r="V2022" s="9"/>
      <c r="W2022" s="9"/>
      <c r="X2022" s="17"/>
      <c r="Y2022" s="13"/>
      <c r="Z2022" s="13"/>
      <c r="AC2022" s="24"/>
      <c r="AD2022" s="23"/>
    </row>
    <row r="2023" spans="4:30" x14ac:dyDescent="0.25">
      <c r="D2023" s="3"/>
      <c r="E2023" s="15"/>
      <c r="F2023" s="15"/>
      <c r="G2023" s="15"/>
      <c r="H2023" s="15"/>
      <c r="I2023" s="15"/>
      <c r="J2023" s="9"/>
      <c r="K2023" s="9"/>
      <c r="L2023" s="9"/>
      <c r="M2023" s="9"/>
      <c r="N2023" s="9"/>
      <c r="O2023" s="9"/>
      <c r="P2023" s="9"/>
      <c r="Q2023" s="9"/>
      <c r="R2023" s="9"/>
      <c r="S2023" s="9"/>
      <c r="T2023" s="9"/>
      <c r="U2023" s="9"/>
      <c r="V2023" s="9"/>
      <c r="W2023" s="9"/>
      <c r="X2023" s="17"/>
      <c r="Y2023" s="13"/>
      <c r="Z2023" s="13"/>
      <c r="AC2023" s="24"/>
      <c r="AD2023" s="23"/>
    </row>
    <row r="2024" spans="4:30" x14ac:dyDescent="0.25">
      <c r="D2024" s="3"/>
      <c r="E2024" s="15"/>
      <c r="F2024" s="15"/>
      <c r="G2024" s="15"/>
      <c r="H2024" s="15"/>
      <c r="I2024" s="15"/>
      <c r="J2024" s="9"/>
      <c r="K2024" s="9"/>
      <c r="L2024" s="9"/>
      <c r="M2024" s="9"/>
      <c r="N2024" s="9"/>
      <c r="O2024" s="9"/>
      <c r="P2024" s="9"/>
      <c r="Q2024" s="9"/>
      <c r="R2024" s="9"/>
      <c r="S2024" s="9"/>
      <c r="T2024" s="9"/>
      <c r="U2024" s="9"/>
      <c r="V2024" s="9"/>
      <c r="W2024" s="9"/>
      <c r="X2024" s="17"/>
      <c r="Y2024" s="13"/>
      <c r="Z2024" s="13"/>
      <c r="AC2024" s="24"/>
      <c r="AD2024" s="23"/>
    </row>
    <row r="2025" spans="4:30" x14ac:dyDescent="0.25">
      <c r="D2025" s="3"/>
      <c r="E2025" s="15"/>
      <c r="F2025" s="15"/>
      <c r="G2025" s="15"/>
      <c r="H2025" s="15"/>
      <c r="I2025" s="15"/>
      <c r="J2025" s="9"/>
      <c r="K2025" s="9"/>
      <c r="L2025" s="9"/>
      <c r="M2025" s="9"/>
      <c r="N2025" s="9"/>
      <c r="O2025" s="9"/>
      <c r="P2025" s="9"/>
      <c r="Q2025" s="9"/>
      <c r="R2025" s="9"/>
      <c r="S2025" s="9"/>
      <c r="T2025" s="9"/>
      <c r="U2025" s="9"/>
      <c r="V2025" s="9"/>
      <c r="W2025" s="9"/>
      <c r="X2025" s="17"/>
      <c r="Y2025" s="13"/>
      <c r="Z2025" s="13"/>
      <c r="AC2025" s="24"/>
      <c r="AD2025" s="23"/>
    </row>
    <row r="2026" spans="4:30" x14ac:dyDescent="0.25">
      <c r="D2026" s="3"/>
      <c r="E2026" s="15"/>
      <c r="F2026" s="15"/>
      <c r="G2026" s="15"/>
      <c r="H2026" s="15"/>
      <c r="I2026" s="15"/>
      <c r="J2026" s="9"/>
      <c r="K2026" s="9"/>
      <c r="L2026" s="9"/>
      <c r="M2026" s="9"/>
      <c r="N2026" s="9"/>
      <c r="O2026" s="9"/>
      <c r="P2026" s="9"/>
      <c r="Q2026" s="9"/>
      <c r="R2026" s="9"/>
      <c r="S2026" s="9"/>
      <c r="T2026" s="9"/>
      <c r="U2026" s="9"/>
      <c r="V2026" s="9"/>
      <c r="W2026" s="9"/>
      <c r="X2026" s="17"/>
      <c r="Y2026" s="13"/>
      <c r="Z2026" s="13"/>
      <c r="AC2026" s="24"/>
      <c r="AD2026" s="23"/>
    </row>
    <row r="2027" spans="4:30" x14ac:dyDescent="0.25">
      <c r="D2027" s="3"/>
      <c r="E2027" s="15"/>
      <c r="F2027" s="15"/>
      <c r="G2027" s="15"/>
      <c r="H2027" s="15"/>
      <c r="I2027" s="15"/>
      <c r="J2027" s="9"/>
      <c r="K2027" s="9"/>
      <c r="L2027" s="9"/>
      <c r="M2027" s="9"/>
      <c r="N2027" s="9"/>
      <c r="O2027" s="9"/>
      <c r="P2027" s="9"/>
      <c r="Q2027" s="9"/>
      <c r="R2027" s="9"/>
      <c r="S2027" s="9"/>
      <c r="T2027" s="9"/>
      <c r="U2027" s="9"/>
      <c r="V2027" s="9"/>
      <c r="W2027" s="9"/>
      <c r="X2027" s="17"/>
      <c r="Y2027" s="13"/>
      <c r="Z2027" s="13"/>
      <c r="AC2027" s="24"/>
      <c r="AD2027" s="23"/>
    </row>
    <row r="2028" spans="4:30" x14ac:dyDescent="0.25">
      <c r="D2028" s="3"/>
      <c r="E2028" s="15"/>
      <c r="F2028" s="15"/>
      <c r="G2028" s="15"/>
      <c r="H2028" s="15"/>
      <c r="I2028" s="15"/>
      <c r="J2028" s="9"/>
      <c r="K2028" s="9"/>
      <c r="L2028" s="9"/>
      <c r="M2028" s="9"/>
      <c r="N2028" s="9"/>
      <c r="O2028" s="9"/>
      <c r="P2028" s="9"/>
      <c r="Q2028" s="9"/>
      <c r="R2028" s="9"/>
      <c r="S2028" s="9"/>
      <c r="T2028" s="9"/>
      <c r="U2028" s="9"/>
      <c r="V2028" s="9"/>
      <c r="W2028" s="9"/>
      <c r="X2028" s="17"/>
      <c r="Y2028" s="13"/>
      <c r="Z2028" s="13"/>
      <c r="AC2028" s="24"/>
      <c r="AD2028" s="23"/>
    </row>
    <row r="2029" spans="4:30" x14ac:dyDescent="0.25">
      <c r="D2029" s="3"/>
      <c r="E2029" s="15"/>
      <c r="F2029" s="15"/>
      <c r="G2029" s="15"/>
      <c r="H2029" s="15"/>
      <c r="I2029" s="15"/>
      <c r="J2029" s="9"/>
      <c r="K2029" s="9"/>
      <c r="L2029" s="9"/>
      <c r="M2029" s="9"/>
      <c r="N2029" s="9"/>
      <c r="O2029" s="9"/>
      <c r="P2029" s="9"/>
      <c r="Q2029" s="9"/>
      <c r="R2029" s="9"/>
      <c r="S2029" s="9"/>
      <c r="T2029" s="9"/>
      <c r="U2029" s="9"/>
      <c r="V2029" s="9"/>
      <c r="W2029" s="9"/>
      <c r="X2029" s="17"/>
      <c r="Y2029" s="13"/>
      <c r="Z2029" s="13"/>
      <c r="AC2029" s="24"/>
      <c r="AD2029" s="23"/>
    </row>
    <row r="2030" spans="4:30" x14ac:dyDescent="0.25">
      <c r="D2030" s="3"/>
      <c r="E2030" s="15"/>
      <c r="F2030" s="15"/>
      <c r="G2030" s="15"/>
      <c r="H2030" s="15"/>
      <c r="I2030" s="15"/>
      <c r="J2030" s="9"/>
      <c r="K2030" s="9"/>
      <c r="L2030" s="9"/>
      <c r="M2030" s="9"/>
      <c r="N2030" s="9"/>
      <c r="O2030" s="9"/>
      <c r="P2030" s="9"/>
      <c r="Q2030" s="9"/>
      <c r="R2030" s="9"/>
      <c r="S2030" s="9"/>
      <c r="T2030" s="9"/>
      <c r="U2030" s="9"/>
      <c r="V2030" s="9"/>
      <c r="W2030" s="9"/>
      <c r="X2030" s="17"/>
      <c r="Y2030" s="13"/>
      <c r="Z2030" s="13"/>
      <c r="AC2030" s="24"/>
      <c r="AD2030" s="23"/>
    </row>
    <row r="2031" spans="4:30" x14ac:dyDescent="0.25">
      <c r="D2031" s="3"/>
      <c r="E2031" s="15"/>
      <c r="F2031" s="15"/>
      <c r="G2031" s="15"/>
      <c r="H2031" s="15"/>
      <c r="I2031" s="15"/>
      <c r="J2031" s="9"/>
      <c r="K2031" s="9"/>
      <c r="L2031" s="9"/>
      <c r="M2031" s="9"/>
      <c r="N2031" s="9"/>
      <c r="O2031" s="9"/>
      <c r="P2031" s="9"/>
      <c r="Q2031" s="9"/>
      <c r="R2031" s="9"/>
      <c r="S2031" s="9"/>
      <c r="T2031" s="9"/>
      <c r="U2031" s="9"/>
      <c r="V2031" s="9"/>
      <c r="W2031" s="9"/>
      <c r="X2031" s="17"/>
      <c r="Y2031" s="13"/>
      <c r="Z2031" s="13"/>
      <c r="AC2031" s="24"/>
      <c r="AD2031" s="23"/>
    </row>
    <row r="2032" spans="4:30" x14ac:dyDescent="0.25">
      <c r="D2032" s="3"/>
      <c r="E2032" s="15"/>
      <c r="F2032" s="15"/>
      <c r="G2032" s="15"/>
      <c r="H2032" s="15"/>
      <c r="I2032" s="15"/>
      <c r="J2032" s="9"/>
      <c r="K2032" s="9"/>
      <c r="L2032" s="9"/>
      <c r="M2032" s="9"/>
      <c r="N2032" s="9"/>
      <c r="O2032" s="9"/>
      <c r="P2032" s="9"/>
      <c r="Q2032" s="9"/>
      <c r="R2032" s="9"/>
      <c r="S2032" s="9"/>
      <c r="T2032" s="9"/>
      <c r="U2032" s="9"/>
      <c r="V2032" s="9"/>
      <c r="W2032" s="9"/>
      <c r="X2032" s="17"/>
      <c r="Y2032" s="13"/>
      <c r="Z2032" s="13"/>
      <c r="AC2032" s="24"/>
      <c r="AD2032" s="23"/>
    </row>
    <row r="2033" spans="4:30" x14ac:dyDescent="0.25">
      <c r="D2033" s="3"/>
      <c r="E2033" s="15"/>
      <c r="F2033" s="15"/>
      <c r="G2033" s="15"/>
      <c r="H2033" s="15"/>
      <c r="I2033" s="15"/>
      <c r="J2033" s="9"/>
      <c r="K2033" s="9"/>
      <c r="L2033" s="9"/>
      <c r="M2033" s="9"/>
      <c r="N2033" s="9"/>
      <c r="O2033" s="9"/>
      <c r="P2033" s="9"/>
      <c r="Q2033" s="9"/>
      <c r="R2033" s="9"/>
      <c r="S2033" s="9"/>
      <c r="T2033" s="9"/>
      <c r="U2033" s="9"/>
      <c r="V2033" s="9"/>
      <c r="W2033" s="9"/>
      <c r="X2033" s="17"/>
      <c r="Y2033" s="13"/>
      <c r="Z2033" s="13"/>
      <c r="AC2033" s="24"/>
      <c r="AD2033" s="23"/>
    </row>
    <row r="2034" spans="4:30" x14ac:dyDescent="0.25">
      <c r="D2034" s="3"/>
      <c r="E2034" s="15"/>
      <c r="F2034" s="15"/>
      <c r="G2034" s="15"/>
      <c r="H2034" s="15"/>
      <c r="I2034" s="15"/>
      <c r="J2034" s="9"/>
      <c r="K2034" s="9"/>
      <c r="L2034" s="9"/>
      <c r="M2034" s="9"/>
      <c r="N2034" s="9"/>
      <c r="O2034" s="9"/>
      <c r="P2034" s="9"/>
      <c r="Q2034" s="9"/>
      <c r="R2034" s="9"/>
      <c r="S2034" s="9"/>
      <c r="T2034" s="9"/>
      <c r="U2034" s="9"/>
      <c r="V2034" s="9"/>
      <c r="W2034" s="9"/>
      <c r="X2034" s="17"/>
      <c r="Y2034" s="13"/>
      <c r="Z2034" s="13"/>
      <c r="AC2034" s="24"/>
      <c r="AD2034" s="23"/>
    </row>
    <row r="2035" spans="4:30" x14ac:dyDescent="0.25">
      <c r="D2035" s="3"/>
      <c r="E2035" s="15"/>
      <c r="F2035" s="15"/>
      <c r="G2035" s="15"/>
      <c r="H2035" s="15"/>
      <c r="I2035" s="15"/>
      <c r="J2035" s="9"/>
      <c r="K2035" s="9"/>
      <c r="L2035" s="9"/>
      <c r="M2035" s="9"/>
      <c r="N2035" s="9"/>
      <c r="O2035" s="9"/>
      <c r="P2035" s="9"/>
      <c r="Q2035" s="9"/>
      <c r="R2035" s="9"/>
      <c r="S2035" s="9"/>
      <c r="T2035" s="9"/>
      <c r="U2035" s="9"/>
      <c r="V2035" s="9"/>
      <c r="W2035" s="9"/>
      <c r="X2035" s="17"/>
      <c r="Y2035" s="13"/>
      <c r="Z2035" s="13"/>
      <c r="AC2035" s="24"/>
      <c r="AD2035" s="23"/>
    </row>
    <row r="2036" spans="4:30" x14ac:dyDescent="0.25">
      <c r="D2036" s="3"/>
      <c r="E2036" s="15"/>
      <c r="F2036" s="15"/>
      <c r="G2036" s="15"/>
      <c r="H2036" s="15"/>
      <c r="I2036" s="15"/>
      <c r="J2036" s="9"/>
      <c r="K2036" s="9"/>
      <c r="L2036" s="9"/>
      <c r="M2036" s="9"/>
      <c r="N2036" s="9"/>
      <c r="O2036" s="9"/>
      <c r="P2036" s="9"/>
      <c r="Q2036" s="9"/>
      <c r="R2036" s="9"/>
      <c r="S2036" s="9"/>
      <c r="T2036" s="9"/>
      <c r="U2036" s="9"/>
      <c r="V2036" s="9"/>
      <c r="W2036" s="9"/>
      <c r="X2036" s="17"/>
      <c r="Y2036" s="13"/>
      <c r="Z2036" s="13"/>
      <c r="AC2036" s="24"/>
      <c r="AD2036" s="23"/>
    </row>
    <row r="2037" spans="4:30" x14ac:dyDescent="0.25">
      <c r="D2037" s="3"/>
      <c r="E2037" s="15"/>
      <c r="F2037" s="15"/>
      <c r="G2037" s="15"/>
      <c r="H2037" s="15"/>
      <c r="I2037" s="15"/>
      <c r="J2037" s="9"/>
      <c r="K2037" s="9"/>
      <c r="L2037" s="9"/>
      <c r="M2037" s="9"/>
      <c r="N2037" s="9"/>
      <c r="O2037" s="9"/>
      <c r="P2037" s="9"/>
      <c r="Q2037" s="9"/>
      <c r="R2037" s="9"/>
      <c r="S2037" s="9"/>
      <c r="T2037" s="9"/>
      <c r="U2037" s="9"/>
      <c r="V2037" s="9"/>
      <c r="W2037" s="9"/>
      <c r="X2037" s="17"/>
      <c r="Y2037" s="13"/>
      <c r="Z2037" s="13"/>
      <c r="AC2037" s="24"/>
      <c r="AD2037" s="23"/>
    </row>
    <row r="2038" spans="4:30" x14ac:dyDescent="0.25">
      <c r="D2038" s="3"/>
      <c r="E2038" s="15"/>
      <c r="F2038" s="15"/>
      <c r="G2038" s="15"/>
      <c r="H2038" s="15"/>
      <c r="I2038" s="15"/>
      <c r="J2038" s="9"/>
      <c r="K2038" s="9"/>
      <c r="L2038" s="9"/>
      <c r="M2038" s="9"/>
      <c r="N2038" s="9"/>
      <c r="O2038" s="9"/>
      <c r="P2038" s="9"/>
      <c r="Q2038" s="9"/>
      <c r="R2038" s="9"/>
      <c r="S2038" s="9"/>
      <c r="T2038" s="9"/>
      <c r="U2038" s="9"/>
      <c r="V2038" s="9"/>
      <c r="W2038" s="9"/>
      <c r="X2038" s="17"/>
      <c r="Y2038" s="13"/>
      <c r="Z2038" s="13"/>
      <c r="AC2038" s="24"/>
      <c r="AD2038" s="23"/>
    </row>
    <row r="2039" spans="4:30" x14ac:dyDescent="0.25">
      <c r="D2039" s="3"/>
      <c r="E2039" s="15"/>
      <c r="F2039" s="15"/>
      <c r="G2039" s="15"/>
      <c r="H2039" s="15"/>
      <c r="I2039" s="15"/>
      <c r="J2039" s="9"/>
      <c r="K2039" s="9"/>
      <c r="L2039" s="9"/>
      <c r="M2039" s="9"/>
      <c r="N2039" s="9"/>
      <c r="O2039" s="9"/>
      <c r="P2039" s="9"/>
      <c r="Q2039" s="9"/>
      <c r="R2039" s="9"/>
      <c r="S2039" s="9"/>
      <c r="T2039" s="9"/>
      <c r="U2039" s="9"/>
      <c r="V2039" s="9"/>
      <c r="W2039" s="9"/>
      <c r="X2039" s="17"/>
      <c r="Y2039" s="13"/>
      <c r="Z2039" s="13"/>
      <c r="AC2039" s="24"/>
      <c r="AD2039" s="23"/>
    </row>
    <row r="2040" spans="4:30" x14ac:dyDescent="0.25">
      <c r="D2040" s="3"/>
      <c r="E2040" s="15"/>
      <c r="F2040" s="15"/>
      <c r="G2040" s="15"/>
      <c r="H2040" s="15"/>
      <c r="I2040" s="15"/>
      <c r="J2040" s="9"/>
      <c r="K2040" s="9"/>
      <c r="L2040" s="9"/>
      <c r="M2040" s="9"/>
      <c r="N2040" s="9"/>
      <c r="O2040" s="9"/>
      <c r="P2040" s="9"/>
      <c r="Q2040" s="9"/>
      <c r="R2040" s="9"/>
      <c r="S2040" s="9"/>
      <c r="T2040" s="9"/>
      <c r="U2040" s="9"/>
      <c r="V2040" s="9"/>
      <c r="W2040" s="9"/>
      <c r="X2040" s="17"/>
      <c r="Y2040" s="13"/>
      <c r="Z2040" s="13"/>
      <c r="AC2040" s="24"/>
      <c r="AD2040" s="23"/>
    </row>
    <row r="2041" spans="4:30" x14ac:dyDescent="0.25">
      <c r="D2041" s="3"/>
      <c r="E2041" s="15"/>
      <c r="F2041" s="15"/>
      <c r="G2041" s="15"/>
      <c r="H2041" s="15"/>
      <c r="I2041" s="15"/>
      <c r="J2041" s="9"/>
      <c r="K2041" s="9"/>
      <c r="L2041" s="9"/>
      <c r="M2041" s="9"/>
      <c r="N2041" s="9"/>
      <c r="O2041" s="9"/>
      <c r="P2041" s="9"/>
      <c r="Q2041" s="9"/>
      <c r="R2041" s="9"/>
      <c r="S2041" s="9"/>
      <c r="T2041" s="9"/>
      <c r="U2041" s="9"/>
      <c r="V2041" s="9"/>
      <c r="W2041" s="9"/>
      <c r="X2041" s="17"/>
      <c r="Y2041" s="13"/>
      <c r="Z2041" s="13"/>
      <c r="AC2041" s="24"/>
      <c r="AD2041" s="23"/>
    </row>
    <row r="2042" spans="4:30" x14ac:dyDescent="0.25">
      <c r="D2042" s="3"/>
      <c r="E2042" s="15"/>
      <c r="F2042" s="15"/>
      <c r="G2042" s="15"/>
      <c r="H2042" s="15"/>
      <c r="I2042" s="15"/>
      <c r="J2042" s="9"/>
      <c r="K2042" s="9"/>
      <c r="L2042" s="9"/>
      <c r="M2042" s="9"/>
      <c r="N2042" s="9"/>
      <c r="O2042" s="9"/>
      <c r="P2042" s="9"/>
      <c r="Q2042" s="9"/>
      <c r="R2042" s="9"/>
      <c r="S2042" s="9"/>
      <c r="T2042" s="9"/>
      <c r="U2042" s="9"/>
      <c r="V2042" s="9"/>
      <c r="W2042" s="9"/>
      <c r="X2042" s="17"/>
      <c r="Y2042" s="13"/>
      <c r="Z2042" s="13"/>
      <c r="AC2042" s="24"/>
      <c r="AD2042" s="23"/>
    </row>
    <row r="2043" spans="4:30" x14ac:dyDescent="0.25">
      <c r="D2043" s="3"/>
      <c r="E2043" s="15"/>
      <c r="F2043" s="15"/>
      <c r="G2043" s="15"/>
      <c r="H2043" s="15"/>
      <c r="I2043" s="15"/>
      <c r="J2043" s="9"/>
      <c r="K2043" s="9"/>
      <c r="L2043" s="9"/>
      <c r="M2043" s="9"/>
      <c r="N2043" s="9"/>
      <c r="O2043" s="9"/>
      <c r="P2043" s="9"/>
      <c r="Q2043" s="9"/>
      <c r="R2043" s="9"/>
      <c r="S2043" s="9"/>
      <c r="T2043" s="9"/>
      <c r="U2043" s="9"/>
      <c r="V2043" s="9"/>
      <c r="W2043" s="9"/>
      <c r="X2043" s="17"/>
      <c r="Y2043" s="13"/>
      <c r="Z2043" s="13"/>
      <c r="AC2043" s="24"/>
      <c r="AD2043" s="23"/>
    </row>
    <row r="2044" spans="4:30" x14ac:dyDescent="0.25">
      <c r="D2044" s="3"/>
      <c r="E2044" s="15"/>
      <c r="F2044" s="15"/>
      <c r="G2044" s="15"/>
      <c r="H2044" s="15"/>
      <c r="I2044" s="15"/>
      <c r="J2044" s="9"/>
      <c r="K2044" s="9"/>
      <c r="L2044" s="9"/>
      <c r="M2044" s="9"/>
      <c r="N2044" s="9"/>
      <c r="O2044" s="9"/>
      <c r="P2044" s="9"/>
      <c r="Q2044" s="9"/>
      <c r="R2044" s="9"/>
      <c r="S2044" s="9"/>
      <c r="T2044" s="9"/>
      <c r="U2044" s="9"/>
      <c r="V2044" s="9"/>
      <c r="W2044" s="9"/>
      <c r="X2044" s="17"/>
      <c r="Y2044" s="13"/>
      <c r="Z2044" s="13"/>
      <c r="AC2044" s="24"/>
      <c r="AD2044" s="23"/>
    </row>
    <row r="2045" spans="4:30" x14ac:dyDescent="0.25">
      <c r="D2045" s="3"/>
      <c r="E2045" s="15"/>
      <c r="F2045" s="15"/>
      <c r="G2045" s="15"/>
      <c r="H2045" s="15"/>
      <c r="I2045" s="15"/>
      <c r="J2045" s="9"/>
      <c r="K2045" s="9"/>
      <c r="L2045" s="9"/>
      <c r="M2045" s="9"/>
      <c r="N2045" s="9"/>
      <c r="O2045" s="9"/>
      <c r="P2045" s="9"/>
      <c r="Q2045" s="9"/>
      <c r="R2045" s="9"/>
      <c r="S2045" s="9"/>
      <c r="T2045" s="9"/>
      <c r="U2045" s="9"/>
      <c r="V2045" s="9"/>
      <c r="W2045" s="9"/>
      <c r="X2045" s="17"/>
      <c r="Y2045" s="13"/>
      <c r="Z2045" s="13"/>
      <c r="AC2045" s="24"/>
      <c r="AD2045" s="23"/>
    </row>
    <row r="2046" spans="4:30" x14ac:dyDescent="0.25">
      <c r="D2046" s="3"/>
      <c r="E2046" s="15"/>
      <c r="F2046" s="15"/>
      <c r="G2046" s="15"/>
      <c r="H2046" s="15"/>
      <c r="I2046" s="15"/>
      <c r="J2046" s="9"/>
      <c r="K2046" s="9"/>
      <c r="L2046" s="9"/>
      <c r="M2046" s="9"/>
      <c r="N2046" s="9"/>
      <c r="O2046" s="9"/>
      <c r="P2046" s="9"/>
      <c r="Q2046" s="9"/>
      <c r="R2046" s="9"/>
      <c r="S2046" s="9"/>
      <c r="T2046" s="9"/>
      <c r="U2046" s="9"/>
      <c r="V2046" s="9"/>
      <c r="W2046" s="9"/>
      <c r="X2046" s="17"/>
      <c r="Y2046" s="13"/>
      <c r="Z2046" s="13"/>
      <c r="AC2046" s="24"/>
      <c r="AD2046" s="23"/>
    </row>
    <row r="2047" spans="4:30" x14ac:dyDescent="0.25">
      <c r="D2047" s="3"/>
      <c r="E2047" s="15"/>
      <c r="F2047" s="15"/>
      <c r="G2047" s="15"/>
      <c r="H2047" s="15"/>
      <c r="I2047" s="15"/>
      <c r="J2047" s="9"/>
      <c r="K2047" s="9"/>
      <c r="L2047" s="9"/>
      <c r="M2047" s="9"/>
      <c r="N2047" s="9"/>
      <c r="O2047" s="9"/>
      <c r="P2047" s="9"/>
      <c r="Q2047" s="9"/>
      <c r="R2047" s="9"/>
      <c r="S2047" s="9"/>
      <c r="T2047" s="9"/>
      <c r="U2047" s="9"/>
      <c r="V2047" s="9"/>
      <c r="W2047" s="9"/>
      <c r="X2047" s="17"/>
      <c r="Y2047" s="13"/>
      <c r="Z2047" s="13"/>
      <c r="AC2047" s="24"/>
      <c r="AD2047" s="23"/>
    </row>
    <row r="2048" spans="4:30" x14ac:dyDescent="0.25">
      <c r="D2048" s="3"/>
      <c r="E2048" s="15"/>
      <c r="F2048" s="15"/>
      <c r="G2048" s="15"/>
      <c r="H2048" s="15"/>
      <c r="I2048" s="15"/>
      <c r="J2048" s="9"/>
      <c r="K2048" s="9"/>
      <c r="L2048" s="9"/>
      <c r="M2048" s="9"/>
      <c r="N2048" s="9"/>
      <c r="O2048" s="9"/>
      <c r="P2048" s="9"/>
      <c r="Q2048" s="9"/>
      <c r="R2048" s="9"/>
      <c r="S2048" s="9"/>
      <c r="T2048" s="9"/>
      <c r="U2048" s="9"/>
      <c r="V2048" s="9"/>
      <c r="W2048" s="9"/>
      <c r="X2048" s="17"/>
      <c r="Y2048" s="13"/>
      <c r="Z2048" s="13"/>
      <c r="AC2048" s="24"/>
      <c r="AD2048" s="23"/>
    </row>
    <row r="2049" spans="4:30" x14ac:dyDescent="0.25">
      <c r="D2049" s="3"/>
      <c r="E2049" s="15"/>
      <c r="F2049" s="15"/>
      <c r="G2049" s="15"/>
      <c r="H2049" s="15"/>
      <c r="I2049" s="15"/>
      <c r="J2049" s="9"/>
      <c r="K2049" s="9"/>
      <c r="L2049" s="9"/>
      <c r="M2049" s="9"/>
      <c r="N2049" s="9"/>
      <c r="O2049" s="9"/>
      <c r="P2049" s="9"/>
      <c r="Q2049" s="9"/>
      <c r="R2049" s="9"/>
      <c r="S2049" s="9"/>
      <c r="T2049" s="9"/>
      <c r="U2049" s="9"/>
      <c r="V2049" s="9"/>
      <c r="W2049" s="9"/>
      <c r="X2049" s="17"/>
      <c r="Y2049" s="13"/>
      <c r="Z2049" s="13"/>
      <c r="AC2049" s="24"/>
      <c r="AD2049" s="23"/>
    </row>
    <row r="2050" spans="4:30" x14ac:dyDescent="0.25">
      <c r="D2050" s="3"/>
      <c r="E2050" s="15"/>
      <c r="F2050" s="15"/>
      <c r="G2050" s="15"/>
      <c r="H2050" s="15"/>
      <c r="I2050" s="15"/>
      <c r="J2050" s="9"/>
      <c r="K2050" s="9"/>
      <c r="L2050" s="9"/>
      <c r="M2050" s="9"/>
      <c r="N2050" s="9"/>
      <c r="O2050" s="9"/>
      <c r="P2050" s="9"/>
      <c r="Q2050" s="9"/>
      <c r="R2050" s="9"/>
      <c r="S2050" s="9"/>
      <c r="T2050" s="9"/>
      <c r="U2050" s="9"/>
      <c r="V2050" s="9"/>
      <c r="W2050" s="9"/>
      <c r="X2050" s="17"/>
      <c r="Y2050" s="13"/>
      <c r="Z2050" s="13"/>
      <c r="AC2050" s="24"/>
      <c r="AD2050" s="23"/>
    </row>
    <row r="2051" spans="4:30" x14ac:dyDescent="0.25">
      <c r="D2051" s="3"/>
      <c r="E2051" s="15"/>
      <c r="F2051" s="15"/>
      <c r="G2051" s="15"/>
      <c r="H2051" s="15"/>
      <c r="I2051" s="15"/>
      <c r="J2051" s="9"/>
      <c r="K2051" s="9"/>
      <c r="L2051" s="9"/>
      <c r="M2051" s="9"/>
      <c r="N2051" s="9"/>
      <c r="O2051" s="9"/>
      <c r="P2051" s="9"/>
      <c r="Q2051" s="9"/>
      <c r="R2051" s="9"/>
      <c r="S2051" s="9"/>
      <c r="T2051" s="9"/>
      <c r="U2051" s="9"/>
      <c r="V2051" s="9"/>
      <c r="W2051" s="9"/>
      <c r="X2051" s="17"/>
      <c r="Y2051" s="13"/>
      <c r="Z2051" s="13"/>
      <c r="AC2051" s="24"/>
      <c r="AD2051" s="23"/>
    </row>
    <row r="2052" spans="4:30" x14ac:dyDescent="0.25">
      <c r="D2052" s="3"/>
      <c r="E2052" s="15"/>
      <c r="F2052" s="15"/>
      <c r="G2052" s="15"/>
      <c r="H2052" s="15"/>
      <c r="I2052" s="15"/>
      <c r="J2052" s="9"/>
      <c r="K2052" s="9"/>
      <c r="L2052" s="9"/>
      <c r="M2052" s="9"/>
      <c r="N2052" s="9"/>
      <c r="O2052" s="9"/>
      <c r="P2052" s="9"/>
      <c r="Q2052" s="9"/>
      <c r="R2052" s="9"/>
      <c r="S2052" s="9"/>
      <c r="T2052" s="9"/>
      <c r="U2052" s="9"/>
      <c r="V2052" s="9"/>
      <c r="W2052" s="9"/>
      <c r="X2052" s="17"/>
      <c r="Y2052" s="13"/>
      <c r="Z2052" s="13"/>
      <c r="AC2052" s="24"/>
      <c r="AD2052" s="23"/>
    </row>
    <row r="2053" spans="4:30" x14ac:dyDescent="0.25">
      <c r="D2053" s="3"/>
      <c r="E2053" s="15"/>
      <c r="F2053" s="15"/>
      <c r="G2053" s="15"/>
      <c r="H2053" s="15"/>
      <c r="I2053" s="15"/>
      <c r="J2053" s="9"/>
      <c r="K2053" s="9"/>
      <c r="L2053" s="9"/>
      <c r="M2053" s="9"/>
      <c r="N2053" s="9"/>
      <c r="O2053" s="9"/>
      <c r="P2053" s="9"/>
      <c r="Q2053" s="9"/>
      <c r="R2053" s="9"/>
      <c r="S2053" s="9"/>
      <c r="T2053" s="9"/>
      <c r="U2053" s="9"/>
      <c r="V2053" s="9"/>
      <c r="W2053" s="9"/>
      <c r="X2053" s="17"/>
      <c r="Y2053" s="13"/>
      <c r="Z2053" s="13"/>
      <c r="AC2053" s="24"/>
      <c r="AD2053" s="23"/>
    </row>
    <row r="2054" spans="4:30" x14ac:dyDescent="0.25">
      <c r="D2054" s="3"/>
      <c r="E2054" s="15"/>
      <c r="F2054" s="15"/>
      <c r="G2054" s="15"/>
      <c r="H2054" s="15"/>
      <c r="I2054" s="15"/>
      <c r="J2054" s="9"/>
      <c r="K2054" s="9"/>
      <c r="L2054" s="9"/>
      <c r="M2054" s="9"/>
      <c r="N2054" s="9"/>
      <c r="O2054" s="9"/>
      <c r="P2054" s="9"/>
      <c r="Q2054" s="9"/>
      <c r="R2054" s="9"/>
      <c r="S2054" s="9"/>
      <c r="T2054" s="9"/>
      <c r="U2054" s="9"/>
      <c r="V2054" s="9"/>
      <c r="W2054" s="9"/>
      <c r="X2054" s="17"/>
      <c r="Y2054" s="13"/>
      <c r="Z2054" s="13"/>
      <c r="AC2054" s="24"/>
      <c r="AD2054" s="23"/>
    </row>
    <row r="2055" spans="4:30" x14ac:dyDescent="0.25">
      <c r="D2055" s="3"/>
      <c r="E2055" s="15"/>
      <c r="F2055" s="15"/>
      <c r="G2055" s="15"/>
      <c r="H2055" s="15"/>
      <c r="I2055" s="15"/>
      <c r="J2055" s="9"/>
      <c r="K2055" s="9"/>
      <c r="L2055" s="9"/>
      <c r="M2055" s="9"/>
      <c r="N2055" s="9"/>
      <c r="O2055" s="9"/>
      <c r="P2055" s="9"/>
      <c r="Q2055" s="9"/>
      <c r="R2055" s="9"/>
      <c r="S2055" s="9"/>
      <c r="T2055" s="9"/>
      <c r="U2055" s="9"/>
      <c r="V2055" s="9"/>
      <c r="W2055" s="9"/>
      <c r="X2055" s="17"/>
      <c r="Y2055" s="13"/>
      <c r="Z2055" s="13"/>
      <c r="AC2055" s="24"/>
      <c r="AD2055" s="23"/>
    </row>
    <row r="2056" spans="4:30" x14ac:dyDescent="0.25">
      <c r="D2056" s="3"/>
      <c r="E2056" s="15"/>
      <c r="F2056" s="15"/>
      <c r="G2056" s="15"/>
      <c r="H2056" s="15"/>
      <c r="I2056" s="15"/>
      <c r="J2056" s="9"/>
      <c r="K2056" s="9"/>
      <c r="L2056" s="9"/>
      <c r="M2056" s="9"/>
      <c r="N2056" s="9"/>
      <c r="O2056" s="9"/>
      <c r="P2056" s="9"/>
      <c r="Q2056" s="9"/>
      <c r="R2056" s="9"/>
      <c r="S2056" s="9"/>
      <c r="T2056" s="9"/>
      <c r="U2056" s="9"/>
      <c r="V2056" s="9"/>
      <c r="W2056" s="9"/>
      <c r="X2056" s="17"/>
      <c r="Y2056" s="13"/>
      <c r="Z2056" s="13"/>
      <c r="AC2056" s="24"/>
      <c r="AD2056" s="23"/>
    </row>
    <row r="2057" spans="4:30" x14ac:dyDescent="0.25">
      <c r="D2057" s="3"/>
      <c r="E2057" s="15"/>
      <c r="F2057" s="15"/>
      <c r="G2057" s="15"/>
      <c r="H2057" s="15"/>
      <c r="I2057" s="15"/>
      <c r="J2057" s="9"/>
      <c r="K2057" s="9"/>
      <c r="L2057" s="9"/>
      <c r="M2057" s="9"/>
      <c r="N2057" s="9"/>
      <c r="O2057" s="9"/>
      <c r="P2057" s="9"/>
      <c r="Q2057" s="9"/>
      <c r="R2057" s="9"/>
      <c r="S2057" s="9"/>
      <c r="T2057" s="9"/>
      <c r="U2057" s="9"/>
      <c r="V2057" s="9"/>
      <c r="W2057" s="9"/>
      <c r="X2057" s="17"/>
      <c r="Y2057" s="13"/>
      <c r="Z2057" s="13"/>
      <c r="AC2057" s="24"/>
      <c r="AD2057" s="23"/>
    </row>
    <row r="2058" spans="4:30" x14ac:dyDescent="0.25">
      <c r="D2058" s="3"/>
      <c r="E2058" s="15"/>
      <c r="F2058" s="15"/>
      <c r="G2058" s="15"/>
      <c r="H2058" s="15"/>
      <c r="I2058" s="15"/>
      <c r="J2058" s="9"/>
      <c r="K2058" s="9"/>
      <c r="L2058" s="9"/>
      <c r="M2058" s="9"/>
      <c r="N2058" s="9"/>
      <c r="O2058" s="9"/>
      <c r="P2058" s="9"/>
      <c r="Q2058" s="9"/>
      <c r="R2058" s="9"/>
      <c r="S2058" s="9"/>
      <c r="T2058" s="9"/>
      <c r="U2058" s="9"/>
      <c r="V2058" s="9"/>
      <c r="W2058" s="9"/>
      <c r="X2058" s="17"/>
      <c r="Y2058" s="13"/>
      <c r="Z2058" s="13"/>
      <c r="AC2058" s="24"/>
      <c r="AD2058" s="23"/>
    </row>
    <row r="2059" spans="4:30" x14ac:dyDescent="0.25">
      <c r="D2059" s="3"/>
      <c r="E2059" s="15"/>
      <c r="F2059" s="15"/>
      <c r="G2059" s="15"/>
      <c r="H2059" s="15"/>
      <c r="I2059" s="15"/>
      <c r="J2059" s="9"/>
      <c r="K2059" s="9"/>
      <c r="L2059" s="9"/>
      <c r="M2059" s="9"/>
      <c r="N2059" s="9"/>
      <c r="O2059" s="9"/>
      <c r="P2059" s="9"/>
      <c r="Q2059" s="9"/>
      <c r="R2059" s="9"/>
      <c r="S2059" s="9"/>
      <c r="T2059" s="9"/>
      <c r="U2059" s="9"/>
      <c r="V2059" s="9"/>
      <c r="W2059" s="9"/>
      <c r="X2059" s="17"/>
      <c r="Y2059" s="13"/>
      <c r="Z2059" s="13"/>
      <c r="AC2059" s="24"/>
      <c r="AD2059" s="23"/>
    </row>
    <row r="2060" spans="4:30" x14ac:dyDescent="0.25">
      <c r="D2060" s="3"/>
      <c r="E2060" s="15"/>
      <c r="F2060" s="15"/>
      <c r="G2060" s="15"/>
      <c r="H2060" s="15"/>
      <c r="I2060" s="15"/>
      <c r="J2060" s="9"/>
      <c r="K2060" s="9"/>
      <c r="L2060" s="9"/>
      <c r="M2060" s="9"/>
      <c r="N2060" s="9"/>
      <c r="O2060" s="9"/>
      <c r="P2060" s="9"/>
      <c r="Q2060" s="9"/>
      <c r="R2060" s="9"/>
      <c r="S2060" s="9"/>
      <c r="T2060" s="9"/>
      <c r="U2060" s="9"/>
      <c r="V2060" s="9"/>
      <c r="W2060" s="9"/>
      <c r="X2060" s="17"/>
      <c r="Y2060" s="13"/>
      <c r="Z2060" s="13"/>
      <c r="AC2060" s="24"/>
      <c r="AD2060" s="23"/>
    </row>
    <row r="2061" spans="4:30" x14ac:dyDescent="0.25">
      <c r="D2061" s="3"/>
      <c r="E2061" s="15"/>
      <c r="F2061" s="15"/>
      <c r="G2061" s="15"/>
      <c r="H2061" s="15"/>
      <c r="I2061" s="15"/>
      <c r="J2061" s="9"/>
      <c r="K2061" s="9"/>
      <c r="L2061" s="9"/>
      <c r="M2061" s="9"/>
      <c r="N2061" s="9"/>
      <c r="O2061" s="9"/>
      <c r="P2061" s="9"/>
      <c r="Q2061" s="9"/>
      <c r="R2061" s="9"/>
      <c r="S2061" s="9"/>
      <c r="T2061" s="9"/>
      <c r="U2061" s="9"/>
      <c r="V2061" s="9"/>
      <c r="W2061" s="9"/>
      <c r="X2061" s="17"/>
      <c r="Y2061" s="13"/>
      <c r="Z2061" s="13"/>
      <c r="AC2061" s="24"/>
      <c r="AD2061" s="23"/>
    </row>
    <row r="2062" spans="4:30" x14ac:dyDescent="0.25">
      <c r="D2062" s="3"/>
      <c r="E2062" s="15"/>
      <c r="F2062" s="15"/>
      <c r="G2062" s="15"/>
      <c r="H2062" s="15"/>
      <c r="I2062" s="15"/>
      <c r="J2062" s="9"/>
      <c r="K2062" s="9"/>
      <c r="L2062" s="9"/>
      <c r="M2062" s="9"/>
      <c r="N2062" s="9"/>
      <c r="O2062" s="9"/>
      <c r="P2062" s="9"/>
      <c r="Q2062" s="9"/>
      <c r="R2062" s="9"/>
      <c r="S2062" s="9"/>
      <c r="T2062" s="9"/>
      <c r="U2062" s="9"/>
      <c r="V2062" s="9"/>
      <c r="W2062" s="9"/>
      <c r="X2062" s="17"/>
      <c r="Y2062" s="13"/>
      <c r="Z2062" s="13"/>
      <c r="AC2062" s="24"/>
      <c r="AD2062" s="23"/>
    </row>
    <row r="2063" spans="4:30" x14ac:dyDescent="0.25">
      <c r="D2063" s="3"/>
      <c r="E2063" s="15"/>
      <c r="F2063" s="15"/>
      <c r="G2063" s="15"/>
      <c r="H2063" s="15"/>
      <c r="I2063" s="15"/>
      <c r="J2063" s="9"/>
      <c r="K2063" s="9"/>
      <c r="L2063" s="9"/>
      <c r="M2063" s="9"/>
      <c r="N2063" s="9"/>
      <c r="O2063" s="9"/>
      <c r="P2063" s="9"/>
      <c r="Q2063" s="9"/>
      <c r="R2063" s="9"/>
      <c r="S2063" s="9"/>
      <c r="T2063" s="9"/>
      <c r="U2063" s="9"/>
      <c r="V2063" s="9"/>
      <c r="W2063" s="9"/>
      <c r="X2063" s="17"/>
      <c r="Y2063" s="13"/>
      <c r="Z2063" s="13"/>
      <c r="AC2063" s="24"/>
      <c r="AD2063" s="23"/>
    </row>
    <row r="2064" spans="4:30" x14ac:dyDescent="0.25">
      <c r="D2064" s="3"/>
      <c r="E2064" s="15"/>
      <c r="F2064" s="15"/>
      <c r="G2064" s="15"/>
      <c r="H2064" s="15"/>
      <c r="I2064" s="15"/>
      <c r="J2064" s="9"/>
      <c r="K2064" s="9"/>
      <c r="L2064" s="9"/>
      <c r="M2064" s="9"/>
      <c r="N2064" s="9"/>
      <c r="O2064" s="9"/>
      <c r="P2064" s="9"/>
      <c r="Q2064" s="9"/>
      <c r="R2064" s="9"/>
      <c r="S2064" s="9"/>
      <c r="T2064" s="9"/>
      <c r="U2064" s="9"/>
      <c r="V2064" s="9"/>
      <c r="W2064" s="9"/>
      <c r="X2064" s="17"/>
      <c r="Y2064" s="13"/>
      <c r="Z2064" s="13"/>
      <c r="AC2064" s="24"/>
      <c r="AD2064" s="23"/>
    </row>
    <row r="2065" spans="4:30" x14ac:dyDescent="0.25">
      <c r="D2065" s="3"/>
      <c r="E2065" s="15"/>
      <c r="F2065" s="15"/>
      <c r="G2065" s="15"/>
      <c r="H2065" s="15"/>
      <c r="I2065" s="15"/>
      <c r="J2065" s="9"/>
      <c r="K2065" s="9"/>
      <c r="L2065" s="9"/>
      <c r="M2065" s="9"/>
      <c r="N2065" s="9"/>
      <c r="O2065" s="9"/>
      <c r="P2065" s="9"/>
      <c r="Q2065" s="9"/>
      <c r="R2065" s="9"/>
      <c r="S2065" s="9"/>
      <c r="T2065" s="9"/>
      <c r="U2065" s="9"/>
      <c r="V2065" s="9"/>
      <c r="W2065" s="9"/>
      <c r="X2065" s="17"/>
      <c r="Y2065" s="13"/>
      <c r="Z2065" s="13"/>
      <c r="AC2065" s="24"/>
      <c r="AD2065" s="23"/>
    </row>
    <row r="2066" spans="4:30" x14ac:dyDescent="0.25">
      <c r="D2066" s="3"/>
      <c r="E2066" s="15"/>
      <c r="F2066" s="15"/>
      <c r="G2066" s="15"/>
      <c r="H2066" s="15"/>
      <c r="I2066" s="15"/>
      <c r="J2066" s="9"/>
      <c r="K2066" s="9"/>
      <c r="L2066" s="9"/>
      <c r="M2066" s="9"/>
      <c r="N2066" s="9"/>
      <c r="O2066" s="9"/>
      <c r="P2066" s="9"/>
      <c r="Q2066" s="9"/>
      <c r="R2066" s="9"/>
      <c r="S2066" s="9"/>
      <c r="T2066" s="9"/>
      <c r="U2066" s="9"/>
      <c r="V2066" s="9"/>
      <c r="W2066" s="9"/>
      <c r="X2066" s="17"/>
      <c r="Y2066" s="13"/>
      <c r="Z2066" s="13"/>
      <c r="AC2066" s="24"/>
      <c r="AD2066" s="23"/>
    </row>
    <row r="2067" spans="4:30" x14ac:dyDescent="0.25">
      <c r="D2067" s="3"/>
      <c r="E2067" s="15"/>
      <c r="F2067" s="15"/>
      <c r="G2067" s="15"/>
      <c r="H2067" s="15"/>
      <c r="I2067" s="15"/>
      <c r="J2067" s="9"/>
      <c r="K2067" s="9"/>
      <c r="L2067" s="9"/>
      <c r="M2067" s="9"/>
      <c r="N2067" s="9"/>
      <c r="O2067" s="9"/>
      <c r="P2067" s="9"/>
      <c r="Q2067" s="9"/>
      <c r="R2067" s="9"/>
      <c r="S2067" s="9"/>
      <c r="T2067" s="9"/>
      <c r="U2067" s="9"/>
      <c r="V2067" s="9"/>
      <c r="W2067" s="9"/>
      <c r="X2067" s="17"/>
      <c r="Y2067" s="13"/>
      <c r="Z2067" s="13"/>
      <c r="AC2067" s="24"/>
      <c r="AD2067" s="23"/>
    </row>
    <row r="2068" spans="4:30" x14ac:dyDescent="0.25">
      <c r="D2068" s="3"/>
      <c r="E2068" s="15"/>
      <c r="F2068" s="15"/>
      <c r="G2068" s="15"/>
      <c r="H2068" s="15"/>
      <c r="I2068" s="15"/>
      <c r="J2068" s="9"/>
      <c r="K2068" s="9"/>
      <c r="L2068" s="9"/>
      <c r="M2068" s="9"/>
      <c r="N2068" s="9"/>
      <c r="O2068" s="9"/>
      <c r="P2068" s="9"/>
      <c r="Q2068" s="9"/>
      <c r="R2068" s="9"/>
      <c r="S2068" s="9"/>
      <c r="T2068" s="9"/>
      <c r="U2068" s="9"/>
      <c r="V2068" s="9"/>
      <c r="W2068" s="9"/>
      <c r="X2068" s="17"/>
      <c r="Y2068" s="13"/>
      <c r="Z2068" s="13"/>
      <c r="AC2068" s="24"/>
      <c r="AD2068" s="23"/>
    </row>
    <row r="2069" spans="4:30" x14ac:dyDescent="0.25">
      <c r="D2069" s="3"/>
      <c r="E2069" s="15"/>
      <c r="F2069" s="15"/>
      <c r="G2069" s="15"/>
      <c r="H2069" s="15"/>
      <c r="I2069" s="15"/>
      <c r="J2069" s="9"/>
      <c r="K2069" s="9"/>
      <c r="L2069" s="9"/>
      <c r="M2069" s="9"/>
      <c r="N2069" s="9"/>
      <c r="O2069" s="9"/>
      <c r="P2069" s="9"/>
      <c r="Q2069" s="9"/>
      <c r="R2069" s="9"/>
      <c r="S2069" s="9"/>
      <c r="T2069" s="9"/>
      <c r="U2069" s="9"/>
      <c r="V2069" s="9"/>
      <c r="W2069" s="9"/>
      <c r="X2069" s="17"/>
      <c r="Y2069" s="13"/>
      <c r="Z2069" s="13"/>
      <c r="AC2069" s="24"/>
      <c r="AD2069" s="23"/>
    </row>
    <row r="2070" spans="4:30" x14ac:dyDescent="0.25">
      <c r="D2070" s="3"/>
      <c r="E2070" s="15"/>
      <c r="F2070" s="15"/>
      <c r="G2070" s="15"/>
      <c r="H2070" s="15"/>
      <c r="I2070" s="15"/>
      <c r="J2070" s="9"/>
      <c r="K2070" s="9"/>
      <c r="L2070" s="9"/>
      <c r="M2070" s="9"/>
      <c r="N2070" s="9"/>
      <c r="O2070" s="9"/>
      <c r="P2070" s="9"/>
      <c r="Q2070" s="9"/>
      <c r="R2070" s="9"/>
      <c r="S2070" s="9"/>
      <c r="T2070" s="9"/>
      <c r="U2070" s="9"/>
      <c r="V2070" s="9"/>
      <c r="W2070" s="9"/>
      <c r="X2070" s="17"/>
      <c r="Y2070" s="13"/>
      <c r="Z2070" s="13"/>
      <c r="AC2070" s="24"/>
      <c r="AD2070" s="23"/>
    </row>
    <row r="2071" spans="4:30" x14ac:dyDescent="0.25">
      <c r="D2071" s="3"/>
      <c r="E2071" s="15"/>
      <c r="F2071" s="15"/>
      <c r="G2071" s="15"/>
      <c r="H2071" s="15"/>
      <c r="I2071" s="15"/>
      <c r="J2071" s="9"/>
      <c r="K2071" s="9"/>
      <c r="L2071" s="9"/>
      <c r="M2071" s="9"/>
      <c r="N2071" s="9"/>
      <c r="O2071" s="9"/>
      <c r="P2071" s="9"/>
      <c r="Q2071" s="9"/>
      <c r="R2071" s="9"/>
      <c r="S2071" s="9"/>
      <c r="T2071" s="9"/>
      <c r="U2071" s="9"/>
      <c r="V2071" s="9"/>
      <c r="W2071" s="9"/>
      <c r="X2071" s="17"/>
      <c r="Y2071" s="13"/>
      <c r="Z2071" s="13"/>
      <c r="AC2071" s="24"/>
      <c r="AD2071" s="23"/>
    </row>
    <row r="2072" spans="4:30" x14ac:dyDescent="0.25">
      <c r="D2072" s="3"/>
      <c r="E2072" s="15"/>
      <c r="F2072" s="15"/>
      <c r="G2072" s="15"/>
      <c r="H2072" s="15"/>
      <c r="I2072" s="15"/>
      <c r="J2072" s="9"/>
      <c r="K2072" s="9"/>
      <c r="L2072" s="9"/>
      <c r="M2072" s="9"/>
      <c r="N2072" s="9"/>
      <c r="O2072" s="9"/>
      <c r="P2072" s="9"/>
      <c r="Q2072" s="9"/>
      <c r="R2072" s="9"/>
      <c r="S2072" s="9"/>
      <c r="T2072" s="9"/>
      <c r="U2072" s="9"/>
      <c r="V2072" s="9"/>
      <c r="W2072" s="9"/>
      <c r="X2072" s="17"/>
      <c r="Y2072" s="13"/>
      <c r="Z2072" s="13"/>
      <c r="AC2072" s="24"/>
      <c r="AD2072" s="23"/>
    </row>
    <row r="2073" spans="4:30" x14ac:dyDescent="0.25">
      <c r="D2073" s="3"/>
      <c r="E2073" s="15"/>
      <c r="F2073" s="15"/>
      <c r="G2073" s="15"/>
      <c r="H2073" s="15"/>
      <c r="I2073" s="15"/>
      <c r="J2073" s="9"/>
      <c r="K2073" s="9"/>
      <c r="L2073" s="9"/>
      <c r="M2073" s="9"/>
      <c r="N2073" s="9"/>
      <c r="O2073" s="9"/>
      <c r="P2073" s="9"/>
      <c r="Q2073" s="9"/>
      <c r="R2073" s="9"/>
      <c r="S2073" s="9"/>
      <c r="T2073" s="9"/>
      <c r="U2073" s="9"/>
      <c r="V2073" s="9"/>
      <c r="W2073" s="9"/>
      <c r="X2073" s="17"/>
      <c r="Y2073" s="13"/>
      <c r="Z2073" s="13"/>
      <c r="AC2073" s="24"/>
      <c r="AD2073" s="23"/>
    </row>
    <row r="2074" spans="4:30" x14ac:dyDescent="0.25">
      <c r="D2074" s="3"/>
      <c r="E2074" s="15"/>
      <c r="F2074" s="15"/>
      <c r="G2074" s="15"/>
      <c r="H2074" s="15"/>
      <c r="I2074" s="15"/>
      <c r="J2074" s="9"/>
      <c r="K2074" s="9"/>
      <c r="L2074" s="9"/>
      <c r="M2074" s="9"/>
      <c r="N2074" s="9"/>
      <c r="O2074" s="9"/>
      <c r="P2074" s="9"/>
      <c r="Q2074" s="9"/>
      <c r="R2074" s="9"/>
      <c r="S2074" s="9"/>
      <c r="T2074" s="9"/>
      <c r="U2074" s="9"/>
      <c r="V2074" s="9"/>
      <c r="W2074" s="9"/>
      <c r="X2074" s="17"/>
      <c r="Y2074" s="13"/>
      <c r="Z2074" s="13"/>
      <c r="AC2074" s="24"/>
      <c r="AD2074" s="23"/>
    </row>
    <row r="2075" spans="4:30" x14ac:dyDescent="0.25">
      <c r="D2075" s="3"/>
      <c r="E2075" s="15"/>
      <c r="F2075" s="15"/>
      <c r="G2075" s="15"/>
      <c r="H2075" s="15"/>
      <c r="I2075" s="15"/>
      <c r="J2075" s="9"/>
      <c r="K2075" s="9"/>
      <c r="L2075" s="9"/>
      <c r="M2075" s="9"/>
      <c r="N2075" s="9"/>
      <c r="O2075" s="9"/>
      <c r="P2075" s="9"/>
      <c r="Q2075" s="9"/>
      <c r="R2075" s="9"/>
      <c r="S2075" s="9"/>
      <c r="T2075" s="9"/>
      <c r="U2075" s="9"/>
      <c r="V2075" s="9"/>
      <c r="W2075" s="9"/>
      <c r="X2075" s="17"/>
      <c r="Y2075" s="13"/>
      <c r="Z2075" s="13"/>
      <c r="AC2075" s="24"/>
      <c r="AD2075" s="23"/>
    </row>
    <row r="2076" spans="4:30" x14ac:dyDescent="0.25">
      <c r="D2076" s="3"/>
      <c r="E2076" s="15"/>
      <c r="F2076" s="15"/>
      <c r="G2076" s="15"/>
      <c r="H2076" s="15"/>
      <c r="I2076" s="15"/>
      <c r="J2076" s="9"/>
      <c r="K2076" s="9"/>
      <c r="L2076" s="9"/>
      <c r="M2076" s="9"/>
      <c r="N2076" s="9"/>
      <c r="O2076" s="9"/>
      <c r="P2076" s="9"/>
      <c r="Q2076" s="9"/>
      <c r="R2076" s="9"/>
      <c r="S2076" s="9"/>
      <c r="T2076" s="9"/>
      <c r="U2076" s="9"/>
      <c r="V2076" s="9"/>
      <c r="W2076" s="9"/>
      <c r="X2076" s="17"/>
      <c r="Y2076" s="13"/>
      <c r="Z2076" s="13"/>
      <c r="AC2076" s="24"/>
      <c r="AD2076" s="23"/>
    </row>
    <row r="2077" spans="4:30" x14ac:dyDescent="0.25">
      <c r="D2077" s="3"/>
      <c r="E2077" s="15"/>
      <c r="F2077" s="15"/>
      <c r="G2077" s="15"/>
      <c r="H2077" s="15"/>
      <c r="I2077" s="15"/>
      <c r="J2077" s="9"/>
      <c r="K2077" s="9"/>
      <c r="L2077" s="9"/>
      <c r="M2077" s="9"/>
      <c r="N2077" s="9"/>
      <c r="O2077" s="9"/>
      <c r="P2077" s="9"/>
      <c r="Q2077" s="9"/>
      <c r="R2077" s="9"/>
      <c r="S2077" s="9"/>
      <c r="T2077" s="9"/>
      <c r="U2077" s="9"/>
      <c r="V2077" s="9"/>
      <c r="W2077" s="9"/>
      <c r="X2077" s="17"/>
      <c r="Y2077" s="13"/>
      <c r="Z2077" s="13"/>
      <c r="AC2077" s="24"/>
      <c r="AD2077" s="23"/>
    </row>
    <row r="2078" spans="4:30" x14ac:dyDescent="0.25">
      <c r="D2078" s="3"/>
      <c r="E2078" s="15"/>
      <c r="F2078" s="15"/>
      <c r="G2078" s="15"/>
      <c r="H2078" s="15"/>
      <c r="I2078" s="15"/>
      <c r="J2078" s="9"/>
      <c r="K2078" s="9"/>
      <c r="L2078" s="9"/>
      <c r="M2078" s="9"/>
      <c r="N2078" s="9"/>
      <c r="O2078" s="9"/>
      <c r="P2078" s="9"/>
      <c r="Q2078" s="9"/>
      <c r="R2078" s="9"/>
      <c r="S2078" s="9"/>
      <c r="T2078" s="9"/>
      <c r="U2078" s="9"/>
      <c r="V2078" s="9"/>
      <c r="W2078" s="9"/>
      <c r="X2078" s="17"/>
      <c r="Y2078" s="13"/>
      <c r="Z2078" s="13"/>
      <c r="AC2078" s="24"/>
      <c r="AD2078" s="23"/>
    </row>
    <row r="2079" spans="4:30" x14ac:dyDescent="0.25">
      <c r="D2079" s="3"/>
      <c r="E2079" s="15"/>
      <c r="F2079" s="15"/>
      <c r="G2079" s="15"/>
      <c r="H2079" s="15"/>
      <c r="I2079" s="15"/>
      <c r="J2079" s="9"/>
      <c r="K2079" s="9"/>
      <c r="L2079" s="9"/>
      <c r="M2079" s="9"/>
      <c r="N2079" s="9"/>
      <c r="O2079" s="9"/>
      <c r="P2079" s="9"/>
      <c r="Q2079" s="9"/>
      <c r="R2079" s="9"/>
      <c r="S2079" s="9"/>
      <c r="T2079" s="9"/>
      <c r="U2079" s="9"/>
      <c r="V2079" s="9"/>
      <c r="W2079" s="9"/>
      <c r="X2079" s="17"/>
      <c r="Y2079" s="13"/>
      <c r="Z2079" s="13"/>
      <c r="AC2079" s="24"/>
      <c r="AD2079" s="23"/>
    </row>
    <row r="2080" spans="4:30" x14ac:dyDescent="0.25">
      <c r="D2080" s="3"/>
      <c r="E2080" s="15"/>
      <c r="F2080" s="15"/>
      <c r="G2080" s="15"/>
      <c r="H2080" s="15"/>
      <c r="I2080" s="15"/>
      <c r="J2080" s="9"/>
      <c r="K2080" s="9"/>
      <c r="L2080" s="9"/>
      <c r="M2080" s="9"/>
      <c r="N2080" s="9"/>
      <c r="O2080" s="9"/>
      <c r="P2080" s="9"/>
      <c r="Q2080" s="9"/>
      <c r="R2080" s="9"/>
      <c r="S2080" s="9"/>
      <c r="T2080" s="9"/>
      <c r="U2080" s="9"/>
      <c r="V2080" s="9"/>
      <c r="W2080" s="9"/>
      <c r="X2080" s="17"/>
      <c r="Y2080" s="13"/>
      <c r="Z2080" s="13"/>
      <c r="AC2080" s="24"/>
      <c r="AD2080" s="23"/>
    </row>
    <row r="2081" spans="4:30" x14ac:dyDescent="0.25">
      <c r="D2081" s="3"/>
      <c r="E2081" s="15"/>
      <c r="F2081" s="15"/>
      <c r="G2081" s="15"/>
      <c r="H2081" s="15"/>
      <c r="I2081" s="15"/>
      <c r="J2081" s="9"/>
      <c r="K2081" s="9"/>
      <c r="L2081" s="9"/>
      <c r="M2081" s="9"/>
      <c r="N2081" s="9"/>
      <c r="O2081" s="9"/>
      <c r="P2081" s="9"/>
      <c r="Q2081" s="9"/>
      <c r="R2081" s="9"/>
      <c r="S2081" s="9"/>
      <c r="T2081" s="9"/>
      <c r="U2081" s="9"/>
      <c r="V2081" s="9"/>
      <c r="W2081" s="9"/>
      <c r="X2081" s="17"/>
      <c r="Y2081" s="13"/>
      <c r="Z2081" s="13"/>
      <c r="AC2081" s="24"/>
      <c r="AD2081" s="23"/>
    </row>
    <row r="2082" spans="4:30" x14ac:dyDescent="0.25">
      <c r="D2082" s="3"/>
      <c r="E2082" s="15"/>
      <c r="F2082" s="15"/>
      <c r="G2082" s="15"/>
      <c r="H2082" s="15"/>
      <c r="I2082" s="15"/>
      <c r="J2082" s="9"/>
      <c r="K2082" s="9"/>
      <c r="L2082" s="9"/>
      <c r="M2082" s="9"/>
      <c r="N2082" s="9"/>
      <c r="O2082" s="9"/>
      <c r="P2082" s="9"/>
      <c r="Q2082" s="9"/>
      <c r="R2082" s="9"/>
      <c r="S2082" s="9"/>
      <c r="T2082" s="9"/>
      <c r="U2082" s="9"/>
      <c r="V2082" s="9"/>
      <c r="W2082" s="9"/>
      <c r="X2082" s="17"/>
      <c r="Y2082" s="13"/>
      <c r="Z2082" s="13"/>
      <c r="AC2082" s="24"/>
      <c r="AD2082" s="23"/>
    </row>
    <row r="2083" spans="4:30" x14ac:dyDescent="0.25">
      <c r="D2083" s="3"/>
      <c r="E2083" s="15"/>
      <c r="F2083" s="15"/>
      <c r="G2083" s="15"/>
      <c r="H2083" s="15"/>
      <c r="I2083" s="15"/>
      <c r="J2083" s="9"/>
      <c r="K2083" s="9"/>
      <c r="L2083" s="9"/>
      <c r="M2083" s="9"/>
      <c r="N2083" s="9"/>
      <c r="O2083" s="9"/>
      <c r="P2083" s="9"/>
      <c r="Q2083" s="9"/>
      <c r="R2083" s="9"/>
      <c r="S2083" s="9"/>
      <c r="T2083" s="9"/>
      <c r="U2083" s="9"/>
      <c r="V2083" s="9"/>
      <c r="W2083" s="9"/>
      <c r="X2083" s="17"/>
      <c r="Y2083" s="13"/>
      <c r="Z2083" s="13"/>
      <c r="AC2083" s="24"/>
      <c r="AD2083" s="23"/>
    </row>
    <row r="2084" spans="4:30" x14ac:dyDescent="0.25">
      <c r="D2084" s="3"/>
      <c r="E2084" s="15"/>
      <c r="F2084" s="15"/>
      <c r="G2084" s="15"/>
      <c r="H2084" s="15"/>
      <c r="I2084" s="15"/>
      <c r="J2084" s="9"/>
      <c r="K2084" s="9"/>
      <c r="L2084" s="9"/>
      <c r="M2084" s="9"/>
      <c r="N2084" s="9"/>
      <c r="O2084" s="9"/>
      <c r="P2084" s="9"/>
      <c r="Q2084" s="9"/>
      <c r="R2084" s="9"/>
      <c r="S2084" s="9"/>
      <c r="T2084" s="9"/>
      <c r="U2084" s="9"/>
      <c r="V2084" s="9"/>
      <c r="W2084" s="9"/>
      <c r="X2084" s="17"/>
      <c r="Y2084" s="13"/>
      <c r="Z2084" s="13"/>
      <c r="AC2084" s="24"/>
      <c r="AD2084" s="23"/>
    </row>
    <row r="2085" spans="4:30" x14ac:dyDescent="0.25">
      <c r="D2085" s="3"/>
      <c r="E2085" s="15"/>
      <c r="F2085" s="15"/>
      <c r="G2085" s="15"/>
      <c r="H2085" s="15"/>
      <c r="I2085" s="15"/>
      <c r="J2085" s="9"/>
      <c r="K2085" s="9"/>
      <c r="L2085" s="9"/>
      <c r="M2085" s="9"/>
      <c r="N2085" s="9"/>
      <c r="O2085" s="9"/>
      <c r="P2085" s="9"/>
      <c r="Q2085" s="9"/>
      <c r="R2085" s="9"/>
      <c r="S2085" s="9"/>
      <c r="T2085" s="9"/>
      <c r="U2085" s="9"/>
      <c r="V2085" s="9"/>
      <c r="W2085" s="9"/>
      <c r="X2085" s="17"/>
      <c r="Y2085" s="13"/>
      <c r="Z2085" s="13"/>
      <c r="AC2085" s="24"/>
      <c r="AD2085" s="23"/>
    </row>
    <row r="2086" spans="4:30" x14ac:dyDescent="0.25">
      <c r="D2086" s="3"/>
      <c r="E2086" s="15"/>
      <c r="F2086" s="15"/>
      <c r="G2086" s="15"/>
      <c r="H2086" s="15"/>
      <c r="I2086" s="15"/>
      <c r="J2086" s="9"/>
      <c r="K2086" s="9"/>
      <c r="L2086" s="9"/>
      <c r="M2086" s="9"/>
      <c r="N2086" s="9"/>
      <c r="O2086" s="9"/>
      <c r="P2086" s="9"/>
      <c r="Q2086" s="9"/>
      <c r="R2086" s="9"/>
      <c r="S2086" s="9"/>
      <c r="T2086" s="9"/>
      <c r="U2086" s="9"/>
      <c r="V2086" s="9"/>
      <c r="W2086" s="9"/>
      <c r="X2086" s="17"/>
      <c r="Y2086" s="13"/>
      <c r="Z2086" s="13"/>
      <c r="AC2086" s="24"/>
      <c r="AD2086" s="23"/>
    </row>
    <row r="2087" spans="4:30" x14ac:dyDescent="0.25">
      <c r="D2087" s="3"/>
      <c r="E2087" s="15"/>
      <c r="F2087" s="15"/>
      <c r="G2087" s="15"/>
      <c r="H2087" s="15"/>
      <c r="I2087" s="15"/>
      <c r="J2087" s="9"/>
      <c r="K2087" s="9"/>
      <c r="L2087" s="9"/>
      <c r="M2087" s="9"/>
      <c r="N2087" s="9"/>
      <c r="O2087" s="9"/>
      <c r="P2087" s="9"/>
      <c r="Q2087" s="9"/>
      <c r="R2087" s="9"/>
      <c r="S2087" s="9"/>
      <c r="T2087" s="9"/>
      <c r="U2087" s="9"/>
      <c r="V2087" s="9"/>
      <c r="W2087" s="9"/>
      <c r="X2087" s="17"/>
      <c r="Y2087" s="13"/>
      <c r="Z2087" s="13"/>
      <c r="AC2087" s="24"/>
      <c r="AD2087" s="23"/>
    </row>
    <row r="2088" spans="4:30" x14ac:dyDescent="0.25">
      <c r="D2088" s="3"/>
      <c r="E2088" s="15"/>
      <c r="F2088" s="15"/>
      <c r="G2088" s="15"/>
      <c r="H2088" s="15"/>
      <c r="I2088" s="15"/>
      <c r="J2088" s="9"/>
      <c r="K2088" s="9"/>
      <c r="L2088" s="9"/>
      <c r="M2088" s="9"/>
      <c r="N2088" s="9"/>
      <c r="O2088" s="9"/>
      <c r="P2088" s="9"/>
      <c r="Q2088" s="9"/>
      <c r="R2088" s="9"/>
      <c r="S2088" s="9"/>
      <c r="T2088" s="9"/>
      <c r="U2088" s="9"/>
      <c r="V2088" s="9"/>
      <c r="W2088" s="9"/>
      <c r="X2088" s="17"/>
      <c r="Y2088" s="13"/>
      <c r="Z2088" s="13"/>
      <c r="AC2088" s="24"/>
      <c r="AD2088" s="23"/>
    </row>
    <row r="2089" spans="4:30" x14ac:dyDescent="0.25">
      <c r="D2089" s="3"/>
      <c r="E2089" s="15"/>
      <c r="F2089" s="15"/>
      <c r="G2089" s="15"/>
      <c r="H2089" s="15"/>
      <c r="I2089" s="15"/>
      <c r="J2089" s="9"/>
      <c r="K2089" s="9"/>
      <c r="L2089" s="9"/>
      <c r="M2089" s="9"/>
      <c r="N2089" s="9"/>
      <c r="O2089" s="9"/>
      <c r="P2089" s="9"/>
      <c r="Q2089" s="9"/>
      <c r="R2089" s="9"/>
      <c r="S2089" s="9"/>
      <c r="T2089" s="9"/>
      <c r="U2089" s="9"/>
      <c r="V2089" s="9"/>
      <c r="W2089" s="9"/>
      <c r="X2089" s="17"/>
      <c r="Y2089" s="13"/>
      <c r="Z2089" s="13"/>
      <c r="AC2089" s="24"/>
      <c r="AD2089" s="23"/>
    </row>
    <row r="2090" spans="4:30" x14ac:dyDescent="0.25">
      <c r="D2090" s="3"/>
      <c r="E2090" s="15"/>
      <c r="F2090" s="15"/>
      <c r="G2090" s="15"/>
      <c r="H2090" s="15"/>
      <c r="I2090" s="15"/>
      <c r="J2090" s="9"/>
      <c r="K2090" s="9"/>
      <c r="L2090" s="9"/>
      <c r="M2090" s="9"/>
      <c r="N2090" s="9"/>
      <c r="O2090" s="9"/>
      <c r="P2090" s="9"/>
      <c r="Q2090" s="9"/>
      <c r="R2090" s="9"/>
      <c r="S2090" s="9"/>
      <c r="T2090" s="9"/>
      <c r="U2090" s="9"/>
      <c r="V2090" s="9"/>
      <c r="W2090" s="9"/>
      <c r="X2090" s="17"/>
      <c r="Y2090" s="13"/>
      <c r="Z2090" s="13"/>
      <c r="AC2090" s="24"/>
      <c r="AD2090" s="23"/>
    </row>
    <row r="2091" spans="4:30" x14ac:dyDescent="0.25">
      <c r="D2091" s="3"/>
      <c r="E2091" s="15"/>
      <c r="F2091" s="15"/>
      <c r="G2091" s="15"/>
      <c r="H2091" s="15"/>
      <c r="I2091" s="15"/>
      <c r="J2091" s="9"/>
      <c r="K2091" s="9"/>
      <c r="L2091" s="9"/>
      <c r="M2091" s="9"/>
      <c r="N2091" s="9"/>
      <c r="O2091" s="9"/>
      <c r="P2091" s="9"/>
      <c r="Q2091" s="9"/>
      <c r="R2091" s="9"/>
      <c r="S2091" s="9"/>
      <c r="T2091" s="9"/>
      <c r="U2091" s="9"/>
      <c r="V2091" s="9"/>
      <c r="W2091" s="9"/>
      <c r="X2091" s="17"/>
      <c r="Y2091" s="13"/>
      <c r="Z2091" s="13"/>
      <c r="AC2091" s="24"/>
      <c r="AD2091" s="23"/>
    </row>
    <row r="2092" spans="4:30" x14ac:dyDescent="0.25">
      <c r="D2092" s="3"/>
      <c r="E2092" s="15"/>
      <c r="F2092" s="15"/>
      <c r="G2092" s="15"/>
      <c r="H2092" s="15"/>
      <c r="I2092" s="15"/>
      <c r="J2092" s="9"/>
      <c r="K2092" s="9"/>
      <c r="L2092" s="9"/>
      <c r="M2092" s="9"/>
      <c r="N2092" s="9"/>
      <c r="O2092" s="9"/>
      <c r="P2092" s="9"/>
      <c r="Q2092" s="9"/>
      <c r="R2092" s="9"/>
      <c r="S2092" s="9"/>
      <c r="T2092" s="9"/>
      <c r="U2092" s="9"/>
      <c r="V2092" s="9"/>
      <c r="W2092" s="9"/>
      <c r="X2092" s="17"/>
      <c r="Y2092" s="13"/>
      <c r="Z2092" s="13"/>
      <c r="AC2092" s="24"/>
      <c r="AD2092" s="23"/>
    </row>
    <row r="2093" spans="4:30" x14ac:dyDescent="0.25">
      <c r="D2093" s="3"/>
      <c r="E2093" s="15"/>
      <c r="F2093" s="15"/>
      <c r="G2093" s="15"/>
      <c r="H2093" s="15"/>
      <c r="I2093" s="15"/>
      <c r="J2093" s="9"/>
      <c r="K2093" s="9"/>
      <c r="L2093" s="9"/>
      <c r="M2093" s="9"/>
      <c r="N2093" s="9"/>
      <c r="O2093" s="9"/>
      <c r="P2093" s="9"/>
      <c r="Q2093" s="9"/>
      <c r="R2093" s="9"/>
      <c r="S2093" s="9"/>
      <c r="T2093" s="9"/>
      <c r="U2093" s="9"/>
      <c r="V2093" s="9"/>
      <c r="W2093" s="9"/>
      <c r="X2093" s="17"/>
      <c r="Y2093" s="13"/>
      <c r="Z2093" s="13"/>
      <c r="AC2093" s="24"/>
      <c r="AD2093" s="23"/>
    </row>
    <row r="2094" spans="4:30" x14ac:dyDescent="0.25">
      <c r="D2094" s="3"/>
      <c r="E2094" s="15"/>
      <c r="F2094" s="15"/>
      <c r="G2094" s="15"/>
      <c r="H2094" s="15"/>
      <c r="I2094" s="15"/>
      <c r="J2094" s="9"/>
      <c r="K2094" s="9"/>
      <c r="L2094" s="9"/>
      <c r="M2094" s="9"/>
      <c r="N2094" s="9"/>
      <c r="O2094" s="9"/>
      <c r="P2094" s="9"/>
      <c r="Q2094" s="9"/>
      <c r="R2094" s="9"/>
      <c r="S2094" s="9"/>
      <c r="T2094" s="9"/>
      <c r="U2094" s="9"/>
      <c r="V2094" s="9"/>
      <c r="W2094" s="9"/>
      <c r="X2094" s="17"/>
      <c r="Y2094" s="13"/>
      <c r="Z2094" s="13"/>
      <c r="AC2094" s="24"/>
      <c r="AD2094" s="23"/>
    </row>
    <row r="2095" spans="4:30" x14ac:dyDescent="0.25">
      <c r="D2095" s="3"/>
      <c r="E2095" s="15"/>
      <c r="F2095" s="15"/>
      <c r="G2095" s="15"/>
      <c r="H2095" s="15"/>
      <c r="I2095" s="15"/>
      <c r="J2095" s="9"/>
      <c r="K2095" s="9"/>
      <c r="L2095" s="9"/>
      <c r="M2095" s="9"/>
      <c r="N2095" s="9"/>
      <c r="O2095" s="9"/>
      <c r="P2095" s="9"/>
      <c r="Q2095" s="9"/>
      <c r="R2095" s="9"/>
      <c r="S2095" s="9"/>
      <c r="T2095" s="9"/>
      <c r="U2095" s="9"/>
      <c r="V2095" s="9"/>
      <c r="W2095" s="9"/>
      <c r="X2095" s="17"/>
      <c r="Y2095" s="13"/>
      <c r="Z2095" s="13"/>
      <c r="AC2095" s="24"/>
      <c r="AD2095" s="23"/>
    </row>
    <row r="2096" spans="4:30" x14ac:dyDescent="0.25">
      <c r="D2096" s="3"/>
      <c r="E2096" s="15"/>
      <c r="F2096" s="15"/>
      <c r="G2096" s="15"/>
      <c r="H2096" s="15"/>
      <c r="I2096" s="15"/>
      <c r="J2096" s="9"/>
      <c r="K2096" s="9"/>
      <c r="L2096" s="9"/>
      <c r="M2096" s="9"/>
      <c r="N2096" s="9"/>
      <c r="O2096" s="9"/>
      <c r="P2096" s="9"/>
      <c r="Q2096" s="9"/>
      <c r="R2096" s="9"/>
      <c r="S2096" s="9"/>
      <c r="T2096" s="9"/>
      <c r="U2096" s="9"/>
      <c r="V2096" s="9"/>
      <c r="W2096" s="9"/>
      <c r="X2096" s="17"/>
      <c r="Y2096" s="13"/>
      <c r="Z2096" s="13"/>
      <c r="AC2096" s="24"/>
      <c r="AD2096" s="23"/>
    </row>
    <row r="2097" spans="4:30" x14ac:dyDescent="0.25">
      <c r="D2097" s="3"/>
      <c r="E2097" s="15"/>
      <c r="F2097" s="15"/>
      <c r="G2097" s="15"/>
      <c r="H2097" s="15"/>
      <c r="I2097" s="15"/>
      <c r="J2097" s="9"/>
      <c r="K2097" s="9"/>
      <c r="L2097" s="9"/>
      <c r="M2097" s="9"/>
      <c r="N2097" s="9"/>
      <c r="O2097" s="9"/>
      <c r="P2097" s="9"/>
      <c r="Q2097" s="9"/>
      <c r="R2097" s="9"/>
      <c r="S2097" s="9"/>
      <c r="T2097" s="9"/>
      <c r="U2097" s="9"/>
      <c r="V2097" s="9"/>
      <c r="W2097" s="9"/>
      <c r="X2097" s="17"/>
      <c r="Y2097" s="13"/>
      <c r="Z2097" s="13"/>
      <c r="AC2097" s="24"/>
      <c r="AD2097" s="23"/>
    </row>
    <row r="2098" spans="4:30" x14ac:dyDescent="0.25">
      <c r="D2098" s="3"/>
      <c r="E2098" s="15"/>
      <c r="F2098" s="15"/>
      <c r="G2098" s="15"/>
      <c r="H2098" s="15"/>
      <c r="I2098" s="15"/>
      <c r="J2098" s="9"/>
      <c r="K2098" s="9"/>
      <c r="L2098" s="9"/>
      <c r="M2098" s="9"/>
      <c r="N2098" s="9"/>
      <c r="O2098" s="9"/>
      <c r="P2098" s="9"/>
      <c r="Q2098" s="9"/>
      <c r="R2098" s="9"/>
      <c r="S2098" s="9"/>
      <c r="T2098" s="9"/>
      <c r="U2098" s="9"/>
      <c r="V2098" s="9"/>
      <c r="W2098" s="9"/>
      <c r="X2098" s="17"/>
      <c r="Y2098" s="13"/>
      <c r="Z2098" s="13"/>
      <c r="AC2098" s="24"/>
      <c r="AD2098" s="23"/>
    </row>
    <row r="2099" spans="4:30" x14ac:dyDescent="0.25">
      <c r="D2099" s="3"/>
      <c r="E2099" s="15"/>
      <c r="F2099" s="15"/>
      <c r="G2099" s="15"/>
      <c r="H2099" s="15"/>
      <c r="I2099" s="15"/>
      <c r="J2099" s="9"/>
      <c r="K2099" s="9"/>
      <c r="L2099" s="9"/>
      <c r="M2099" s="9"/>
      <c r="N2099" s="9"/>
      <c r="O2099" s="9"/>
      <c r="P2099" s="9"/>
      <c r="Q2099" s="9"/>
      <c r="R2099" s="9"/>
      <c r="S2099" s="9"/>
      <c r="T2099" s="9"/>
      <c r="U2099" s="9"/>
      <c r="V2099" s="9"/>
      <c r="W2099" s="9"/>
      <c r="X2099" s="17"/>
      <c r="Y2099" s="13"/>
      <c r="Z2099" s="13"/>
      <c r="AC2099" s="24"/>
      <c r="AD2099" s="23"/>
    </row>
    <row r="2100" spans="4:30" x14ac:dyDescent="0.25">
      <c r="D2100" s="3"/>
      <c r="E2100" s="15"/>
      <c r="F2100" s="15"/>
      <c r="G2100" s="15"/>
      <c r="H2100" s="15"/>
      <c r="I2100" s="15"/>
      <c r="J2100" s="9"/>
      <c r="K2100" s="9"/>
      <c r="L2100" s="9"/>
      <c r="M2100" s="9"/>
      <c r="N2100" s="9"/>
      <c r="O2100" s="9"/>
      <c r="P2100" s="9"/>
      <c r="Q2100" s="9"/>
      <c r="R2100" s="9"/>
      <c r="S2100" s="9"/>
      <c r="T2100" s="9"/>
      <c r="U2100" s="9"/>
      <c r="V2100" s="9"/>
      <c r="W2100" s="9"/>
      <c r="X2100" s="17"/>
      <c r="Y2100" s="13"/>
      <c r="Z2100" s="13"/>
      <c r="AC2100" s="24"/>
      <c r="AD2100" s="23"/>
    </row>
    <row r="2101" spans="4:30" x14ac:dyDescent="0.25">
      <c r="D2101" s="3"/>
      <c r="E2101" s="15"/>
      <c r="F2101" s="15"/>
      <c r="G2101" s="15"/>
      <c r="H2101" s="15"/>
      <c r="I2101" s="15"/>
      <c r="J2101" s="9"/>
      <c r="K2101" s="9"/>
      <c r="L2101" s="9"/>
      <c r="M2101" s="9"/>
      <c r="N2101" s="9"/>
      <c r="O2101" s="9"/>
      <c r="P2101" s="9"/>
      <c r="Q2101" s="9"/>
      <c r="R2101" s="9"/>
      <c r="S2101" s="9"/>
      <c r="T2101" s="9"/>
      <c r="U2101" s="9"/>
      <c r="V2101" s="9"/>
      <c r="W2101" s="9"/>
      <c r="X2101" s="17"/>
      <c r="Y2101" s="13"/>
      <c r="Z2101" s="13"/>
      <c r="AC2101" s="24"/>
      <c r="AD2101" s="23"/>
    </row>
    <row r="2102" spans="4:30" x14ac:dyDescent="0.25">
      <c r="D2102" s="3"/>
      <c r="E2102" s="15"/>
      <c r="F2102" s="15"/>
      <c r="G2102" s="15"/>
      <c r="H2102" s="15"/>
      <c r="I2102" s="15"/>
      <c r="J2102" s="9"/>
      <c r="K2102" s="9"/>
      <c r="L2102" s="9"/>
      <c r="M2102" s="9"/>
      <c r="N2102" s="9"/>
      <c r="O2102" s="9"/>
      <c r="P2102" s="9"/>
      <c r="Q2102" s="9"/>
      <c r="R2102" s="9"/>
      <c r="S2102" s="9"/>
      <c r="T2102" s="9"/>
      <c r="U2102" s="9"/>
      <c r="V2102" s="9"/>
      <c r="W2102" s="9"/>
      <c r="X2102" s="17"/>
      <c r="Y2102" s="13"/>
      <c r="Z2102" s="13"/>
      <c r="AC2102" s="24"/>
      <c r="AD2102" s="23"/>
    </row>
    <row r="2103" spans="4:30" x14ac:dyDescent="0.25">
      <c r="D2103" s="3"/>
      <c r="E2103" s="15"/>
      <c r="F2103" s="15"/>
      <c r="G2103" s="15"/>
      <c r="H2103" s="15"/>
      <c r="I2103" s="15"/>
      <c r="J2103" s="9"/>
      <c r="K2103" s="9"/>
      <c r="L2103" s="9"/>
      <c r="M2103" s="9"/>
      <c r="N2103" s="9"/>
      <c r="O2103" s="9"/>
      <c r="P2103" s="9"/>
      <c r="Q2103" s="9"/>
      <c r="R2103" s="9"/>
      <c r="S2103" s="9"/>
      <c r="T2103" s="9"/>
      <c r="U2103" s="9"/>
      <c r="V2103" s="9"/>
      <c r="W2103" s="9"/>
      <c r="X2103" s="17"/>
      <c r="Y2103" s="13"/>
      <c r="Z2103" s="13"/>
      <c r="AC2103" s="24"/>
      <c r="AD2103" s="23"/>
    </row>
    <row r="2104" spans="4:30" x14ac:dyDescent="0.25">
      <c r="D2104" s="3"/>
      <c r="E2104" s="15"/>
      <c r="F2104" s="15"/>
      <c r="G2104" s="15"/>
      <c r="H2104" s="15"/>
      <c r="I2104" s="15"/>
      <c r="J2104" s="9"/>
      <c r="K2104" s="9"/>
      <c r="L2104" s="9"/>
      <c r="M2104" s="9"/>
      <c r="N2104" s="9"/>
      <c r="O2104" s="9"/>
      <c r="P2104" s="9"/>
      <c r="Q2104" s="9"/>
      <c r="R2104" s="9"/>
      <c r="S2104" s="9"/>
      <c r="T2104" s="9"/>
      <c r="U2104" s="9"/>
      <c r="V2104" s="9"/>
      <c r="W2104" s="9"/>
      <c r="X2104" s="17"/>
      <c r="Y2104" s="13"/>
      <c r="Z2104" s="13"/>
      <c r="AC2104" s="24"/>
      <c r="AD2104" s="23"/>
    </row>
    <row r="2105" spans="4:30" x14ac:dyDescent="0.25">
      <c r="D2105" s="3"/>
      <c r="E2105" s="15"/>
      <c r="F2105" s="15"/>
      <c r="G2105" s="15"/>
      <c r="H2105" s="15"/>
      <c r="I2105" s="15"/>
      <c r="J2105" s="9"/>
      <c r="K2105" s="9"/>
      <c r="L2105" s="9"/>
      <c r="M2105" s="9"/>
      <c r="N2105" s="9"/>
      <c r="O2105" s="9"/>
      <c r="P2105" s="9"/>
      <c r="Q2105" s="9"/>
      <c r="R2105" s="9"/>
      <c r="S2105" s="9"/>
      <c r="T2105" s="9"/>
      <c r="U2105" s="9"/>
      <c r="V2105" s="9"/>
      <c r="W2105" s="9"/>
      <c r="X2105" s="17"/>
      <c r="Y2105" s="13"/>
      <c r="Z2105" s="13"/>
      <c r="AC2105" s="24"/>
      <c r="AD2105" s="23"/>
    </row>
    <row r="2106" spans="4:30" x14ac:dyDescent="0.25">
      <c r="D2106" s="3"/>
      <c r="E2106" s="15"/>
      <c r="F2106" s="15"/>
      <c r="G2106" s="15"/>
      <c r="H2106" s="15"/>
      <c r="I2106" s="15"/>
      <c r="J2106" s="9"/>
      <c r="K2106" s="9"/>
      <c r="L2106" s="9"/>
      <c r="M2106" s="9"/>
      <c r="N2106" s="9"/>
      <c r="O2106" s="9"/>
      <c r="P2106" s="9"/>
      <c r="Q2106" s="9"/>
      <c r="R2106" s="9"/>
      <c r="S2106" s="9"/>
      <c r="T2106" s="9"/>
      <c r="U2106" s="9"/>
      <c r="V2106" s="9"/>
      <c r="W2106" s="9"/>
      <c r="X2106" s="17"/>
      <c r="Y2106" s="13"/>
      <c r="Z2106" s="13"/>
      <c r="AC2106" s="24"/>
      <c r="AD2106" s="23"/>
    </row>
    <row r="2107" spans="4:30" x14ac:dyDescent="0.25">
      <c r="D2107" s="3"/>
      <c r="E2107" s="15"/>
      <c r="F2107" s="15"/>
      <c r="G2107" s="15"/>
      <c r="H2107" s="15"/>
      <c r="I2107" s="15"/>
      <c r="J2107" s="9"/>
      <c r="K2107" s="9"/>
      <c r="L2107" s="9"/>
      <c r="M2107" s="9"/>
      <c r="N2107" s="9"/>
      <c r="O2107" s="9"/>
      <c r="P2107" s="9"/>
      <c r="Q2107" s="9"/>
      <c r="R2107" s="9"/>
      <c r="S2107" s="9"/>
      <c r="T2107" s="9"/>
      <c r="U2107" s="9"/>
      <c r="V2107" s="9"/>
      <c r="W2107" s="9"/>
      <c r="X2107" s="17"/>
      <c r="Y2107" s="13"/>
      <c r="Z2107" s="13"/>
      <c r="AC2107" s="24"/>
      <c r="AD2107" s="23"/>
    </row>
    <row r="2108" spans="4:30" x14ac:dyDescent="0.25">
      <c r="D2108" s="3"/>
      <c r="E2108" s="15"/>
      <c r="F2108" s="15"/>
      <c r="G2108" s="15"/>
      <c r="H2108" s="15"/>
      <c r="I2108" s="15"/>
      <c r="J2108" s="9"/>
      <c r="K2108" s="9"/>
      <c r="L2108" s="9"/>
      <c r="M2108" s="9"/>
      <c r="N2108" s="9"/>
      <c r="O2108" s="9"/>
      <c r="P2108" s="9"/>
      <c r="Q2108" s="9"/>
      <c r="R2108" s="9"/>
      <c r="S2108" s="9"/>
      <c r="T2108" s="9"/>
      <c r="U2108" s="9"/>
      <c r="V2108" s="9"/>
      <c r="W2108" s="9"/>
      <c r="X2108" s="17"/>
      <c r="Y2108" s="13"/>
      <c r="Z2108" s="13"/>
      <c r="AC2108" s="24"/>
      <c r="AD2108" s="23"/>
    </row>
    <row r="2109" spans="4:30" x14ac:dyDescent="0.25">
      <c r="D2109" s="3"/>
      <c r="E2109" s="15"/>
      <c r="F2109" s="15"/>
      <c r="G2109" s="15"/>
      <c r="H2109" s="15"/>
      <c r="I2109" s="15"/>
      <c r="J2109" s="9"/>
      <c r="K2109" s="9"/>
      <c r="L2109" s="9"/>
      <c r="M2109" s="9"/>
      <c r="N2109" s="9"/>
      <c r="O2109" s="9"/>
      <c r="P2109" s="9"/>
      <c r="Q2109" s="9"/>
      <c r="R2109" s="9"/>
      <c r="S2109" s="9"/>
      <c r="T2109" s="9"/>
      <c r="U2109" s="9"/>
      <c r="V2109" s="9"/>
      <c r="W2109" s="9"/>
      <c r="X2109" s="17"/>
      <c r="Y2109" s="13"/>
      <c r="Z2109" s="13"/>
      <c r="AC2109" s="24"/>
      <c r="AD2109" s="23"/>
    </row>
    <row r="2110" spans="4:30" x14ac:dyDescent="0.25">
      <c r="D2110" s="3"/>
      <c r="E2110" s="15"/>
      <c r="F2110" s="15"/>
      <c r="G2110" s="15"/>
      <c r="H2110" s="15"/>
      <c r="I2110" s="15"/>
      <c r="J2110" s="9"/>
      <c r="K2110" s="9"/>
      <c r="L2110" s="9"/>
      <c r="M2110" s="9"/>
      <c r="N2110" s="9"/>
      <c r="O2110" s="9"/>
      <c r="P2110" s="9"/>
      <c r="Q2110" s="9"/>
      <c r="R2110" s="9"/>
      <c r="S2110" s="9"/>
      <c r="T2110" s="9"/>
      <c r="U2110" s="9"/>
      <c r="V2110" s="9"/>
      <c r="W2110" s="9"/>
      <c r="X2110" s="17"/>
      <c r="Y2110" s="13"/>
      <c r="Z2110" s="13"/>
      <c r="AC2110" s="24"/>
      <c r="AD2110" s="23"/>
    </row>
    <row r="2111" spans="4:30" x14ac:dyDescent="0.25">
      <c r="D2111" s="3"/>
      <c r="E2111" s="15"/>
      <c r="F2111" s="15"/>
      <c r="G2111" s="15"/>
      <c r="H2111" s="15"/>
      <c r="I2111" s="15"/>
      <c r="J2111" s="9"/>
      <c r="K2111" s="9"/>
      <c r="L2111" s="9"/>
      <c r="M2111" s="9"/>
      <c r="N2111" s="9"/>
      <c r="O2111" s="9"/>
      <c r="P2111" s="9"/>
      <c r="Q2111" s="9"/>
      <c r="R2111" s="9"/>
      <c r="S2111" s="9"/>
      <c r="T2111" s="9"/>
      <c r="U2111" s="9"/>
      <c r="V2111" s="9"/>
      <c r="W2111" s="9"/>
      <c r="X2111" s="17"/>
      <c r="Y2111" s="13"/>
      <c r="Z2111" s="13"/>
      <c r="AC2111" s="24"/>
      <c r="AD2111" s="23"/>
    </row>
    <row r="2112" spans="4:30" x14ac:dyDescent="0.25">
      <c r="D2112" s="3"/>
      <c r="E2112" s="15"/>
      <c r="F2112" s="15"/>
      <c r="G2112" s="15"/>
      <c r="H2112" s="15"/>
      <c r="I2112" s="15"/>
      <c r="J2112" s="9"/>
      <c r="K2112" s="9"/>
      <c r="L2112" s="9"/>
      <c r="M2112" s="9"/>
      <c r="N2112" s="9"/>
      <c r="O2112" s="9"/>
      <c r="P2112" s="9"/>
      <c r="Q2112" s="9"/>
      <c r="R2112" s="9"/>
      <c r="S2112" s="9"/>
      <c r="T2112" s="9"/>
      <c r="U2112" s="9"/>
      <c r="V2112" s="9"/>
      <c r="W2112" s="9"/>
      <c r="X2112" s="17"/>
      <c r="Y2112" s="13"/>
      <c r="Z2112" s="13"/>
      <c r="AC2112" s="24"/>
      <c r="AD2112" s="23"/>
    </row>
    <row r="2113" spans="4:30" x14ac:dyDescent="0.25">
      <c r="D2113" s="3"/>
      <c r="E2113" s="15"/>
      <c r="F2113" s="15"/>
      <c r="G2113" s="15"/>
      <c r="H2113" s="15"/>
      <c r="I2113" s="15"/>
      <c r="J2113" s="9"/>
      <c r="K2113" s="9"/>
      <c r="L2113" s="9"/>
      <c r="M2113" s="9"/>
      <c r="N2113" s="9"/>
      <c r="O2113" s="9"/>
      <c r="P2113" s="9"/>
      <c r="Q2113" s="9"/>
      <c r="R2113" s="9"/>
      <c r="S2113" s="9"/>
      <c r="T2113" s="9"/>
      <c r="U2113" s="9"/>
      <c r="V2113" s="9"/>
      <c r="W2113" s="9"/>
      <c r="X2113" s="17"/>
      <c r="Y2113" s="13"/>
      <c r="Z2113" s="13"/>
      <c r="AC2113" s="24"/>
      <c r="AD2113" s="23"/>
    </row>
    <row r="2114" spans="4:30" x14ac:dyDescent="0.25">
      <c r="D2114" s="3"/>
      <c r="E2114" s="15"/>
      <c r="F2114" s="15"/>
      <c r="G2114" s="15"/>
      <c r="H2114" s="15"/>
      <c r="I2114" s="15"/>
      <c r="J2114" s="9"/>
      <c r="K2114" s="9"/>
      <c r="L2114" s="9"/>
      <c r="M2114" s="9"/>
      <c r="N2114" s="9"/>
      <c r="O2114" s="9"/>
      <c r="P2114" s="9"/>
      <c r="Q2114" s="9"/>
      <c r="R2114" s="9"/>
      <c r="S2114" s="9"/>
      <c r="T2114" s="9"/>
      <c r="U2114" s="9"/>
      <c r="V2114" s="9"/>
      <c r="W2114" s="9"/>
      <c r="X2114" s="17"/>
      <c r="Y2114" s="13"/>
      <c r="Z2114" s="13"/>
      <c r="AC2114" s="24"/>
      <c r="AD2114" s="23"/>
    </row>
    <row r="2115" spans="4:30" x14ac:dyDescent="0.25">
      <c r="D2115" s="3"/>
      <c r="E2115" s="15"/>
      <c r="F2115" s="15"/>
      <c r="G2115" s="15"/>
      <c r="H2115" s="15"/>
      <c r="I2115" s="15"/>
      <c r="J2115" s="9"/>
      <c r="K2115" s="9"/>
      <c r="L2115" s="9"/>
      <c r="M2115" s="9"/>
      <c r="N2115" s="9"/>
      <c r="O2115" s="9"/>
      <c r="P2115" s="9"/>
      <c r="Q2115" s="9"/>
      <c r="R2115" s="9"/>
      <c r="S2115" s="9"/>
      <c r="T2115" s="9"/>
      <c r="U2115" s="9"/>
      <c r="V2115" s="9"/>
      <c r="W2115" s="9"/>
      <c r="X2115" s="17"/>
      <c r="Y2115" s="13"/>
      <c r="Z2115" s="13"/>
      <c r="AC2115" s="24"/>
      <c r="AD2115" s="23"/>
    </row>
    <row r="2116" spans="4:30" x14ac:dyDescent="0.25">
      <c r="D2116" s="3"/>
      <c r="E2116" s="15"/>
      <c r="F2116" s="15"/>
      <c r="G2116" s="15"/>
      <c r="H2116" s="15"/>
      <c r="I2116" s="15"/>
      <c r="J2116" s="9"/>
      <c r="K2116" s="9"/>
      <c r="L2116" s="9"/>
      <c r="M2116" s="9"/>
      <c r="N2116" s="9"/>
      <c r="O2116" s="9"/>
      <c r="P2116" s="9"/>
      <c r="Q2116" s="9"/>
      <c r="R2116" s="9"/>
      <c r="S2116" s="9"/>
      <c r="T2116" s="9"/>
      <c r="U2116" s="9"/>
      <c r="V2116" s="9"/>
      <c r="W2116" s="9"/>
      <c r="X2116" s="17"/>
      <c r="Y2116" s="13"/>
      <c r="Z2116" s="13"/>
      <c r="AC2116" s="24"/>
      <c r="AD2116" s="23"/>
    </row>
    <row r="2117" spans="4:30" x14ac:dyDescent="0.25">
      <c r="D2117" s="3"/>
      <c r="E2117" s="15"/>
      <c r="F2117" s="15"/>
      <c r="G2117" s="15"/>
      <c r="H2117" s="15"/>
      <c r="I2117" s="15"/>
      <c r="J2117" s="9"/>
      <c r="K2117" s="9"/>
      <c r="L2117" s="9"/>
      <c r="M2117" s="9"/>
      <c r="N2117" s="9"/>
      <c r="O2117" s="9"/>
      <c r="P2117" s="9"/>
      <c r="Q2117" s="9"/>
      <c r="R2117" s="9"/>
      <c r="S2117" s="9"/>
      <c r="T2117" s="9"/>
      <c r="U2117" s="9"/>
      <c r="V2117" s="9"/>
      <c r="W2117" s="9"/>
      <c r="X2117" s="17"/>
      <c r="Y2117" s="13"/>
      <c r="Z2117" s="13"/>
      <c r="AC2117" s="24"/>
      <c r="AD2117" s="23"/>
    </row>
    <row r="2118" spans="4:30" x14ac:dyDescent="0.25">
      <c r="D2118" s="3"/>
      <c r="E2118" s="15"/>
      <c r="F2118" s="15"/>
      <c r="G2118" s="15"/>
      <c r="H2118" s="15"/>
      <c r="I2118" s="15"/>
      <c r="J2118" s="9"/>
      <c r="K2118" s="9"/>
      <c r="L2118" s="9"/>
      <c r="M2118" s="9"/>
      <c r="N2118" s="9"/>
      <c r="O2118" s="9"/>
      <c r="P2118" s="9"/>
      <c r="Q2118" s="9"/>
      <c r="R2118" s="9"/>
      <c r="S2118" s="9"/>
      <c r="T2118" s="9"/>
      <c r="U2118" s="9"/>
      <c r="V2118" s="9"/>
      <c r="W2118" s="9"/>
      <c r="X2118" s="17"/>
      <c r="Y2118" s="13"/>
      <c r="Z2118" s="13"/>
      <c r="AC2118" s="24"/>
      <c r="AD2118" s="23"/>
    </row>
    <row r="2119" spans="4:30" x14ac:dyDescent="0.25">
      <c r="D2119" s="3"/>
      <c r="E2119" s="15"/>
      <c r="F2119" s="15"/>
      <c r="G2119" s="15"/>
      <c r="H2119" s="15"/>
      <c r="I2119" s="15"/>
      <c r="J2119" s="9"/>
      <c r="K2119" s="9"/>
      <c r="L2119" s="9"/>
      <c r="M2119" s="9"/>
      <c r="N2119" s="9"/>
      <c r="O2119" s="9"/>
      <c r="P2119" s="9"/>
      <c r="Q2119" s="9"/>
      <c r="R2119" s="9"/>
      <c r="S2119" s="9"/>
      <c r="T2119" s="9"/>
      <c r="U2119" s="9"/>
      <c r="V2119" s="9"/>
      <c r="W2119" s="9"/>
      <c r="X2119" s="17"/>
      <c r="Y2119" s="13"/>
      <c r="Z2119" s="13"/>
      <c r="AC2119" s="24"/>
      <c r="AD2119" s="23"/>
    </row>
    <row r="2120" spans="4:30" x14ac:dyDescent="0.25">
      <c r="D2120" s="3"/>
      <c r="E2120" s="15"/>
      <c r="F2120" s="15"/>
      <c r="G2120" s="15"/>
      <c r="H2120" s="15"/>
      <c r="I2120" s="15"/>
      <c r="J2120" s="9"/>
      <c r="K2120" s="9"/>
      <c r="L2120" s="9"/>
      <c r="M2120" s="9"/>
      <c r="N2120" s="9"/>
      <c r="O2120" s="9"/>
      <c r="P2120" s="9"/>
      <c r="Q2120" s="9"/>
      <c r="R2120" s="9"/>
      <c r="S2120" s="9"/>
      <c r="T2120" s="9"/>
      <c r="U2120" s="9"/>
      <c r="V2120" s="9"/>
      <c r="W2120" s="9"/>
      <c r="X2120" s="17"/>
      <c r="Y2120" s="13"/>
      <c r="Z2120" s="13"/>
      <c r="AC2120" s="24"/>
      <c r="AD2120" s="23"/>
    </row>
    <row r="2121" spans="4:30" x14ac:dyDescent="0.25">
      <c r="D2121" s="3"/>
      <c r="E2121" s="15"/>
      <c r="F2121" s="15"/>
      <c r="G2121" s="15"/>
      <c r="H2121" s="15"/>
      <c r="I2121" s="15"/>
      <c r="J2121" s="9"/>
      <c r="K2121" s="9"/>
      <c r="L2121" s="9"/>
      <c r="M2121" s="9"/>
      <c r="N2121" s="9"/>
      <c r="O2121" s="9"/>
      <c r="P2121" s="9"/>
      <c r="Q2121" s="9"/>
      <c r="R2121" s="9"/>
      <c r="S2121" s="9"/>
      <c r="T2121" s="9"/>
      <c r="U2121" s="9"/>
      <c r="V2121" s="9"/>
      <c r="W2121" s="9"/>
      <c r="X2121" s="17"/>
      <c r="Y2121" s="13"/>
      <c r="Z2121" s="13"/>
      <c r="AC2121" s="24"/>
      <c r="AD2121" s="23"/>
    </row>
    <row r="2122" spans="4:30" x14ac:dyDescent="0.25">
      <c r="D2122" s="3"/>
      <c r="E2122" s="15"/>
      <c r="F2122" s="15"/>
      <c r="G2122" s="15"/>
      <c r="H2122" s="15"/>
      <c r="I2122" s="15"/>
      <c r="J2122" s="9"/>
      <c r="K2122" s="9"/>
      <c r="L2122" s="9"/>
      <c r="M2122" s="9"/>
      <c r="N2122" s="9"/>
      <c r="O2122" s="9"/>
      <c r="P2122" s="9"/>
      <c r="Q2122" s="9"/>
      <c r="R2122" s="9"/>
      <c r="S2122" s="9"/>
      <c r="T2122" s="9"/>
      <c r="U2122" s="9"/>
      <c r="V2122" s="9"/>
      <c r="W2122" s="9"/>
      <c r="X2122" s="17"/>
      <c r="Y2122" s="13"/>
      <c r="Z2122" s="13"/>
      <c r="AC2122" s="24"/>
      <c r="AD2122" s="23"/>
    </row>
    <row r="2123" spans="4:30" x14ac:dyDescent="0.25">
      <c r="D2123" s="3"/>
      <c r="E2123" s="15"/>
      <c r="F2123" s="15"/>
      <c r="G2123" s="15"/>
      <c r="H2123" s="15"/>
      <c r="I2123" s="15"/>
      <c r="J2123" s="9"/>
      <c r="K2123" s="9"/>
      <c r="L2123" s="9"/>
      <c r="M2123" s="9"/>
      <c r="N2123" s="9"/>
      <c r="O2123" s="9"/>
      <c r="P2123" s="9"/>
      <c r="Q2123" s="9"/>
      <c r="R2123" s="9"/>
      <c r="S2123" s="9"/>
      <c r="T2123" s="9"/>
      <c r="U2123" s="9"/>
      <c r="V2123" s="9"/>
      <c r="W2123" s="9"/>
      <c r="X2123" s="17"/>
      <c r="Y2123" s="13"/>
      <c r="Z2123" s="13"/>
      <c r="AC2123" s="24"/>
      <c r="AD2123" s="23"/>
    </row>
    <row r="2124" spans="4:30" x14ac:dyDescent="0.25">
      <c r="D2124" s="3"/>
      <c r="E2124" s="15"/>
      <c r="F2124" s="15"/>
      <c r="G2124" s="15"/>
      <c r="H2124" s="15"/>
      <c r="I2124" s="15"/>
      <c r="J2124" s="9"/>
      <c r="K2124" s="9"/>
      <c r="L2124" s="9"/>
      <c r="M2124" s="9"/>
      <c r="N2124" s="9"/>
      <c r="O2124" s="9"/>
      <c r="P2124" s="9"/>
      <c r="Q2124" s="9"/>
      <c r="R2124" s="9"/>
      <c r="S2124" s="9"/>
      <c r="T2124" s="9"/>
      <c r="U2124" s="9"/>
      <c r="V2124" s="9"/>
      <c r="W2124" s="9"/>
      <c r="X2124" s="17"/>
      <c r="Y2124" s="13"/>
      <c r="Z2124" s="13"/>
      <c r="AC2124" s="24"/>
      <c r="AD2124" s="23"/>
    </row>
    <row r="2125" spans="4:30" x14ac:dyDescent="0.25">
      <c r="D2125" s="3"/>
      <c r="E2125" s="15"/>
      <c r="F2125" s="15"/>
      <c r="G2125" s="15"/>
      <c r="H2125" s="15"/>
      <c r="I2125" s="15"/>
      <c r="J2125" s="9"/>
      <c r="K2125" s="9"/>
      <c r="L2125" s="9"/>
      <c r="M2125" s="9"/>
      <c r="N2125" s="9"/>
      <c r="O2125" s="9"/>
      <c r="P2125" s="9"/>
      <c r="Q2125" s="9"/>
      <c r="R2125" s="9"/>
      <c r="S2125" s="9"/>
      <c r="T2125" s="9"/>
      <c r="U2125" s="9"/>
      <c r="V2125" s="9"/>
      <c r="W2125" s="9"/>
      <c r="X2125" s="17"/>
      <c r="Y2125" s="13"/>
      <c r="Z2125" s="13"/>
      <c r="AC2125" s="24"/>
      <c r="AD2125" s="23"/>
    </row>
    <row r="2126" spans="4:30" x14ac:dyDescent="0.25">
      <c r="D2126" s="3"/>
      <c r="E2126" s="15"/>
      <c r="F2126" s="15"/>
      <c r="G2126" s="15"/>
      <c r="H2126" s="15"/>
      <c r="I2126" s="15"/>
      <c r="J2126" s="9"/>
      <c r="K2126" s="9"/>
      <c r="L2126" s="9"/>
      <c r="M2126" s="9"/>
      <c r="N2126" s="9"/>
      <c r="O2126" s="9"/>
      <c r="P2126" s="9"/>
      <c r="Q2126" s="9"/>
      <c r="R2126" s="9"/>
      <c r="S2126" s="9"/>
      <c r="T2126" s="9"/>
      <c r="U2126" s="9"/>
      <c r="V2126" s="9"/>
      <c r="W2126" s="9"/>
      <c r="X2126" s="17"/>
      <c r="Y2126" s="13"/>
      <c r="Z2126" s="13"/>
      <c r="AC2126" s="24"/>
      <c r="AD2126" s="23"/>
    </row>
    <row r="2127" spans="4:30" x14ac:dyDescent="0.25">
      <c r="D2127" s="3"/>
      <c r="E2127" s="15"/>
      <c r="F2127" s="15"/>
      <c r="G2127" s="15"/>
      <c r="H2127" s="15"/>
      <c r="I2127" s="15"/>
      <c r="J2127" s="9"/>
      <c r="K2127" s="9"/>
      <c r="L2127" s="9"/>
      <c r="M2127" s="9"/>
      <c r="N2127" s="9"/>
      <c r="O2127" s="9"/>
      <c r="P2127" s="9"/>
      <c r="Q2127" s="9"/>
      <c r="R2127" s="9"/>
      <c r="S2127" s="9"/>
      <c r="T2127" s="9"/>
      <c r="U2127" s="9"/>
      <c r="V2127" s="9"/>
      <c r="W2127" s="9"/>
      <c r="X2127" s="17"/>
      <c r="Y2127" s="13"/>
      <c r="Z2127" s="13"/>
      <c r="AC2127" s="24"/>
      <c r="AD2127" s="23"/>
    </row>
    <row r="2128" spans="4:30" x14ac:dyDescent="0.25">
      <c r="D2128" s="3"/>
      <c r="E2128" s="15"/>
      <c r="F2128" s="15"/>
      <c r="G2128" s="15"/>
      <c r="H2128" s="15"/>
      <c r="I2128" s="15"/>
      <c r="J2128" s="9"/>
      <c r="K2128" s="9"/>
      <c r="L2128" s="9"/>
      <c r="M2128" s="9"/>
      <c r="N2128" s="9"/>
      <c r="O2128" s="9"/>
      <c r="P2128" s="9"/>
      <c r="Q2128" s="9"/>
      <c r="R2128" s="9"/>
      <c r="S2128" s="9"/>
      <c r="T2128" s="9"/>
      <c r="U2128" s="9"/>
      <c r="V2128" s="9"/>
      <c r="W2128" s="9"/>
      <c r="X2128" s="17"/>
      <c r="Y2128" s="13"/>
      <c r="Z2128" s="13"/>
      <c r="AC2128" s="24"/>
      <c r="AD2128" s="23"/>
    </row>
    <row r="2129" spans="4:30" x14ac:dyDescent="0.25">
      <c r="D2129" s="3"/>
      <c r="E2129" s="15"/>
      <c r="F2129" s="15"/>
      <c r="G2129" s="15"/>
      <c r="H2129" s="15"/>
      <c r="I2129" s="15"/>
      <c r="J2129" s="9"/>
      <c r="K2129" s="9"/>
      <c r="L2129" s="9"/>
      <c r="M2129" s="9"/>
      <c r="N2129" s="9"/>
      <c r="O2129" s="9"/>
      <c r="P2129" s="9"/>
      <c r="Q2129" s="9"/>
      <c r="R2129" s="9"/>
      <c r="S2129" s="9"/>
      <c r="T2129" s="9"/>
      <c r="U2129" s="9"/>
      <c r="V2129" s="9"/>
      <c r="W2129" s="9"/>
      <c r="X2129" s="17"/>
      <c r="Y2129" s="13"/>
      <c r="Z2129" s="13"/>
      <c r="AC2129" s="24"/>
      <c r="AD2129" s="23"/>
    </row>
    <row r="2130" spans="4:30" x14ac:dyDescent="0.25">
      <c r="D2130" s="3"/>
      <c r="E2130" s="15"/>
      <c r="F2130" s="15"/>
      <c r="G2130" s="15"/>
      <c r="H2130" s="15"/>
      <c r="I2130" s="15"/>
      <c r="J2130" s="9"/>
      <c r="K2130" s="9"/>
      <c r="L2130" s="9"/>
      <c r="M2130" s="9"/>
      <c r="N2130" s="9"/>
      <c r="O2130" s="9"/>
      <c r="P2130" s="9"/>
      <c r="Q2130" s="9"/>
      <c r="R2130" s="9"/>
      <c r="S2130" s="9"/>
      <c r="T2130" s="9"/>
      <c r="U2130" s="9"/>
      <c r="V2130" s="9"/>
      <c r="W2130" s="9"/>
      <c r="X2130" s="17"/>
      <c r="Y2130" s="13"/>
      <c r="Z2130" s="13"/>
      <c r="AC2130" s="24"/>
      <c r="AD2130" s="23"/>
    </row>
    <row r="2131" spans="4:30" x14ac:dyDescent="0.25">
      <c r="D2131" s="3"/>
      <c r="E2131" s="15"/>
      <c r="F2131" s="15"/>
      <c r="G2131" s="15"/>
      <c r="H2131" s="15"/>
      <c r="I2131" s="15"/>
      <c r="J2131" s="9"/>
      <c r="K2131" s="9"/>
      <c r="L2131" s="9"/>
      <c r="M2131" s="9"/>
      <c r="N2131" s="9"/>
      <c r="O2131" s="9"/>
      <c r="P2131" s="9"/>
      <c r="Q2131" s="9"/>
      <c r="R2131" s="9"/>
      <c r="S2131" s="9"/>
      <c r="T2131" s="9"/>
      <c r="U2131" s="9"/>
      <c r="V2131" s="9"/>
      <c r="W2131" s="9"/>
      <c r="X2131" s="17"/>
      <c r="Y2131" s="13"/>
      <c r="Z2131" s="13"/>
      <c r="AC2131" s="24"/>
      <c r="AD2131" s="23"/>
    </row>
    <row r="2132" spans="4:30" x14ac:dyDescent="0.25">
      <c r="D2132" s="3"/>
      <c r="E2132" s="15"/>
      <c r="F2132" s="15"/>
      <c r="G2132" s="15"/>
      <c r="H2132" s="15"/>
      <c r="I2132" s="15"/>
      <c r="J2132" s="9"/>
      <c r="K2132" s="9"/>
      <c r="L2132" s="9"/>
      <c r="M2132" s="9"/>
      <c r="N2132" s="9"/>
      <c r="O2132" s="9"/>
      <c r="P2132" s="9"/>
      <c r="Q2132" s="9"/>
      <c r="R2132" s="9"/>
      <c r="S2132" s="9"/>
      <c r="T2132" s="9"/>
      <c r="U2132" s="9"/>
      <c r="V2132" s="9"/>
      <c r="W2132" s="9"/>
      <c r="X2132" s="17"/>
      <c r="Y2132" s="13"/>
      <c r="Z2132" s="13"/>
      <c r="AC2132" s="24"/>
      <c r="AD2132" s="23"/>
    </row>
  </sheetData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B17"/>
  <sheetViews>
    <sheetView workbookViewId="0">
      <selection activeCell="E24" sqref="E24"/>
    </sheetView>
  </sheetViews>
  <sheetFormatPr defaultColWidth="8.875" defaultRowHeight="15.75" x14ac:dyDescent="0.25"/>
  <cols>
    <col min="1" max="1" width="14.75" style="1" customWidth="1"/>
    <col min="2" max="2" width="9.25" style="1" customWidth="1"/>
    <col min="3" max="16384" width="8.875" style="1"/>
  </cols>
  <sheetData>
    <row r="1" spans="1:2" x14ac:dyDescent="0.25">
      <c r="A1" s="1" t="s">
        <v>8</v>
      </c>
      <c r="B1" s="1" t="s">
        <v>13</v>
      </c>
    </row>
    <row r="2" spans="1:2" x14ac:dyDescent="0.25">
      <c r="A2" s="1" t="s">
        <v>9</v>
      </c>
    </row>
    <row r="3" spans="1:2" x14ac:dyDescent="0.25">
      <c r="A3" s="1" t="s">
        <v>0</v>
      </c>
    </row>
    <row r="4" spans="1:2" x14ac:dyDescent="0.25">
      <c r="A4" s="1" t="s">
        <v>7</v>
      </c>
    </row>
    <row r="5" spans="1:2" x14ac:dyDescent="0.25">
      <c r="A5" s="1" t="s">
        <v>5</v>
      </c>
    </row>
    <row r="6" spans="1:2" x14ac:dyDescent="0.25">
      <c r="A6" s="1" t="s">
        <v>1</v>
      </c>
    </row>
    <row r="7" spans="1:2" x14ac:dyDescent="0.25">
      <c r="A7" s="1" t="s">
        <v>2</v>
      </c>
      <c r="B7" s="1" t="b">
        <v>0</v>
      </c>
    </row>
    <row r="8" spans="1:2" x14ac:dyDescent="0.25">
      <c r="A8" s="1" t="s">
        <v>3</v>
      </c>
      <c r="B8" s="1" t="b">
        <v>0</v>
      </c>
    </row>
    <row r="9" spans="1:2" x14ac:dyDescent="0.25">
      <c r="A9" s="1" t="s">
        <v>14</v>
      </c>
      <c r="B9" s="1" t="b">
        <v>0</v>
      </c>
    </row>
    <row r="13" spans="1:2" x14ac:dyDescent="0.25">
      <c r="A13" s="2" t="s">
        <v>4</v>
      </c>
    </row>
    <row r="14" spans="1:2" x14ac:dyDescent="0.25">
      <c r="A14" s="1" t="s">
        <v>10</v>
      </c>
    </row>
    <row r="15" spans="1:2" x14ac:dyDescent="0.25">
      <c r="A15" s="1" t="s">
        <v>11</v>
      </c>
    </row>
    <row r="16" spans="1:2" x14ac:dyDescent="0.25">
      <c r="A16" s="1" t="s">
        <v>6</v>
      </c>
    </row>
    <row r="17" spans="1:1" x14ac:dyDescent="0.25">
      <c r="A17" s="1" t="s">
        <v>12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model step2(M24)</vt:lpstr>
      <vt:lpstr>M12</vt:lpstr>
      <vt:lpstr>_xlwings.conf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Felix</dc:creator>
  <cp:lastModifiedBy>Jeroen Sweerts</cp:lastModifiedBy>
  <dcterms:created xsi:type="dcterms:W3CDTF">2015-01-25T11:31:25Z</dcterms:created>
  <dcterms:modified xsi:type="dcterms:W3CDTF">2021-04-16T22:19:12Z</dcterms:modified>
</cp:coreProperties>
</file>